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359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P11" i="7" l="1"/>
  <c r="CL9" i="7" l="1"/>
  <c r="AN9" i="7"/>
  <c r="AL9" i="7"/>
  <c r="AJ9" i="7"/>
  <c r="AH9" i="7"/>
  <c r="AF9" i="7"/>
  <c r="AD9" i="7"/>
  <c r="AB9" i="7"/>
  <c r="Z9" i="7"/>
  <c r="X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AF20" i="7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<sst xmlns="http://schemas.openxmlformats.org/spreadsheetml/2006/main" count="296" uniqueCount="138">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</sst>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 t="e">
        <f>Submetering!E10+Submetering!F10+Submetering!G10+Submetering!H10-Submetering!AV10</f>
        <v>#VALUE!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0.40999999999996817</v>
      </c>
      <c r="P7" s="35">
        <f>'FS Desroches Daily'!Z9</f>
        <v>3.4000000000000696E-3</v>
      </c>
      <c r="Q7" s="35">
        <f>'FS Desroches Daily'!AB9</f>
        <v>0.58000000000004093</v>
      </c>
      <c r="R7" s="35">
        <f>'FS Desroches Daily'!AD9</f>
        <v>0.37000000000000455</v>
      </c>
      <c r="S7" s="35">
        <f>'FS Desroches Daily'!AF9</f>
        <v>0.82000000000005002</v>
      </c>
      <c r="T7" s="35">
        <f>'FS Desroches Daily'!AH9</f>
        <v>1.5</v>
      </c>
      <c r="U7" s="39">
        <f>'FS Desroches Daily'!AJ9</f>
        <v>0.48000000000001819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0</v>
      </c>
      <c r="AA7" s="39">
        <f>'FS Desroches Daily'!AT9</f>
        <v>0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 t="str">
        <f>'FS Desroches Daily'!T11</f>
        <v/>
      </c>
      <c r="N9" s="35" t="str">
        <f>'FS Desroches Daily'!V11</f>
        <v/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127.54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 t="str">
        <f>'FS Desroches Daily'!D12</f>
        <v>0</v>
      </c>
      <c r="F10" s="36" t="str">
        <f>'FS Desroches Daily'!F12</f>
        <v>0</v>
      </c>
      <c r="G10" s="35" t="str">
        <f>'FS Desroches Daily'!H12</f>
        <v>0</v>
      </c>
      <c r="H10" s="36" t="str">
        <f>'FS Desroches Daily'!J12</f>
        <v>0</v>
      </c>
      <c r="I10" s="35" t="str">
        <f>'FS Desroches Daily'!L12</f>
        <v>0</v>
      </c>
      <c r="J10" s="36" t="str">
        <f>'FS Desroches Daily'!N12</f>
        <v/>
      </c>
      <c r="K10" s="13" t="str">
        <f>'FS Desroches Daily'!P12</f>
        <v/>
      </c>
      <c r="L10" s="35" t="str">
        <f>'FS Desroches Daily'!R12</f>
        <v/>
      </c>
      <c r="M10" s="35">
        <f>'FS Desroches Daily'!T12</f>
        <v>0</v>
      </c>
      <c r="N10" s="35">
        <f>'FS Desroches Daily'!V12</f>
        <v>0</v>
      </c>
      <c r="O10" s="35" t="str">
        <f>'FS Desroches Daily'!X12</f>
        <v/>
      </c>
      <c r="P10" s="35" t="str">
        <f>'FS Desroches Daily'!Z12</f>
        <v/>
      </c>
      <c r="Q10" s="35" t="str">
        <f>'FS Desroches Daily'!AB12</f>
        <v/>
      </c>
      <c r="R10" s="35" t="str">
        <f>'FS Desroches Daily'!AD12</f>
        <v/>
      </c>
      <c r="S10" s="35" t="str">
        <f>'FS Desroches Daily'!AF12</f>
        <v/>
      </c>
      <c r="T10" s="35" t="str">
        <f>'FS Desroches Daily'!AH12</f>
        <v/>
      </c>
      <c r="U10" s="39" t="str">
        <f>'FS Desroches Daily'!AJ12</f>
        <v/>
      </c>
      <c r="V10" s="39" t="str">
        <f>'FS Desroches Daily'!AL12</f>
        <v/>
      </c>
      <c r="W10" s="39" t="str">
        <f>'FS Desroches Daily'!AN12</f>
        <v/>
      </c>
      <c r="X10" s="39" t="str">
        <f>'FS Desroches Daily'!AP12</f>
        <v/>
      </c>
      <c r="Y10" s="39" t="str">
        <f>'FS Desroches Daily'!AR12</f>
        <v/>
      </c>
      <c r="Z10" s="39" t="str">
        <f>'FS Desroches Daily'!AT12</f>
        <v/>
      </c>
      <c r="AA10" s="39" t="str">
        <f>'FS Desroches Daily'!AT12</f>
        <v/>
      </c>
      <c r="AB10" s="39" t="str">
        <f>'FS Desroches Daily'!AV12</f>
        <v/>
      </c>
      <c r="AC10" s="39" t="str">
        <f>'FS Desroches Daily'!AZ12</f>
        <v/>
      </c>
      <c r="AD10" s="39" t="str">
        <f>'FS Desroches Daily'!BB12</f>
        <v/>
      </c>
      <c r="AE10" s="39" t="str">
        <f>'FS Desroches Daily'!BD12</f>
        <v/>
      </c>
      <c r="AF10" s="35" t="str">
        <f>'FS Desroches Daily'!BF12</f>
        <v/>
      </c>
      <c r="AG10" s="36" t="str">
        <f>'FS Desroches Daily'!BH12</f>
        <v/>
      </c>
      <c r="AH10" s="36" t="str">
        <f>'FS Desroches Daily'!BJ12</f>
        <v/>
      </c>
      <c r="AI10" s="36" t="str">
        <f>'FS Desroches Daily'!BL12</f>
        <v/>
      </c>
      <c r="AJ10" s="36" t="str">
        <f>'FS Desroches Daily'!BN12</f>
        <v/>
      </c>
      <c r="AK10" s="36" t="str">
        <f>'FS Desroches Daily'!BP12</f>
        <v/>
      </c>
      <c r="AL10" s="36" t="str">
        <f>'FS Desroches Daily'!BR12</f>
        <v/>
      </c>
      <c r="AM10" s="36" t="str">
        <f>'FS Desroches Daily'!BT12</f>
        <v/>
      </c>
      <c r="AN10" s="36" t="str">
        <f>'FS Desroches Daily'!BV12</f>
        <v/>
      </c>
      <c r="AO10" s="36" t="str">
        <f>'FS Desroches Daily'!BX12</f>
        <v/>
      </c>
      <c r="AP10" s="36" t="str">
        <f>'FS Desroches Daily'!BZ12</f>
        <v/>
      </c>
      <c r="AQ10" s="35" t="str">
        <f>'FS Desroches Daily'!CB12</f>
        <v/>
      </c>
      <c r="AR10" s="35" t="str">
        <f>'FS Desroches Daily'!CD12</f>
        <v/>
      </c>
      <c r="AS10" s="35" t="str">
        <f>'FS Desroches Daily'!CF12</f>
        <v/>
      </c>
      <c r="AT10" s="35" t="str">
        <f>'FS Desroches Daily'!CH12</f>
        <v/>
      </c>
      <c r="AU10" s="35" t="str">
        <f>'FS Desroches Daily'!CJ12</f>
        <v/>
      </c>
      <c r="AV10" s="35" t="str">
        <f>'FS Desroches Daily'!CL12</f>
        <v/>
      </c>
      <c r="AW10" s="35">
        <f>'FS Desroches Daily'!CM12</f>
        <v>0</v>
      </c>
      <c r="AX10" s="35" t="str">
        <f>IF(LPG!F17-LPG!F16&lt;0,"0",(LPG!F17-LPG!F16)*1.8315)</f>
        <v>0</v>
      </c>
      <c r="AY10" s="35" t="str">
        <f>IF(LPG!H17-LPG!H16&lt;0,"0",(LPG!H17-LPG!H16)*1.8315)</f>
        <v>0</v>
      </c>
      <c r="AZ10" s="35" t="str">
        <f>IF(LPG!J17-LPG!J16&lt;0,"0",(LPG!J17-LPG!J16)*1.8315)</f>
        <v>0</v>
      </c>
      <c r="BA10" s="35" t="str">
        <f>IF(LPG!M17-LPG!M16&lt;0,"0",(LPG!M17-LPG!M16)*1.8315)</f>
        <v>0</v>
      </c>
      <c r="BB10" s="35" t="str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15500.000000000069</v>
      </c>
      <c r="F33" s="17">
        <f t="shared" ref="F33:BC33" si="1">SUM(F2:F32)</f>
        <v>28399.999999999982</v>
      </c>
      <c r="G33" s="17">
        <f t="shared" si="1"/>
        <v>23299.999999999873</v>
      </c>
      <c r="H33" s="17">
        <f t="shared" si="1"/>
        <v>11400.000000000075</v>
      </c>
      <c r="I33" s="17">
        <f t="shared" si="1"/>
        <v>16299.999999999982</v>
      </c>
      <c r="J33" s="17">
        <f t="shared" si="1"/>
        <v>14100.000000000002</v>
      </c>
      <c r="K33" s="17">
        <f t="shared" si="1"/>
        <v>143</v>
      </c>
      <c r="L33" s="17">
        <f t="shared" si="1"/>
        <v>57</v>
      </c>
      <c r="M33" s="17">
        <f t="shared" si="1"/>
        <v>7233</v>
      </c>
      <c r="N33" s="17">
        <f t="shared" si="1"/>
        <v>2611</v>
      </c>
      <c r="O33" s="17">
        <f t="shared" si="1"/>
        <v>2960.4100000000362</v>
      </c>
      <c r="P33" s="17">
        <f t="shared" si="1"/>
        <v>21900.003400000031</v>
      </c>
      <c r="Q33" s="17">
        <f t="shared" si="1"/>
        <v>3160.5799999999681</v>
      </c>
      <c r="R33" s="17">
        <f t="shared" si="1"/>
        <v>2600.3699999999658</v>
      </c>
      <c r="S33" s="17">
        <f t="shared" si="1"/>
        <v>5560.8199999999451</v>
      </c>
      <c r="T33" s="17">
        <f t="shared" si="1"/>
        <v>13.600000000000136</v>
      </c>
      <c r="U33" s="39">
        <f t="shared" si="1"/>
        <v>3010.4799999999909</v>
      </c>
      <c r="V33" s="39">
        <f t="shared" si="1"/>
        <v>1.7999999999999972</v>
      </c>
      <c r="W33" s="39">
        <f t="shared" si="1"/>
        <v>128.69999999999999</v>
      </c>
      <c r="X33" s="39">
        <f t="shared" si="1"/>
        <v>1.0900000000000034</v>
      </c>
      <c r="Y33" s="39">
        <f t="shared" si="1"/>
        <v>949.99999999998863</v>
      </c>
      <c r="Z33" s="39">
        <f t="shared" si="1"/>
        <v>1510.0000000000477</v>
      </c>
      <c r="AA33" s="39">
        <f t="shared" si="1"/>
        <v>1510.0000000000477</v>
      </c>
      <c r="AB33" s="39">
        <f t="shared" si="1"/>
        <v>1120.0000000000045</v>
      </c>
      <c r="AC33" s="39">
        <f t="shared" si="1"/>
        <v>750</v>
      </c>
      <c r="AD33" s="39">
        <f t="shared" si="1"/>
        <v>480.00000000001819</v>
      </c>
      <c r="AE33" s="39">
        <f t="shared" si="1"/>
        <v>99.999999999994316</v>
      </c>
      <c r="AF33" s="17">
        <f t="shared" si="1"/>
        <v>463</v>
      </c>
      <c r="AG33" s="36">
        <f t="shared" si="1"/>
        <v>219.99999999999886</v>
      </c>
      <c r="AH33" s="36">
        <f t="shared" si="1"/>
        <v>259.99999999999091</v>
      </c>
      <c r="AI33" s="36">
        <f t="shared" si="1"/>
        <v>289.99999999999204</v>
      </c>
      <c r="AJ33" s="36">
        <f t="shared" si="1"/>
        <v>270.00000000001023</v>
      </c>
      <c r="AK33" s="36">
        <f t="shared" si="1"/>
        <v>290.00000000002046</v>
      </c>
      <c r="AL33" s="36">
        <f t="shared" si="1"/>
        <v>277</v>
      </c>
      <c r="AM33" s="36">
        <f t="shared" si="1"/>
        <v>289.99999999999204</v>
      </c>
      <c r="AN33" s="36">
        <f t="shared" si="1"/>
        <v>273</v>
      </c>
      <c r="AO33" s="36">
        <f t="shared" si="1"/>
        <v>270.00000000001023</v>
      </c>
      <c r="AP33" s="36">
        <f t="shared" si="1"/>
        <v>402</v>
      </c>
      <c r="AQ33" s="17">
        <f t="shared" si="1"/>
        <v>300</v>
      </c>
      <c r="AR33" s="17">
        <f t="shared" si="1"/>
        <v>83.399999999999636</v>
      </c>
      <c r="AS33" s="17">
        <f t="shared" si="1"/>
        <v>97</v>
      </c>
      <c r="AT33" s="17">
        <f t="shared" si="1"/>
        <v>509.80000000000291</v>
      </c>
      <c r="AU33" s="17">
        <f t="shared" si="1"/>
        <v>2241</v>
      </c>
      <c r="AV33" s="17">
        <f t="shared" si="1"/>
        <v>3899.9999999999773</v>
      </c>
      <c r="AW33" s="17">
        <f t="shared" si="1"/>
        <v>594.29999999999995</v>
      </c>
      <c r="AX33" s="17">
        <f t="shared" si="1"/>
        <v>113.553</v>
      </c>
      <c r="AY33" s="17">
        <f t="shared" si="1"/>
        <v>29.303999999999998</v>
      </c>
      <c r="AZ33" s="17">
        <f t="shared" si="1"/>
        <v>0</v>
      </c>
      <c r="BA33" s="17">
        <f t="shared" si="1"/>
        <v>25.640999999999998</v>
      </c>
      <c r="BB33" s="17">
        <f t="shared" si="1"/>
        <v>34.798499999999997</v>
      </c>
      <c r="BC33" s="17">
        <f t="shared" si="1"/>
        <v>278</v>
      </c>
    </row>
    <row r="35" spans="5:55" x14ac:dyDescent="0.25">
      <c r="E35" s="42">
        <f>E33/E37</f>
        <v>0.18488036451251305</v>
      </c>
      <c r="G35" s="33">
        <f>G33-M36</f>
        <v>13455.999999999873</v>
      </c>
      <c r="AE35" s="39">
        <f>SUM(U33:AE33)</f>
        <v>9562.0700000000925</v>
      </c>
      <c r="AG35" s="36">
        <f>SUM(AG33:AP33)</f>
        <v>2842.0000000000146</v>
      </c>
    </row>
    <row r="36" spans="5:55" x14ac:dyDescent="0.25">
      <c r="G36" s="33">
        <f>G35-633*14</f>
        <v>4593.9999999998727</v>
      </c>
      <c r="M36" s="33">
        <f>M33+N33</f>
        <v>9844</v>
      </c>
    </row>
    <row r="37" spans="5:55" x14ac:dyDescent="0.25">
      <c r="E37" s="17">
        <f>E33+F33+G33+H33+J33-633*14</f>
        <v>83838</v>
      </c>
      <c r="G37" s="41">
        <f>M36/E37</f>
        <v>0.11741692311362389</v>
      </c>
      <c r="M37" s="39">
        <f>AE35</f>
        <v>9562.0700000000925</v>
      </c>
    </row>
    <row r="38" spans="5:55" x14ac:dyDescent="0.25">
      <c r="L38" s="31">
        <f>M38/E37</f>
        <v>3.3898709415778223E-2</v>
      </c>
      <c r="M38" s="33">
        <f>AG35</f>
        <v>2842.0000000000146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zoomScale="70" zoomScaleNormal="70" workbookViewId="0">
      <pane ySplit="1" topLeftCell="A2" activePane="bottomLeft" state="frozen"/>
      <selection pane="bottomLeft" activeCell="C12" sqref="C12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>IF((W9-W8&lt;0), "0",W9-W8)</f>
        <v>0.40999999999996817</v>
      </c>
      <c r="Y9" s="64">
        <v>2.181</v>
      </c>
      <c r="Z9" s="72">
        <f>IF((Y9-Y8&lt;0), "0",Y9-Y8)</f>
        <v>3.4000000000000696E-3</v>
      </c>
      <c r="AA9" s="64">
        <v>295.35000000000002</v>
      </c>
      <c r="AB9" s="72">
        <f>IF((AA9-AA8&lt;0), "0",AA9-AA8)</f>
        <v>0.58000000000004093</v>
      </c>
      <c r="AC9" s="64">
        <v>266.07</v>
      </c>
      <c r="AD9" s="72">
        <f>IF((AC9-AC8&lt;0), "0",AC9-AC8)</f>
        <v>0.37000000000000455</v>
      </c>
      <c r="AE9" s="64">
        <v>401.1</v>
      </c>
      <c r="AF9" s="72">
        <f>IF((AE9-AE8&lt;0), "0",AE9-AE8)</f>
        <v>0.82000000000005002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>IF((AI9-AI8&lt;0), "0",AI9-AI8)</f>
        <v>0.48000000000001819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v>0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/>
      <c r="T11" s="71" t="str">
        <f t="shared" si="9"/>
        <v/>
      </c>
      <c r="U11" s="64"/>
      <c r="V11" s="72" t="str">
        <f t="shared" si="10"/>
        <v/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v>127.54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/>
      <c r="D12" s="71" t="str">
        <f t="shared" si="3"/>
        <v>0</v>
      </c>
      <c r="E12" s="64"/>
      <c r="F12" s="71" t="str">
        <f t="shared" si="4"/>
        <v>0</v>
      </c>
      <c r="G12" s="64"/>
      <c r="H12" s="71" t="str">
        <f t="shared" si="5"/>
        <v>0</v>
      </c>
      <c r="I12" s="64"/>
      <c r="J12" s="71" t="str">
        <f t="shared" si="43"/>
        <v>0</v>
      </c>
      <c r="K12" s="64"/>
      <c r="L12" s="71" t="str">
        <f t="shared" si="0"/>
        <v>0</v>
      </c>
      <c r="M12" s="64"/>
      <c r="N12" s="71" t="str">
        <f t="shared" si="6"/>
        <v/>
      </c>
      <c r="O12" s="64"/>
      <c r="P12" s="72" t="str">
        <f t="shared" si="7"/>
        <v/>
      </c>
      <c r="Q12" s="64"/>
      <c r="R12" s="72" t="str">
        <f t="shared" si="8"/>
        <v/>
      </c>
      <c r="S12" s="64"/>
      <c r="T12" s="72">
        <f t="shared" ref="T12:T34" si="44">IF((S12-S11&lt;0), "",S12-S11)</f>
        <v>0</v>
      </c>
      <c r="U12" s="64"/>
      <c r="V12" s="72">
        <f t="shared" si="10"/>
        <v>0</v>
      </c>
      <c r="W12" s="64"/>
      <c r="X12" s="72" t="str">
        <f t="shared" si="23"/>
        <v/>
      </c>
      <c r="Y12" s="64"/>
      <c r="Z12" s="72" t="str">
        <f t="shared" si="24"/>
        <v/>
      </c>
      <c r="AA12" s="64"/>
      <c r="AB12" s="72" t="str">
        <f t="shared" si="25"/>
        <v/>
      </c>
      <c r="AC12" s="64"/>
      <c r="AD12" s="72" t="str">
        <f t="shared" si="26"/>
        <v/>
      </c>
      <c r="AE12" s="64"/>
      <c r="AF12" s="72" t="str">
        <f t="shared" si="27"/>
        <v/>
      </c>
      <c r="AG12" s="64"/>
      <c r="AH12" s="72" t="str">
        <f t="shared" si="11"/>
        <v/>
      </c>
      <c r="AI12" s="64"/>
      <c r="AJ12" s="72" t="str">
        <f t="shared" si="28"/>
        <v/>
      </c>
      <c r="AK12" s="64"/>
      <c r="AL12" s="72" t="str">
        <f t="shared" si="12"/>
        <v/>
      </c>
      <c r="AM12" s="64"/>
      <c r="AN12" s="72" t="str">
        <f t="shared" si="13"/>
        <v/>
      </c>
      <c r="AO12" s="64"/>
      <c r="AP12" s="72" t="str">
        <f t="shared" si="14"/>
        <v/>
      </c>
      <c r="AQ12" s="64"/>
      <c r="AR12" s="72" t="str">
        <f t="shared" si="29"/>
        <v/>
      </c>
      <c r="AS12" s="64"/>
      <c r="AT12" s="72" t="str">
        <f t="shared" si="30"/>
        <v/>
      </c>
      <c r="AU12" s="64"/>
      <c r="AV12" s="72" t="str">
        <f t="shared" si="31"/>
        <v/>
      </c>
      <c r="AW12" s="64"/>
      <c r="AX12" s="72" t="str">
        <f t="shared" si="32"/>
        <v/>
      </c>
      <c r="AY12" s="64"/>
      <c r="AZ12" s="72" t="str">
        <f t="shared" si="33"/>
        <v/>
      </c>
      <c r="BA12" s="64"/>
      <c r="BB12" s="72" t="str">
        <f t="shared" si="34"/>
        <v/>
      </c>
      <c r="BC12" s="64"/>
      <c r="BD12" s="72" t="str">
        <f t="shared" si="35"/>
        <v/>
      </c>
      <c r="BE12" s="66"/>
      <c r="BF12" s="72" t="str">
        <f t="shared" si="15"/>
        <v/>
      </c>
      <c r="BG12" s="67"/>
      <c r="BH12" s="72" t="str">
        <f t="shared" si="36"/>
        <v/>
      </c>
      <c r="BI12" s="67"/>
      <c r="BJ12" s="72" t="str">
        <f t="shared" si="37"/>
        <v/>
      </c>
      <c r="BK12" s="67"/>
      <c r="BL12" s="72" t="str">
        <f t="shared" si="38"/>
        <v/>
      </c>
      <c r="BM12" s="67"/>
      <c r="BN12" s="72" t="str">
        <f t="shared" si="39"/>
        <v/>
      </c>
      <c r="BO12" s="67"/>
      <c r="BP12" s="72" t="str">
        <f t="shared" si="40"/>
        <v/>
      </c>
      <c r="BQ12" s="67"/>
      <c r="BR12" s="72" t="str">
        <f t="shared" si="16"/>
        <v/>
      </c>
      <c r="BS12" s="67"/>
      <c r="BT12" s="72" t="str">
        <f t="shared" si="41"/>
        <v/>
      </c>
      <c r="BU12" s="67"/>
      <c r="BV12" s="72" t="str">
        <f t="shared" si="1"/>
        <v/>
      </c>
      <c r="BW12" s="67"/>
      <c r="BX12" s="72" t="str">
        <f t="shared" si="42"/>
        <v/>
      </c>
      <c r="BY12" s="67"/>
      <c r="BZ12" s="72" t="str">
        <f t="shared" si="17"/>
        <v/>
      </c>
      <c r="CA12" s="67"/>
      <c r="CB12" s="72" t="str">
        <f t="shared" si="18"/>
        <v/>
      </c>
      <c r="CC12" s="67"/>
      <c r="CD12" s="72" t="str">
        <f t="shared" si="19"/>
        <v/>
      </c>
      <c r="CE12" s="67"/>
      <c r="CF12" s="72" t="str">
        <f t="shared" si="20"/>
        <v/>
      </c>
      <c r="CG12" s="67"/>
      <c r="CH12" s="72" t="str">
        <f t="shared" si="21"/>
        <v/>
      </c>
      <c r="CI12" s="67"/>
      <c r="CJ12" s="72" t="str">
        <f t="shared" si="2"/>
        <v/>
      </c>
      <c r="CK12" s="67"/>
      <c r="CL12" s="71" t="str">
        <f t="shared" si="22"/>
        <v/>
      </c>
      <c r="CM12" s="72"/>
      <c r="CN12" s="69"/>
      <c r="CO12" s="69"/>
    </row>
    <row r="13" spans="1:93" ht="25.5" customHeight="1" thickBot="1" x14ac:dyDescent="0.45">
      <c r="A13" s="70">
        <v>43871</v>
      </c>
      <c r="B13" s="48"/>
      <c r="C13" s="64"/>
      <c r="D13" s="71">
        <f t="shared" si="3"/>
        <v>0</v>
      </c>
      <c r="E13" s="64"/>
      <c r="F13" s="71">
        <f t="shared" si="4"/>
        <v>0</v>
      </c>
      <c r="G13" s="64"/>
      <c r="H13" s="71">
        <f t="shared" si="5"/>
        <v>0</v>
      </c>
      <c r="I13" s="64"/>
      <c r="J13" s="71">
        <f t="shared" si="43"/>
        <v>0</v>
      </c>
      <c r="K13" s="64"/>
      <c r="L13" s="71">
        <f t="shared" si="0"/>
        <v>0</v>
      </c>
      <c r="M13" s="64"/>
      <c r="N13" s="71">
        <f t="shared" si="6"/>
        <v>0</v>
      </c>
      <c r="O13" s="64"/>
      <c r="P13" s="72">
        <f t="shared" si="7"/>
        <v>0</v>
      </c>
      <c r="Q13" s="64"/>
      <c r="R13" s="72">
        <f t="shared" si="8"/>
        <v>0</v>
      </c>
      <c r="S13" s="64"/>
      <c r="T13" s="72">
        <f t="shared" si="44"/>
        <v>0</v>
      </c>
      <c r="U13" s="64"/>
      <c r="V13" s="72">
        <f t="shared" si="10"/>
        <v>0</v>
      </c>
      <c r="W13" s="64"/>
      <c r="X13" s="72">
        <f t="shared" si="23"/>
        <v>0</v>
      </c>
      <c r="Y13" s="64"/>
      <c r="Z13" s="72">
        <f t="shared" si="24"/>
        <v>0</v>
      </c>
      <c r="AA13" s="64"/>
      <c r="AB13" s="72">
        <f t="shared" si="25"/>
        <v>0</v>
      </c>
      <c r="AC13" s="64"/>
      <c r="AD13" s="72">
        <f t="shared" si="26"/>
        <v>0</v>
      </c>
      <c r="AE13" s="64"/>
      <c r="AF13" s="72">
        <f t="shared" si="27"/>
        <v>0</v>
      </c>
      <c r="AG13" s="64"/>
      <c r="AH13" s="72">
        <f t="shared" si="11"/>
        <v>0</v>
      </c>
      <c r="AI13" s="64"/>
      <c r="AJ13" s="72">
        <f t="shared" si="28"/>
        <v>0</v>
      </c>
      <c r="AK13" s="64"/>
      <c r="AL13" s="72">
        <f t="shared" si="12"/>
        <v>0</v>
      </c>
      <c r="AM13" s="64"/>
      <c r="AN13" s="72">
        <f t="shared" si="13"/>
        <v>0</v>
      </c>
      <c r="AO13" s="64"/>
      <c r="AP13" s="72">
        <f t="shared" si="14"/>
        <v>0</v>
      </c>
      <c r="AQ13" s="64"/>
      <c r="AR13" s="72">
        <f t="shared" si="29"/>
        <v>0</v>
      </c>
      <c r="AS13" s="64"/>
      <c r="AT13" s="72">
        <f t="shared" si="30"/>
        <v>0</v>
      </c>
      <c r="AU13" s="64"/>
      <c r="AV13" s="72">
        <f t="shared" si="31"/>
        <v>0</v>
      </c>
      <c r="AW13" s="64"/>
      <c r="AX13" s="72">
        <f t="shared" si="32"/>
        <v>0</v>
      </c>
      <c r="AY13" s="64"/>
      <c r="AZ13" s="72">
        <f t="shared" si="33"/>
        <v>0</v>
      </c>
      <c r="BA13" s="64"/>
      <c r="BB13" s="72">
        <f t="shared" si="34"/>
        <v>0</v>
      </c>
      <c r="BC13" s="64"/>
      <c r="BD13" s="72">
        <f t="shared" si="35"/>
        <v>0</v>
      </c>
      <c r="BE13" s="66"/>
      <c r="BF13" s="72">
        <f t="shared" si="15"/>
        <v>0</v>
      </c>
      <c r="BG13" s="67"/>
      <c r="BH13" s="72">
        <f t="shared" si="36"/>
        <v>0</v>
      </c>
      <c r="BI13" s="67"/>
      <c r="BJ13" s="72">
        <f t="shared" si="37"/>
        <v>0</v>
      </c>
      <c r="BK13" s="67"/>
      <c r="BL13" s="72">
        <f t="shared" si="38"/>
        <v>0</v>
      </c>
      <c r="BM13" s="67"/>
      <c r="BN13" s="72">
        <f t="shared" si="39"/>
        <v>0</v>
      </c>
      <c r="BO13" s="67"/>
      <c r="BP13" s="72">
        <f t="shared" si="40"/>
        <v>0</v>
      </c>
      <c r="BQ13" s="67"/>
      <c r="BR13" s="72">
        <f t="shared" si="16"/>
        <v>0</v>
      </c>
      <c r="BS13" s="67"/>
      <c r="BT13" s="72">
        <f t="shared" si="41"/>
        <v>0</v>
      </c>
      <c r="BU13" s="67"/>
      <c r="BV13" s="72">
        <f t="shared" si="1"/>
        <v>0</v>
      </c>
      <c r="BW13" s="67"/>
      <c r="BX13" s="72">
        <f t="shared" si="42"/>
        <v>0</v>
      </c>
      <c r="BY13" s="67"/>
      <c r="BZ13" s="72">
        <f t="shared" si="17"/>
        <v>0</v>
      </c>
      <c r="CA13" s="67"/>
      <c r="CB13" s="72">
        <f t="shared" si="18"/>
        <v>0</v>
      </c>
      <c r="CC13" s="67"/>
      <c r="CD13" s="72">
        <f t="shared" si="19"/>
        <v>0</v>
      </c>
      <c r="CE13" s="67"/>
      <c r="CF13" s="72">
        <f t="shared" si="20"/>
        <v>0</v>
      </c>
      <c r="CG13" s="67"/>
      <c r="CH13" s="72">
        <f t="shared" si="21"/>
        <v>0</v>
      </c>
      <c r="CI13" s="67"/>
      <c r="CJ13" s="72">
        <f t="shared" si="2"/>
        <v>0</v>
      </c>
      <c r="CK13" s="67"/>
      <c r="CL13" s="71">
        <f t="shared" si="22"/>
        <v>0</v>
      </c>
      <c r="CM13" s="72"/>
      <c r="CN13" s="69"/>
      <c r="CO13" s="69"/>
    </row>
    <row r="14" spans="1:93" ht="25.5" customHeight="1" thickBot="1" x14ac:dyDescent="0.45">
      <c r="A14" s="70">
        <v>43872</v>
      </c>
      <c r="B14" s="48"/>
      <c r="C14" s="64"/>
      <c r="D14" s="71">
        <f t="shared" si="3"/>
        <v>0</v>
      </c>
      <c r="E14" s="64"/>
      <c r="F14" s="71">
        <f t="shared" si="4"/>
        <v>0</v>
      </c>
      <c r="G14" s="64"/>
      <c r="H14" s="71">
        <f t="shared" si="5"/>
        <v>0</v>
      </c>
      <c r="I14" s="64"/>
      <c r="J14" s="71">
        <f t="shared" si="43"/>
        <v>0</v>
      </c>
      <c r="K14" s="64"/>
      <c r="L14" s="71">
        <f t="shared" si="0"/>
        <v>0</v>
      </c>
      <c r="M14" s="64"/>
      <c r="N14" s="71">
        <f t="shared" si="6"/>
        <v>0</v>
      </c>
      <c r="O14" s="64"/>
      <c r="P14" s="72">
        <f t="shared" si="7"/>
        <v>0</v>
      </c>
      <c r="Q14" s="64"/>
      <c r="R14" s="72">
        <f t="shared" si="8"/>
        <v>0</v>
      </c>
      <c r="S14" s="64"/>
      <c r="T14" s="72">
        <f t="shared" si="44"/>
        <v>0</v>
      </c>
      <c r="U14" s="64"/>
      <c r="V14" s="72">
        <f t="shared" si="10"/>
        <v>0</v>
      </c>
      <c r="W14" s="64"/>
      <c r="X14" s="72">
        <f t="shared" si="23"/>
        <v>0</v>
      </c>
      <c r="Y14" s="64"/>
      <c r="Z14" s="72">
        <f t="shared" si="24"/>
        <v>0</v>
      </c>
      <c r="AA14" s="64"/>
      <c r="AB14" s="72">
        <f t="shared" si="25"/>
        <v>0</v>
      </c>
      <c r="AC14" s="64"/>
      <c r="AD14" s="72">
        <f t="shared" si="26"/>
        <v>0</v>
      </c>
      <c r="AE14" s="64"/>
      <c r="AF14" s="72">
        <f t="shared" si="27"/>
        <v>0</v>
      </c>
      <c r="AG14" s="64"/>
      <c r="AH14" s="72">
        <f t="shared" si="11"/>
        <v>0</v>
      </c>
      <c r="AI14" s="64"/>
      <c r="AJ14" s="72">
        <f t="shared" si="28"/>
        <v>0</v>
      </c>
      <c r="AK14" s="64"/>
      <c r="AL14" s="72">
        <f t="shared" si="12"/>
        <v>0</v>
      </c>
      <c r="AM14" s="64"/>
      <c r="AN14" s="72">
        <f t="shared" si="13"/>
        <v>0</v>
      </c>
      <c r="AO14" s="64"/>
      <c r="AP14" s="72">
        <f t="shared" si="14"/>
        <v>0</v>
      </c>
      <c r="AQ14" s="64"/>
      <c r="AR14" s="72">
        <f t="shared" si="29"/>
        <v>0</v>
      </c>
      <c r="AS14" s="64"/>
      <c r="AT14" s="72">
        <f t="shared" si="30"/>
        <v>0</v>
      </c>
      <c r="AU14" s="64"/>
      <c r="AV14" s="72">
        <f t="shared" si="31"/>
        <v>0</v>
      </c>
      <c r="AW14" s="64"/>
      <c r="AX14" s="72">
        <f t="shared" si="32"/>
        <v>0</v>
      </c>
      <c r="AY14" s="64"/>
      <c r="AZ14" s="72">
        <f t="shared" si="33"/>
        <v>0</v>
      </c>
      <c r="BA14" s="64"/>
      <c r="BB14" s="72">
        <f t="shared" si="34"/>
        <v>0</v>
      </c>
      <c r="BC14" s="64"/>
      <c r="BD14" s="72">
        <f t="shared" si="35"/>
        <v>0</v>
      </c>
      <c r="BE14" s="66"/>
      <c r="BF14" s="72">
        <f t="shared" si="15"/>
        <v>0</v>
      </c>
      <c r="BG14" s="67"/>
      <c r="BH14" s="72">
        <f t="shared" si="36"/>
        <v>0</v>
      </c>
      <c r="BI14" s="67"/>
      <c r="BJ14" s="72">
        <f t="shared" si="37"/>
        <v>0</v>
      </c>
      <c r="BK14" s="67"/>
      <c r="BL14" s="72">
        <f t="shared" si="38"/>
        <v>0</v>
      </c>
      <c r="BM14" s="67"/>
      <c r="BN14" s="72">
        <f t="shared" si="39"/>
        <v>0</v>
      </c>
      <c r="BO14" s="67"/>
      <c r="BP14" s="72">
        <f t="shared" si="40"/>
        <v>0</v>
      </c>
      <c r="BQ14" s="67"/>
      <c r="BR14" s="72">
        <f t="shared" si="16"/>
        <v>0</v>
      </c>
      <c r="BS14" s="67"/>
      <c r="BT14" s="72">
        <f t="shared" si="41"/>
        <v>0</v>
      </c>
      <c r="BU14" s="67"/>
      <c r="BV14" s="72">
        <f t="shared" si="1"/>
        <v>0</v>
      </c>
      <c r="BW14" s="67"/>
      <c r="BX14" s="72">
        <f t="shared" si="42"/>
        <v>0</v>
      </c>
      <c r="BY14" s="67"/>
      <c r="BZ14" s="72">
        <f t="shared" si="17"/>
        <v>0</v>
      </c>
      <c r="CA14" s="67"/>
      <c r="CB14" s="72">
        <f t="shared" si="18"/>
        <v>0</v>
      </c>
      <c r="CC14" s="67"/>
      <c r="CD14" s="72">
        <f t="shared" si="19"/>
        <v>0</v>
      </c>
      <c r="CE14" s="67"/>
      <c r="CF14" s="72">
        <f t="shared" si="20"/>
        <v>0</v>
      </c>
      <c r="CG14" s="67"/>
      <c r="CH14" s="72">
        <f t="shared" si="21"/>
        <v>0</v>
      </c>
      <c r="CI14" s="67"/>
      <c r="CJ14" s="72">
        <f t="shared" si="2"/>
        <v>0</v>
      </c>
      <c r="CK14" s="67"/>
      <c r="CL14" s="71">
        <f t="shared" si="22"/>
        <v>0</v>
      </c>
      <c r="CM14" s="72"/>
      <c r="CN14" s="69"/>
      <c r="CO14" s="69"/>
    </row>
    <row r="15" spans="1:93" ht="25.5" customHeight="1" thickBot="1" x14ac:dyDescent="0.45">
      <c r="A15" s="70">
        <v>43873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7"/>
      <c r="BJ15" s="72">
        <f t="shared" si="37"/>
        <v>0</v>
      </c>
      <c r="BK15" s="67"/>
      <c r="BL15" s="72">
        <f t="shared" si="38"/>
        <v>0</v>
      </c>
      <c r="BM15" s="67"/>
      <c r="BN15" s="72">
        <f t="shared" si="39"/>
        <v>0</v>
      </c>
      <c r="BO15" s="67"/>
      <c r="BP15" s="72">
        <f t="shared" si="40"/>
        <v>0</v>
      </c>
      <c r="BQ15" s="67"/>
      <c r="BR15" s="72">
        <f t="shared" si="16"/>
        <v>0</v>
      </c>
      <c r="BS15" s="67"/>
      <c r="BT15" s="72">
        <f t="shared" si="41"/>
        <v>0</v>
      </c>
      <c r="BU15" s="67"/>
      <c r="BV15" s="72">
        <f t="shared" si="1"/>
        <v>0</v>
      </c>
      <c r="BW15" s="67"/>
      <c r="BX15" s="72">
        <f t="shared" si="42"/>
        <v>0</v>
      </c>
      <c r="BY15" s="67"/>
      <c r="BZ15" s="72">
        <f t="shared" si="17"/>
        <v>0</v>
      </c>
      <c r="CA15" s="67"/>
      <c r="CB15" s="72">
        <f t="shared" si="18"/>
        <v>0</v>
      </c>
      <c r="CC15" s="67"/>
      <c r="CD15" s="72">
        <f t="shared" si="19"/>
        <v>0</v>
      </c>
      <c r="CE15" s="67"/>
      <c r="CF15" s="72">
        <f t="shared" si="20"/>
        <v>0</v>
      </c>
      <c r="CG15" s="67"/>
      <c r="CH15" s="72">
        <f t="shared" si="21"/>
        <v>0</v>
      </c>
      <c r="CI15" s="67"/>
      <c r="CJ15" s="72">
        <f t="shared" si="2"/>
        <v>0</v>
      </c>
      <c r="CK15" s="67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43874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7"/>
      <c r="BJ16" s="72">
        <f t="shared" si="37"/>
        <v>0</v>
      </c>
      <c r="BK16" s="67"/>
      <c r="BL16" s="72">
        <f t="shared" si="38"/>
        <v>0</v>
      </c>
      <c r="BM16" s="67"/>
      <c r="BN16" s="72">
        <f t="shared" si="39"/>
        <v>0</v>
      </c>
      <c r="BO16" s="67"/>
      <c r="BP16" s="72">
        <f t="shared" si="40"/>
        <v>0</v>
      </c>
      <c r="BQ16" s="67"/>
      <c r="BR16" s="72">
        <f t="shared" si="16"/>
        <v>0</v>
      </c>
      <c r="BS16" s="67"/>
      <c r="BT16" s="72">
        <f t="shared" si="41"/>
        <v>0</v>
      </c>
      <c r="BU16" s="67"/>
      <c r="BV16" s="72">
        <f t="shared" si="1"/>
        <v>0</v>
      </c>
      <c r="BW16" s="67"/>
      <c r="BX16" s="72">
        <f t="shared" si="42"/>
        <v>0</v>
      </c>
      <c r="BY16" s="67"/>
      <c r="BZ16" s="72">
        <f t="shared" si="17"/>
        <v>0</v>
      </c>
      <c r="CA16" s="67"/>
      <c r="CB16" s="72">
        <f t="shared" si="18"/>
        <v>0</v>
      </c>
      <c r="CC16" s="67"/>
      <c r="CD16" s="72">
        <f t="shared" si="19"/>
        <v>0</v>
      </c>
      <c r="CE16" s="67"/>
      <c r="CF16" s="72">
        <f t="shared" si="20"/>
        <v>0</v>
      </c>
      <c r="CG16" s="67"/>
      <c r="CH16" s="72">
        <f t="shared" si="21"/>
        <v>0</v>
      </c>
      <c r="CI16" s="67"/>
      <c r="CJ16" s="72">
        <f t="shared" si="2"/>
        <v>0</v>
      </c>
      <c r="CK16" s="67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43875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7"/>
      <c r="BJ17" s="72">
        <f t="shared" si="37"/>
        <v>0</v>
      </c>
      <c r="BK17" s="67"/>
      <c r="BL17" s="72">
        <f t="shared" si="38"/>
        <v>0</v>
      </c>
      <c r="BM17" s="67"/>
      <c r="BN17" s="72">
        <f t="shared" si="39"/>
        <v>0</v>
      </c>
      <c r="BO17" s="67"/>
      <c r="BP17" s="72">
        <f t="shared" si="40"/>
        <v>0</v>
      </c>
      <c r="BQ17" s="67"/>
      <c r="BR17" s="72">
        <f t="shared" si="16"/>
        <v>0</v>
      </c>
      <c r="BS17" s="67"/>
      <c r="BT17" s="72">
        <f t="shared" si="41"/>
        <v>0</v>
      </c>
      <c r="BU17" s="67"/>
      <c r="BV17" s="72">
        <f t="shared" si="1"/>
        <v>0</v>
      </c>
      <c r="BW17" s="67"/>
      <c r="BX17" s="72">
        <f t="shared" si="42"/>
        <v>0</v>
      </c>
      <c r="BY17" s="67"/>
      <c r="BZ17" s="72">
        <f t="shared" si="17"/>
        <v>0</v>
      </c>
      <c r="CA17" s="67"/>
      <c r="CB17" s="72">
        <f t="shared" si="18"/>
        <v>0</v>
      </c>
      <c r="CC17" s="67"/>
      <c r="CD17" s="72">
        <f t="shared" si="19"/>
        <v>0</v>
      </c>
      <c r="CE17" s="67"/>
      <c r="CF17" s="72">
        <f t="shared" si="20"/>
        <v>0</v>
      </c>
      <c r="CG17" s="67"/>
      <c r="CH17" s="72">
        <f t="shared" si="21"/>
        <v>0</v>
      </c>
      <c r="CI17" s="67"/>
      <c r="CJ17" s="72">
        <f t="shared" si="2"/>
        <v>0</v>
      </c>
      <c r="CK17" s="67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43876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7"/>
      <c r="BJ18" s="72">
        <f t="shared" si="37"/>
        <v>0</v>
      </c>
      <c r="BK18" s="67"/>
      <c r="BL18" s="72">
        <f t="shared" si="38"/>
        <v>0</v>
      </c>
      <c r="BM18" s="67"/>
      <c r="BN18" s="72">
        <f t="shared" si="39"/>
        <v>0</v>
      </c>
      <c r="BO18" s="67"/>
      <c r="BP18" s="72">
        <f t="shared" si="40"/>
        <v>0</v>
      </c>
      <c r="BQ18" s="67"/>
      <c r="BR18" s="72">
        <f t="shared" si="16"/>
        <v>0</v>
      </c>
      <c r="BS18" s="67"/>
      <c r="BT18" s="72">
        <f t="shared" si="41"/>
        <v>0</v>
      </c>
      <c r="BU18" s="67"/>
      <c r="BV18" s="72">
        <f t="shared" si="1"/>
        <v>0</v>
      </c>
      <c r="BW18" s="67"/>
      <c r="BX18" s="72">
        <f t="shared" si="42"/>
        <v>0</v>
      </c>
      <c r="BY18" s="67"/>
      <c r="BZ18" s="72">
        <f t="shared" si="17"/>
        <v>0</v>
      </c>
      <c r="CA18" s="67"/>
      <c r="CB18" s="72">
        <f t="shared" si="18"/>
        <v>0</v>
      </c>
      <c r="CC18" s="67"/>
      <c r="CD18" s="72">
        <f t="shared" si="19"/>
        <v>0</v>
      </c>
      <c r="CE18" s="67"/>
      <c r="CF18" s="72">
        <f t="shared" si="20"/>
        <v>0</v>
      </c>
      <c r="CG18" s="67"/>
      <c r="CH18" s="72">
        <f t="shared" si="21"/>
        <v>0</v>
      </c>
      <c r="CI18" s="67"/>
      <c r="CJ18" s="72">
        <f t="shared" si="2"/>
        <v>0</v>
      </c>
      <c r="CK18" s="67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43877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7"/>
      <c r="BJ19" s="72">
        <f t="shared" si="37"/>
        <v>0</v>
      </c>
      <c r="BK19" s="67"/>
      <c r="BL19" s="72">
        <f t="shared" si="38"/>
        <v>0</v>
      </c>
      <c r="BM19" s="67"/>
      <c r="BN19" s="72">
        <f t="shared" si="39"/>
        <v>0</v>
      </c>
      <c r="BO19" s="67"/>
      <c r="BP19" s="72">
        <f t="shared" si="40"/>
        <v>0</v>
      </c>
      <c r="BQ19" s="67"/>
      <c r="BR19" s="72">
        <f t="shared" si="16"/>
        <v>0</v>
      </c>
      <c r="BS19" s="67"/>
      <c r="BT19" s="72">
        <f t="shared" si="41"/>
        <v>0</v>
      </c>
      <c r="BU19" s="67"/>
      <c r="BV19" s="72">
        <f t="shared" si="1"/>
        <v>0</v>
      </c>
      <c r="BW19" s="67"/>
      <c r="BX19" s="72">
        <f t="shared" si="42"/>
        <v>0</v>
      </c>
      <c r="BY19" s="67"/>
      <c r="BZ19" s="72">
        <f t="shared" si="17"/>
        <v>0</v>
      </c>
      <c r="CA19" s="67"/>
      <c r="CB19" s="72">
        <f t="shared" si="18"/>
        <v>0</v>
      </c>
      <c r="CC19" s="67"/>
      <c r="CD19" s="72">
        <f t="shared" si="19"/>
        <v>0</v>
      </c>
      <c r="CE19" s="67"/>
      <c r="CF19" s="72">
        <f t="shared" si="20"/>
        <v>0</v>
      </c>
      <c r="CG19" s="67"/>
      <c r="CH19" s="72">
        <f t="shared" si="21"/>
        <v>0</v>
      </c>
      <c r="CI19" s="67"/>
      <c r="CJ19" s="72">
        <f t="shared" si="2"/>
        <v>0</v>
      </c>
      <c r="CK19" s="67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43878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>IF((AE20-AE19&lt;0), "",(AE20-AE19)*10000)</f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7"/>
      <c r="BJ20" s="72">
        <f t="shared" si="37"/>
        <v>0</v>
      </c>
      <c r="BK20" s="67"/>
      <c r="BL20" s="72">
        <f t="shared" si="38"/>
        <v>0</v>
      </c>
      <c r="BM20" s="67"/>
      <c r="BN20" s="72">
        <f t="shared" si="39"/>
        <v>0</v>
      </c>
      <c r="BO20" s="67"/>
      <c r="BP20" s="72">
        <f t="shared" si="40"/>
        <v>0</v>
      </c>
      <c r="BQ20" s="67"/>
      <c r="BR20" s="72">
        <f t="shared" si="16"/>
        <v>0</v>
      </c>
      <c r="BS20" s="67"/>
      <c r="BT20" s="72">
        <f t="shared" si="41"/>
        <v>0</v>
      </c>
      <c r="BU20" s="67"/>
      <c r="BV20" s="72">
        <f t="shared" si="1"/>
        <v>0</v>
      </c>
      <c r="BW20" s="67"/>
      <c r="BX20" s="72">
        <f t="shared" si="42"/>
        <v>0</v>
      </c>
      <c r="BY20" s="67"/>
      <c r="BZ20" s="72">
        <f t="shared" si="17"/>
        <v>0</v>
      </c>
      <c r="CA20" s="67"/>
      <c r="CB20" s="72">
        <f t="shared" si="18"/>
        <v>0</v>
      </c>
      <c r="CC20" s="67"/>
      <c r="CD20" s="72">
        <f t="shared" si="19"/>
        <v>0</v>
      </c>
      <c r="CE20" s="67"/>
      <c r="CF20" s="72">
        <f t="shared" si="20"/>
        <v>0</v>
      </c>
      <c r="CG20" s="67"/>
      <c r="CH20" s="72">
        <f t="shared" si="21"/>
        <v>0</v>
      </c>
      <c r="CI20" s="67"/>
      <c r="CJ20" s="72">
        <f t="shared" si="2"/>
        <v>0</v>
      </c>
      <c r="CK20" s="67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43879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43880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43881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43882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43883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43884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43885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43886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143</v>
      </c>
      <c r="R35" s="76">
        <f>SUM(R4:R33)</f>
        <v>57</v>
      </c>
      <c r="AX35" s="72">
        <f t="shared" si="32"/>
        <v>0</v>
      </c>
      <c r="BF35" s="76">
        <f>SUM(BF4:BF33)</f>
        <v>463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zoomScaleNormal="100" workbookViewId="0">
      <selection activeCell="B17" sqref="B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85</v>
      </c>
      <c r="H12" s="45">
        <v>1273</v>
      </c>
      <c r="I12" s="45">
        <v>80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85</v>
      </c>
      <c r="H13" s="45">
        <v>1275</v>
      </c>
      <c r="I13" s="45">
        <v>70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85</v>
      </c>
      <c r="H14" s="45">
        <v>1278</v>
      </c>
      <c r="I14" s="45">
        <v>60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45</v>
      </c>
      <c r="F15" s="45">
        <v>4421</v>
      </c>
      <c r="G15" s="45">
        <v>85</v>
      </c>
      <c r="H15" s="45">
        <v>1280</v>
      </c>
      <c r="I15" s="45">
        <v>0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35</v>
      </c>
      <c r="F16" s="45">
        <v>4429</v>
      </c>
      <c r="G16" s="45">
        <v>85</v>
      </c>
      <c r="H16" s="45">
        <v>1282</v>
      </c>
      <c r="I16" s="45">
        <v>0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27">
        <v>43871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27">
        <v>43872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43873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43874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43875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43876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43877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43878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43879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43880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43881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43882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43883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43884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43885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2020-02-09T01:45:52Z</dcterms:modified>
</cp:coreProperties>
</file>