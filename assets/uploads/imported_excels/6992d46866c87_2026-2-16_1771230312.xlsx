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9D4C5114-6DDD-42C2-9604-B0B02DB0E004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February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2" l="1"/>
  <c r="P29" i="3"/>
  <c r="O29" i="3"/>
  <c r="M29" i="3"/>
  <c r="K29" i="3"/>
  <c r="I29" i="3"/>
  <c r="G29" i="3"/>
  <c r="F29" i="3"/>
  <c r="E29" i="3"/>
  <c r="AB29" i="2"/>
  <c r="AB28" i="2"/>
  <c r="W29" i="2"/>
  <c r="W28" i="2"/>
  <c r="U29" i="2"/>
  <c r="U28" i="2"/>
  <c r="N30" i="2"/>
  <c r="N29" i="2"/>
  <c r="N28" i="2"/>
  <c r="J29" i="2"/>
  <c r="J28" i="2"/>
  <c r="G29" i="2"/>
  <c r="G28" i="2"/>
  <c r="E29" i="2"/>
  <c r="E28" i="2"/>
  <c r="C29" i="2"/>
  <c r="C28" i="2"/>
  <c r="C27" i="2"/>
  <c r="C26" i="2"/>
  <c r="C25" i="2"/>
  <c r="C24" i="2"/>
  <c r="Y16" i="2"/>
  <c r="Y15" i="2"/>
  <c r="Y14" i="2"/>
  <c r="N24" i="2"/>
  <c r="Y17" i="2"/>
  <c r="E13" i="2"/>
  <c r="E12" i="2"/>
  <c r="E11" i="2"/>
  <c r="E10" i="2"/>
  <c r="E9" i="2"/>
  <c r="E8" i="2"/>
  <c r="E7" i="2"/>
  <c r="E6" i="2"/>
  <c r="E5" i="2"/>
  <c r="E4" i="2"/>
  <c r="E3" i="2"/>
  <c r="Y26" i="2"/>
  <c r="H29" i="2" l="1"/>
  <c r="Y10" i="2"/>
  <c r="Y9" i="2"/>
  <c r="Y8" i="2"/>
  <c r="Y7" i="2"/>
  <c r="Y6" i="2"/>
  <c r="S11" i="2"/>
  <c r="S10" i="2"/>
  <c r="S9" i="2"/>
  <c r="S8" i="2"/>
  <c r="S7" i="2"/>
  <c r="S6" i="2"/>
  <c r="S5" i="2"/>
  <c r="S4" i="2"/>
  <c r="S29" i="2"/>
  <c r="K29" i="2"/>
  <c r="I29" i="2" l="1"/>
  <c r="W27" i="2"/>
  <c r="W26" i="2"/>
  <c r="W25" i="2"/>
  <c r="W24" i="2"/>
  <c r="P24" i="3"/>
  <c r="O24" i="3"/>
  <c r="M24" i="3"/>
  <c r="P23" i="3"/>
  <c r="O23" i="3"/>
  <c r="M23" i="3"/>
  <c r="K28" i="3" l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0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U9" i="2"/>
  <c r="U8" i="2"/>
  <c r="U7" i="2"/>
  <c r="U5" i="2"/>
  <c r="S3" i="2"/>
  <c r="S2" i="2"/>
  <c r="U14" i="2" l="1"/>
  <c r="U22" i="2"/>
  <c r="U19" i="2"/>
  <c r="U21" i="2"/>
  <c r="U18" i="2"/>
  <c r="U17" i="2"/>
  <c r="U15" i="2"/>
  <c r="U16" i="2"/>
  <c r="U24" i="2"/>
  <c r="G24" i="3" s="1"/>
  <c r="U20" i="2"/>
  <c r="U13" i="2"/>
  <c r="U12" i="2"/>
  <c r="U3" i="2"/>
  <c r="U4" i="2"/>
  <c r="U10" i="2"/>
  <c r="U11" i="2"/>
  <c r="U23" i="2"/>
  <c r="G23" i="3" s="1"/>
  <c r="U6" i="2"/>
  <c r="U27" i="2"/>
  <c r="G27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N27" i="2"/>
  <c r="P18" i="3" l="1"/>
  <c r="O18" i="3"/>
  <c r="M18" i="3"/>
  <c r="N3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6" i="2"/>
  <c r="N2" i="2"/>
  <c r="AB2" i="2"/>
  <c r="Y18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D31" i="2" l="1"/>
  <c r="AC31" i="2"/>
  <c r="AA31" i="2"/>
  <c r="T31" i="2"/>
  <c r="N31" i="2"/>
  <c r="K30" i="2"/>
  <c r="K28" i="2"/>
  <c r="H28" i="2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1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28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1" i="2"/>
  <c r="Y31" i="2"/>
  <c r="W31" i="2"/>
  <c r="H2" i="2"/>
  <c r="I2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1" i="2"/>
  <c r="H4" i="2"/>
  <c r="I4" i="2" s="1"/>
  <c r="I8" i="2"/>
  <c r="I12" i="2"/>
  <c r="C31" i="2"/>
  <c r="J14" i="2" l="1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7" i="2"/>
  <c r="J25" i="2"/>
  <c r="J26" i="2"/>
  <c r="U31" i="2"/>
  <c r="H31" i="2"/>
  <c r="I31" i="2"/>
  <c r="J2" i="2"/>
  <c r="J31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<sst xmlns="http://schemas.openxmlformats.org/spreadsheetml/2006/main" count="74" uniqueCount="40">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</sst>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U12" sqref="U1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20.71093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2</v>
      </c>
      <c r="D2" s="4">
        <v>2026</v>
      </c>
      <c r="E2" s="96">
        <f>IF('February 2026'!C2&lt;0,"0",'February 2026'!C2)+(IF('February 2026'!E2&lt;0,"0",'February 2026'!E2)-(IF('February 2026'!G2&lt;0,"0",'February 2026'!G2)))</f>
        <v>1208</v>
      </c>
      <c r="F2" s="110">
        <f>('February 2026'!C2*0.27)/('February 2026'!C2+'February 2026'!E2)</f>
        <v>0.14885761589403976</v>
      </c>
      <c r="G2" s="97">
        <f>'February 2026'!U2</f>
        <v>0</v>
      </c>
      <c r="H2" s="113">
        <v>0.62</v>
      </c>
      <c r="I2" s="98">
        <f>'February 2026'!W2</f>
        <v>0</v>
      </c>
      <c r="J2" s="99">
        <v>2.42</v>
      </c>
      <c r="K2" s="106">
        <f>'February 2026'!AB2*5.04</f>
        <v>0</v>
      </c>
      <c r="L2" s="116">
        <v>0.11509999999999999</v>
      </c>
      <c r="M2" s="107">
        <f>'February 2026'!M2</f>
        <v>0</v>
      </c>
      <c r="N2" s="119">
        <v>0.88</v>
      </c>
      <c r="O2" s="100">
        <f>'February 2026'!AC2</f>
        <v>0</v>
      </c>
      <c r="P2" s="100">
        <f>'February 2026'!AD2</f>
        <v>0</v>
      </c>
    </row>
    <row r="3" spans="1:16" ht="15" x14ac:dyDescent="0.25">
      <c r="A3" s="95" t="s">
        <v>37</v>
      </c>
      <c r="B3" s="5">
        <f>B2+1</f>
        <v>2</v>
      </c>
      <c r="C3" s="122">
        <v>2</v>
      </c>
      <c r="D3" s="4">
        <v>2026</v>
      </c>
      <c r="E3" s="96">
        <f>IF('February 2026'!C3&lt;0,"0",'February 2026'!C3)+(IF('February 2026'!E3&lt;0,"0",'February 2026'!E3)-(IF('February 2026'!G3&lt;0,"0",'February 2026'!G3)))</f>
        <v>1464</v>
      </c>
      <c r="F3" s="110">
        <f>('February 2026'!C3*0.27)/('February 2026'!C3+'February 2026'!E3)</f>
        <v>0.16284836065573771</v>
      </c>
      <c r="G3" s="97">
        <f>'February 2026'!U3</f>
        <v>0</v>
      </c>
      <c r="H3" s="113">
        <v>0.62</v>
      </c>
      <c r="I3" s="98">
        <f>'February 2026'!W3</f>
        <v>0</v>
      </c>
      <c r="J3" s="99">
        <v>2.42</v>
      </c>
      <c r="K3" s="106">
        <f>'February 2026'!AB3*5.04</f>
        <v>0</v>
      </c>
      <c r="L3" s="116">
        <v>0.11509999999999999</v>
      </c>
      <c r="M3" s="107">
        <f>'February 2026'!M3</f>
        <v>0</v>
      </c>
      <c r="N3" s="119">
        <v>0.88</v>
      </c>
      <c r="O3" s="100">
        <f>'February 2026'!AC3</f>
        <v>0</v>
      </c>
      <c r="P3" s="100">
        <f>'February 2026'!AD3</f>
        <v>0</v>
      </c>
    </row>
    <row r="4" spans="1:16" ht="15" x14ac:dyDescent="0.25">
      <c r="A4" s="95" t="s">
        <v>37</v>
      </c>
      <c r="B4" s="5">
        <f t="shared" ref="B4:B29" si="0">B3+1</f>
        <v>3</v>
      </c>
      <c r="C4" s="122">
        <v>2</v>
      </c>
      <c r="D4" s="4">
        <v>2026</v>
      </c>
      <c r="E4" s="96">
        <f>IF('February 2026'!C4&lt;0,"0",'February 2026'!C4)+(IF('February 2026'!E4&lt;0,"0",'February 2026'!E4)-(IF('February 2026'!G4&lt;0,"0",'February 2026'!G4)))</f>
        <v>1582</v>
      </c>
      <c r="F4" s="110">
        <f>('February 2026'!C4*0.27)/('February 2026'!C4+'February 2026'!E4)</f>
        <v>0.12544247787610621</v>
      </c>
      <c r="G4" s="97">
        <f>'February 2026'!U4</f>
        <v>0</v>
      </c>
      <c r="H4" s="113">
        <v>0.62</v>
      </c>
      <c r="I4" s="98">
        <f>'February 2026'!W4</f>
        <v>0</v>
      </c>
      <c r="J4" s="99">
        <v>2.42</v>
      </c>
      <c r="K4" s="106">
        <f>'February 2026'!AB4*5.04</f>
        <v>0</v>
      </c>
      <c r="L4" s="116">
        <v>0.11509999999999999</v>
      </c>
      <c r="M4" s="107">
        <f>'February 2026'!M4</f>
        <v>0</v>
      </c>
      <c r="N4" s="119">
        <v>0.88</v>
      </c>
      <c r="O4" s="100">
        <f>'February 2026'!AC4</f>
        <v>0</v>
      </c>
      <c r="P4" s="100">
        <f>'February 2026'!AD4</f>
        <v>0</v>
      </c>
    </row>
    <row r="5" spans="1:16" ht="15" x14ac:dyDescent="0.25">
      <c r="A5" s="95" t="s">
        <v>37</v>
      </c>
      <c r="B5" s="5">
        <f t="shared" si="0"/>
        <v>4</v>
      </c>
      <c r="C5" s="122">
        <v>2</v>
      </c>
      <c r="D5" s="4">
        <v>2026</v>
      </c>
      <c r="E5" s="96">
        <f>IF('February 2026'!C5&lt;0,"0",'February 2026'!C5)+(IF('February 2026'!E5&lt;0,"0",'February 2026'!E5)-(IF('February 2026'!G5&lt;0,"0",'February 2026'!G5)))</f>
        <v>1590</v>
      </c>
      <c r="F5" s="110">
        <f>('February 2026'!C5*0.27)/('February 2026'!C5+'February 2026'!E5)</f>
        <v>0.11377358490566038</v>
      </c>
      <c r="G5" s="97">
        <f>'February 2026'!U5</f>
        <v>0</v>
      </c>
      <c r="H5" s="113">
        <v>0.62</v>
      </c>
      <c r="I5" s="98">
        <f>'February 2026'!W5</f>
        <v>0</v>
      </c>
      <c r="J5" s="99">
        <v>2.42</v>
      </c>
      <c r="K5" s="106">
        <f>'February 2026'!AB5*5.04</f>
        <v>0</v>
      </c>
      <c r="L5" s="116">
        <v>0.11509999999999999</v>
      </c>
      <c r="M5" s="107">
        <f>'February 2026'!M5</f>
        <v>0</v>
      </c>
      <c r="N5" s="119">
        <v>0.88</v>
      </c>
      <c r="O5" s="100">
        <f>'February 2026'!AC5</f>
        <v>0</v>
      </c>
      <c r="P5" s="100">
        <f>'February 2026'!AD5</f>
        <v>0</v>
      </c>
    </row>
    <row r="6" spans="1:16" ht="15" x14ac:dyDescent="0.25">
      <c r="A6" s="95" t="s">
        <v>37</v>
      </c>
      <c r="B6" s="5">
        <f t="shared" si="0"/>
        <v>5</v>
      </c>
      <c r="C6" s="122">
        <v>2</v>
      </c>
      <c r="D6" s="4">
        <v>2026</v>
      </c>
      <c r="E6" s="96">
        <f>IF('February 2026'!C6&lt;0,"0",'February 2026'!C6)+(IF('February 2026'!E6&lt;0,"0",'February 2026'!E6)-(IF('February 2026'!G6&lt;0,"0",'February 2026'!G6)))</f>
        <v>1460</v>
      </c>
      <c r="F6" s="110">
        <f>('February 2026'!C6*0.27)/('February 2026'!C6+'February 2026'!E6)</f>
        <v>0.1497945205479452</v>
      </c>
      <c r="G6" s="97">
        <f>'February 2026'!U6</f>
        <v>25</v>
      </c>
      <c r="H6" s="113">
        <v>0.62</v>
      </c>
      <c r="I6" s="98">
        <f>'February 2026'!W6</f>
        <v>0</v>
      </c>
      <c r="J6" s="99">
        <v>2.42</v>
      </c>
      <c r="K6" s="106">
        <f>'February 2026'!AB6*5.04</f>
        <v>0</v>
      </c>
      <c r="L6" s="116">
        <v>0.11509999999999999</v>
      </c>
      <c r="M6" s="107">
        <f>'February 2026'!M6</f>
        <v>0</v>
      </c>
      <c r="N6" s="119">
        <v>0.88</v>
      </c>
      <c r="O6" s="100">
        <f>'February 2026'!AC6</f>
        <v>0</v>
      </c>
      <c r="P6" s="100">
        <f>'February 2026'!AD6</f>
        <v>0</v>
      </c>
    </row>
    <row r="7" spans="1:16" ht="15" x14ac:dyDescent="0.25">
      <c r="A7" s="95" t="s">
        <v>37</v>
      </c>
      <c r="B7" s="5">
        <f t="shared" si="0"/>
        <v>6</v>
      </c>
      <c r="C7" s="122">
        <v>2</v>
      </c>
      <c r="D7" s="4">
        <v>2026</v>
      </c>
      <c r="E7" s="96">
        <f>IF('February 2026'!C7&lt;0,"0",'February 2026'!C7)+(IF('February 2026'!E7&lt;0,"0",'February 2026'!E7)-(IF('February 2026'!G7&lt;0,"0",'February 2026'!G7)))</f>
        <v>1500</v>
      </c>
      <c r="F7" s="110">
        <f>('February 2026'!C7*0.27)/('February 2026'!C7+'February 2026'!E7)</f>
        <v>0.14940000000000001</v>
      </c>
      <c r="G7" s="97">
        <f>'February 2026'!U7</f>
        <v>0</v>
      </c>
      <c r="H7" s="113">
        <v>0.62</v>
      </c>
      <c r="I7" s="98">
        <f>'February 2026'!W7</f>
        <v>0</v>
      </c>
      <c r="J7" s="99">
        <v>2.42</v>
      </c>
      <c r="K7" s="106">
        <f>'February 2026'!AB7*5.04</f>
        <v>0</v>
      </c>
      <c r="L7" s="116">
        <v>0.11509999999999999</v>
      </c>
      <c r="M7" s="107">
        <f>'February 2026'!M7</f>
        <v>0</v>
      </c>
      <c r="N7" s="119">
        <v>0.88</v>
      </c>
      <c r="O7" s="100">
        <f>'February 2026'!AC7</f>
        <v>0</v>
      </c>
      <c r="P7" s="100">
        <f>'February 2026'!AD7</f>
        <v>0</v>
      </c>
    </row>
    <row r="8" spans="1:16" ht="15" x14ac:dyDescent="0.25">
      <c r="A8" s="95" t="s">
        <v>37</v>
      </c>
      <c r="B8" s="5">
        <f t="shared" si="0"/>
        <v>7</v>
      </c>
      <c r="C8" s="122">
        <v>2</v>
      </c>
      <c r="D8" s="4">
        <v>2026</v>
      </c>
      <c r="E8" s="96">
        <f>IF('February 2026'!C8&lt;0,"0",'February 2026'!C8)+(IF('February 2026'!E8&lt;0,"0",'February 2026'!E8)-(IF('February 2026'!G8&lt;0,"0",'February 2026'!G8)))</f>
        <v>1465</v>
      </c>
      <c r="F8" s="110">
        <f>('February 2026'!C8*0.27)/('February 2026'!C8+'February 2026'!E8)</f>
        <v>0.14559726962457339</v>
      </c>
      <c r="G8" s="97">
        <f>'February 2026'!U8</f>
        <v>25</v>
      </c>
      <c r="H8" s="113">
        <v>0.62</v>
      </c>
      <c r="I8" s="98">
        <f>'February 2026'!W8</f>
        <v>0</v>
      </c>
      <c r="J8" s="99">
        <v>2.42</v>
      </c>
      <c r="K8" s="106">
        <f>'February 2026'!AB8*5.04</f>
        <v>0</v>
      </c>
      <c r="L8" s="116">
        <v>0.11509999999999999</v>
      </c>
      <c r="M8" s="107">
        <f>'February 2026'!M8</f>
        <v>0</v>
      </c>
      <c r="N8" s="119">
        <v>0.88</v>
      </c>
      <c r="O8" s="100">
        <f>'February 2026'!AC8</f>
        <v>0</v>
      </c>
      <c r="P8" s="100">
        <f>'February 2026'!AD8</f>
        <v>0</v>
      </c>
    </row>
    <row r="9" spans="1:16" ht="15" x14ac:dyDescent="0.25">
      <c r="A9" s="95" t="s">
        <v>37</v>
      </c>
      <c r="B9" s="5">
        <f t="shared" si="0"/>
        <v>8</v>
      </c>
      <c r="C9" s="122">
        <v>2</v>
      </c>
      <c r="D9" s="4">
        <v>2026</v>
      </c>
      <c r="E9" s="96">
        <f>IF('February 2026'!C9&lt;0,"0",'February 2026'!C9)+(IF('February 2026'!E9&lt;0,"0",'February 2026'!E9)-(IF('February 2026'!G9&lt;0,"0",'February 2026'!G9)))</f>
        <v>1460</v>
      </c>
      <c r="F9" s="110">
        <f>('February 2026'!C9*0.27)/('February 2026'!C9+'February 2026'!E9)</f>
        <v>0.13851369863013699</v>
      </c>
      <c r="G9" s="97">
        <f>'February 2026'!U9</f>
        <v>25</v>
      </c>
      <c r="H9" s="113">
        <v>0.62</v>
      </c>
      <c r="I9" s="98">
        <f>'February 2026'!W9</f>
        <v>0</v>
      </c>
      <c r="J9" s="99">
        <v>2.42</v>
      </c>
      <c r="K9" s="106">
        <f>'February 2026'!AB9*5.04</f>
        <v>0</v>
      </c>
      <c r="L9" s="116">
        <v>0.11509999999999999</v>
      </c>
      <c r="M9" s="107">
        <f>'February 2026'!M9</f>
        <v>0</v>
      </c>
      <c r="N9" s="119">
        <v>0.88</v>
      </c>
      <c r="O9" s="100">
        <f>'February 2026'!AC9</f>
        <v>0</v>
      </c>
      <c r="P9" s="100">
        <f>'February 2026'!AD9</f>
        <v>0</v>
      </c>
    </row>
    <row r="10" spans="1:16" ht="15" x14ac:dyDescent="0.25">
      <c r="A10" s="95" t="s">
        <v>37</v>
      </c>
      <c r="B10" s="5">
        <f t="shared" si="0"/>
        <v>9</v>
      </c>
      <c r="C10" s="122">
        <v>2</v>
      </c>
      <c r="D10" s="4">
        <v>2026</v>
      </c>
      <c r="E10" s="96">
        <f>IF('February 2026'!C10&lt;0,"0",'February 2026'!C10)+(IF('February 2026'!E10&lt;0,"0",'February 2026'!E10)-(IF('February 2026'!G10&lt;0,"0",'February 2026'!G10)))</f>
        <v>1419</v>
      </c>
      <c r="F10" s="110">
        <f>('February 2026'!C10*0.27)/('February 2026'!C10+'February 2026'!E10)</f>
        <v>0.1537420718816068</v>
      </c>
      <c r="G10" s="97">
        <f>'February 2026'!U10</f>
        <v>0</v>
      </c>
      <c r="H10" s="113">
        <v>0.62</v>
      </c>
      <c r="I10" s="98">
        <f>'February 2026'!W10</f>
        <v>0</v>
      </c>
      <c r="J10" s="99">
        <v>2.42</v>
      </c>
      <c r="K10" s="106">
        <f>'February 2026'!AB10*5.04</f>
        <v>0</v>
      </c>
      <c r="L10" s="116">
        <v>0.11509999999999999</v>
      </c>
      <c r="M10" s="107">
        <f>'February 2026'!M10</f>
        <v>0</v>
      </c>
      <c r="N10" s="119">
        <v>0.88</v>
      </c>
      <c r="O10" s="100">
        <f>'February 2026'!AC10</f>
        <v>0</v>
      </c>
      <c r="P10" s="100">
        <f>'February 2026'!AD10</f>
        <v>0</v>
      </c>
    </row>
    <row r="11" spans="1:16" ht="15" x14ac:dyDescent="0.25">
      <c r="A11" s="95" t="s">
        <v>37</v>
      </c>
      <c r="B11" s="5">
        <f t="shared" si="0"/>
        <v>10</v>
      </c>
      <c r="C11" s="122">
        <v>2</v>
      </c>
      <c r="D11" s="4">
        <v>2026</v>
      </c>
      <c r="E11" s="96">
        <f>IF('February 2026'!C11&lt;0,"0",'February 2026'!C11)+(IF('February 2026'!E11&lt;0,"0",'February 2026'!E11)-(IF('February 2026'!G11&lt;0,"0",'February 2026'!G11)))</f>
        <v>1382</v>
      </c>
      <c r="F11" s="110">
        <f>('February 2026'!C11*0.27)/('February 2026'!C11+'February 2026'!E11)</f>
        <v>0.17212011577424025</v>
      </c>
      <c r="G11" s="97">
        <f>'February 2026'!U11</f>
        <v>0</v>
      </c>
      <c r="H11" s="113">
        <v>0.62</v>
      </c>
      <c r="I11" s="98">
        <f>'February 2026'!W11</f>
        <v>0</v>
      </c>
      <c r="J11" s="99">
        <v>2.42</v>
      </c>
      <c r="K11" s="106">
        <f>'February 2026'!AB11*5.04</f>
        <v>0</v>
      </c>
      <c r="L11" s="116">
        <v>0.11509999999999999</v>
      </c>
      <c r="M11" s="107">
        <f>'February 2026'!M11</f>
        <v>0</v>
      </c>
      <c r="N11" s="119">
        <v>0.88</v>
      </c>
      <c r="O11" s="100">
        <f>'February 2026'!AC11</f>
        <v>0</v>
      </c>
      <c r="P11" s="100">
        <f>'February 2026'!AD11</f>
        <v>0</v>
      </c>
    </row>
    <row r="12" spans="1:16" ht="15" x14ac:dyDescent="0.25">
      <c r="A12" s="95" t="s">
        <v>37</v>
      </c>
      <c r="B12" s="5">
        <f t="shared" si="0"/>
        <v>11</v>
      </c>
      <c r="C12" s="122">
        <v>2</v>
      </c>
      <c r="D12" s="4">
        <v>2026</v>
      </c>
      <c r="E12" s="96">
        <f>IF('February 2026'!C12&lt;0,"0",'February 2026'!C12)+(IF('February 2026'!E12&lt;0,"0",'February 2026'!E12)-(IF('February 2026'!G12&lt;0,"0",'February 2026'!G12)))</f>
        <v>1508</v>
      </c>
      <c r="F12" s="110">
        <f>('February 2026'!C12*0.27)/('February 2026'!C12+'February 2026'!E12)</f>
        <v>0.15505305039787801</v>
      </c>
      <c r="G12" s="97">
        <f>'February 2026'!U12</f>
        <v>0</v>
      </c>
      <c r="H12" s="113">
        <v>0.62</v>
      </c>
      <c r="I12" s="98">
        <f>'February 2026'!W12</f>
        <v>0</v>
      </c>
      <c r="J12" s="99">
        <v>2.42</v>
      </c>
      <c r="K12" s="106">
        <f>'February 2026'!AB12*5.04</f>
        <v>0</v>
      </c>
      <c r="L12" s="116">
        <v>0.11509999999999999</v>
      </c>
      <c r="M12" s="107">
        <f>'February 2026'!M12</f>
        <v>0</v>
      </c>
      <c r="N12" s="119">
        <v>0.88</v>
      </c>
      <c r="O12" s="100">
        <f>'February 2026'!AC12</f>
        <v>0</v>
      </c>
      <c r="P12" s="100">
        <f>'February 2026'!AD12</f>
        <v>0</v>
      </c>
    </row>
    <row r="13" spans="1:16" ht="15" x14ac:dyDescent="0.25">
      <c r="A13" s="95" t="s">
        <v>37</v>
      </c>
      <c r="B13" s="5">
        <f t="shared" si="0"/>
        <v>12</v>
      </c>
      <c r="C13" s="122">
        <v>2</v>
      </c>
      <c r="D13" s="4">
        <v>2026</v>
      </c>
      <c r="E13" s="96">
        <f>IF('February 2026'!C13&lt;0,"0",'February 2026'!C13)+(IF('February 2026'!E13&lt;0,"0",'February 2026'!E13)-(IF('February 2026'!G13&lt;0,"0",'February 2026'!G13)))</f>
        <v>1358</v>
      </c>
      <c r="F13" s="110">
        <f>('February 2026'!C13*0.27)/('February 2026'!C13+'February 2026'!E13)</f>
        <v>0.22307805596465391</v>
      </c>
      <c r="G13" s="97">
        <f>'February 2026'!U13</f>
        <v>0</v>
      </c>
      <c r="H13" s="113">
        <v>0.62</v>
      </c>
      <c r="I13" s="98">
        <f>'February 2026'!W13</f>
        <v>0</v>
      </c>
      <c r="J13" s="99">
        <v>2.42</v>
      </c>
      <c r="K13" s="106">
        <f>'February 2026'!AB13*5.04</f>
        <v>0</v>
      </c>
      <c r="L13" s="116">
        <v>0.11509999999999999</v>
      </c>
      <c r="M13" s="107">
        <f>'February 2026'!M13</f>
        <v>0</v>
      </c>
      <c r="N13" s="119">
        <v>0.88</v>
      </c>
      <c r="O13" s="100">
        <f>'February 2026'!AC13</f>
        <v>0</v>
      </c>
      <c r="P13" s="100">
        <f>'February 2026'!AD13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2</v>
      </c>
      <c r="D14" s="4">
        <v>2026</v>
      </c>
      <c r="E14" s="96">
        <f>IF('February 2026'!C14&lt;0,"0",'February 2026'!C14)+(IF('February 2026'!E14&lt;0,"0",'February 2026'!E14)-(IF('February 2026'!G14&lt;0,"0",'February 2026'!G14)))</f>
        <v>1488</v>
      </c>
      <c r="F14" s="110">
        <f>('February 2026'!C14*0.27)/('February 2026'!C14+'February 2026'!E14)</f>
        <v>0.22372983870967744</v>
      </c>
      <c r="G14" s="97">
        <f>'February 2026'!U14</f>
        <v>0</v>
      </c>
      <c r="H14" s="113">
        <v>0.62</v>
      </c>
      <c r="I14" s="98">
        <f>'February 2026'!W14</f>
        <v>0</v>
      </c>
      <c r="J14" s="99">
        <v>2.42</v>
      </c>
      <c r="K14" s="106">
        <f>'February 2026'!AB14*5.04</f>
        <v>0</v>
      </c>
      <c r="L14" s="116">
        <v>0.11509999999999999</v>
      </c>
      <c r="M14" s="107">
        <f>'February 2026'!M14</f>
        <v>0</v>
      </c>
      <c r="N14" s="119">
        <v>0.88</v>
      </c>
      <c r="O14" s="100">
        <f>'February 2026'!AC14</f>
        <v>0</v>
      </c>
      <c r="P14" s="100">
        <f>'February 2026'!AD14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2</v>
      </c>
      <c r="D15" s="4">
        <v>2026</v>
      </c>
      <c r="E15" s="96">
        <f>IF('February 2026'!C15&lt;0,"0",'February 2026'!C15)+(IF('February 2026'!E15&lt;0,"0",'February 2026'!E15)-(IF('February 2026'!G15&lt;0,"0",'February 2026'!G15)))</f>
        <v>1786</v>
      </c>
      <c r="F15" s="110">
        <f>('February 2026'!C15*0.27)/('February 2026'!C15+'February 2026'!E15)</f>
        <v>0.11958006718924973</v>
      </c>
      <c r="G15" s="97">
        <f>'February 2026'!U15</f>
        <v>0</v>
      </c>
      <c r="H15" s="113">
        <v>0.62</v>
      </c>
      <c r="I15" s="98">
        <f>'February 2026'!W15</f>
        <v>0</v>
      </c>
      <c r="J15" s="99">
        <v>2.42</v>
      </c>
      <c r="K15" s="106">
        <f>'February 2026'!AB15*5.04</f>
        <v>0</v>
      </c>
      <c r="L15" s="116">
        <v>0.11509999999999999</v>
      </c>
      <c r="M15" s="107">
        <f>'February 2026'!M15</f>
        <v>0</v>
      </c>
      <c r="N15" s="119">
        <v>0.88</v>
      </c>
      <c r="O15" s="100">
        <f>'February 2026'!AC15</f>
        <v>0</v>
      </c>
      <c r="P15" s="100">
        <f>'February 2026'!AD15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2</v>
      </c>
      <c r="D16" s="4">
        <v>2026</v>
      </c>
      <c r="E16" s="96">
        <f>IF('February 2026'!C16&lt;0,"0",'February 2026'!C16)+(IF('February 2026'!E16&lt;0,"0",'February 2026'!E16)-(IF('February 2026'!G16&lt;0,"0",'February 2026'!G16)))</f>
        <v>1233</v>
      </c>
      <c r="F16" s="110">
        <f>('February 2026'!C16*0.27)/('February 2026'!C16+'February 2026'!E16)</f>
        <v>0.20080291970802919</v>
      </c>
      <c r="G16" s="97">
        <f>'February 2026'!U16</f>
        <v>25</v>
      </c>
      <c r="H16" s="113">
        <v>0.62</v>
      </c>
      <c r="I16" s="98">
        <f>'February 2026'!W16</f>
        <v>0</v>
      </c>
      <c r="J16" s="99">
        <v>2.42</v>
      </c>
      <c r="K16" s="106">
        <f>'February 2026'!AB16*5.04</f>
        <v>0</v>
      </c>
      <c r="L16" s="116">
        <v>0.11509999999999999</v>
      </c>
      <c r="M16" s="107">
        <f>'February 2026'!M16</f>
        <v>0</v>
      </c>
      <c r="N16" s="119">
        <v>0.88</v>
      </c>
      <c r="O16" s="100">
        <f>'February 2026'!AC16</f>
        <v>0</v>
      </c>
      <c r="P16" s="100">
        <f>'February 2026'!AD16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2</v>
      </c>
      <c r="D17" s="4">
        <v>2026</v>
      </c>
      <c r="E17" s="96">
        <f>IF('February 2026'!C17&lt;0,"0",'February 2026'!C17)+(IF('February 2026'!E17&lt;0,"0",'February 2026'!E17)-(IF('February 2026'!G17&lt;0,"0",'February 2026'!G17)))</f>
        <v>0</v>
      </c>
      <c r="F17" s="110" t="e">
        <f>('February 2026'!C17*0.27)/('February 2026'!C17+'February 2026'!E17)</f>
        <v>#DIV/0!</v>
      </c>
      <c r="G17" s="97" t="str">
        <f>'February 2026'!U17</f>
        <v>0</v>
      </c>
      <c r="H17" s="113">
        <v>0.62</v>
      </c>
      <c r="I17" s="98" t="str">
        <f>'February 2026'!W17</f>
        <v>0</v>
      </c>
      <c r="J17" s="99">
        <v>2.42</v>
      </c>
      <c r="K17" s="106">
        <f>'February 2026'!AB17*5.04</f>
        <v>0</v>
      </c>
      <c r="L17" s="116">
        <v>0.11509999999999999</v>
      </c>
      <c r="M17" s="107">
        <f>'February 2026'!M17</f>
        <v>0</v>
      </c>
      <c r="N17" s="119">
        <v>0.88</v>
      </c>
      <c r="O17" s="100">
        <f>'February 2026'!AC17</f>
        <v>0</v>
      </c>
      <c r="P17" s="100">
        <f>'February 2026'!AD17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2</v>
      </c>
      <c r="D18" s="4">
        <v>2026</v>
      </c>
      <c r="E18" s="96">
        <f>IF('February 2026'!C18&lt;0,"0",'February 2026'!C18)+(IF('February 2026'!E18&lt;0,"0",'February 2026'!E18)-(IF('February 2026'!G18&lt;0,"0",'February 2026'!G18)))</f>
        <v>0</v>
      </c>
      <c r="F18" s="110" t="e">
        <f>('February 2026'!C18*0.27)/('February 2026'!C18+'February 2026'!E18)</f>
        <v>#DIV/0!</v>
      </c>
      <c r="G18" s="97" t="str">
        <f>'February 2026'!U18</f>
        <v>0</v>
      </c>
      <c r="H18" s="113">
        <v>0.62</v>
      </c>
      <c r="I18" s="98">
        <f>'February 2026'!W18</f>
        <v>0</v>
      </c>
      <c r="J18" s="99">
        <v>2.42</v>
      </c>
      <c r="K18" s="106">
        <f>'February 2026'!AB18*5.04</f>
        <v>0</v>
      </c>
      <c r="L18" s="116">
        <v>0.11509999999999999</v>
      </c>
      <c r="M18" s="107">
        <f>'February 2026'!M18</f>
        <v>0</v>
      </c>
      <c r="N18" s="119">
        <v>0.88</v>
      </c>
      <c r="O18" s="100">
        <f>'February 2026'!AC18</f>
        <v>0</v>
      </c>
      <c r="P18" s="100">
        <f>'February 2026'!AD18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2</v>
      </c>
      <c r="D19" s="4">
        <v>2026</v>
      </c>
      <c r="E19" s="96">
        <f>IF('February 2026'!C19&lt;0,"0",'February 2026'!C19)+(IF('February 2026'!E19&lt;0,"0",'February 2026'!E19)-(IF('February 2026'!G19&lt;0,"0",'February 2026'!G19)))</f>
        <v>0</v>
      </c>
      <c r="F19" s="110" t="e">
        <f>('February 2026'!C19*0.27)/('February 2026'!C19+'February 2026'!E19)</f>
        <v>#DIV/0!</v>
      </c>
      <c r="G19" s="97" t="str">
        <f>'February 2026'!U19</f>
        <v>0</v>
      </c>
      <c r="H19" s="113">
        <v>0.62</v>
      </c>
      <c r="I19" s="98">
        <f>'February 2026'!W19</f>
        <v>0</v>
      </c>
      <c r="J19" s="99">
        <v>2.42</v>
      </c>
      <c r="K19" s="106">
        <f>'February 2026'!AB19*5.04</f>
        <v>0</v>
      </c>
      <c r="L19" s="116">
        <v>0.11509999999999999</v>
      </c>
      <c r="M19" s="107">
        <f>'February 2026'!M19</f>
        <v>0</v>
      </c>
      <c r="N19" s="119">
        <v>0.88</v>
      </c>
      <c r="O19" s="100">
        <f>'February 2026'!AC19</f>
        <v>0</v>
      </c>
      <c r="P19" s="100">
        <f>'February 2026'!AD19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2</v>
      </c>
      <c r="D20" s="4">
        <v>2026</v>
      </c>
      <c r="E20" s="96">
        <f>IF('February 2026'!C20&lt;0,"0",'February 2026'!C20)+(IF('February 2026'!E20&lt;0,"0",'February 2026'!E20)-(IF('February 2026'!G20&lt;0,"0",'February 2026'!G20)))</f>
        <v>0</v>
      </c>
      <c r="F20" s="110" t="e">
        <f>('February 2026'!C20*0.27)/('February 2026'!C20+'February 2026'!E20)</f>
        <v>#DIV/0!</v>
      </c>
      <c r="G20" s="97" t="str">
        <f>'February 2026'!U20</f>
        <v>0</v>
      </c>
      <c r="H20" s="113">
        <v>0.62</v>
      </c>
      <c r="I20" s="98">
        <f>'February 2026'!W20</f>
        <v>0</v>
      </c>
      <c r="J20" s="99">
        <v>2.42</v>
      </c>
      <c r="K20" s="106">
        <f>'February 2026'!AB20*5.04</f>
        <v>0</v>
      </c>
      <c r="L20" s="116">
        <v>0.11509999999999999</v>
      </c>
      <c r="M20" s="107">
        <f>'February 2026'!M20</f>
        <v>0</v>
      </c>
      <c r="N20" s="119">
        <v>0.88</v>
      </c>
      <c r="O20" s="100">
        <f>'February 2026'!AC20</f>
        <v>0</v>
      </c>
      <c r="P20" s="100">
        <f>'February 2026'!AD20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2</v>
      </c>
      <c r="D21" s="4">
        <v>2026</v>
      </c>
      <c r="E21" s="96">
        <f>IF('February 2026'!C21&lt;0,"0",'February 2026'!C21)+(IF('February 2026'!E21&lt;0,"0",'February 2026'!E21)-(IF('February 2026'!G21&lt;0,"0",'February 2026'!G21)))</f>
        <v>0</v>
      </c>
      <c r="F21" s="110" t="e">
        <f>('February 2026'!C21*0.27)/('February 2026'!C21+'February 2026'!E21)</f>
        <v>#DIV/0!</v>
      </c>
      <c r="G21" s="97" t="str">
        <f>'February 2026'!U21</f>
        <v>0</v>
      </c>
      <c r="H21" s="113">
        <v>0.62</v>
      </c>
      <c r="I21" s="98">
        <f>'February 2026'!W21</f>
        <v>0</v>
      </c>
      <c r="J21" s="99">
        <v>2.42</v>
      </c>
      <c r="K21" s="106">
        <f>'February 2026'!AB21*5.04</f>
        <v>0</v>
      </c>
      <c r="L21" s="116">
        <v>0.11509999999999999</v>
      </c>
      <c r="M21" s="107">
        <f>'February 2026'!M21</f>
        <v>0</v>
      </c>
      <c r="N21" s="119">
        <v>0.88</v>
      </c>
      <c r="O21" s="100">
        <f>'February 2026'!AC21</f>
        <v>0</v>
      </c>
      <c r="P21" s="100">
        <f>'February 2026'!AD21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2</v>
      </c>
      <c r="D22" s="4">
        <v>2026</v>
      </c>
      <c r="E22" s="96">
        <f>IF('February 2026'!C22&lt;0,"0",'February 2026'!C22)+(IF('February 2026'!E22&lt;0,"0",'February 2026'!E22)-(IF('February 2026'!G22&lt;0,"0",'February 2026'!G22)))</f>
        <v>0</v>
      </c>
      <c r="F22" s="110" t="e">
        <f>('February 2026'!C22*0.27)/('February 2026'!C22+'February 2026'!E22)</f>
        <v>#DIV/0!</v>
      </c>
      <c r="G22" s="97" t="str">
        <f>'February 2026'!U22</f>
        <v>0</v>
      </c>
      <c r="H22" s="113">
        <v>0.62</v>
      </c>
      <c r="I22" s="98">
        <f>'February 2026'!W22</f>
        <v>0</v>
      </c>
      <c r="J22" s="99">
        <v>2.42</v>
      </c>
      <c r="K22" s="106">
        <f>'February 2026'!AB22*5.04</f>
        <v>0</v>
      </c>
      <c r="L22" s="116">
        <v>0.11509999999999999</v>
      </c>
      <c r="M22" s="107">
        <f>'February 2026'!M22</f>
        <v>0</v>
      </c>
      <c r="N22" s="119">
        <v>0.88</v>
      </c>
      <c r="O22" s="100">
        <f>'February 2026'!AC22</f>
        <v>0</v>
      </c>
      <c r="P22" s="100">
        <f>'February 2026'!AD22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2</v>
      </c>
      <c r="D23" s="4">
        <v>2026</v>
      </c>
      <c r="E23" s="96">
        <f>IF('February 2026'!C23&lt;0,"0",'February 2026'!C23)+(IF('February 2026'!E23&lt;0,"0",'February 2026'!E23)-(IF('February 2026'!G23&lt;0,"0",'February 2026'!G23)))</f>
        <v>0</v>
      </c>
      <c r="F23" s="110" t="e">
        <f>('February 2026'!C23*0.27)/('February 2026'!C23+'February 2026'!E23)</f>
        <v>#DIV/0!</v>
      </c>
      <c r="G23" s="97" t="str">
        <f>'February 2026'!U23</f>
        <v>0</v>
      </c>
      <c r="H23" s="113">
        <v>0.62</v>
      </c>
      <c r="I23" s="98">
        <f>'February 2026'!W23</f>
        <v>0</v>
      </c>
      <c r="J23" s="99">
        <v>2.42</v>
      </c>
      <c r="K23" s="106">
        <f>'February 2026'!AB23*5.04</f>
        <v>0</v>
      </c>
      <c r="L23" s="116">
        <v>0.11509999999999999</v>
      </c>
      <c r="M23" s="107">
        <f>'February 2026'!M23</f>
        <v>0</v>
      </c>
      <c r="N23" s="119">
        <v>0.88</v>
      </c>
      <c r="O23" s="100">
        <f>'February 2026'!AC23</f>
        <v>0</v>
      </c>
      <c r="P23" s="100">
        <f>'February 2026'!AD23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2</v>
      </c>
      <c r="D24" s="4">
        <v>2026</v>
      </c>
      <c r="E24" s="96">
        <f>IF('February 2026'!C24&lt;0,"0",'February 2026'!C24)+(IF('February 2026'!E24&lt;0,"0",'February 2026'!E24)-(IF('February 2026'!G24&lt;0,"0",'February 2026'!G24)))</f>
        <v>0</v>
      </c>
      <c r="F24" s="110" t="e">
        <f>('February 2026'!C24*0.27)/('February 2026'!C24+'February 2026'!E24)</f>
        <v>#DIV/0!</v>
      </c>
      <c r="G24" s="97" t="str">
        <f>'February 2026'!U24</f>
        <v>0</v>
      </c>
      <c r="H24" s="113">
        <v>0.62</v>
      </c>
      <c r="I24" s="98">
        <f>'February 2026'!W24</f>
        <v>0</v>
      </c>
      <c r="J24" s="99">
        <v>2.42</v>
      </c>
      <c r="K24" s="106">
        <f>'February 2026'!AB24*5.04</f>
        <v>0</v>
      </c>
      <c r="L24" s="116">
        <v>0.11509999999999999</v>
      </c>
      <c r="M24" s="107">
        <f>'February 2026'!M24</f>
        <v>0</v>
      </c>
      <c r="N24" s="119">
        <v>0.88</v>
      </c>
      <c r="O24" s="100">
        <f>'February 2026'!AC24</f>
        <v>0</v>
      </c>
      <c r="P24" s="100">
        <f>'February 2026'!AD24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2</v>
      </c>
      <c r="D25" s="4">
        <v>2026</v>
      </c>
      <c r="E25" s="96">
        <f>IF('February 2026'!C25&lt;0,"0",'February 2026'!C25)+(IF('February 2026'!E25&lt;0,"0",'February 2026'!E25)-(IF('February 2026'!G25&lt;0,"0",'February 2026'!G25)))</f>
        <v>0</v>
      </c>
      <c r="F25" s="110" t="e">
        <f>('February 2026'!C25*0.27)/('February 2026'!C25+'February 2026'!E25)</f>
        <v>#DIV/0!</v>
      </c>
      <c r="G25" s="97" t="str">
        <f>'February 2026'!U25</f>
        <v>0</v>
      </c>
      <c r="H25" s="113">
        <v>0.62</v>
      </c>
      <c r="I25" s="98">
        <f>'February 2026'!W25</f>
        <v>0</v>
      </c>
      <c r="J25" s="99">
        <v>2.42</v>
      </c>
      <c r="K25" s="106">
        <f>'February 2026'!AB25*5.04</f>
        <v>0</v>
      </c>
      <c r="L25" s="116">
        <v>0.11509999999999999</v>
      </c>
      <c r="M25" s="107">
        <f>'February 2026'!M25</f>
        <v>0</v>
      </c>
      <c r="N25" s="119">
        <v>0.88</v>
      </c>
      <c r="O25" s="100">
        <f>'February 2026'!AC25</f>
        <v>0</v>
      </c>
      <c r="P25" s="100">
        <f>'February 2026'!AD25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2</v>
      </c>
      <c r="D26" s="4">
        <v>2026</v>
      </c>
      <c r="E26" s="96">
        <f>IF('February 2026'!C26&lt;0,"0",'February 2026'!C26)+(IF('February 2026'!E26&lt;0,"0",'February 2026'!E26)-(IF('February 2026'!G26&lt;0,"0",'February 2026'!G26)))</f>
        <v>0</v>
      </c>
      <c r="F26" s="110" t="e">
        <f>('February 2026'!C26*0.27)/('February 2026'!C26+'February 2026'!E26)</f>
        <v>#DIV/0!</v>
      </c>
      <c r="G26" s="97" t="str">
        <f>'February 2026'!U26</f>
        <v>0</v>
      </c>
      <c r="H26" s="113">
        <v>0.62</v>
      </c>
      <c r="I26" s="98">
        <f>'February 2026'!W26</f>
        <v>0</v>
      </c>
      <c r="J26" s="99">
        <v>2.42</v>
      </c>
      <c r="K26" s="106">
        <f>'February 2026'!AB26*5.04</f>
        <v>0</v>
      </c>
      <c r="L26" s="116">
        <v>0.11509999999999999</v>
      </c>
      <c r="M26" s="107">
        <f>'February 2026'!M26</f>
        <v>0</v>
      </c>
      <c r="N26" s="119">
        <v>0.88</v>
      </c>
      <c r="O26" s="100">
        <f>'February 2026'!AC26</f>
        <v>0</v>
      </c>
      <c r="P26" s="100">
        <f>'February 2026'!AD26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2</v>
      </c>
      <c r="D27" s="4">
        <v>2026</v>
      </c>
      <c r="E27" s="96">
        <f>IF('February 2026'!C27&lt;0,"0",'February 2026'!C27)+(IF('February 2026'!E27&lt;0,"0",'February 2026'!E27)-(IF('February 2026'!G27&lt;0,"0",'February 2026'!G27)))</f>
        <v>0</v>
      </c>
      <c r="F27" s="110" t="e">
        <f>('February 2026'!C27*0.27)/('February 2026'!C27+'February 2026'!E27)</f>
        <v>#DIV/0!</v>
      </c>
      <c r="G27" s="97" t="str">
        <f>'February 2026'!U27</f>
        <v>0</v>
      </c>
      <c r="H27" s="113">
        <v>0.62</v>
      </c>
      <c r="I27" s="98">
        <f>'February 2026'!W27</f>
        <v>0</v>
      </c>
      <c r="J27" s="99">
        <v>2.42</v>
      </c>
      <c r="K27" s="106">
        <f>'February 2026'!AB27*5.04</f>
        <v>0</v>
      </c>
      <c r="L27" s="116">
        <v>0.11509999999999999</v>
      </c>
      <c r="M27" s="107">
        <f>'February 2026'!M27</f>
        <v>0</v>
      </c>
      <c r="N27" s="119">
        <v>0.88</v>
      </c>
      <c r="O27" s="100">
        <f>'February 2026'!AC27</f>
        <v>0</v>
      </c>
      <c r="P27" s="100">
        <f>'February 2026'!AD27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2</v>
      </c>
      <c r="D28" s="4">
        <v>2026</v>
      </c>
      <c r="E28" s="96">
        <f>IF('February 2026'!C28&lt;0,"0",'February 2026'!C28)+(IF('February 2026'!E28&lt;0,"0",'February 2026'!E28)-(IF('February 2026'!G28&lt;0,"0",'February 2026'!G28)))</f>
        <v>0</v>
      </c>
      <c r="F28" s="110" t="e">
        <f>('February 2026'!C28*0.27)/('February 2026'!C28+'February 2026'!E28)</f>
        <v>#DIV/0!</v>
      </c>
      <c r="G28" s="97" t="str">
        <f>'February 2026'!U28</f>
        <v>0</v>
      </c>
      <c r="H28" s="113">
        <v>0.62</v>
      </c>
      <c r="I28" s="98">
        <f>'February 2026'!W28</f>
        <v>0</v>
      </c>
      <c r="J28" s="99">
        <v>2.42</v>
      </c>
      <c r="K28" s="106">
        <f>'February 2026'!AB28*5.04</f>
        <v>0</v>
      </c>
      <c r="L28" s="116">
        <v>0.11509999999999999</v>
      </c>
      <c r="M28" s="107">
        <f>'February 2026'!M28</f>
        <v>0</v>
      </c>
      <c r="N28" s="119">
        <v>0.88</v>
      </c>
      <c r="O28" s="100">
        <f>'February 2026'!AC28</f>
        <v>0</v>
      </c>
      <c r="P28" s="100">
        <f>'February 2026'!AD28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2</v>
      </c>
      <c r="D29" s="4">
        <v>2026</v>
      </c>
      <c r="E29" s="96">
        <f>IF('February 2026'!C29&lt;0,"0",'February 2026'!C29)+(IF('February 2026'!E29&lt;0,"0",'February 2026'!E29)-(IF('February 2026'!G29&lt;0,"0",'February 2026'!G29)))</f>
        <v>0</v>
      </c>
      <c r="F29" s="110" t="e">
        <f>('February 2026'!C29*0.27)/('February 2026'!C29+'February 2026'!E29)</f>
        <v>#DIV/0!</v>
      </c>
      <c r="G29" s="97" t="str">
        <f>'February 2026'!U29</f>
        <v>0</v>
      </c>
      <c r="H29" s="113">
        <v>0.62</v>
      </c>
      <c r="I29" s="98">
        <f>'February 2026'!W29</f>
        <v>0</v>
      </c>
      <c r="J29" s="99">
        <v>2.42</v>
      </c>
      <c r="K29" s="106">
        <f>'February 2026'!AB29*5.04</f>
        <v>0</v>
      </c>
      <c r="L29" s="116">
        <v>0.11509999999999999</v>
      </c>
      <c r="M29" s="107">
        <f>'February 2026'!M29</f>
        <v>0</v>
      </c>
      <c r="N29" s="119">
        <v>0.88</v>
      </c>
      <c r="O29" s="100">
        <f>'February 2026'!AC29</f>
        <v>0</v>
      </c>
      <c r="P29" s="100">
        <f>'February 2026'!AD29</f>
        <v>0</v>
      </c>
    </row>
    <row r="30" spans="1:16" x14ac:dyDescent="0.2">
      <c r="D30" s="101"/>
      <c r="F30" s="110"/>
      <c r="I30" s="99"/>
      <c r="J30" s="99"/>
      <c r="K30" s="106"/>
      <c r="L30" s="116"/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F35" s="110"/>
      <c r="K35" s="106"/>
      <c r="L35" s="116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K39" s="106"/>
      <c r="L39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3"/>
  <sheetViews>
    <sheetView tabSelected="1" zoomScale="115" zoomScaleNormal="115" workbookViewId="0">
      <selection activeCell="Q17" sqref="Q17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46054</v>
      </c>
      <c r="B2" s="8">
        <v>15338</v>
      </c>
      <c r="C2" s="14">
        <f>IF((B3-B2)&lt;0,"0",B3-B2)</f>
        <v>666</v>
      </c>
      <c r="D2" s="9">
        <v>1023525</v>
      </c>
      <c r="E2" s="14">
        <f>IF((D3-D2)&lt;0,"0",D3-D2)</f>
        <v>542</v>
      </c>
      <c r="F2" s="27">
        <v>1704</v>
      </c>
      <c r="G2" s="67">
        <f>F3-F2</f>
        <v>0</v>
      </c>
      <c r="H2" s="69">
        <f>C2+E2-G2</f>
        <v>1208</v>
      </c>
      <c r="I2" s="73">
        <f>H2-K2-M2-O2-Q2</f>
        <v>-44846.829999999994</v>
      </c>
      <c r="J2" s="32">
        <f t="shared" ref="J2:J29" si="0">I3-I2</f>
        <v>255</v>
      </c>
      <c r="K2" s="19">
        <f>A2</f>
        <v>46054</v>
      </c>
      <c r="L2" s="30">
        <v>4622</v>
      </c>
      <c r="M2" s="31">
        <v>0</v>
      </c>
      <c r="N2" s="32">
        <f>IF((L2-L3+M2)=L2,"0",(L2-L3+M2))</f>
        <v>0</v>
      </c>
      <c r="O2" s="83">
        <v>0.63</v>
      </c>
      <c r="P2" s="84">
        <v>0.65</v>
      </c>
      <c r="Q2" s="83">
        <v>0.2</v>
      </c>
      <c r="R2" s="84">
        <v>0.3</v>
      </c>
      <c r="S2" s="38">
        <f>(2500*O2)+(2500*P2)+(500*Q2)+(500*R2)</f>
        <v>3450</v>
      </c>
      <c r="T2" s="123"/>
      <c r="U2" s="32">
        <f>IF((S2-S3+T2)=S2,"0",(S2-S3+T2))</f>
        <v>0</v>
      </c>
      <c r="V2" s="40">
        <v>40000</v>
      </c>
      <c r="W2" s="32">
        <f t="shared" ref="W2:W29" si="1">IF(V3-V2&lt;0,"0",V3-V2)</f>
        <v>0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0</v>
      </c>
      <c r="AD2" s="17">
        <v>0</v>
      </c>
    </row>
    <row r="3" spans="1:30" ht="20.65" customHeight="1" x14ac:dyDescent="0.2">
      <c r="A3" s="19">
        <v>46055</v>
      </c>
      <c r="B3" s="10">
        <v>16004</v>
      </c>
      <c r="C3" s="14">
        <f t="shared" ref="C3:C29" si="2">IF((B4-B3)&lt;0,"0",B4-B3)</f>
        <v>883</v>
      </c>
      <c r="D3" s="11">
        <v>1024067</v>
      </c>
      <c r="E3" s="14">
        <f t="shared" ref="E3:E13" si="3">IF((D4-D3)&lt;0,"0",D4-D3)</f>
        <v>581</v>
      </c>
      <c r="F3" s="27">
        <v>1704</v>
      </c>
      <c r="G3" s="67">
        <f t="shared" ref="G3:G29" si="4">F4-F3</f>
        <v>0</v>
      </c>
      <c r="H3" s="69">
        <f t="shared" ref="H3:H28" si="5">C3+E3-G3</f>
        <v>1464</v>
      </c>
      <c r="I3" s="73">
        <f t="shared" ref="I3:I28" si="6">H3-K3-M3-O3-Q3</f>
        <v>-44591.829999999994</v>
      </c>
      <c r="J3" s="32">
        <f t="shared" si="0"/>
        <v>117</v>
      </c>
      <c r="K3" s="20">
        <f t="shared" ref="K3:K30" si="7">A3</f>
        <v>46055</v>
      </c>
      <c r="L3" s="33">
        <v>4622</v>
      </c>
      <c r="M3" s="31">
        <v>0</v>
      </c>
      <c r="N3" s="32">
        <f t="shared" ref="N3:N30" si="8">IF((L3-L4+M3)=L3,"0",(L3-L4+M3))</f>
        <v>0</v>
      </c>
      <c r="O3" s="85">
        <v>0.63</v>
      </c>
      <c r="P3" s="86">
        <v>0.65</v>
      </c>
      <c r="Q3" s="85">
        <v>0.2</v>
      </c>
      <c r="R3" s="86">
        <v>0.3</v>
      </c>
      <c r="S3" s="38">
        <f t="shared" ref="S3:S30" si="9">(2500*O3)+(2500*P3)+(500*Q3)+(500*R3)</f>
        <v>3450</v>
      </c>
      <c r="T3" s="123"/>
      <c r="U3" s="32">
        <f t="shared" ref="U3:U29" si="10">IF((S3-S4+T3)=S3,"0",(S3-S4+T3))</f>
        <v>0</v>
      </c>
      <c r="V3" s="41">
        <v>40000</v>
      </c>
      <c r="W3" s="32">
        <f t="shared" si="1"/>
        <v>0</v>
      </c>
      <c r="X3" s="43">
        <v>61265</v>
      </c>
      <c r="Y3" s="14">
        <f t="shared" ref="Y3:Y24" si="11">IF((X4-X3)&lt;0,"0",X4-X3)</f>
        <v>0</v>
      </c>
      <c r="Z3" s="46">
        <v>2405</v>
      </c>
      <c r="AA3" s="52"/>
      <c r="AB3" s="32">
        <f t="shared" ref="AB3:AB29" si="12">IF((Z3-Z4+AA3)=Z3,"0",(Z3-Z4+AA3))</f>
        <v>0</v>
      </c>
      <c r="AC3" s="13">
        <v>0</v>
      </c>
      <c r="AD3" s="18">
        <v>0</v>
      </c>
    </row>
    <row r="4" spans="1:30" ht="20.65" customHeight="1" x14ac:dyDescent="0.2">
      <c r="A4" s="19">
        <v>46056</v>
      </c>
      <c r="B4" s="10">
        <v>16887</v>
      </c>
      <c r="C4" s="14">
        <f t="shared" si="2"/>
        <v>735</v>
      </c>
      <c r="D4" s="11">
        <v>1024648</v>
      </c>
      <c r="E4" s="14">
        <f t="shared" si="3"/>
        <v>847</v>
      </c>
      <c r="F4" s="27">
        <v>1704</v>
      </c>
      <c r="G4" s="67">
        <f t="shared" si="4"/>
        <v>0</v>
      </c>
      <c r="H4" s="69">
        <f t="shared" si="5"/>
        <v>1582</v>
      </c>
      <c r="I4" s="73">
        <f t="shared" si="6"/>
        <v>-44474.829999999994</v>
      </c>
      <c r="J4" s="32">
        <f t="shared" si="0"/>
        <v>7</v>
      </c>
      <c r="K4" s="20">
        <f t="shared" si="7"/>
        <v>46056</v>
      </c>
      <c r="L4" s="33">
        <v>4622</v>
      </c>
      <c r="M4" s="31">
        <v>0</v>
      </c>
      <c r="N4" s="32">
        <f t="shared" si="8"/>
        <v>0</v>
      </c>
      <c r="O4" s="85">
        <v>0.63</v>
      </c>
      <c r="P4" s="86">
        <v>0.65</v>
      </c>
      <c r="Q4" s="85">
        <v>0.2</v>
      </c>
      <c r="R4" s="86">
        <v>0.3</v>
      </c>
      <c r="S4" s="38">
        <f t="shared" si="9"/>
        <v>3450</v>
      </c>
      <c r="T4" s="123"/>
      <c r="U4" s="32">
        <f t="shared" si="10"/>
        <v>0</v>
      </c>
      <c r="V4" s="41">
        <v>40000</v>
      </c>
      <c r="W4" s="32">
        <f t="shared" si="1"/>
        <v>0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0</v>
      </c>
      <c r="AD4" s="18">
        <v>0</v>
      </c>
    </row>
    <row r="5" spans="1:30" ht="20.65" customHeight="1" x14ac:dyDescent="0.2">
      <c r="A5" s="19">
        <v>46057</v>
      </c>
      <c r="B5" s="10">
        <v>17622</v>
      </c>
      <c r="C5" s="14">
        <f t="shared" si="2"/>
        <v>670</v>
      </c>
      <c r="D5" s="11">
        <v>1025495</v>
      </c>
      <c r="E5" s="14">
        <f t="shared" si="3"/>
        <v>920</v>
      </c>
      <c r="F5" s="27">
        <v>1704</v>
      </c>
      <c r="G5" s="67">
        <f t="shared" si="4"/>
        <v>0</v>
      </c>
      <c r="H5" s="69">
        <f t="shared" si="5"/>
        <v>1590</v>
      </c>
      <c r="I5" s="73">
        <f t="shared" si="6"/>
        <v>-44467.829999999994</v>
      </c>
      <c r="J5" s="32">
        <f t="shared" si="0"/>
        <v>-131</v>
      </c>
      <c r="K5" s="20">
        <f t="shared" si="7"/>
        <v>46057</v>
      </c>
      <c r="L5" s="33">
        <v>4622</v>
      </c>
      <c r="M5" s="31">
        <v>0</v>
      </c>
      <c r="N5" s="32">
        <f t="shared" si="8"/>
        <v>0</v>
      </c>
      <c r="O5" s="85">
        <v>0.63</v>
      </c>
      <c r="P5" s="86">
        <v>0.65</v>
      </c>
      <c r="Q5" s="85">
        <v>0.2</v>
      </c>
      <c r="R5" s="86">
        <v>0.3</v>
      </c>
      <c r="S5" s="38">
        <f t="shared" si="9"/>
        <v>3450</v>
      </c>
      <c r="T5" s="123"/>
      <c r="U5" s="32">
        <f t="shared" si="10"/>
        <v>0</v>
      </c>
      <c r="V5" s="41">
        <v>40000</v>
      </c>
      <c r="W5" s="32">
        <f t="shared" si="1"/>
        <v>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0</v>
      </c>
      <c r="AD5" s="18">
        <v>0</v>
      </c>
    </row>
    <row r="6" spans="1:30" ht="20.65" customHeight="1" x14ac:dyDescent="0.2">
      <c r="A6" s="19">
        <v>46058</v>
      </c>
      <c r="B6" s="10">
        <v>18292</v>
      </c>
      <c r="C6" s="14">
        <f t="shared" si="2"/>
        <v>810</v>
      </c>
      <c r="D6" s="11">
        <v>1026415</v>
      </c>
      <c r="E6" s="14">
        <f t="shared" si="3"/>
        <v>650</v>
      </c>
      <c r="F6" s="27">
        <v>1704</v>
      </c>
      <c r="G6" s="67">
        <f t="shared" si="4"/>
        <v>0</v>
      </c>
      <c r="H6" s="69">
        <f t="shared" si="5"/>
        <v>1460</v>
      </c>
      <c r="I6" s="73">
        <f t="shared" si="6"/>
        <v>-44598.829999999994</v>
      </c>
      <c r="J6" s="32">
        <f t="shared" si="0"/>
        <v>39.009999999994761</v>
      </c>
      <c r="K6" s="20">
        <f t="shared" si="7"/>
        <v>46058</v>
      </c>
      <c r="L6" s="33">
        <v>4622</v>
      </c>
      <c r="M6" s="31">
        <v>0</v>
      </c>
      <c r="N6" s="32">
        <f t="shared" si="8"/>
        <v>0</v>
      </c>
      <c r="O6" s="85">
        <v>0.63</v>
      </c>
      <c r="P6" s="86">
        <v>0.65</v>
      </c>
      <c r="Q6" s="85">
        <v>0.2</v>
      </c>
      <c r="R6" s="86">
        <v>0.3</v>
      </c>
      <c r="S6" s="38">
        <f t="shared" si="9"/>
        <v>3450</v>
      </c>
      <c r="T6" s="123"/>
      <c r="U6" s="32">
        <f t="shared" si="10"/>
        <v>25</v>
      </c>
      <c r="V6" s="41">
        <v>40000</v>
      </c>
      <c r="W6" s="32">
        <f t="shared" si="1"/>
        <v>0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0</v>
      </c>
      <c r="AD6" s="18">
        <v>0</v>
      </c>
    </row>
    <row r="7" spans="1:30" ht="20.65" customHeight="1" x14ac:dyDescent="0.2">
      <c r="A7" s="19">
        <v>46059</v>
      </c>
      <c r="B7" s="10">
        <v>19102</v>
      </c>
      <c r="C7" s="14">
        <f t="shared" si="2"/>
        <v>830</v>
      </c>
      <c r="D7" s="11">
        <v>1027065</v>
      </c>
      <c r="E7" s="14">
        <f t="shared" si="3"/>
        <v>670</v>
      </c>
      <c r="F7" s="27">
        <v>1704</v>
      </c>
      <c r="G7" s="67">
        <f t="shared" si="4"/>
        <v>0</v>
      </c>
      <c r="H7" s="69">
        <f t="shared" si="5"/>
        <v>1500</v>
      </c>
      <c r="I7" s="73">
        <f t="shared" si="6"/>
        <v>-44559.82</v>
      </c>
      <c r="J7" s="32">
        <f t="shared" si="0"/>
        <v>-36</v>
      </c>
      <c r="K7" s="20">
        <f t="shared" si="7"/>
        <v>46059</v>
      </c>
      <c r="L7" s="33">
        <v>4622</v>
      </c>
      <c r="M7" s="31">
        <v>0</v>
      </c>
      <c r="N7" s="32">
        <f t="shared" si="8"/>
        <v>0</v>
      </c>
      <c r="O7" s="85">
        <v>0.62</v>
      </c>
      <c r="P7" s="86">
        <v>0.65</v>
      </c>
      <c r="Q7" s="85">
        <v>0.2</v>
      </c>
      <c r="R7" s="86">
        <v>0.3</v>
      </c>
      <c r="S7" s="38">
        <f t="shared" si="9"/>
        <v>3425</v>
      </c>
      <c r="T7" s="123"/>
      <c r="U7" s="32">
        <f t="shared" si="10"/>
        <v>0</v>
      </c>
      <c r="V7" s="41">
        <v>40000</v>
      </c>
      <c r="W7" s="32">
        <f t="shared" si="1"/>
        <v>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0</v>
      </c>
      <c r="AD7" s="18">
        <v>0</v>
      </c>
    </row>
    <row r="8" spans="1:30" ht="20.65" customHeight="1" x14ac:dyDescent="0.2">
      <c r="A8" s="19">
        <v>46060</v>
      </c>
      <c r="B8" s="10">
        <v>19932</v>
      </c>
      <c r="C8" s="14">
        <f t="shared" si="2"/>
        <v>790</v>
      </c>
      <c r="D8" s="11">
        <v>1027735</v>
      </c>
      <c r="E8" s="14">
        <f t="shared" si="3"/>
        <v>675</v>
      </c>
      <c r="F8" s="27">
        <v>1704</v>
      </c>
      <c r="G8" s="67">
        <f t="shared" si="4"/>
        <v>0</v>
      </c>
      <c r="H8" s="69">
        <f t="shared" si="5"/>
        <v>1465</v>
      </c>
      <c r="I8" s="73">
        <f t="shared" si="6"/>
        <v>-44595.82</v>
      </c>
      <c r="J8" s="32">
        <f t="shared" si="0"/>
        <v>-5.9899999999979627</v>
      </c>
      <c r="K8" s="20">
        <f t="shared" si="7"/>
        <v>46060</v>
      </c>
      <c r="L8" s="33">
        <v>4622</v>
      </c>
      <c r="M8" s="31">
        <v>0</v>
      </c>
      <c r="N8" s="32">
        <f t="shared" si="8"/>
        <v>0</v>
      </c>
      <c r="O8" s="85">
        <v>0.62</v>
      </c>
      <c r="P8" s="86">
        <v>0.65</v>
      </c>
      <c r="Q8" s="85">
        <v>0.2</v>
      </c>
      <c r="R8" s="86">
        <v>0.3</v>
      </c>
      <c r="S8" s="38">
        <f t="shared" si="9"/>
        <v>3425</v>
      </c>
      <c r="T8" s="123"/>
      <c r="U8" s="32">
        <f t="shared" si="10"/>
        <v>25</v>
      </c>
      <c r="V8" s="41">
        <v>40000</v>
      </c>
      <c r="W8" s="32">
        <f t="shared" si="1"/>
        <v>0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0</v>
      </c>
      <c r="AD8" s="18">
        <v>0</v>
      </c>
    </row>
    <row r="9" spans="1:30" ht="20.65" customHeight="1" x14ac:dyDescent="0.2">
      <c r="A9" s="19">
        <v>46061</v>
      </c>
      <c r="B9" s="10">
        <v>20722</v>
      </c>
      <c r="C9" s="14">
        <f t="shared" si="2"/>
        <v>749</v>
      </c>
      <c r="D9" s="11">
        <v>1028410</v>
      </c>
      <c r="E9" s="14">
        <f t="shared" si="3"/>
        <v>711</v>
      </c>
      <c r="F9" s="27">
        <v>1704</v>
      </c>
      <c r="G9" s="67">
        <f t="shared" si="4"/>
        <v>0</v>
      </c>
      <c r="H9" s="69">
        <f t="shared" si="5"/>
        <v>1460</v>
      </c>
      <c r="I9" s="73">
        <f t="shared" si="6"/>
        <v>-44601.81</v>
      </c>
      <c r="J9" s="32">
        <f t="shared" si="0"/>
        <v>-41.989999999997963</v>
      </c>
      <c r="K9" s="20">
        <f t="shared" si="7"/>
        <v>46061</v>
      </c>
      <c r="L9" s="33">
        <v>4622</v>
      </c>
      <c r="M9" s="31">
        <v>0</v>
      </c>
      <c r="N9" s="32">
        <f t="shared" si="8"/>
        <v>0</v>
      </c>
      <c r="O9" s="85">
        <v>0.61</v>
      </c>
      <c r="P9" s="86">
        <v>0.65</v>
      </c>
      <c r="Q9" s="85">
        <v>0.2</v>
      </c>
      <c r="R9" s="86">
        <v>0.3</v>
      </c>
      <c r="S9" s="38">
        <f t="shared" si="9"/>
        <v>3400</v>
      </c>
      <c r="T9" s="123"/>
      <c r="U9" s="32">
        <f t="shared" si="10"/>
        <v>25</v>
      </c>
      <c r="V9" s="41">
        <v>40000</v>
      </c>
      <c r="W9" s="32">
        <f t="shared" si="1"/>
        <v>0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0</v>
      </c>
      <c r="AD9" s="18">
        <v>0</v>
      </c>
    </row>
    <row r="10" spans="1:30" ht="20.65" customHeight="1" x14ac:dyDescent="0.2">
      <c r="A10" s="19">
        <v>46062</v>
      </c>
      <c r="B10" s="10">
        <v>21471</v>
      </c>
      <c r="C10" s="14">
        <f t="shared" si="2"/>
        <v>808</v>
      </c>
      <c r="D10" s="11">
        <v>1029121</v>
      </c>
      <c r="E10" s="14">
        <f t="shared" si="3"/>
        <v>611</v>
      </c>
      <c r="F10" s="27">
        <v>1704</v>
      </c>
      <c r="G10" s="67">
        <f t="shared" si="4"/>
        <v>0</v>
      </c>
      <c r="H10" s="69">
        <f t="shared" si="5"/>
        <v>1419</v>
      </c>
      <c r="I10" s="73">
        <f t="shared" si="6"/>
        <v>-44643.799999999996</v>
      </c>
      <c r="J10" s="32">
        <f t="shared" si="0"/>
        <v>-38</v>
      </c>
      <c r="K10" s="20">
        <f t="shared" si="7"/>
        <v>46062</v>
      </c>
      <c r="L10" s="33">
        <v>4622</v>
      </c>
      <c r="M10" s="31">
        <v>0</v>
      </c>
      <c r="N10" s="32">
        <f t="shared" si="8"/>
        <v>0</v>
      </c>
      <c r="O10" s="85">
        <v>0.6</v>
      </c>
      <c r="P10" s="86">
        <v>0.65</v>
      </c>
      <c r="Q10" s="85">
        <v>0.2</v>
      </c>
      <c r="R10" s="86">
        <v>0.3</v>
      </c>
      <c r="S10" s="38">
        <f t="shared" si="9"/>
        <v>3375</v>
      </c>
      <c r="T10" s="123"/>
      <c r="U10" s="32">
        <f t="shared" si="10"/>
        <v>0</v>
      </c>
      <c r="V10" s="41">
        <v>40000</v>
      </c>
      <c r="W10" s="32">
        <f t="shared" si="1"/>
        <v>0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0</v>
      </c>
      <c r="AD10" s="18">
        <v>0</v>
      </c>
    </row>
    <row r="11" spans="1:30" ht="20.65" customHeight="1" x14ac:dyDescent="0.2">
      <c r="A11" s="19">
        <v>46063</v>
      </c>
      <c r="B11" s="10">
        <v>22279</v>
      </c>
      <c r="C11" s="14">
        <f t="shared" si="2"/>
        <v>881</v>
      </c>
      <c r="D11" s="11">
        <v>1029732</v>
      </c>
      <c r="E11" s="14">
        <f t="shared" si="3"/>
        <v>501</v>
      </c>
      <c r="F11" s="27">
        <v>1704</v>
      </c>
      <c r="G11" s="67">
        <f t="shared" si="4"/>
        <v>0</v>
      </c>
      <c r="H11" s="69">
        <f t="shared" si="5"/>
        <v>1382</v>
      </c>
      <c r="I11" s="73">
        <f t="shared" si="6"/>
        <v>-44681.799999999996</v>
      </c>
      <c r="J11" s="32">
        <f t="shared" si="0"/>
        <v>125</v>
      </c>
      <c r="K11" s="20">
        <f t="shared" si="7"/>
        <v>46063</v>
      </c>
      <c r="L11" s="33">
        <v>4622</v>
      </c>
      <c r="M11" s="31">
        <v>0</v>
      </c>
      <c r="N11" s="32">
        <f t="shared" si="8"/>
        <v>0</v>
      </c>
      <c r="O11" s="85">
        <v>0.6</v>
      </c>
      <c r="P11" s="86">
        <v>0.65</v>
      </c>
      <c r="Q11" s="85">
        <v>0.2</v>
      </c>
      <c r="R11" s="86">
        <v>0.3</v>
      </c>
      <c r="S11" s="38">
        <f t="shared" si="9"/>
        <v>3375</v>
      </c>
      <c r="T11" s="123"/>
      <c r="U11" s="32">
        <f t="shared" si="10"/>
        <v>0</v>
      </c>
      <c r="V11" s="41">
        <v>40000</v>
      </c>
      <c r="W11" s="32">
        <f t="shared" si="1"/>
        <v>0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0</v>
      </c>
      <c r="AD11" s="18">
        <v>0</v>
      </c>
    </row>
    <row r="12" spans="1:30" ht="21.4" customHeight="1" x14ac:dyDescent="0.2">
      <c r="A12" s="19">
        <v>46064</v>
      </c>
      <c r="B12" s="10">
        <v>23160</v>
      </c>
      <c r="C12" s="14">
        <f t="shared" si="2"/>
        <v>866</v>
      </c>
      <c r="D12" s="11">
        <v>1030233</v>
      </c>
      <c r="E12" s="14">
        <f t="shared" si="3"/>
        <v>642</v>
      </c>
      <c r="F12" s="27">
        <v>1704</v>
      </c>
      <c r="G12" s="67">
        <f t="shared" si="4"/>
        <v>0</v>
      </c>
      <c r="H12" s="69">
        <f t="shared" si="5"/>
        <v>1508</v>
      </c>
      <c r="I12" s="73">
        <f t="shared" si="6"/>
        <v>-44556.799999999996</v>
      </c>
      <c r="J12" s="32">
        <f t="shared" si="0"/>
        <v>-151</v>
      </c>
      <c r="K12" s="20">
        <f t="shared" si="7"/>
        <v>46064</v>
      </c>
      <c r="L12" s="33">
        <v>4622</v>
      </c>
      <c r="M12" s="31">
        <v>0</v>
      </c>
      <c r="N12" s="32">
        <f t="shared" si="8"/>
        <v>0</v>
      </c>
      <c r="O12" s="85">
        <v>0.6</v>
      </c>
      <c r="P12" s="86">
        <v>0.65</v>
      </c>
      <c r="Q12" s="85">
        <v>0.2</v>
      </c>
      <c r="R12" s="86">
        <v>0.3</v>
      </c>
      <c r="S12" s="38">
        <f t="shared" si="9"/>
        <v>3375</v>
      </c>
      <c r="T12" s="123"/>
      <c r="U12" s="32">
        <f t="shared" si="10"/>
        <v>0</v>
      </c>
      <c r="V12" s="41">
        <v>40000</v>
      </c>
      <c r="W12" s="32">
        <f t="shared" si="1"/>
        <v>0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0</v>
      </c>
      <c r="AD12" s="18">
        <v>0</v>
      </c>
    </row>
    <row r="13" spans="1:30" ht="20.65" customHeight="1" x14ac:dyDescent="0.2">
      <c r="A13" s="19">
        <v>46065</v>
      </c>
      <c r="B13" s="10">
        <v>24026</v>
      </c>
      <c r="C13" s="14">
        <f t="shared" si="2"/>
        <v>1122</v>
      </c>
      <c r="D13" s="11">
        <v>1030875</v>
      </c>
      <c r="E13" s="14">
        <f t="shared" si="3"/>
        <v>236</v>
      </c>
      <c r="F13" s="27">
        <v>1704</v>
      </c>
      <c r="G13" s="67">
        <f t="shared" si="4"/>
        <v>0</v>
      </c>
      <c r="H13" s="69">
        <f t="shared" si="5"/>
        <v>1358</v>
      </c>
      <c r="I13" s="73">
        <f t="shared" si="6"/>
        <v>-44707.799999999996</v>
      </c>
      <c r="J13" s="32">
        <f t="shared" si="0"/>
        <v>129</v>
      </c>
      <c r="K13" s="20">
        <f t="shared" si="7"/>
        <v>46065</v>
      </c>
      <c r="L13" s="33">
        <v>4622</v>
      </c>
      <c r="M13" s="31">
        <v>0</v>
      </c>
      <c r="N13" s="32">
        <f t="shared" si="8"/>
        <v>0</v>
      </c>
      <c r="O13" s="85">
        <v>0.6</v>
      </c>
      <c r="P13" s="86">
        <v>0.65</v>
      </c>
      <c r="Q13" s="85">
        <v>0.2</v>
      </c>
      <c r="R13" s="86">
        <v>0.3</v>
      </c>
      <c r="S13" s="38">
        <f t="shared" si="9"/>
        <v>3375</v>
      </c>
      <c r="T13" s="123"/>
      <c r="U13" s="32">
        <f t="shared" si="10"/>
        <v>0</v>
      </c>
      <c r="V13" s="41">
        <v>40000</v>
      </c>
      <c r="W13" s="32">
        <f t="shared" si="1"/>
        <v>0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0</v>
      </c>
      <c r="AD13" s="18">
        <v>0</v>
      </c>
    </row>
    <row r="14" spans="1:30" ht="20.65" customHeight="1" x14ac:dyDescent="0.2">
      <c r="A14" s="19">
        <v>46066</v>
      </c>
      <c r="B14" s="10">
        <v>25148</v>
      </c>
      <c r="C14" s="14">
        <f t="shared" si="2"/>
        <v>1233</v>
      </c>
      <c r="D14" s="11">
        <v>1031111</v>
      </c>
      <c r="E14" s="14">
        <f t="shared" ref="E14:E29" si="13">IF((D15-D14)&lt;0,"0",D15-D14)</f>
        <v>255</v>
      </c>
      <c r="F14" s="27">
        <v>1704</v>
      </c>
      <c r="G14" s="67">
        <f t="shared" si="4"/>
        <v>0</v>
      </c>
      <c r="H14" s="69">
        <f t="shared" si="5"/>
        <v>1488</v>
      </c>
      <c r="I14" s="73">
        <f t="shared" si="6"/>
        <v>-44578.799999999996</v>
      </c>
      <c r="J14" s="32">
        <f t="shared" si="0"/>
        <v>297</v>
      </c>
      <c r="K14" s="20">
        <f t="shared" si="7"/>
        <v>46066</v>
      </c>
      <c r="L14" s="33">
        <v>4622</v>
      </c>
      <c r="M14" s="31">
        <v>0</v>
      </c>
      <c r="N14" s="32">
        <f t="shared" si="8"/>
        <v>0</v>
      </c>
      <c r="O14" s="85">
        <v>0.6</v>
      </c>
      <c r="P14" s="86">
        <v>0.65</v>
      </c>
      <c r="Q14" s="85">
        <v>0.2</v>
      </c>
      <c r="R14" s="86">
        <v>0.3</v>
      </c>
      <c r="S14" s="38">
        <f t="shared" si="9"/>
        <v>3375</v>
      </c>
      <c r="T14" s="123"/>
      <c r="U14" s="32">
        <f t="shared" si="10"/>
        <v>0</v>
      </c>
      <c r="V14" s="41">
        <v>40000</v>
      </c>
      <c r="W14" s="32">
        <f t="shared" si="1"/>
        <v>0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0</v>
      </c>
      <c r="AD14" s="18">
        <v>0</v>
      </c>
    </row>
    <row r="15" spans="1:30" ht="20.65" customHeight="1" x14ac:dyDescent="0.2">
      <c r="A15" s="19">
        <v>46067</v>
      </c>
      <c r="B15" s="10">
        <v>26381</v>
      </c>
      <c r="C15" s="14">
        <f t="shared" si="2"/>
        <v>791</v>
      </c>
      <c r="D15" s="11">
        <v>1031366</v>
      </c>
      <c r="E15" s="14">
        <f t="shared" si="13"/>
        <v>995</v>
      </c>
      <c r="F15" s="27">
        <v>1704</v>
      </c>
      <c r="G15" s="67">
        <f t="shared" si="4"/>
        <v>0</v>
      </c>
      <c r="H15" s="69">
        <f t="shared" si="5"/>
        <v>1786</v>
      </c>
      <c r="I15" s="73">
        <f t="shared" si="6"/>
        <v>-44281.799999999996</v>
      </c>
      <c r="J15" s="32">
        <f t="shared" si="0"/>
        <v>-554</v>
      </c>
      <c r="K15" s="20">
        <f t="shared" si="7"/>
        <v>46067</v>
      </c>
      <c r="L15" s="33">
        <v>4622</v>
      </c>
      <c r="M15" s="31">
        <v>0</v>
      </c>
      <c r="N15" s="32">
        <f t="shared" si="8"/>
        <v>0</v>
      </c>
      <c r="O15" s="85">
        <v>0.6</v>
      </c>
      <c r="P15" s="86">
        <v>0.65</v>
      </c>
      <c r="Q15" s="85">
        <v>0.2</v>
      </c>
      <c r="R15" s="86">
        <v>0.3</v>
      </c>
      <c r="S15" s="38">
        <f t="shared" si="9"/>
        <v>3375</v>
      </c>
      <c r="T15" s="123"/>
      <c r="U15" s="32">
        <f t="shared" si="10"/>
        <v>0</v>
      </c>
      <c r="V15" s="41">
        <v>40000</v>
      </c>
      <c r="W15" s="32">
        <f t="shared" si="1"/>
        <v>0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0</v>
      </c>
      <c r="AD15" s="18">
        <v>0</v>
      </c>
    </row>
    <row r="16" spans="1:30" ht="20.65" customHeight="1" x14ac:dyDescent="0.2">
      <c r="A16" s="19">
        <v>46068</v>
      </c>
      <c r="B16" s="10">
        <v>27172</v>
      </c>
      <c r="C16" s="14">
        <f t="shared" si="2"/>
        <v>917</v>
      </c>
      <c r="D16" s="11">
        <v>1032361</v>
      </c>
      <c r="E16" s="14">
        <f t="shared" si="13"/>
        <v>316</v>
      </c>
      <c r="F16" s="27">
        <v>1704</v>
      </c>
      <c r="G16" s="67">
        <f t="shared" si="4"/>
        <v>0</v>
      </c>
      <c r="H16" s="69">
        <f t="shared" si="5"/>
        <v>1233</v>
      </c>
      <c r="I16" s="73">
        <f t="shared" si="6"/>
        <v>-44835.799999999996</v>
      </c>
      <c r="J16" s="32">
        <f t="shared" si="0"/>
        <v>-1234</v>
      </c>
      <c r="K16" s="20">
        <f t="shared" si="7"/>
        <v>46068</v>
      </c>
      <c r="L16" s="33">
        <v>4622</v>
      </c>
      <c r="M16" s="31">
        <v>0</v>
      </c>
      <c r="N16" s="32">
        <f t="shared" si="8"/>
        <v>0</v>
      </c>
      <c r="O16" s="85">
        <v>0.6</v>
      </c>
      <c r="P16" s="86">
        <v>0.65</v>
      </c>
      <c r="Q16" s="85">
        <v>0.2</v>
      </c>
      <c r="R16" s="86">
        <v>0.3</v>
      </c>
      <c r="S16" s="38">
        <f t="shared" si="9"/>
        <v>3375</v>
      </c>
      <c r="T16" s="123"/>
      <c r="U16" s="32">
        <f t="shared" si="10"/>
        <v>25</v>
      </c>
      <c r="V16" s="41">
        <v>40000</v>
      </c>
      <c r="W16" s="32">
        <f t="shared" si="1"/>
        <v>0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0</v>
      </c>
      <c r="AD16" s="18">
        <v>0</v>
      </c>
    </row>
    <row r="17" spans="1:30" ht="20.65" customHeight="1" x14ac:dyDescent="0.2">
      <c r="A17" s="19">
        <v>46069</v>
      </c>
      <c r="B17" s="10">
        <v>28089</v>
      </c>
      <c r="C17" s="14" t="str">
        <f t="shared" si="2"/>
        <v>0</v>
      </c>
      <c r="D17" s="11">
        <v>1032677</v>
      </c>
      <c r="E17" s="14" t="str">
        <f t="shared" si="1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-46069.799999999996</v>
      </c>
      <c r="J17" s="32">
        <f t="shared" si="0"/>
        <v>-0.20000000000436557</v>
      </c>
      <c r="K17" s="20">
        <f t="shared" si="7"/>
        <v>46069</v>
      </c>
      <c r="L17" s="33">
        <v>4622</v>
      </c>
      <c r="M17" s="31">
        <v>0</v>
      </c>
      <c r="N17" s="32" t="str">
        <f t="shared" si="8"/>
        <v>0</v>
      </c>
      <c r="O17" s="85">
        <v>0.6</v>
      </c>
      <c r="P17" s="86">
        <v>0.64</v>
      </c>
      <c r="Q17" s="85">
        <v>0.2</v>
      </c>
      <c r="R17" s="86">
        <v>0.3</v>
      </c>
      <c r="S17" s="38">
        <f t="shared" si="9"/>
        <v>3350</v>
      </c>
      <c r="T17" s="123"/>
      <c r="U17" s="32" t="str">
        <f t="shared" si="10"/>
        <v>0</v>
      </c>
      <c r="V17" s="41">
        <v>40000</v>
      </c>
      <c r="W17" s="32" t="str">
        <f t="shared" si="1"/>
        <v>0</v>
      </c>
      <c r="X17" s="44">
        <v>61265</v>
      </c>
      <c r="Y17" s="14" t="str">
        <f t="shared" si="11"/>
        <v>0</v>
      </c>
      <c r="Z17" s="47">
        <v>2405</v>
      </c>
      <c r="AA17" s="52"/>
      <c r="AB17" s="32" t="str">
        <f t="shared" si="12"/>
        <v>0</v>
      </c>
      <c r="AC17" s="13">
        <v>0</v>
      </c>
      <c r="AD17" s="18">
        <v>0</v>
      </c>
    </row>
    <row r="18" spans="1:30" ht="20.65" customHeight="1" x14ac:dyDescent="0.2">
      <c r="A18" s="19">
        <v>46070</v>
      </c>
      <c r="B18" s="10"/>
      <c r="C18" s="14">
        <f t="shared" si="2"/>
        <v>0</v>
      </c>
      <c r="D18" s="11"/>
      <c r="E18" s="14">
        <f t="shared" si="1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-46070</v>
      </c>
      <c r="J18" s="32">
        <f t="shared" si="0"/>
        <v>-1</v>
      </c>
      <c r="K18" s="20">
        <f t="shared" si="7"/>
        <v>46070</v>
      </c>
      <c r="L18" s="33"/>
      <c r="M18" s="31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46071</v>
      </c>
      <c r="B19" s="10"/>
      <c r="C19" s="14">
        <f t="shared" si="2"/>
        <v>0</v>
      </c>
      <c r="D19" s="11"/>
      <c r="E19" s="14">
        <f t="shared" si="1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-46071</v>
      </c>
      <c r="J19" s="32">
        <f t="shared" si="0"/>
        <v>-1</v>
      </c>
      <c r="K19" s="20">
        <f t="shared" si="7"/>
        <v>46071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46072</v>
      </c>
      <c r="B20" s="10"/>
      <c r="C20" s="14">
        <f t="shared" si="2"/>
        <v>0</v>
      </c>
      <c r="D20" s="11"/>
      <c r="E20" s="14">
        <f t="shared" si="1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-46072</v>
      </c>
      <c r="J20" s="32">
        <f t="shared" si="0"/>
        <v>-1</v>
      </c>
      <c r="K20" s="20">
        <f t="shared" si="7"/>
        <v>46072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46073</v>
      </c>
      <c r="B21" s="10"/>
      <c r="C21" s="14">
        <f t="shared" si="2"/>
        <v>0</v>
      </c>
      <c r="D21" s="11"/>
      <c r="E21" s="14">
        <f t="shared" si="1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-46073</v>
      </c>
      <c r="J21" s="32">
        <f t="shared" si="0"/>
        <v>-1</v>
      </c>
      <c r="K21" s="20">
        <f t="shared" si="7"/>
        <v>46073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46074</v>
      </c>
      <c r="B22" s="10"/>
      <c r="C22" s="14">
        <f t="shared" si="2"/>
        <v>0</v>
      </c>
      <c r="D22" s="11"/>
      <c r="E22" s="14">
        <f t="shared" si="1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-46074</v>
      </c>
      <c r="J22" s="32">
        <f t="shared" si="0"/>
        <v>-1</v>
      </c>
      <c r="K22" s="20">
        <f t="shared" si="7"/>
        <v>46074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46075</v>
      </c>
      <c r="B23" s="10"/>
      <c r="C23" s="14">
        <f t="shared" si="2"/>
        <v>0</v>
      </c>
      <c r="D23" s="11"/>
      <c r="E23" s="14">
        <f t="shared" si="1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-46075</v>
      </c>
      <c r="J23" s="32">
        <f t="shared" si="0"/>
        <v>-1</v>
      </c>
      <c r="K23" s="20">
        <f t="shared" si="7"/>
        <v>46075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46076</v>
      </c>
      <c r="B24" s="10"/>
      <c r="C24" s="14">
        <f t="shared" si="2"/>
        <v>0</v>
      </c>
      <c r="D24" s="11"/>
      <c r="E24" s="14">
        <f t="shared" si="1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-46076</v>
      </c>
      <c r="J24" s="32">
        <f t="shared" si="0"/>
        <v>-1</v>
      </c>
      <c r="K24" s="20">
        <f t="shared" si="7"/>
        <v>46076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46077</v>
      </c>
      <c r="B25" s="10"/>
      <c r="C25" s="14">
        <f t="shared" si="2"/>
        <v>0</v>
      </c>
      <c r="D25" s="11"/>
      <c r="E25" s="14">
        <f t="shared" si="1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-46077</v>
      </c>
      <c r="J25" s="32">
        <f t="shared" si="0"/>
        <v>-1</v>
      </c>
      <c r="K25" s="20">
        <f t="shared" si="7"/>
        <v>46077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46078</v>
      </c>
      <c r="B26" s="10"/>
      <c r="C26" s="14">
        <f t="shared" si="2"/>
        <v>0</v>
      </c>
      <c r="D26" s="11"/>
      <c r="E26" s="14">
        <f t="shared" si="1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-46078</v>
      </c>
      <c r="J26" s="32">
        <f t="shared" si="0"/>
        <v>-1</v>
      </c>
      <c r="K26" s="20">
        <f t="shared" si="7"/>
        <v>46078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46079</v>
      </c>
      <c r="B27" s="10"/>
      <c r="C27" s="14">
        <f t="shared" si="2"/>
        <v>0</v>
      </c>
      <c r="D27" s="11"/>
      <c r="E27" s="14">
        <f t="shared" si="1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-46079</v>
      </c>
      <c r="J27" s="32">
        <f t="shared" si="0"/>
        <v>-1</v>
      </c>
      <c r="K27" s="20">
        <f t="shared" si="7"/>
        <v>46079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46080</v>
      </c>
      <c r="B28" s="10"/>
      <c r="C28" s="14">
        <f t="shared" si="2"/>
        <v>0</v>
      </c>
      <c r="D28" s="11"/>
      <c r="E28" s="14">
        <f t="shared" si="1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-46080</v>
      </c>
      <c r="J28" s="32">
        <f t="shared" si="0"/>
        <v>-1</v>
      </c>
      <c r="K28" s="20">
        <f t="shared" si="7"/>
        <v>46080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thickBot="1" x14ac:dyDescent="0.25">
      <c r="A29" s="19">
        <v>46081</v>
      </c>
      <c r="B29" s="10"/>
      <c r="C29" s="14">
        <f t="shared" si="2"/>
        <v>0</v>
      </c>
      <c r="D29" s="11"/>
      <c r="E29" s="14">
        <f t="shared" si="13"/>
        <v>0</v>
      </c>
      <c r="F29" s="27">
        <v>1704</v>
      </c>
      <c r="G29" s="67">
        <f t="shared" si="4"/>
        <v>0</v>
      </c>
      <c r="H29" s="69">
        <f t="shared" ref="H29" si="14">C29+E29-G29</f>
        <v>0</v>
      </c>
      <c r="I29" s="73">
        <f t="shared" ref="I29" si="15">H29-K29-M29-O29-Q29</f>
        <v>-46081</v>
      </c>
      <c r="J29" s="32">
        <f t="shared" si="0"/>
        <v>46081</v>
      </c>
      <c r="K29" s="20">
        <f t="shared" si="7"/>
        <v>46081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ref="S29" si="16">(2500*O29)+(2500*P29)+(500*Q29)+(500*R29)</f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thickTop="1" thickBot="1" x14ac:dyDescent="0.25">
      <c r="A30" s="19">
        <v>46082</v>
      </c>
      <c r="B30" s="53"/>
      <c r="C30" s="63"/>
      <c r="D30" s="62"/>
      <c r="E30" s="63"/>
      <c r="F30" s="27">
        <v>1704</v>
      </c>
      <c r="G30" s="56"/>
      <c r="H30" s="71"/>
      <c r="I30" s="64"/>
      <c r="J30" s="63"/>
      <c r="K30" s="61">
        <f t="shared" si="7"/>
        <v>46082</v>
      </c>
      <c r="L30" s="49"/>
      <c r="M30" s="65">
        <v>0</v>
      </c>
      <c r="N30" s="32" t="str">
        <f t="shared" si="8"/>
        <v>0</v>
      </c>
      <c r="O30" s="87"/>
      <c r="P30" s="88"/>
      <c r="Q30" s="87"/>
      <c r="R30" s="88"/>
      <c r="S30" s="38">
        <f t="shared" si="9"/>
        <v>0</v>
      </c>
      <c r="T30" s="54"/>
      <c r="U30" s="63"/>
      <c r="V30" s="60"/>
      <c r="W30" s="63"/>
      <c r="X30" s="59"/>
      <c r="Y30" s="63"/>
      <c r="Z30" s="58"/>
      <c r="AA30" s="55"/>
      <c r="AB30" s="56"/>
      <c r="AC30" s="57"/>
      <c r="AD30" s="57"/>
    </row>
    <row r="31" spans="1:30" s="81" customFormat="1" ht="10.5" thickTop="1" x14ac:dyDescent="0.2">
      <c r="A31" s="75"/>
      <c r="B31" s="75"/>
      <c r="C31" s="76">
        <f>SUM(C2:C30)</f>
        <v>12751</v>
      </c>
      <c r="D31" s="77"/>
      <c r="E31" s="76">
        <f>SUM(E2:E30)</f>
        <v>9152</v>
      </c>
      <c r="F31" s="78"/>
      <c r="G31" s="76">
        <f>SUM(G2:G30)</f>
        <v>0</v>
      </c>
      <c r="H31" s="77">
        <f>SUM(H2:H30)</f>
        <v>21903</v>
      </c>
      <c r="I31" s="76">
        <f>SUM(I2:I29)</f>
        <v>-1268000</v>
      </c>
      <c r="J31" s="76">
        <f>SUM(J2:J30)</f>
        <v>44846.829999999994</v>
      </c>
      <c r="K31" s="75"/>
      <c r="L31" s="77"/>
      <c r="M31" s="77"/>
      <c r="N31" s="76">
        <f>SUM(N2:N30)</f>
        <v>0</v>
      </c>
      <c r="O31" s="75"/>
      <c r="P31" s="75"/>
      <c r="Q31" s="75"/>
      <c r="R31" s="75"/>
      <c r="S31" s="75"/>
      <c r="T31" s="77">
        <f>SUM(T2:T30)</f>
        <v>0</v>
      </c>
      <c r="U31" s="76">
        <f>SUM(U2:U30)</f>
        <v>100</v>
      </c>
      <c r="V31" s="75"/>
      <c r="W31" s="76">
        <f>SUM(W2:W30)</f>
        <v>0</v>
      </c>
      <c r="X31" s="75"/>
      <c r="Y31" s="76">
        <f>SUM(Y2:Y30)</f>
        <v>0</v>
      </c>
      <c r="Z31" s="75"/>
      <c r="AA31" s="75">
        <f>SUM(AA2:AA30)</f>
        <v>0</v>
      </c>
      <c r="AB31" s="76">
        <f>SUM(AB2:AB30)</f>
        <v>0</v>
      </c>
      <c r="AC31" s="79">
        <f>SUM(AC2:AC30)</f>
        <v>0</v>
      </c>
      <c r="AD31" s="80">
        <f>SUM(AD2:AD30)</f>
        <v>0</v>
      </c>
    </row>
    <row r="32" spans="1:30" x14ac:dyDescent="0.2">
      <c r="A32" s="1"/>
      <c r="B32" s="1"/>
      <c r="D32" s="4"/>
      <c r="K32" s="1"/>
      <c r="O32" s="1"/>
      <c r="P32" s="1"/>
      <c r="Q32" s="1"/>
      <c r="R32" s="1"/>
      <c r="S32" s="1"/>
      <c r="V32" s="1"/>
      <c r="X32" s="1"/>
      <c r="Z32" s="6"/>
      <c r="AA32" s="6"/>
      <c r="AC32" s="2"/>
      <c r="AD32" s="2"/>
    </row>
    <row r="33" spans="1:30" x14ac:dyDescent="0.2">
      <c r="A33" s="1"/>
      <c r="B33" s="1"/>
      <c r="D33" s="4"/>
      <c r="K33" s="1"/>
      <c r="O33" s="1"/>
      <c r="P33" s="1"/>
      <c r="Q33" s="1"/>
      <c r="R33" s="1"/>
      <c r="S33" s="1"/>
      <c r="V33" s="1"/>
      <c r="X33" s="1"/>
      <c r="Z33" s="6"/>
      <c r="AA33" s="6"/>
      <c r="AC33" s="2"/>
      <c r="AD33" s="2"/>
    </row>
    <row r="34" spans="1:30" x14ac:dyDescent="0.2">
      <c r="A34" s="1"/>
      <c r="B34" s="1"/>
      <c r="D34" s="4"/>
      <c r="H34" s="70"/>
      <c r="I34" s="70"/>
      <c r="J34" s="50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  <row r="62" spans="4:4" x14ac:dyDescent="0.2">
      <c r="D62" s="4"/>
    </row>
    <row r="63" spans="4:4" x14ac:dyDescent="0.2">
      <c r="D63" s="4"/>
    </row>
    <row r="64" spans="4:4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February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2026-02-16T08:01:26Z</dcterms:modified>
  <cp:category/>
  <cp:contentStatus/>
</cp:coreProperties>
</file>