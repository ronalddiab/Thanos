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08" documentId="8_{9B439D3B-B023-4087-B27B-CB56FE35C246}" xr6:coauthVersionLast="47" xr6:coauthVersionMax="47" xr10:uidLastSave="{E25D51CC-BC6F-49F8-B6AC-A576F65EB3F9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AB45" i="3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N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H43" i="3" l="1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3" i="3"/>
  <c r="V45" i="3" s="1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<sst xmlns="http://schemas.openxmlformats.org/spreadsheetml/2006/main" count="91" uniqueCount="53">
  <si>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</si>
  <si>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</si>
  <si>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</si>
  <si>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</si>
  <si>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</si>
  <si>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</si>
  <si>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</si>
  <si>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</si>
  <si>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</si>
  <si>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</si>
  <si>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</si>
  <si>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</si>
  <si>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</si>
  <si>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</si>
  <si>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</si>
  <si>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</si>
  <si>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MARCH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</si>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</sst>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6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0" fontId="23" fillId="0" borderId="11" xfId="0" applyFont="1" applyBorder="1" applyAlignment="1">
      <alignment horizontal="right"/>
    </xf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4" fontId="25" fillId="0" borderId="0" xfId="0" applyNumberFormat="1" applyFont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3</v>
      </c>
      <c r="D2" s="97">
        <v>2018</v>
      </c>
      <c r="E2" s="99">
        <f>'Localize Daily Bali Jimbaran'!P7</f>
        <v>13380.000000012842</v>
      </c>
      <c r="F2" s="100">
        <f>'Localize Daily Bali Jimbaran'!O7/'Localize Daily Bali Jimbaran'!P7</f>
        <v>1250.1353677129409</v>
      </c>
      <c r="G2" s="99">
        <f>'Localize Daily Bali Jimbaran'!AC7</f>
        <v>172.76091999999764</v>
      </c>
      <c r="H2" s="100">
        <f>'Localize Daily Bali Jimbaran'!AD7/'Localize Daily Bali Jimbaran'!AC7</f>
        <v>10153</v>
      </c>
      <c r="I2" s="99">
        <f>'Localize Daily Bali Jimbaran'!AH7</f>
        <v>570.09999999994761</v>
      </c>
      <c r="J2" s="101">
        <f>'Localize Daily Bali Jimbaran'!AI7/'Localize Daily Bali Jimbaran'!AH7</f>
        <v>8700</v>
      </c>
      <c r="K2" s="99">
        <f>'Localize Daily Bali Jimbaran'!Q7</f>
        <v>603</v>
      </c>
      <c r="L2" s="100">
        <f>'Localize Daily Bali Jimbaran'!V7/'Localize Daily Bali Jimbaran'!Q7</f>
        <v>8632.0656716417907</v>
      </c>
      <c r="M2" s="99">
        <f>'Localize Daily Bali Jimbaran'!C7</f>
        <v>28</v>
      </c>
      <c r="N2" s="99">
        <f>'Localize Daily Bali Jimbaran'!D7</f>
        <v>254</v>
      </c>
    </row>
    <row r="3" spans="1:14" ht="15">
      <c r="A3" s="96" t="s">
        <v>14</v>
      </c>
      <c r="B3" s="97">
        <v>2</v>
      </c>
      <c r="C3" s="98">
        <v>3</v>
      </c>
      <c r="D3" s="97">
        <v>2018</v>
      </c>
      <c r="E3" s="99">
        <f>'Localize Daily Bali Jimbaran'!P8</f>
        <v>24499.999999986245</v>
      </c>
      <c r="F3" s="100">
        <f>'Localize Daily Bali Jimbaran'!O8/'Localize Daily Bali Jimbaran'!P8</f>
        <v>1181.6770114286269</v>
      </c>
      <c r="G3" s="99">
        <f>'Localize Daily Bali Jimbaran'!AC8</f>
        <v>264.73904000000118</v>
      </c>
      <c r="H3" s="100">
        <f>'Localize Daily Bali Jimbaran'!AD8/'Localize Daily Bali Jimbaran'!AC8</f>
        <v>11180.102009586491</v>
      </c>
      <c r="I3" s="99">
        <f>'Localize Daily Bali Jimbaran'!AH8</f>
        <v>511.9999999999709</v>
      </c>
      <c r="J3" s="101">
        <f>'Localize Daily Bali Jimbaran'!AI8/'Localize Daily Bali Jimbaran'!AH8</f>
        <v>8700</v>
      </c>
      <c r="K3" s="99">
        <f>'Localize Daily Bali Jimbaran'!Q8</f>
        <v>515</v>
      </c>
      <c r="L3" s="100">
        <f>'Localize Daily Bali Jimbaran'!V8/'Localize Daily Bali Jimbaran'!Q8</f>
        <v>6674.5530873786402</v>
      </c>
      <c r="M3" s="99">
        <f>'Localize Daily Bali Jimbaran'!C8</f>
        <v>25</v>
      </c>
      <c r="N3" s="99">
        <f>'Localize Daily Bali Jimbaran'!D8</f>
        <v>377</v>
      </c>
    </row>
    <row r="4" spans="1:14" ht="15">
      <c r="A4" s="96" t="s">
        <v>14</v>
      </c>
      <c r="B4" s="97">
        <v>3</v>
      </c>
      <c r="C4" s="98">
        <v>3</v>
      </c>
      <c r="D4" s="97">
        <v>2018</v>
      </c>
      <c r="E4" s="99">
        <f>'Localize Daily Bali Jimbaran'!P9</f>
        <v>24900.00000002408</v>
      </c>
      <c r="F4" s="100">
        <f>'Localize Daily Bali Jimbaran'!O9/'Localize Daily Bali Jimbaran'!P9</f>
        <v>1179.291686746863</v>
      </c>
      <c r="G4" s="99">
        <f>'Localize Daily Bali Jimbaran'!AC9</f>
        <v>101.29732000000936</v>
      </c>
      <c r="H4" s="100">
        <f>'Localize Daily Bali Jimbaran'!AD9/'Localize Daily Bali Jimbaran'!AC9</f>
        <v>10501.755524825305</v>
      </c>
      <c r="I4" s="99">
        <f>'Localize Daily Bali Jimbaran'!AH9</f>
        <v>456.9999999999709</v>
      </c>
      <c r="J4" s="101">
        <f>'Localize Daily Bali Jimbaran'!AI9/'Localize Daily Bali Jimbaran'!AH9</f>
        <v>8700</v>
      </c>
      <c r="K4" s="99">
        <f>'Localize Daily Bali Jimbaran'!Q9</f>
        <v>635</v>
      </c>
      <c r="L4" s="100">
        <f>'Localize Daily Bali Jimbaran'!V9/'Localize Daily Bali Jimbaran'!Q9</f>
        <v>9438.0627401574802</v>
      </c>
      <c r="M4" s="99">
        <f>'Localize Daily Bali Jimbaran'!C9</f>
        <v>28</v>
      </c>
      <c r="N4" s="99">
        <f>'Localize Daily Bali Jimbaran'!D9</f>
        <v>229</v>
      </c>
    </row>
    <row r="5" spans="1:14" ht="15">
      <c r="A5" s="96" t="s">
        <v>14</v>
      </c>
      <c r="B5" s="97">
        <v>4</v>
      </c>
      <c r="C5" s="98">
        <v>3</v>
      </c>
      <c r="D5" s="97">
        <v>2018</v>
      </c>
      <c r="E5" s="99">
        <f>'Localize Daily Bali Jimbaran'!P10</f>
        <v>25299.999999984266</v>
      </c>
      <c r="F5" s="100">
        <f>'Localize Daily Bali Jimbaran'!O10/'Localize Daily Bali Jimbaran'!P10</f>
        <v>1180.8506098815233</v>
      </c>
      <c r="G5" s="99">
        <f>'Localize Daily Bali Jimbaran'!AC10</f>
        <v>400</v>
      </c>
      <c r="H5" s="100">
        <f>'Localize Daily Bali Jimbaran'!AD10/'Localize Daily Bali Jimbaran'!AC10</f>
        <v>11170</v>
      </c>
      <c r="I5" s="99">
        <f>'Localize Daily Bali Jimbaran'!AH10</f>
        <v>550.60000000012224</v>
      </c>
      <c r="J5" s="101">
        <f>'Localize Daily Bali Jimbaran'!AI10/'Localize Daily Bali Jimbaran'!AH10</f>
        <v>8700</v>
      </c>
      <c r="K5" s="99">
        <f>'Localize Daily Bali Jimbaran'!Q10</f>
        <v>706</v>
      </c>
      <c r="L5" s="100">
        <f>'Localize Daily Bali Jimbaran'!V10/'Localize Daily Bali Jimbaran'!Q10</f>
        <v>9994.4251274787548</v>
      </c>
      <c r="M5" s="99">
        <f>'Localize Daily Bali Jimbaran'!C10</f>
        <v>43</v>
      </c>
      <c r="N5" s="99">
        <f>'Localize Daily Bali Jimbaran'!D10</f>
        <v>307</v>
      </c>
    </row>
    <row r="6" spans="1:14" ht="15">
      <c r="A6" s="96" t="s">
        <v>14</v>
      </c>
      <c r="B6" s="97">
        <v>5</v>
      </c>
      <c r="C6" s="98">
        <v>3</v>
      </c>
      <c r="D6" s="97">
        <v>2018</v>
      </c>
      <c r="E6" s="99">
        <f>'Localize Daily Bali Jimbaran'!P11</f>
        <v>25320.000000014603</v>
      </c>
      <c r="F6" s="100">
        <f>'Localize Daily Bali Jimbaran'!O11/'Localize Daily Bali Jimbaran'!P11</f>
        <v>1181.2064573458788</v>
      </c>
      <c r="G6" s="99">
        <f>'Localize Daily Bali Jimbaran'!AC11</f>
        <v>234.57916000000466</v>
      </c>
      <c r="H6" s="100">
        <f>'Localize Daily Bali Jimbaran'!AD11/'Localize Daily Bali Jimbaran'!AC11</f>
        <v>10896.876821794385</v>
      </c>
      <c r="I6" s="99">
        <f>'Localize Daily Bali Jimbaran'!AH11</f>
        <v>123.99999999994179</v>
      </c>
      <c r="J6" s="101">
        <f>'Localize Daily Bali Jimbaran'!AI11/'Localize Daily Bali Jimbaran'!AH11</f>
        <v>8700</v>
      </c>
      <c r="K6" s="99">
        <f>'Localize Daily Bali Jimbaran'!Q11</f>
        <v>744</v>
      </c>
      <c r="L6" s="100">
        <f>'Localize Daily Bali Jimbaran'!V11/'Localize Daily Bali Jimbaran'!Q11</f>
        <v>9811.3470967741941</v>
      </c>
      <c r="M6" s="99">
        <f>'Localize Daily Bali Jimbaran'!C11</f>
        <v>66</v>
      </c>
      <c r="N6" s="99">
        <f>'Localize Daily Bali Jimbaran'!D11</f>
        <v>409</v>
      </c>
    </row>
    <row r="7" spans="1:14" ht="15">
      <c r="A7" s="96" t="s">
        <v>14</v>
      </c>
      <c r="B7" s="97">
        <v>6</v>
      </c>
      <c r="C7" s="98">
        <v>3</v>
      </c>
      <c r="D7" s="97">
        <v>2018</v>
      </c>
      <c r="E7" s="99">
        <f>'Localize Daily Bali Jimbaran'!P12</f>
        <v>25519.999999991796</v>
      </c>
      <c r="F7" s="100">
        <f>'Localize Daily Bali Jimbaran'!O12/'Localize Daily Bali Jimbaran'!P12</f>
        <v>1183.0296018809283</v>
      </c>
      <c r="G7" s="99">
        <f>'Localize Daily Bali Jimbaran'!AC12</f>
        <v>97.232479999984747</v>
      </c>
      <c r="H7" s="100">
        <f>'Localize Daily Bali Jimbaran'!AD12/'Localize Daily Bali Jimbaran'!AC12</f>
        <v>10334.667689644477</v>
      </c>
      <c r="I7" s="99">
        <f>'Localize Daily Bali Jimbaran'!AH12</f>
        <v>507.79999999998836</v>
      </c>
      <c r="J7" s="101">
        <f>'Localize Daily Bali Jimbaran'!AI12/'Localize Daily Bali Jimbaran'!AH12</f>
        <v>8700</v>
      </c>
      <c r="K7" s="99">
        <f>'Localize Daily Bali Jimbaran'!Q12</f>
        <v>729</v>
      </c>
      <c r="L7" s="100">
        <f>'Localize Daily Bali Jimbaran'!V12/'Localize Daily Bali Jimbaran'!Q12</f>
        <v>9625.2095473251029</v>
      </c>
      <c r="M7" s="99">
        <f>'Localize Daily Bali Jimbaran'!C12</f>
        <v>66</v>
      </c>
      <c r="N7" s="99">
        <f>'Localize Daily Bali Jimbaran'!D12</f>
        <v>309</v>
      </c>
    </row>
    <row r="8" spans="1:14" ht="15">
      <c r="A8" s="96" t="s">
        <v>14</v>
      </c>
      <c r="B8" s="97">
        <v>7</v>
      </c>
      <c r="C8" s="98">
        <v>3</v>
      </c>
      <c r="D8" s="97">
        <v>2018</v>
      </c>
      <c r="E8" s="99">
        <f>'Localize Daily Bali Jimbaran'!P13</f>
        <v>25999.999999989996</v>
      </c>
      <c r="F8" s="100">
        <f>'Localize Daily Bali Jimbaran'!O13/'Localize Daily Bali Jimbaran'!P13</f>
        <v>1182.5221396154393</v>
      </c>
      <c r="G8" s="99">
        <f>'Localize Daily Bali Jimbaran'!AC13</f>
        <v>89.461880000025786</v>
      </c>
      <c r="H8" s="100">
        <f>'Localize Daily Bali Jimbaran'!AD13/'Localize Daily Bali Jimbaran'!AC13</f>
        <v>10153</v>
      </c>
      <c r="I8" s="99">
        <f>'Localize Daily Bali Jimbaran'!AH13</f>
        <v>792.10000000006971</v>
      </c>
      <c r="J8" s="101">
        <f>'Localize Daily Bali Jimbaran'!AI13/'Localize Daily Bali Jimbaran'!AH13</f>
        <v>8700</v>
      </c>
      <c r="K8" s="99">
        <f>'Localize Daily Bali Jimbaran'!Q13</f>
        <v>519.09999999999854</v>
      </c>
      <c r="L8" s="100">
        <f>'Localize Daily Bali Jimbaran'!V13/'Localize Daily Bali Jimbaran'!Q13</f>
        <v>11659.201271431344</v>
      </c>
      <c r="M8" s="99">
        <f>'Localize Daily Bali Jimbaran'!C13</f>
        <v>67</v>
      </c>
      <c r="N8" s="99">
        <f>'Localize Daily Bali Jimbaran'!D13</f>
        <v>477</v>
      </c>
    </row>
    <row r="9" spans="1:14" ht="15">
      <c r="A9" s="96" t="s">
        <v>14</v>
      </c>
      <c r="B9" s="97">
        <v>8</v>
      </c>
      <c r="C9" s="98">
        <v>3</v>
      </c>
      <c r="D9" s="97">
        <v>2018</v>
      </c>
      <c r="E9" s="99">
        <f>'Localize Daily Bali Jimbaran'!P14</f>
        <v>25220.000000006508</v>
      </c>
      <c r="F9" s="100">
        <f>'Localize Daily Bali Jimbaran'!O14/'Localize Daily Bali Jimbaran'!P14</f>
        <v>1172.0906193496899</v>
      </c>
      <c r="G9" s="99">
        <f>'Localize Daily Bali Jimbaran'!AC14</f>
        <v>334.5074399999836</v>
      </c>
      <c r="H9" s="100">
        <f>'Localize Daily Bali Jimbaran'!AD14/'Localize Daily Bali Jimbaran'!AC14</f>
        <v>10913.072780444023</v>
      </c>
      <c r="I9" s="99">
        <f>'Localize Daily Bali Jimbaran'!AH14</f>
        <v>523.49999999991269</v>
      </c>
      <c r="J9" s="101">
        <f>'Localize Daily Bali Jimbaran'!AI14/'Localize Daily Bali Jimbaran'!AH14</f>
        <v>8700</v>
      </c>
      <c r="K9" s="99">
        <f>'Localize Daily Bali Jimbaran'!Q14</f>
        <v>549</v>
      </c>
      <c r="L9" s="100">
        <f>'Localize Daily Bali Jimbaran'!V14/'Localize Daily Bali Jimbaran'!Q14</f>
        <v>11035.445792349727</v>
      </c>
      <c r="M9" s="99">
        <f>'Localize Daily Bali Jimbaran'!C14</f>
        <v>30</v>
      </c>
      <c r="N9" s="99">
        <f>'Localize Daily Bali Jimbaran'!D14</f>
        <v>454</v>
      </c>
    </row>
    <row r="10" spans="1:14" ht="15">
      <c r="A10" s="96" t="s">
        <v>14</v>
      </c>
      <c r="B10" s="97">
        <v>9</v>
      </c>
      <c r="C10" s="98">
        <v>3</v>
      </c>
      <c r="D10" s="97">
        <v>2018</v>
      </c>
      <c r="E10" s="99">
        <f>'Localize Daily Bali Jimbaran'!P15</f>
        <v>24099.999999999454</v>
      </c>
      <c r="F10" s="100">
        <f>'Localize Daily Bali Jimbaran'!O15/'Localize Daily Bali Jimbaran'!P15</f>
        <v>1182.7876966804852</v>
      </c>
      <c r="G10" s="99">
        <f>'Localize Daily Bali Jimbaran'!AC15</f>
        <v>502.10636000001057</v>
      </c>
      <c r="H10" s="100">
        <f>'Localize Daily Bali Jimbaran'!AD15/'Localize Daily Bali Jimbaran'!AC15</f>
        <v>10998.366706767049</v>
      </c>
      <c r="I10" s="99">
        <f>'Localize Daily Bali Jimbaran'!AH15</f>
        <v>298.20000000006985</v>
      </c>
      <c r="J10" s="101">
        <f>'Localize Daily Bali Jimbaran'!AI15/'Localize Daily Bali Jimbaran'!AH15</f>
        <v>8700</v>
      </c>
      <c r="K10" s="99">
        <f>'Localize Daily Bali Jimbaran'!Q15</f>
        <v>491</v>
      </c>
      <c r="L10" s="100">
        <f>'Localize Daily Bali Jimbaran'!V15/'Localize Daily Bali Jimbaran'!Q15</f>
        <v>12574.977922606924</v>
      </c>
      <c r="M10" s="99">
        <f>'Localize Daily Bali Jimbaran'!C15</f>
        <v>36</v>
      </c>
      <c r="N10" s="99">
        <f>'Localize Daily Bali Jimbaran'!D15</f>
        <v>369</v>
      </c>
    </row>
    <row r="11" spans="1:14" ht="15">
      <c r="A11" s="96" t="s">
        <v>14</v>
      </c>
      <c r="B11" s="97">
        <v>10</v>
      </c>
      <c r="C11" s="98">
        <v>3</v>
      </c>
      <c r="D11" s="97">
        <v>2018</v>
      </c>
      <c r="E11" s="99">
        <f>'Localize Daily Bali Jimbaran'!P16</f>
        <v>25080.000000000269</v>
      </c>
      <c r="F11" s="100">
        <f>'Localize Daily Bali Jimbaran'!O16/'Localize Daily Bali Jimbaran'!P16</f>
        <v>1183.4034294258156</v>
      </c>
      <c r="G11" s="99">
        <f>'Localize Daily Bali Jimbaran'!AC16</f>
        <v>101.8243999999824</v>
      </c>
      <c r="H11" s="100">
        <f>'Localize Daily Bali Jimbaran'!AD16/'Localize Daily Bali Jimbaran'!AC16</f>
        <v>10326.475119912348</v>
      </c>
      <c r="I11" s="99">
        <f>'Localize Daily Bali Jimbaran'!AH16</f>
        <v>196.29999999990105</v>
      </c>
      <c r="J11" s="101">
        <f>'Localize Daily Bali Jimbaran'!AI16/'Localize Daily Bali Jimbaran'!AH16</f>
        <v>8700</v>
      </c>
      <c r="K11" s="99">
        <f>'Localize Daily Bali Jimbaran'!Q16</f>
        <v>1021.6999999999971</v>
      </c>
      <c r="L11" s="100">
        <f>'Localize Daily Bali Jimbaran'!V16/'Localize Daily Bali Jimbaran'!Q16</f>
        <v>8541.0567877067733</v>
      </c>
      <c r="M11" s="99">
        <f>'Localize Daily Bali Jimbaran'!C16</f>
        <v>44</v>
      </c>
      <c r="N11" s="99">
        <f>'Localize Daily Bali Jimbaran'!D16</f>
        <v>371</v>
      </c>
    </row>
    <row r="12" spans="1:14" ht="15">
      <c r="A12" s="96" t="s">
        <v>14</v>
      </c>
      <c r="B12" s="97">
        <v>11</v>
      </c>
      <c r="C12" s="98">
        <v>3</v>
      </c>
      <c r="D12" s="97">
        <v>2018</v>
      </c>
      <c r="E12" s="99">
        <f>'Localize Daily Bali Jimbaran'!P17</f>
        <v>24080.000000001291</v>
      </c>
      <c r="F12" s="100">
        <f>'Localize Daily Bali Jimbaran'!O17/'Localize Daily Bali Jimbaran'!P17</f>
        <v>1181.5118372093248</v>
      </c>
      <c r="G12" s="99">
        <f>'Localize Daily Bali Jimbaran'!AC17</f>
        <v>158.42687999999646</v>
      </c>
      <c r="H12" s="100">
        <f>'Localize Daily Bali Jimbaran'!AD17/'Localize Daily Bali Jimbaran'!AC17</f>
        <v>10696.960721816917</v>
      </c>
      <c r="I12" s="99">
        <f>'Localize Daily Bali Jimbaran'!AH17</f>
        <v>70.900000000110595</v>
      </c>
      <c r="J12" s="101">
        <f>'Localize Daily Bali Jimbaran'!AI17/'Localize Daily Bali Jimbaran'!AH17</f>
        <v>8700</v>
      </c>
      <c r="K12" s="99">
        <f>'Localize Daily Bali Jimbaran'!Q17</f>
        <v>781.30000000000291</v>
      </c>
      <c r="L12" s="100">
        <f>'Localize Daily Bali Jimbaran'!V17/'Localize Daily Bali Jimbaran'!Q17</f>
        <v>9463.1126071931212</v>
      </c>
      <c r="M12" s="99">
        <f>'Localize Daily Bali Jimbaran'!C17</f>
        <v>43</v>
      </c>
      <c r="N12" s="99">
        <f>'Localize Daily Bali Jimbaran'!D17</f>
        <v>388</v>
      </c>
    </row>
    <row r="13" spans="1:14" ht="15">
      <c r="A13" s="96" t="s">
        <v>14</v>
      </c>
      <c r="B13" s="97">
        <v>12</v>
      </c>
      <c r="C13" s="98">
        <v>3</v>
      </c>
      <c r="D13" s="97">
        <v>2018</v>
      </c>
      <c r="E13" s="99">
        <f>'Localize Daily Bali Jimbaran'!P18</f>
        <v>24560.000000010292</v>
      </c>
      <c r="F13" s="100">
        <f>'Localize Daily Bali Jimbaran'!O18/'Localize Daily Bali Jimbaran'!P18</f>
        <v>1182.3327483712976</v>
      </c>
      <c r="G13" s="99">
        <f>'Localize Daily Bali Jimbaran'!AC18</f>
        <v>90.022360000010536</v>
      </c>
      <c r="H13" s="100">
        <f>'Localize Daily Bali Jimbaran'!AD18/'Localize Daily Bali Jimbaran'!AC18</f>
        <v>10349.217917415161</v>
      </c>
      <c r="I13" s="99">
        <f>'Localize Daily Bali Jimbaran'!AH18</f>
        <v>91.499999999941792</v>
      </c>
      <c r="J13" s="101">
        <f>'Localize Daily Bali Jimbaran'!AI18/'Localize Daily Bali Jimbaran'!AH18</f>
        <v>8700</v>
      </c>
      <c r="K13" s="99">
        <f>'Localize Daily Bali Jimbaran'!Q18</f>
        <v>635.59999999999854</v>
      </c>
      <c r="L13" s="100">
        <f>'Localize Daily Bali Jimbaran'!V18/'Localize Daily Bali Jimbaran'!Q18</f>
        <v>10334.127470107</v>
      </c>
      <c r="M13" s="99">
        <f>'Localize Daily Bali Jimbaran'!C18</f>
        <v>33</v>
      </c>
      <c r="N13" s="99">
        <f>'Localize Daily Bali Jimbaran'!D18</f>
        <v>319</v>
      </c>
    </row>
    <row r="14" spans="1:14" ht="15">
      <c r="A14" s="96" t="s">
        <v>14</v>
      </c>
      <c r="B14" s="97">
        <v>13</v>
      </c>
      <c r="C14" s="98">
        <v>3</v>
      </c>
      <c r="D14" s="97">
        <v>2018</v>
      </c>
      <c r="E14" s="99">
        <f>'Localize Daily Bali Jimbaran'!P19</f>
        <v>23499.999999980788</v>
      </c>
      <c r="F14" s="100">
        <f>'Localize Daily Bali Jimbaran'!O19/'Localize Daily Bali Jimbaran'!P19</f>
        <v>1178.2768825532753</v>
      </c>
      <c r="G14" s="99">
        <f>'Localize Daily Bali Jimbaran'!AC19</f>
        <v>117.00308000000234</v>
      </c>
      <c r="H14" s="100">
        <f>'Localize Daily Bali Jimbaran'!AD19/'Localize Daily Bali Jimbaran'!AC19</f>
        <v>10605.911154133712</v>
      </c>
      <c r="I14" s="99">
        <f>'Localize Daily Bali Jimbaran'!AH19</f>
        <v>145</v>
      </c>
      <c r="J14" s="101">
        <f>'Localize Daily Bali Jimbaran'!AI19/'Localize Daily Bali Jimbaran'!AH19</f>
        <v>8700</v>
      </c>
      <c r="K14" s="99">
        <f>'Localize Daily Bali Jimbaran'!Q19</f>
        <v>515</v>
      </c>
      <c r="L14" s="100">
        <f>'Localize Daily Bali Jimbaran'!V19/'Localize Daily Bali Jimbaran'!Q19</f>
        <v>12929.797281553398</v>
      </c>
      <c r="M14" s="99">
        <f>'Localize Daily Bali Jimbaran'!C19</f>
        <v>38</v>
      </c>
      <c r="N14" s="99">
        <f>'Localize Daily Bali Jimbaran'!D19</f>
        <v>247</v>
      </c>
    </row>
    <row r="15" spans="1:14" ht="15">
      <c r="A15" s="96" t="s">
        <v>14</v>
      </c>
      <c r="B15" s="97">
        <v>14</v>
      </c>
      <c r="C15" s="98">
        <v>3</v>
      </c>
      <c r="D15" s="97">
        <v>2018</v>
      </c>
      <c r="E15" s="99">
        <f>'Localize Daily Bali Jimbaran'!P20</f>
        <v>23180.000000017571</v>
      </c>
      <c r="F15" s="100">
        <f>'Localize Daily Bali Jimbaran'!O20/'Localize Daily Bali Jimbaran'!P20</f>
        <v>1178.1215526314813</v>
      </c>
      <c r="G15" s="99">
        <f>'Localize Daily Bali Jimbaran'!AC20</f>
        <v>742.20091999999772</v>
      </c>
      <c r="H15" s="100">
        <f>'Localize Daily Bali Jimbaran'!AD20/'Localize Daily Bali Jimbaran'!AC20</f>
        <v>11043.661790071617</v>
      </c>
      <c r="I15" s="99">
        <f>'Localize Daily Bali Jimbaran'!AH20</f>
        <v>362.79999999995937</v>
      </c>
      <c r="J15" s="101">
        <f>'Localize Daily Bali Jimbaran'!AI20/'Localize Daily Bali Jimbaran'!AH20</f>
        <v>8700</v>
      </c>
      <c r="K15" s="99">
        <f>'Localize Daily Bali Jimbaran'!Q20</f>
        <v>873.20000000000437</v>
      </c>
      <c r="L15" s="100">
        <f>'Localize Daily Bali Jimbaran'!V20/'Localize Daily Bali Jimbaran'!Q20</f>
        <v>9262.3367384333251</v>
      </c>
      <c r="M15" s="99">
        <f>'Localize Daily Bali Jimbaran'!C20</f>
        <v>40</v>
      </c>
      <c r="N15" s="99">
        <f>'Localize Daily Bali Jimbaran'!D20</f>
        <v>284</v>
      </c>
    </row>
    <row r="16" spans="1:14" ht="15">
      <c r="A16" s="96" t="s">
        <v>14</v>
      </c>
      <c r="B16" s="97">
        <v>15</v>
      </c>
      <c r="C16" s="98">
        <v>3</v>
      </c>
      <c r="D16" s="97">
        <v>2018</v>
      </c>
      <c r="E16" s="99">
        <f>'Localize Daily Bali Jimbaran'!P21</f>
        <v>23299.999999983243</v>
      </c>
      <c r="F16" s="100">
        <f>'Localize Daily Bali Jimbaran'!O21/'Localize Daily Bali Jimbaran'!P21</f>
        <v>1178.12195536484</v>
      </c>
      <c r="G16" s="99">
        <f>'Localize Daily Bali Jimbaran'!AC21</f>
        <v>93.808679999990616</v>
      </c>
      <c r="H16" s="100">
        <f>'Localize Daily Bali Jimbaran'!AD21/'Localize Daily Bali Jimbaran'!AC21</f>
        <v>10341.298140427964</v>
      </c>
      <c r="I16" s="99">
        <f>'Localize Daily Bali Jimbaran'!AH21</f>
        <v>333.50000000005821</v>
      </c>
      <c r="J16" s="101">
        <f>'Localize Daily Bali Jimbaran'!AI21/'Localize Daily Bali Jimbaran'!AH21</f>
        <v>8700</v>
      </c>
      <c r="K16" s="99">
        <f>'Localize Daily Bali Jimbaran'!Q21</f>
        <v>474</v>
      </c>
      <c r="L16" s="100">
        <f>'Localize Daily Bali Jimbaran'!V21/'Localize Daily Bali Jimbaran'!Q21</f>
        <v>12746.570126582279</v>
      </c>
      <c r="M16" s="99">
        <f>'Localize Daily Bali Jimbaran'!C21</f>
        <v>31</v>
      </c>
      <c r="N16" s="99">
        <f>'Localize Daily Bali Jimbaran'!D21</f>
        <v>293</v>
      </c>
    </row>
    <row r="17" spans="1:14" ht="15">
      <c r="A17" s="96" t="s">
        <v>14</v>
      </c>
      <c r="B17" s="97">
        <v>16</v>
      </c>
      <c r="C17" s="98">
        <v>3</v>
      </c>
      <c r="D17" s="97">
        <v>2018</v>
      </c>
      <c r="E17" s="99">
        <f>'Localize Daily Bali Jimbaran'!P22</f>
        <v>22379.999999996358</v>
      </c>
      <c r="F17" s="100">
        <f>'Localize Daily Bali Jimbaran'!O22/'Localize Daily Bali Jimbaran'!P22</f>
        <v>1177.4708163538949</v>
      </c>
      <c r="G17" s="99">
        <f>'Localize Daily Bali Jimbaran'!AC22</f>
        <v>108.30948000001406</v>
      </c>
      <c r="H17" s="100">
        <f>'Localize Daily Bali Jimbaran'!AD22/'Localize Daily Bali Jimbaran'!AC22</f>
        <v>10316.088217208666</v>
      </c>
      <c r="I17" s="99">
        <f>'Localize Daily Bali Jimbaran'!AH22</f>
        <v>283.80000000004657</v>
      </c>
      <c r="J17" s="101">
        <f>'Localize Daily Bali Jimbaran'!AI22/'Localize Daily Bali Jimbaran'!AH22</f>
        <v>8700</v>
      </c>
      <c r="K17" s="99">
        <f>'Localize Daily Bali Jimbaran'!Q22</f>
        <v>761.19999999999709</v>
      </c>
      <c r="L17" s="100">
        <f>'Localize Daily Bali Jimbaran'!V22/'Localize Daily Bali Jimbaran'!Q22</f>
        <v>10656.745428271173</v>
      </c>
      <c r="M17" s="99">
        <f>'Localize Daily Bali Jimbaran'!C22</f>
        <v>28</v>
      </c>
      <c r="N17" s="99">
        <f>'Localize Daily Bali Jimbaran'!D22</f>
        <v>223</v>
      </c>
    </row>
    <row r="18" spans="1:14" ht="15">
      <c r="A18" s="96" t="s">
        <v>14</v>
      </c>
      <c r="B18" s="97">
        <v>17</v>
      </c>
      <c r="C18" s="98">
        <v>3</v>
      </c>
      <c r="D18" s="97">
        <v>2018</v>
      </c>
      <c r="E18" s="99">
        <f>'Localize Daily Bali Jimbaran'!P23</f>
        <v>21900.000000002139</v>
      </c>
      <c r="F18" s="100">
        <f>'Localize Daily Bali Jimbaran'!O23/'Localize Daily Bali Jimbaran'!P23</f>
        <v>1177.9514465754153</v>
      </c>
      <c r="G18" s="99">
        <f>'Localize Daily Bali Jimbaran'!AC23</f>
        <v>151.38475999999295</v>
      </c>
      <c r="H18" s="100">
        <f>'Localize Daily Bali Jimbaran'!AD23/'Localize Daily Bali Jimbaran'!AC23</f>
        <v>10488.899069364727</v>
      </c>
      <c r="I18" s="99">
        <f>'Localize Daily Bali Jimbaran'!AH23</f>
        <v>254.69999999986612</v>
      </c>
      <c r="J18" s="101">
        <f>'Localize Daily Bali Jimbaran'!AI23/'Localize Daily Bali Jimbaran'!AH23</f>
        <v>8700</v>
      </c>
      <c r="K18" s="99">
        <f>'Localize Daily Bali Jimbaran'!Q23</f>
        <v>512</v>
      </c>
      <c r="L18" s="100">
        <f>'Localize Daily Bali Jimbaran'!V23/'Localize Daily Bali Jimbaran'!Q23</f>
        <v>12328.273242187499</v>
      </c>
      <c r="M18" s="99">
        <f>'Localize Daily Bali Jimbaran'!C23</f>
        <v>27</v>
      </c>
      <c r="N18" s="99">
        <f>'Localize Daily Bali Jimbaran'!D23</f>
        <v>174</v>
      </c>
    </row>
    <row r="19" spans="1:14" ht="15">
      <c r="A19" s="96" t="s">
        <v>14</v>
      </c>
      <c r="B19" s="97">
        <v>18</v>
      </c>
      <c r="C19" s="98">
        <v>3</v>
      </c>
      <c r="D19" s="97">
        <v>2018</v>
      </c>
      <c r="E19" s="99">
        <f>'Localize Daily Bali Jimbaran'!P24</f>
        <v>22500.000000015803</v>
      </c>
      <c r="F19" s="100">
        <f>'Localize Daily Bali Jimbaran'!O24/'Localize Daily Bali Jimbaran'!P24</f>
        <v>1185.2085279998948</v>
      </c>
      <c r="G19" s="99">
        <f>'Localize Daily Bali Jimbaran'!AC24</f>
        <v>106.7788399999953</v>
      </c>
      <c r="H19" s="100">
        <f>'Localize Daily Bali Jimbaran'!AD24/'Localize Daily Bali Jimbaran'!AC24</f>
        <v>10318.426033847161</v>
      </c>
      <c r="I19" s="99">
        <f>'Localize Daily Bali Jimbaran'!AH24</f>
        <v>200.90000000011059</v>
      </c>
      <c r="J19" s="101">
        <f>'Localize Daily Bali Jimbaran'!AI24/'Localize Daily Bali Jimbaran'!AH24</f>
        <v>8700</v>
      </c>
      <c r="K19" s="99">
        <f>'Localize Daily Bali Jimbaran'!Q24</f>
        <v>571</v>
      </c>
      <c r="L19" s="100">
        <f>'Localize Daily Bali Jimbaran'!V24/'Localize Daily Bali Jimbaran'!Q24</f>
        <v>10789.745253940455</v>
      </c>
      <c r="M19" s="99">
        <f>'Localize Daily Bali Jimbaran'!C24</f>
        <v>27</v>
      </c>
      <c r="N19" s="99">
        <f>'Localize Daily Bali Jimbaran'!D24</f>
        <v>323</v>
      </c>
    </row>
    <row r="20" spans="1:14" ht="15">
      <c r="A20" s="96" t="s">
        <v>14</v>
      </c>
      <c r="B20" s="97">
        <v>19</v>
      </c>
      <c r="C20" s="98">
        <v>3</v>
      </c>
      <c r="D20" s="97">
        <v>2018</v>
      </c>
      <c r="E20" s="99">
        <f>'Localize Daily Bali Jimbaran'!P25</f>
        <v>23819.999999990614</v>
      </c>
      <c r="F20" s="100">
        <f>'Localize Daily Bali Jimbaran'!O25/'Localize Daily Bali Jimbaran'!P25</f>
        <v>1179.3411952141105</v>
      </c>
      <c r="G20" s="99">
        <f>'Localize Daily Bali Jimbaran'!AC25</f>
        <v>493.04680000002344</v>
      </c>
      <c r="H20" s="100">
        <f>'Localize Daily Bali Jimbaran'!AD25/'Localize Daily Bali Jimbaran'!AC25</f>
        <v>10978.073806381019</v>
      </c>
      <c r="I20" s="99">
        <f>'Localize Daily Bali Jimbaran'!AH25</f>
        <v>310.80000000001746</v>
      </c>
      <c r="J20" s="101">
        <f>'Localize Daily Bali Jimbaran'!AI25/'Localize Daily Bali Jimbaran'!AH25</f>
        <v>8700</v>
      </c>
      <c r="K20" s="99">
        <f>'Localize Daily Bali Jimbaran'!Q25</f>
        <v>554</v>
      </c>
      <c r="L20" s="100">
        <f>'Localize Daily Bali Jimbaran'!V25/'Localize Daily Bali Jimbaran'!Q25</f>
        <v>11939.030577617328</v>
      </c>
      <c r="M20" s="99">
        <f>'Localize Daily Bali Jimbaran'!C25</f>
        <v>33</v>
      </c>
      <c r="N20" s="99">
        <f>'Localize Daily Bali Jimbaran'!D25</f>
        <v>312</v>
      </c>
    </row>
    <row r="21" spans="1:14" ht="15">
      <c r="A21" s="96" t="s">
        <v>14</v>
      </c>
      <c r="B21" s="97">
        <v>20</v>
      </c>
      <c r="C21" s="98">
        <v>3</v>
      </c>
      <c r="D21" s="97">
        <v>2018</v>
      </c>
      <c r="E21" s="99">
        <f>'Localize Daily Bali Jimbaran'!P26</f>
        <v>23899.999999998614</v>
      </c>
      <c r="F21" s="100">
        <f>'Localize Daily Bali Jimbaran'!O26/'Localize Daily Bali Jimbaran'!P26</f>
        <v>1183.1294560669962</v>
      </c>
      <c r="G21" s="99">
        <f>'Localize Daily Bali Jimbaran'!AC26</f>
        <v>358.99767999999062</v>
      </c>
      <c r="H21" s="100">
        <f>'Localize Daily Bali Jimbaran'!AD26/'Localize Daily Bali Jimbaran'!AC26</f>
        <v>10861.221847004712</v>
      </c>
      <c r="I21" s="99">
        <f>'Localize Daily Bali Jimbaran'!AH26</f>
        <v>357.5</v>
      </c>
      <c r="J21" s="101">
        <f>'Localize Daily Bali Jimbaran'!AI26/'Localize Daily Bali Jimbaran'!AH26</f>
        <v>8700</v>
      </c>
      <c r="K21" s="99">
        <f>'Localize Daily Bali Jimbaran'!Q26</f>
        <v>488</v>
      </c>
      <c r="L21" s="100">
        <f>'Localize Daily Bali Jimbaran'!V26/'Localize Daily Bali Jimbaran'!Q26</f>
        <v>12596.367172131148</v>
      </c>
      <c r="M21" s="99">
        <f>'Localize Daily Bali Jimbaran'!C26</f>
        <v>37</v>
      </c>
      <c r="N21" s="99">
        <f>'Localize Daily Bali Jimbaran'!D26</f>
        <v>377</v>
      </c>
    </row>
    <row r="22" spans="1:14" ht="15">
      <c r="A22" s="96" t="s">
        <v>14</v>
      </c>
      <c r="B22" s="97">
        <v>21</v>
      </c>
      <c r="C22" s="98">
        <v>3</v>
      </c>
      <c r="D22" s="97">
        <v>2018</v>
      </c>
      <c r="E22" s="99">
        <f>'Localize Daily Bali Jimbaran'!P27</f>
        <v>24820.000000012897</v>
      </c>
      <c r="F22" s="100">
        <f>'Localize Daily Bali Jimbaran'!O27/'Localize Daily Bali Jimbaran'!P27</f>
        <v>1183.9691531022688</v>
      </c>
      <c r="G22" s="99">
        <f>'Localize Daily Bali Jimbaran'!AC27</f>
        <v>109.19908000000234</v>
      </c>
      <c r="H22" s="100">
        <f>'Localize Daily Bali Jimbaran'!AD27/'Localize Daily Bali Jimbaran'!AC27</f>
        <v>10153</v>
      </c>
      <c r="I22" s="99">
        <f>'Localize Daily Bali Jimbaran'!AH27</f>
        <v>389.4999999999709</v>
      </c>
      <c r="J22" s="101">
        <f>'Localize Daily Bali Jimbaran'!AI27/'Localize Daily Bali Jimbaran'!AH27</f>
        <v>8700</v>
      </c>
      <c r="K22" s="99">
        <f>'Localize Daily Bali Jimbaran'!Q27</f>
        <v>650</v>
      </c>
      <c r="L22" s="100">
        <f>'Localize Daily Bali Jimbaran'!V27/'Localize Daily Bali Jimbaran'!Q27</f>
        <v>10167.428953846154</v>
      </c>
      <c r="M22" s="99">
        <f>'Localize Daily Bali Jimbaran'!C27</f>
        <v>48</v>
      </c>
      <c r="N22" s="99">
        <f>'Localize Daily Bali Jimbaran'!D27</f>
        <v>347</v>
      </c>
    </row>
    <row r="23" spans="1:14" ht="15">
      <c r="A23" s="96" t="s">
        <v>14</v>
      </c>
      <c r="B23" s="97">
        <v>22</v>
      </c>
      <c r="C23" s="98">
        <v>3</v>
      </c>
      <c r="D23" s="97">
        <v>2018</v>
      </c>
      <c r="E23" s="99">
        <f>'Localize Daily Bali Jimbaran'!P28</f>
        <v>25659.999999988828</v>
      </c>
      <c r="F23" s="100">
        <f>'Localize Daily Bali Jimbaran'!O28/'Localize Daily Bali Jimbaran'!P28</f>
        <v>1174.4558452845326</v>
      </c>
      <c r="G23" s="99">
        <f>'Localize Daily Bali Jimbaran'!AC28</f>
        <v>102.47231999998006</v>
      </c>
      <c r="H23" s="100">
        <f>'Localize Daily Bali Jimbaran'!AD28/'Localize Daily Bali Jimbaran'!AC28</f>
        <v>10153</v>
      </c>
      <c r="I23" s="99">
        <f>'Localize Daily Bali Jimbaran'!AH28</f>
        <v>511.9999999999709</v>
      </c>
      <c r="J23" s="101">
        <f>'Localize Daily Bali Jimbaran'!AI28/'Localize Daily Bali Jimbaran'!AH28</f>
        <v>8700</v>
      </c>
      <c r="K23" s="99">
        <f>'Localize Daily Bali Jimbaran'!Q28</f>
        <v>665</v>
      </c>
      <c r="L23" s="100">
        <f>'Localize Daily Bali Jimbaran'!V28/'Localize Daily Bali Jimbaran'!Q28</f>
        <v>10443.519428571428</v>
      </c>
      <c r="M23" s="99">
        <f>'Localize Daily Bali Jimbaran'!C28</f>
        <v>49</v>
      </c>
      <c r="N23" s="99">
        <f>'Localize Daily Bali Jimbaran'!D28</f>
        <v>429</v>
      </c>
    </row>
    <row r="24" spans="1:14" ht="15">
      <c r="A24" s="96" t="s">
        <v>14</v>
      </c>
      <c r="B24" s="97">
        <v>23</v>
      </c>
      <c r="C24" s="98">
        <v>3</v>
      </c>
      <c r="D24" s="97">
        <v>2018</v>
      </c>
      <c r="E24" s="99">
        <f>'Localize Daily Bali Jimbaran'!P29</f>
        <v>25159.999999987009</v>
      </c>
      <c r="F24" s="100">
        <f>'Localize Daily Bali Jimbaran'!O29/'Localize Daily Bali Jimbaran'!P29</f>
        <v>1186.1245373609181</v>
      </c>
      <c r="G24" s="99">
        <f>'Localize Daily Bali Jimbaran'!AC29</f>
        <v>163.70699999999999</v>
      </c>
      <c r="H24" s="100">
        <f>'Localize Daily Bali Jimbaran'!AD29/'Localize Daily Bali Jimbaran'!AC29</f>
        <v>10571.516007256869</v>
      </c>
      <c r="I24" s="99">
        <f>'Localize Daily Bali Jimbaran'!AH29</f>
        <v>556.60000000000025</v>
      </c>
      <c r="J24" s="101">
        <f>'Localize Daily Bali Jimbaran'!AI29/'Localize Daily Bali Jimbaran'!AH29</f>
        <v>8700</v>
      </c>
      <c r="K24" s="99">
        <f>'Localize Daily Bali Jimbaran'!Q29</f>
        <v>703</v>
      </c>
      <c r="L24" s="100">
        <f>'Localize Daily Bali Jimbaran'!V29/'Localize Daily Bali Jimbaran'!Q29</f>
        <v>10414.845405405404</v>
      </c>
      <c r="M24" s="99">
        <f>'Localize Daily Bali Jimbaran'!C29</f>
        <v>47</v>
      </c>
      <c r="N24" s="99">
        <f>'Localize Daily Bali Jimbaran'!D29</f>
        <v>395</v>
      </c>
    </row>
    <row r="25" spans="1:14" ht="15">
      <c r="A25" s="96" t="s">
        <v>14</v>
      </c>
      <c r="B25" s="97">
        <v>24</v>
      </c>
      <c r="C25" s="98">
        <v>3</v>
      </c>
      <c r="D25" s="97">
        <v>2018</v>
      </c>
      <c r="E25" s="99">
        <f>'Localize Daily Bali Jimbaran'!P30</f>
        <v>24720.000000012533</v>
      </c>
      <c r="F25" s="100">
        <f>'Localize Daily Bali Jimbaran'!O30/'Localize Daily Bali Jimbaran'!P30</f>
        <v>1183.9191662621295</v>
      </c>
      <c r="G25" s="99">
        <f>'Localize Daily Bali Jimbaran'!AC30</f>
        <v>121.23592000002695</v>
      </c>
      <c r="H25" s="100">
        <f>'Localize Daily Bali Jimbaran'!AD30/'Localize Daily Bali Jimbaran'!AC30</f>
        <v>10444.398786762142</v>
      </c>
      <c r="I25" s="99">
        <f>'Localize Daily Bali Jimbaran'!AH30</f>
        <v>472.40000000005239</v>
      </c>
      <c r="J25" s="101">
        <f>'Localize Daily Bali Jimbaran'!AI30/'Localize Daily Bali Jimbaran'!AH30</f>
        <v>8700</v>
      </c>
      <c r="K25" s="99">
        <f>'Localize Daily Bali Jimbaran'!Q30</f>
        <v>719</v>
      </c>
      <c r="L25" s="100">
        <f>'Localize Daily Bali Jimbaran'!V30/'Localize Daily Bali Jimbaran'!Q30</f>
        <v>10508.918052851182</v>
      </c>
      <c r="M25" s="99">
        <f>'Localize Daily Bali Jimbaran'!C30</f>
        <v>50</v>
      </c>
      <c r="N25" s="99">
        <f>'Localize Daily Bali Jimbaran'!D30</f>
        <v>511</v>
      </c>
    </row>
    <row r="26" spans="1:14" ht="15">
      <c r="A26" s="96" t="s">
        <v>14</v>
      </c>
      <c r="B26" s="97">
        <v>25</v>
      </c>
      <c r="C26" s="98">
        <v>3</v>
      </c>
      <c r="D26" s="97">
        <v>2018</v>
      </c>
      <c r="E26" s="99">
        <f>'Localize Daily Bali Jimbaran'!P31</f>
        <v>25639.999999988049</v>
      </c>
      <c r="F26" s="100">
        <f>'Localize Daily Bali Jimbaran'!O31/'Localize Daily Bali Jimbaran'!P31</f>
        <v>1182.5828283931226</v>
      </c>
      <c r="G26" s="99">
        <f>'Localize Daily Bali Jimbaran'!AC31</f>
        <v>492.64055999998709</v>
      </c>
      <c r="H26" s="100">
        <f>'Localize Daily Bali Jimbaran'!AD31/'Localize Daily Bali Jimbaran'!AC31</f>
        <v>11014.609933213804</v>
      </c>
      <c r="I26" s="99">
        <f>'Localize Daily Bali Jimbaran'!AH31</f>
        <v>468.79999999990105</v>
      </c>
      <c r="J26" s="101">
        <f>'Localize Daily Bali Jimbaran'!AI31/'Localize Daily Bali Jimbaran'!AH31</f>
        <v>8700</v>
      </c>
      <c r="K26" s="99">
        <f>'Localize Daily Bali Jimbaran'!Q31</f>
        <v>671</v>
      </c>
      <c r="L26" s="100">
        <f>'Localize Daily Bali Jimbaran'!V31/'Localize Daily Bali Jimbaran'!Q31</f>
        <v>10233.079850968703</v>
      </c>
      <c r="M26" s="99">
        <f>'Localize Daily Bali Jimbaran'!C31</f>
        <v>45</v>
      </c>
      <c r="N26" s="99">
        <f>'Localize Daily Bali Jimbaran'!D31</f>
        <v>755</v>
      </c>
    </row>
    <row r="27" spans="1:14" ht="15">
      <c r="A27" s="96" t="s">
        <v>14</v>
      </c>
      <c r="B27" s="97">
        <v>26</v>
      </c>
      <c r="C27" s="98">
        <v>3</v>
      </c>
      <c r="D27" s="97">
        <v>2018</v>
      </c>
      <c r="E27" s="99">
        <f>'Localize Daily Bali Jimbaran'!P32</f>
        <v>25699.999999997432</v>
      </c>
      <c r="F27" s="100">
        <f>'Localize Daily Bali Jimbaran'!O32/'Localize Daily Bali Jimbaran'!P32</f>
        <v>1181.091470428024</v>
      </c>
      <c r="G27" s="99">
        <f>'Localize Daily Bali Jimbaran'!AC32</f>
        <v>371.95751999998595</v>
      </c>
      <c r="H27" s="100">
        <f>'Localize Daily Bali Jimbaran'!AD32/'Localize Daily Bali Jimbaran'!AC32</f>
        <v>10979.013680271908</v>
      </c>
      <c r="I27" s="99">
        <f>'Localize Daily Bali Jimbaran'!AH32</f>
        <v>528.09999999997672</v>
      </c>
      <c r="J27" s="101">
        <f>'Localize Daily Bali Jimbaran'!AI32/'Localize Daily Bali Jimbaran'!AH32</f>
        <v>8700</v>
      </c>
      <c r="K27" s="99">
        <f>'Localize Daily Bali Jimbaran'!Q32</f>
        <v>442</v>
      </c>
      <c r="L27" s="100">
        <f>'Localize Daily Bali Jimbaran'!V32/'Localize Daily Bali Jimbaran'!Q32</f>
        <v>12247.921628959277</v>
      </c>
      <c r="M27" s="99">
        <f>'Localize Daily Bali Jimbaran'!C32</f>
        <v>53</v>
      </c>
      <c r="N27" s="99">
        <f>'Localize Daily Bali Jimbaran'!D32</f>
        <v>519</v>
      </c>
    </row>
    <row r="28" spans="1:14" ht="15">
      <c r="A28" s="96" t="s">
        <v>14</v>
      </c>
      <c r="B28" s="97">
        <v>27</v>
      </c>
      <c r="C28" s="98">
        <v>3</v>
      </c>
      <c r="D28" s="97">
        <v>2018</v>
      </c>
      <c r="E28" s="99">
        <f>'Localize Daily Bali Jimbaran'!P33</f>
        <v>26320.000000001983</v>
      </c>
      <c r="F28" s="100">
        <f>'Localize Daily Bali Jimbaran'!O33/'Localize Daily Bali Jimbaran'!P33</f>
        <v>1183.8469547872426</v>
      </c>
      <c r="G28" s="99">
        <f>'Localize Daily Bali Jimbaran'!AC33</f>
        <v>100.7402800000082</v>
      </c>
      <c r="H28" s="100">
        <f>'Localize Daily Bali Jimbaran'!AD33/'Localize Daily Bali Jimbaran'!AC33</f>
        <v>10153</v>
      </c>
      <c r="I28" s="99">
        <f>'Localize Daily Bali Jimbaran'!AH33</f>
        <v>496.70000000004052</v>
      </c>
      <c r="J28" s="101">
        <f>'Localize Daily Bali Jimbaran'!AI33/'Localize Daily Bali Jimbaran'!AH33</f>
        <v>8700.0000000000018</v>
      </c>
      <c r="K28" s="99">
        <f>'Localize Daily Bali Jimbaran'!Q33</f>
        <v>739</v>
      </c>
      <c r="L28" s="100">
        <f>'Localize Daily Bali Jimbaran'!V33/'Localize Daily Bali Jimbaran'!Q33</f>
        <v>10872.965764546685</v>
      </c>
      <c r="M28" s="99">
        <f>'Localize Daily Bali Jimbaran'!C33</f>
        <v>67</v>
      </c>
      <c r="N28" s="99">
        <f>'Localize Daily Bali Jimbaran'!D33</f>
        <v>593</v>
      </c>
    </row>
    <row r="29" spans="1:14" ht="15">
      <c r="A29" s="96" t="s">
        <v>14</v>
      </c>
      <c r="B29" s="97">
        <v>28</v>
      </c>
      <c r="C29" s="98">
        <v>3</v>
      </c>
      <c r="D29" s="97">
        <v>2018</v>
      </c>
      <c r="E29" s="99">
        <f>'Localize Daily Bali Jimbaran'!P34</f>
        <v>26300.000000023716</v>
      </c>
      <c r="F29" s="100">
        <f>'Localize Daily Bali Jimbaran'!O34/'Localize Daily Bali Jimbaran'!P34</f>
        <v>1183.9201699619225</v>
      </c>
      <c r="G29" s="99">
        <f>'Localize Daily Bali Jimbaran'!AC34</f>
        <v>140.93283999999528</v>
      </c>
      <c r="H29" s="100">
        <f>'Localize Daily Bali Jimbaran'!AD34/'Localize Daily Bali Jimbaran'!AC34</f>
        <v>10403.672589866219</v>
      </c>
      <c r="I29" s="99">
        <f>'Localize Daily Bali Jimbaran'!AH34</f>
        <v>335.80000000001746</v>
      </c>
      <c r="J29" s="101">
        <f>'Localize Daily Bali Jimbaran'!AI34/'Localize Daily Bali Jimbaran'!AH34</f>
        <v>8700</v>
      </c>
      <c r="K29" s="99">
        <f>'Localize Daily Bali Jimbaran'!Q34</f>
        <v>256</v>
      </c>
      <c r="L29" s="100">
        <f>'Localize Daily Bali Jimbaran'!V34/'Localize Daily Bali Jimbaran'!Q34</f>
        <v>8142.3424218750006</v>
      </c>
      <c r="M29" s="99">
        <f>'Localize Daily Bali Jimbaran'!C34</f>
        <v>71</v>
      </c>
      <c r="N29" s="99">
        <f>'Localize Daily Bali Jimbaran'!D34</f>
        <v>678</v>
      </c>
    </row>
    <row r="30" spans="1:14" ht="15">
      <c r="A30" s="96" t="s">
        <v>14</v>
      </c>
      <c r="B30" s="97">
        <v>29</v>
      </c>
      <c r="C30" s="98">
        <v>3</v>
      </c>
      <c r="D30" s="97">
        <v>2018</v>
      </c>
      <c r="E30" s="99">
        <f>'Localize Daily Bali Jimbaran'!P35</f>
        <v>28019.999999979518</v>
      </c>
      <c r="F30" s="100">
        <f>'Localize Daily Bali Jimbaran'!O35/'Localize Daily Bali Jimbaran'!P35</f>
        <v>1178.3938201285075</v>
      </c>
      <c r="G30" s="99">
        <f>'Localize Daily Bali Jimbaran'!AC35</f>
        <v>151.62644000001291</v>
      </c>
      <c r="H30" s="100">
        <f>'Localize Daily Bali Jimbaran'!AD35/'Localize Daily Bali Jimbaran'!AC35</f>
        <v>10488.363674039932</v>
      </c>
      <c r="I30" s="99">
        <f>'Localize Daily Bali Jimbaran'!AH35</f>
        <v>481.19999999995912</v>
      </c>
      <c r="J30" s="101">
        <f>'Localize Daily Bali Jimbaran'!AI35/'Localize Daily Bali Jimbaran'!AH35</f>
        <v>8700</v>
      </c>
      <c r="K30" s="99">
        <f>'Localize Daily Bali Jimbaran'!Q35</f>
        <v>680</v>
      </c>
      <c r="L30" s="100">
        <f>'Localize Daily Bali Jimbaran'!V35/'Localize Daily Bali Jimbaran'!Q35</f>
        <v>14387.745088235295</v>
      </c>
      <c r="M30" s="99">
        <f>'Localize Daily Bali Jimbaran'!C35</f>
        <v>80</v>
      </c>
      <c r="N30" s="99">
        <f>'Localize Daily Bali Jimbaran'!D35</f>
        <v>569</v>
      </c>
    </row>
    <row r="31" spans="1:14" ht="15">
      <c r="A31" s="96" t="s">
        <v>14</v>
      </c>
      <c r="B31" s="97">
        <v>30</v>
      </c>
      <c r="C31" s="98">
        <v>3</v>
      </c>
      <c r="D31" s="97">
        <v>2018</v>
      </c>
      <c r="E31" s="99">
        <f>'Localize Daily Bali Jimbaran'!P36</f>
        <v>27320.000000024607</v>
      </c>
      <c r="F31" s="100">
        <f>'Localize Daily Bali Jimbaran'!O36/'Localize Daily Bali Jimbaran'!P36</f>
        <v>1181.5171273791727</v>
      </c>
      <c r="G31" s="99">
        <f>'Localize Daily Bali Jimbaran'!AC36</f>
        <v>104.08008000000234</v>
      </c>
      <c r="H31" s="100">
        <f>'Localize Daily Bali Jimbaran'!AD36/'Localize Daily Bali Jimbaran'!AC36</f>
        <v>10322.715472931994</v>
      </c>
      <c r="I31" s="99">
        <f>'Localize Daily Bali Jimbaran'!AH36</f>
        <v>626.90000000002328</v>
      </c>
      <c r="J31" s="101">
        <f>'Localize Daily Bali Jimbaran'!AI36/'Localize Daily Bali Jimbaran'!AH36</f>
        <v>8700</v>
      </c>
      <c r="K31" s="99">
        <f>'Localize Daily Bali Jimbaran'!Q36</f>
        <v>599</v>
      </c>
      <c r="L31" s="100">
        <f>'Localize Daily Bali Jimbaran'!V36/'Localize Daily Bali Jimbaran'!Q36</f>
        <v>11303.178330550918</v>
      </c>
      <c r="M31" s="99">
        <f>'Localize Daily Bali Jimbaran'!C36</f>
        <v>76</v>
      </c>
      <c r="N31" s="99">
        <f>'Localize Daily Bali Jimbaran'!D36</f>
        <v>733</v>
      </c>
    </row>
    <row r="32" spans="1:14" ht="15">
      <c r="A32" s="96" t="s">
        <v>14</v>
      </c>
      <c r="B32" s="97">
        <v>31</v>
      </c>
      <c r="C32" s="98">
        <v>3</v>
      </c>
      <c r="D32" s="97">
        <v>2018</v>
      </c>
      <c r="E32" s="99">
        <f>'Localize Daily Bali Jimbaran'!P37</f>
        <v>38319.999999988679</v>
      </c>
      <c r="F32" s="100">
        <f>'Localize Daily Bali Jimbaran'!O37/'Localize Daily Bali Jimbaran'!P37</f>
        <v>1153.1296573591108</v>
      </c>
      <c r="G32" s="99">
        <f>'Localize Daily Bali Jimbaran'!AC37</f>
        <v>745.54416000000469</v>
      </c>
      <c r="H32" s="100">
        <f>'Localize Daily Bali Jimbaran'!AD37/'Localize Daily Bali Jimbaran'!AC37</f>
        <v>11039.667799798734</v>
      </c>
      <c r="I32" s="99">
        <f>'Localize Daily Bali Jimbaran'!AH37</f>
        <v>606.39999999999418</v>
      </c>
      <c r="J32" s="101">
        <f>'Localize Daily Bali Jimbaran'!AI37/'Localize Daily Bali Jimbaran'!AH37</f>
        <v>8700</v>
      </c>
      <c r="K32" s="99">
        <f>'Localize Daily Bali Jimbaran'!Q37</f>
        <v>642</v>
      </c>
      <c r="L32" s="100">
        <f>'Localize Daily Bali Jimbaran'!V37/'Localize Daily Bali Jimbaran'!Q37</f>
        <v>6980.7042990654209</v>
      </c>
      <c r="M32" s="99">
        <f>'Localize Daily Bali Jimbaran'!C37</f>
        <v>75</v>
      </c>
      <c r="N32" s="99">
        <f>'Localize Daily Bali Jimbaran'!D37</f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J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4"/>
    </row>
    <row r="4" spans="1:36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7"/>
    </row>
    <row r="5" spans="1:36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70" t="s">
        <v>30</v>
      </c>
      <c r="AF5" s="170"/>
      <c r="AG5" s="170"/>
      <c r="AH5" s="170"/>
      <c r="AI5" s="170"/>
      <c r="AJ5" s="83"/>
    </row>
    <row r="6" spans="1:36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8" t="s">
        <v>45</v>
      </c>
      <c r="AA6" s="128" t="s">
        <v>46</v>
      </c>
      <c r="AB6" s="89" t="s">
        <v>47</v>
      </c>
      <c r="AC6" s="89" t="s">
        <v>48</v>
      </c>
      <c r="AD6" s="90" t="s">
        <v>41</v>
      </c>
      <c r="AE6" s="130" t="s">
        <v>49</v>
      </c>
      <c r="AF6" s="130" t="s">
        <v>50</v>
      </c>
      <c r="AG6" s="130" t="s">
        <v>51</v>
      </c>
      <c r="AH6" s="130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28</v>
      </c>
      <c r="D7" s="103">
        <v>254</v>
      </c>
      <c r="E7" s="104">
        <v>8480.0000000104774</v>
      </c>
      <c r="F7" s="104">
        <v>9222585.1200113948</v>
      </c>
      <c r="G7" s="119">
        <v>3600.0000000021828</v>
      </c>
      <c r="H7" s="105">
        <v>5872872.6000035619</v>
      </c>
      <c r="I7" s="106">
        <f>F7+H7</f>
        <v>15095457.720014956</v>
      </c>
      <c r="J7" s="118">
        <v>900.00000000009095</v>
      </c>
      <c r="K7" s="118">
        <v>978812.10000009893</v>
      </c>
      <c r="L7" s="122">
        <v>400.00000000009095</v>
      </c>
      <c r="M7" s="124">
        <v>652541.40000014845</v>
      </c>
      <c r="N7" s="108">
        <f>K7+M7</f>
        <v>1631353.5000002473</v>
      </c>
      <c r="O7" s="106">
        <f>I7+N7</f>
        <v>16726811.220015204</v>
      </c>
      <c r="P7" s="108">
        <f>E7+G7+J7+L7</f>
        <v>13380.000000012842</v>
      </c>
      <c r="Q7" s="126">
        <f>R7+T7</f>
        <v>603</v>
      </c>
      <c r="R7" s="118">
        <v>180</v>
      </c>
      <c r="S7" s="118">
        <v>3234632.4</v>
      </c>
      <c r="T7" s="118">
        <v>423</v>
      </c>
      <c r="U7" s="118">
        <v>1970503.2</v>
      </c>
      <c r="V7" s="118">
        <f>S7+U7</f>
        <v>5205135.5999999996</v>
      </c>
      <c r="W7" s="118">
        <v>172.76091999999764</v>
      </c>
      <c r="X7" s="107"/>
      <c r="Y7" s="111">
        <v>0</v>
      </c>
      <c r="Z7" s="109"/>
      <c r="AA7" s="109"/>
      <c r="AB7" s="114">
        <v>0</v>
      </c>
      <c r="AC7" s="126">
        <f>W7+X7+Y7+Z7+AA7+AB7</f>
        <v>172.76091999999764</v>
      </c>
      <c r="AD7" s="104">
        <v>1754041.6207599761</v>
      </c>
      <c r="AE7" s="110"/>
      <c r="AF7" s="131">
        <v>570.09999999994761</v>
      </c>
      <c r="AG7" s="133">
        <v>0</v>
      </c>
      <c r="AH7" s="133">
        <f>AF7+AG7</f>
        <v>570.09999999994761</v>
      </c>
      <c r="AI7" s="135">
        <v>4959869.9999995446</v>
      </c>
      <c r="AJ7" s="18"/>
    </row>
    <row r="8" spans="1:36" ht="15">
      <c r="A8" s="19"/>
      <c r="B8" s="64">
        <v>2</v>
      </c>
      <c r="C8" s="65">
        <v>25</v>
      </c>
      <c r="D8" s="65">
        <v>377</v>
      </c>
      <c r="E8" s="111">
        <v>18359.99999998603</v>
      </c>
      <c r="F8" s="111">
        <v>19967766.839984804</v>
      </c>
      <c r="G8" s="112">
        <v>3840.0000000001455</v>
      </c>
      <c r="H8" s="113">
        <v>6264397.4400002379</v>
      </c>
      <c r="I8" s="106">
        <f>F8+H8</f>
        <v>26232164.27998504</v>
      </c>
      <c r="J8" s="114">
        <v>1900.0000000000909</v>
      </c>
      <c r="K8" s="114">
        <v>2066381.1000000988</v>
      </c>
      <c r="L8" s="123">
        <v>399.99999999997726</v>
      </c>
      <c r="M8" s="125">
        <v>652541.399999963</v>
      </c>
      <c r="N8" s="108">
        <f>K8+M8</f>
        <v>2718922.5000000619</v>
      </c>
      <c r="O8" s="106">
        <f>I8+N8</f>
        <v>28951086.779985104</v>
      </c>
      <c r="P8" s="108">
        <f>E8+G8+J8+L8</f>
        <v>24499.999999986245</v>
      </c>
      <c r="Q8" s="126">
        <f>R8+T8</f>
        <v>515</v>
      </c>
      <c r="R8" s="127">
        <v>78</v>
      </c>
      <c r="S8" s="127">
        <v>1401674.04</v>
      </c>
      <c r="T8" s="120">
        <v>437</v>
      </c>
      <c r="U8" s="120">
        <v>2035720.7999999998</v>
      </c>
      <c r="V8" s="118">
        <f>S8+U8</f>
        <v>3437394.84</v>
      </c>
      <c r="W8" s="129">
        <v>2.7390400000011721</v>
      </c>
      <c r="X8" s="114">
        <v>250</v>
      </c>
      <c r="Y8" s="111">
        <v>0</v>
      </c>
      <c r="Z8" s="114"/>
      <c r="AA8" s="114"/>
      <c r="AB8" s="114">
        <v>12</v>
      </c>
      <c r="AC8" s="126">
        <f>W8+X8+Y8+Z8+AA8+AB8</f>
        <v>264.73904000000118</v>
      </c>
      <c r="AD8" s="111">
        <v>2959809.4731200119</v>
      </c>
      <c r="AE8" s="115"/>
      <c r="AF8" s="132">
        <v>511.9999999999709</v>
      </c>
      <c r="AG8" s="134">
        <v>0</v>
      </c>
      <c r="AH8" s="133">
        <f>AF8+AG8</f>
        <v>511.9999999999709</v>
      </c>
      <c r="AI8" s="136">
        <v>4454399.9999997467</v>
      </c>
      <c r="AJ8" s="21"/>
    </row>
    <row r="9" spans="1:36" ht="15">
      <c r="A9" s="19"/>
      <c r="B9" s="81">
        <v>3</v>
      </c>
      <c r="C9" s="65">
        <v>28</v>
      </c>
      <c r="D9" s="65">
        <v>229</v>
      </c>
      <c r="E9" s="111">
        <v>18840.000000025611</v>
      </c>
      <c r="F9" s="111">
        <v>20489799.960027855</v>
      </c>
      <c r="G9" s="112">
        <v>3759.9999999983993</v>
      </c>
      <c r="H9" s="113">
        <v>6133889.1599973897</v>
      </c>
      <c r="I9" s="106">
        <f>F9+H9</f>
        <v>26623689.120025244</v>
      </c>
      <c r="J9" s="114">
        <v>1860.0000000001273</v>
      </c>
      <c r="K9" s="114">
        <v>2022878.3400001386</v>
      </c>
      <c r="L9" s="123">
        <v>439.99999999994088</v>
      </c>
      <c r="M9" s="125">
        <v>717795.53999990365</v>
      </c>
      <c r="N9" s="108">
        <f>K9+M9</f>
        <v>2740673.8800000423</v>
      </c>
      <c r="O9" s="106">
        <f>I9+N9</f>
        <v>29364363.000025287</v>
      </c>
      <c r="P9" s="108">
        <f>E9+G9+J9+L9</f>
        <v>24900.00000002408</v>
      </c>
      <c r="Q9" s="126">
        <f>R9+T9</f>
        <v>635</v>
      </c>
      <c r="R9" s="127">
        <v>228</v>
      </c>
      <c r="S9" s="127">
        <v>4097201.04</v>
      </c>
      <c r="T9" s="120">
        <v>407</v>
      </c>
      <c r="U9" s="120">
        <v>1895968.7999999998</v>
      </c>
      <c r="V9" s="118">
        <f>S9+U9</f>
        <v>5993169.8399999999</v>
      </c>
      <c r="W9" s="129">
        <v>77.297320000009364</v>
      </c>
      <c r="X9" s="114"/>
      <c r="Y9" s="111">
        <v>0</v>
      </c>
      <c r="Z9" s="114"/>
      <c r="AA9" s="114"/>
      <c r="AB9" s="114">
        <v>24</v>
      </c>
      <c r="AC9" s="126">
        <f>W9+X9+Y9+Z9+AA9+AB9</f>
        <v>101.29732000000936</v>
      </c>
      <c r="AD9" s="111">
        <v>1063799.6899600951</v>
      </c>
      <c r="AE9" s="115"/>
      <c r="AF9" s="132">
        <v>456.9999999999709</v>
      </c>
      <c r="AG9" s="134">
        <v>0</v>
      </c>
      <c r="AH9" s="133">
        <f>AF9+AG9</f>
        <v>456.9999999999709</v>
      </c>
      <c r="AI9" s="136">
        <v>3975899.9999997467</v>
      </c>
      <c r="AJ9" s="21"/>
    </row>
    <row r="10" spans="1:36" ht="15">
      <c r="A10" s="19"/>
      <c r="B10" s="64">
        <v>4</v>
      </c>
      <c r="C10" s="65">
        <v>43</v>
      </c>
      <c r="D10" s="65">
        <v>307</v>
      </c>
      <c r="E10" s="111">
        <v>19199.999999982538</v>
      </c>
      <c r="F10" s="111">
        <v>20881324.799981009</v>
      </c>
      <c r="G10" s="112">
        <v>3920.0000000018917</v>
      </c>
      <c r="H10" s="113">
        <v>6394905.7200030871</v>
      </c>
      <c r="I10" s="106">
        <f>F10+H10</f>
        <v>27276230.519984096</v>
      </c>
      <c r="J10" s="114">
        <v>1759.9999999997635</v>
      </c>
      <c r="K10" s="114">
        <v>1914121.4399997429</v>
      </c>
      <c r="L10" s="123">
        <v>420.00000000007276</v>
      </c>
      <c r="M10" s="125">
        <v>685168.47000011872</v>
      </c>
      <c r="N10" s="108">
        <f>K10+M10</f>
        <v>2599289.9099998614</v>
      </c>
      <c r="O10" s="106">
        <f>I10+N10</f>
        <v>29875520.429983959</v>
      </c>
      <c r="P10" s="108">
        <f>E10+G10+J10+L10</f>
        <v>25299.999999984266</v>
      </c>
      <c r="Q10" s="126">
        <f>R10+T10</f>
        <v>706</v>
      </c>
      <c r="R10" s="127">
        <v>283</v>
      </c>
      <c r="S10" s="127">
        <v>5085560.9400000004</v>
      </c>
      <c r="T10" s="120">
        <v>423</v>
      </c>
      <c r="U10" s="120">
        <v>1970503.2</v>
      </c>
      <c r="V10" s="118">
        <f>S10+U10</f>
        <v>7056064.1400000006</v>
      </c>
      <c r="W10" s="129">
        <v>0</v>
      </c>
      <c r="X10" s="114"/>
      <c r="Y10" s="111">
        <v>400</v>
      </c>
      <c r="Z10" s="114"/>
      <c r="AA10" s="114"/>
      <c r="AB10" s="114"/>
      <c r="AC10" s="126">
        <f>W10+X10+Y10+Z10+AA10+AB10</f>
        <v>400</v>
      </c>
      <c r="AD10" s="111">
        <v>4468000</v>
      </c>
      <c r="AE10" s="115"/>
      <c r="AF10" s="132">
        <v>550.60000000012224</v>
      </c>
      <c r="AG10" s="134">
        <v>0</v>
      </c>
      <c r="AH10" s="133">
        <f>AF10+AG10</f>
        <v>550.60000000012224</v>
      </c>
      <c r="AI10" s="136">
        <v>4790220.0000010636</v>
      </c>
      <c r="AJ10" s="21"/>
    </row>
    <row r="11" spans="1:36" ht="15">
      <c r="A11" s="19"/>
      <c r="B11" s="81">
        <v>5</v>
      </c>
      <c r="C11" s="65">
        <v>66</v>
      </c>
      <c r="D11" s="65">
        <v>409</v>
      </c>
      <c r="E11" s="111">
        <v>19080.000000016298</v>
      </c>
      <c r="F11" s="111">
        <v>20750816.520017728</v>
      </c>
      <c r="G11" s="112">
        <v>3919.9999999982538</v>
      </c>
      <c r="H11" s="113">
        <v>6394905.7199971518</v>
      </c>
      <c r="I11" s="106">
        <f>F11+H11</f>
        <v>27145722.240014881</v>
      </c>
      <c r="J11" s="114">
        <v>1880.0000000001091</v>
      </c>
      <c r="K11" s="114">
        <v>2044629.7200001187</v>
      </c>
      <c r="L11" s="123">
        <v>439.99999999994088</v>
      </c>
      <c r="M11" s="125">
        <v>717795.53999990365</v>
      </c>
      <c r="N11" s="108">
        <f>K11+M11</f>
        <v>2762425.2600000221</v>
      </c>
      <c r="O11" s="106">
        <f>I11+N11</f>
        <v>29908147.500014901</v>
      </c>
      <c r="P11" s="108">
        <f>E11+G11+J11+L11</f>
        <v>25320.000000014603</v>
      </c>
      <c r="Q11" s="126">
        <f>R11+T11</f>
        <v>744</v>
      </c>
      <c r="R11" s="127">
        <v>288</v>
      </c>
      <c r="S11" s="127">
        <v>5175411.84</v>
      </c>
      <c r="T11" s="120">
        <v>456</v>
      </c>
      <c r="U11" s="120">
        <v>2124230.4</v>
      </c>
      <c r="V11" s="118">
        <f>S11+U11</f>
        <v>7299642.2400000002</v>
      </c>
      <c r="W11" s="129">
        <v>100.57916000000468</v>
      </c>
      <c r="X11" s="114"/>
      <c r="Y11" s="111">
        <v>0</v>
      </c>
      <c r="Z11" s="114">
        <v>50</v>
      </c>
      <c r="AA11" s="114"/>
      <c r="AB11" s="114">
        <v>84</v>
      </c>
      <c r="AC11" s="126">
        <f>W11+X11+Y11+Z11+AA11+AB11</f>
        <v>234.57916000000466</v>
      </c>
      <c r="AD11" s="111">
        <v>2556180.2114800476</v>
      </c>
      <c r="AE11" s="115"/>
      <c r="AF11" s="132">
        <v>123.99999999994179</v>
      </c>
      <c r="AG11" s="134">
        <v>0</v>
      </c>
      <c r="AH11" s="133">
        <f>AF11+AG11</f>
        <v>123.99999999994179</v>
      </c>
      <c r="AI11" s="136">
        <v>1078799.9999994936</v>
      </c>
      <c r="AJ11" s="21"/>
    </row>
    <row r="12" spans="1:36" ht="15">
      <c r="A12" s="19"/>
      <c r="B12" s="64">
        <v>6</v>
      </c>
      <c r="C12" s="65">
        <v>66</v>
      </c>
      <c r="D12" s="65">
        <v>309</v>
      </c>
      <c r="E12" s="111">
        <v>19239.999999990687</v>
      </c>
      <c r="F12" s="111">
        <v>20924827.559989873</v>
      </c>
      <c r="G12" s="112">
        <v>4040.0000000008731</v>
      </c>
      <c r="H12" s="113">
        <v>6590668.1400014246</v>
      </c>
      <c r="I12" s="106">
        <f>F12+H12</f>
        <v>27515495.699991297</v>
      </c>
      <c r="J12" s="114">
        <v>1800.0000000001819</v>
      </c>
      <c r="K12" s="114">
        <v>1957624.2000001979</v>
      </c>
      <c r="L12" s="123">
        <v>440.00000000005457</v>
      </c>
      <c r="M12" s="125">
        <v>717795.54000008909</v>
      </c>
      <c r="N12" s="108">
        <f>K12+M12</f>
        <v>2675419.7400002871</v>
      </c>
      <c r="O12" s="106">
        <f>I12+N12</f>
        <v>30190915.439991586</v>
      </c>
      <c r="P12" s="108">
        <f>E12+G12+J12+L12</f>
        <v>25519.999999991796</v>
      </c>
      <c r="Q12" s="126">
        <f>R12+T12</f>
        <v>729</v>
      </c>
      <c r="R12" s="127">
        <v>272</v>
      </c>
      <c r="S12" s="127">
        <v>4887888.96</v>
      </c>
      <c r="T12" s="120">
        <v>457</v>
      </c>
      <c r="U12" s="120">
        <v>2128888.7999999998</v>
      </c>
      <c r="V12" s="118">
        <f>S12+U12</f>
        <v>7016777.7599999998</v>
      </c>
      <c r="W12" s="129">
        <v>85.232479999984747</v>
      </c>
      <c r="X12" s="114"/>
      <c r="Y12" s="111">
        <v>0</v>
      </c>
      <c r="Z12" s="114"/>
      <c r="AA12" s="114"/>
      <c r="AB12" s="114">
        <v>12</v>
      </c>
      <c r="AC12" s="126">
        <f>W12+X12+Y12+Z12+AA12+AB12</f>
        <v>97.232479999984747</v>
      </c>
      <c r="AD12" s="111">
        <v>1004865.3694398451</v>
      </c>
      <c r="AE12" s="115"/>
      <c r="AF12" s="132">
        <v>507.79999999998836</v>
      </c>
      <c r="AG12" s="134">
        <v>0</v>
      </c>
      <c r="AH12" s="133">
        <f>AF12+AG12</f>
        <v>507.79999999998836</v>
      </c>
      <c r="AI12" s="136">
        <v>4417859.9999998985</v>
      </c>
      <c r="AJ12" s="21"/>
    </row>
    <row r="13" spans="1:36" ht="15">
      <c r="A13" s="19"/>
      <c r="B13" s="81">
        <v>7</v>
      </c>
      <c r="C13" s="65">
        <v>67</v>
      </c>
      <c r="D13" s="65">
        <v>477</v>
      </c>
      <c r="E13" s="111">
        <v>19519.999999989523</v>
      </c>
      <c r="F13" s="111">
        <v>21229346.879988603</v>
      </c>
      <c r="G13" s="112">
        <v>4040.0000000008731</v>
      </c>
      <c r="H13" s="113">
        <v>6590668.1400014246</v>
      </c>
      <c r="I13" s="106">
        <f>F13+H13</f>
        <v>27820015.019990027</v>
      </c>
      <c r="J13" s="114">
        <v>1939.9999999995998</v>
      </c>
      <c r="K13" s="114">
        <v>2109883.8599995649</v>
      </c>
      <c r="L13" s="123">
        <v>500</v>
      </c>
      <c r="M13" s="125">
        <v>815676.75</v>
      </c>
      <c r="N13" s="108">
        <f>K13+M13</f>
        <v>2925560.6099995649</v>
      </c>
      <c r="O13" s="106">
        <f>I13+N13</f>
        <v>30745575.62998959</v>
      </c>
      <c r="P13" s="108">
        <f>E13+G13+J13+L13</f>
        <v>25999.999999989996</v>
      </c>
      <c r="Q13" s="126">
        <f>R13+T13</f>
        <v>519.09999999999854</v>
      </c>
      <c r="R13" s="127">
        <v>273</v>
      </c>
      <c r="S13" s="127">
        <v>4905859.1399999997</v>
      </c>
      <c r="T13" s="120">
        <v>246.09999999999854</v>
      </c>
      <c r="U13" s="120">
        <v>1146432.2399999932</v>
      </c>
      <c r="V13" s="118">
        <f>S13+U13</f>
        <v>6052291.3799999934</v>
      </c>
      <c r="W13" s="129">
        <v>89.461880000025786</v>
      </c>
      <c r="X13" s="114"/>
      <c r="Y13" s="111">
        <v>0</v>
      </c>
      <c r="Z13" s="114"/>
      <c r="AA13" s="114"/>
      <c r="AB13" s="114">
        <v>0</v>
      </c>
      <c r="AC13" s="126">
        <f>W13+X13+Y13+Z13+AA13+AB13</f>
        <v>89.461880000025786</v>
      </c>
      <c r="AD13" s="111">
        <v>908306.46764026186</v>
      </c>
      <c r="AE13" s="115"/>
      <c r="AF13" s="132">
        <v>738.20000000006985</v>
      </c>
      <c r="AG13" s="134">
        <v>53.899999999999864</v>
      </c>
      <c r="AH13" s="133">
        <f>AF13+AG13</f>
        <v>792.10000000006971</v>
      </c>
      <c r="AI13" s="136">
        <v>6891270.0000006063</v>
      </c>
      <c r="AJ13" s="21"/>
    </row>
    <row r="14" spans="1:36" ht="15">
      <c r="A14" s="19"/>
      <c r="B14" s="64">
        <v>8</v>
      </c>
      <c r="C14" s="65">
        <v>30</v>
      </c>
      <c r="D14" s="65">
        <v>454</v>
      </c>
      <c r="E14" s="111">
        <v>19320.000000006985</v>
      </c>
      <c r="F14" s="111">
        <v>21011833.080007598</v>
      </c>
      <c r="G14" s="112">
        <v>3479.9999999995634</v>
      </c>
      <c r="H14" s="113">
        <v>5677110.1799992882</v>
      </c>
      <c r="I14" s="106">
        <f>F14+H14</f>
        <v>26688943.260006886</v>
      </c>
      <c r="J14" s="114">
        <v>1980.0000000000182</v>
      </c>
      <c r="K14" s="114">
        <v>2153386.6200000197</v>
      </c>
      <c r="L14" s="123">
        <v>439.99999999994088</v>
      </c>
      <c r="M14" s="125">
        <v>717795.53999990365</v>
      </c>
      <c r="N14" s="108">
        <f>K14+M14</f>
        <v>2871182.1599999233</v>
      </c>
      <c r="O14" s="106">
        <f>I14+N14</f>
        <v>29560125.420006808</v>
      </c>
      <c r="P14" s="108">
        <f>E14+G14+J14+L14</f>
        <v>25220.000000006508</v>
      </c>
      <c r="Q14" s="126">
        <f>R14+T14</f>
        <v>549</v>
      </c>
      <c r="R14" s="127">
        <v>263</v>
      </c>
      <c r="S14" s="127">
        <v>4726157.34</v>
      </c>
      <c r="T14" s="120">
        <v>286</v>
      </c>
      <c r="U14" s="120">
        <v>1332302.3999999999</v>
      </c>
      <c r="V14" s="118">
        <f>S14+U14</f>
        <v>6058459.7400000002</v>
      </c>
      <c r="W14" s="129">
        <v>84.507439999983575</v>
      </c>
      <c r="X14" s="114">
        <v>250</v>
      </c>
      <c r="Y14" s="111">
        <v>0</v>
      </c>
      <c r="Z14" s="114"/>
      <c r="AA14" s="114"/>
      <c r="AB14" s="114"/>
      <c r="AC14" s="126">
        <f>W14+X14+Y14+Z14+AA14+AB14</f>
        <v>334.5074399999836</v>
      </c>
      <c r="AD14" s="111">
        <v>3650504.0383198331</v>
      </c>
      <c r="AE14" s="115"/>
      <c r="AF14" s="132">
        <v>523.49999999991269</v>
      </c>
      <c r="AG14" s="134">
        <v>0</v>
      </c>
      <c r="AH14" s="133">
        <f>AF14+AG14</f>
        <v>523.49999999991269</v>
      </c>
      <c r="AI14" s="136">
        <v>4554449.99999924</v>
      </c>
      <c r="AJ14" s="21"/>
    </row>
    <row r="15" spans="1:36" ht="15">
      <c r="A15" s="19"/>
      <c r="B15" s="81">
        <v>9</v>
      </c>
      <c r="C15" s="65">
        <v>36</v>
      </c>
      <c r="D15" s="65">
        <v>369</v>
      </c>
      <c r="E15" s="111">
        <v>18000</v>
      </c>
      <c r="F15" s="111">
        <v>19576242</v>
      </c>
      <c r="G15" s="112">
        <v>3799.9999999992724</v>
      </c>
      <c r="H15" s="113">
        <v>6199143.2999988133</v>
      </c>
      <c r="I15" s="106">
        <f>F15+H15</f>
        <v>25775385.299998812</v>
      </c>
      <c r="J15" s="114">
        <v>1880.0000000001091</v>
      </c>
      <c r="K15" s="114">
        <v>2044629.7200001187</v>
      </c>
      <c r="L15" s="123">
        <v>420.00000000007276</v>
      </c>
      <c r="M15" s="125">
        <v>685168.47000011872</v>
      </c>
      <c r="N15" s="108">
        <f>K15+M15</f>
        <v>2729798.1900002374</v>
      </c>
      <c r="O15" s="106">
        <f>I15+N15</f>
        <v>28505183.489999048</v>
      </c>
      <c r="P15" s="108">
        <f>E15+G15+J15+L15</f>
        <v>24099.999999999454</v>
      </c>
      <c r="Q15" s="126">
        <f>R15+T15</f>
        <v>491</v>
      </c>
      <c r="R15" s="127">
        <v>292</v>
      </c>
      <c r="S15" s="127">
        <v>5247292.5600000005</v>
      </c>
      <c r="T15" s="120">
        <v>199</v>
      </c>
      <c r="U15" s="120">
        <v>927021.6</v>
      </c>
      <c r="V15" s="118">
        <f>S15+U15</f>
        <v>6174314.1600000001</v>
      </c>
      <c r="W15" s="129">
        <v>90.10636000001054</v>
      </c>
      <c r="X15" s="114"/>
      <c r="Y15" s="111">
        <v>400</v>
      </c>
      <c r="Z15" s="114"/>
      <c r="AA15" s="114"/>
      <c r="AB15" s="114">
        <v>12</v>
      </c>
      <c r="AC15" s="126">
        <f>W15+X15+Y15+Z15+AA15+AB15</f>
        <v>502.10636000001057</v>
      </c>
      <c r="AD15" s="111">
        <v>5522349.8730801065</v>
      </c>
      <c r="AE15" s="115"/>
      <c r="AF15" s="132">
        <v>298.20000000006985</v>
      </c>
      <c r="AG15" s="134">
        <v>0</v>
      </c>
      <c r="AH15" s="133">
        <f>AF15+AG15</f>
        <v>298.20000000006985</v>
      </c>
      <c r="AI15" s="136">
        <v>2594340.0000006077</v>
      </c>
      <c r="AJ15" s="21"/>
    </row>
    <row r="16" spans="1:36" ht="15">
      <c r="A16" s="19"/>
      <c r="B16" s="64">
        <v>10</v>
      </c>
      <c r="C16" s="65">
        <v>44</v>
      </c>
      <c r="D16" s="65">
        <v>371</v>
      </c>
      <c r="E16" s="111">
        <v>18720.000000001164</v>
      </c>
      <c r="F16" s="111">
        <v>20359291.680001266</v>
      </c>
      <c r="G16" s="112">
        <v>3959.9999999991269</v>
      </c>
      <c r="H16" s="113">
        <v>6460159.8599985763</v>
      </c>
      <c r="I16" s="106">
        <f>F16+H16</f>
        <v>26819451.539999843</v>
      </c>
      <c r="J16" s="114">
        <v>1940.0000000000546</v>
      </c>
      <c r="K16" s="114">
        <v>2109883.8600000595</v>
      </c>
      <c r="L16" s="123">
        <v>459.99999999992269</v>
      </c>
      <c r="M16" s="125">
        <v>750422.60999987391</v>
      </c>
      <c r="N16" s="108">
        <f>K16+M16</f>
        <v>2860306.4699999336</v>
      </c>
      <c r="O16" s="106">
        <f>I16+N16</f>
        <v>29679758.009999774</v>
      </c>
      <c r="P16" s="108">
        <f>E16+G16+J16+L16</f>
        <v>25080.000000000269</v>
      </c>
      <c r="Q16" s="126">
        <f>R16+T16</f>
        <v>1021.6999999999971</v>
      </c>
      <c r="R16" s="127">
        <v>298</v>
      </c>
      <c r="S16" s="127">
        <v>5355113.6399999997</v>
      </c>
      <c r="T16" s="120">
        <v>723.69999999999709</v>
      </c>
      <c r="U16" s="120">
        <v>3371284.0799999861</v>
      </c>
      <c r="V16" s="118">
        <f>S16+U16</f>
        <v>8726397.7199999858</v>
      </c>
      <c r="W16" s="129">
        <v>89.824399999982404</v>
      </c>
      <c r="X16" s="114"/>
      <c r="Y16" s="111">
        <v>0</v>
      </c>
      <c r="Z16" s="114"/>
      <c r="AA16" s="114"/>
      <c r="AB16" s="114">
        <v>12</v>
      </c>
      <c r="AC16" s="126">
        <f>W16+X16+Y16+Z16+AA16+AB16</f>
        <v>101.8243999999824</v>
      </c>
      <c r="AD16" s="111">
        <v>1051487.1331998212</v>
      </c>
      <c r="AE16" s="115"/>
      <c r="AF16" s="132">
        <v>196.29999999990105</v>
      </c>
      <c r="AG16" s="134">
        <v>0</v>
      </c>
      <c r="AH16" s="133">
        <f>AF16+AG16</f>
        <v>196.29999999990105</v>
      </c>
      <c r="AI16" s="136">
        <v>1707809.999999139</v>
      </c>
      <c r="AJ16" s="21"/>
    </row>
    <row r="17" spans="1:36" ht="15">
      <c r="A17" s="19"/>
      <c r="B17" s="81">
        <v>11</v>
      </c>
      <c r="C17" s="65">
        <v>43</v>
      </c>
      <c r="D17" s="65">
        <v>388</v>
      </c>
      <c r="E17" s="111">
        <v>18000</v>
      </c>
      <c r="F17" s="111">
        <v>19576242</v>
      </c>
      <c r="G17" s="112">
        <v>3720.0000000011642</v>
      </c>
      <c r="H17" s="113">
        <v>6068635.0200018995</v>
      </c>
      <c r="I17" s="106">
        <f>F17+H17</f>
        <v>25644877.020001899</v>
      </c>
      <c r="J17" s="114">
        <v>1920.0000000000728</v>
      </c>
      <c r="K17" s="114">
        <v>2088132.4800000791</v>
      </c>
      <c r="L17" s="123">
        <v>440.00000000005457</v>
      </c>
      <c r="M17" s="125">
        <v>717795.54000008909</v>
      </c>
      <c r="N17" s="108">
        <f>K17+M17</f>
        <v>2805928.0200001681</v>
      </c>
      <c r="O17" s="106">
        <f>I17+N17</f>
        <v>28450805.040002067</v>
      </c>
      <c r="P17" s="108">
        <f>E17+G17+J17+L17</f>
        <v>24080.000000001291</v>
      </c>
      <c r="Q17" s="126">
        <f>R17+T17</f>
        <v>781.30000000000291</v>
      </c>
      <c r="R17" s="127">
        <v>282</v>
      </c>
      <c r="S17" s="127">
        <v>5067590.76</v>
      </c>
      <c r="T17" s="120">
        <v>499.30000000000291</v>
      </c>
      <c r="U17" s="120">
        <v>2325939.1200000132</v>
      </c>
      <c r="V17" s="118">
        <f>S17+U17</f>
        <v>7393529.8800000129</v>
      </c>
      <c r="W17" s="129">
        <v>84.426879999996473</v>
      </c>
      <c r="X17" s="114"/>
      <c r="Y17" s="111">
        <v>0</v>
      </c>
      <c r="Z17" s="114">
        <v>50</v>
      </c>
      <c r="AA17" s="114"/>
      <c r="AB17" s="114">
        <v>24</v>
      </c>
      <c r="AC17" s="126">
        <f>W17+X17+Y17+Z17+AA17+AB17</f>
        <v>158.42687999999646</v>
      </c>
      <c r="AD17" s="111">
        <v>1694686.1126399641</v>
      </c>
      <c r="AE17" s="115"/>
      <c r="AF17" s="132">
        <v>70.900000000110595</v>
      </c>
      <c r="AG17" s="134">
        <v>0</v>
      </c>
      <c r="AH17" s="133">
        <f>AF17+AG17</f>
        <v>70.900000000110595</v>
      </c>
      <c r="AI17" s="136">
        <v>616830.00000096217</v>
      </c>
      <c r="AJ17" s="21"/>
    </row>
    <row r="18" spans="1:36" ht="15">
      <c r="A18" s="19"/>
      <c r="B18" s="64">
        <v>12</v>
      </c>
      <c r="C18" s="65">
        <v>33</v>
      </c>
      <c r="D18" s="65">
        <v>319</v>
      </c>
      <c r="E18" s="111">
        <v>18480.000000010477</v>
      </c>
      <c r="F18" s="111">
        <v>20098275.120011393</v>
      </c>
      <c r="G18" s="112">
        <v>3840.0000000001455</v>
      </c>
      <c r="H18" s="113">
        <v>6264397.4400002379</v>
      </c>
      <c r="I18" s="106">
        <f>F18+H18</f>
        <v>26362672.560011633</v>
      </c>
      <c r="J18" s="114">
        <v>1799.9999999997272</v>
      </c>
      <c r="K18" s="114">
        <v>1957624.1999997033</v>
      </c>
      <c r="L18" s="123">
        <v>439.99999999994088</v>
      </c>
      <c r="M18" s="125">
        <v>717795.53999990365</v>
      </c>
      <c r="N18" s="108">
        <f>K18+M18</f>
        <v>2675419.7399996072</v>
      </c>
      <c r="O18" s="106">
        <f>I18+N18</f>
        <v>29038092.30001124</v>
      </c>
      <c r="P18" s="108">
        <f>E18+G18+J18+L18</f>
        <v>24560.000000010292</v>
      </c>
      <c r="Q18" s="126">
        <f>R18+T18</f>
        <v>635.59999999999854</v>
      </c>
      <c r="R18" s="127">
        <v>271</v>
      </c>
      <c r="S18" s="127">
        <v>4869918.78</v>
      </c>
      <c r="T18" s="120">
        <v>364.59999999999854</v>
      </c>
      <c r="U18" s="120">
        <v>1698452.6399999931</v>
      </c>
      <c r="V18" s="118">
        <f>S18+U18</f>
        <v>6568371.4199999934</v>
      </c>
      <c r="W18" s="129">
        <v>78.022360000010536</v>
      </c>
      <c r="X18" s="114"/>
      <c r="Y18" s="111">
        <v>0</v>
      </c>
      <c r="Z18" s="114"/>
      <c r="AA18" s="114"/>
      <c r="AB18" s="114">
        <v>12</v>
      </c>
      <c r="AC18" s="126">
        <f>W18+X18+Y18+Z18+AA18+AB18</f>
        <v>90.022360000010536</v>
      </c>
      <c r="AD18" s="111">
        <v>931661.02108010696</v>
      </c>
      <c r="AE18" s="115"/>
      <c r="AF18" s="132">
        <v>91.499999999941792</v>
      </c>
      <c r="AG18" s="134">
        <v>0</v>
      </c>
      <c r="AH18" s="133">
        <f>AF18+AG18</f>
        <v>91.499999999941792</v>
      </c>
      <c r="AI18" s="136">
        <v>796049.99999949359</v>
      </c>
      <c r="AJ18" s="21"/>
    </row>
    <row r="19" spans="1:36" ht="15">
      <c r="A19" s="19"/>
      <c r="B19" s="81">
        <v>13</v>
      </c>
      <c r="C19" s="65">
        <v>38</v>
      </c>
      <c r="D19" s="65">
        <v>247</v>
      </c>
      <c r="E19" s="111">
        <v>17759.999999980209</v>
      </c>
      <c r="F19" s="111">
        <v>19315225.439978477</v>
      </c>
      <c r="G19" s="112">
        <v>3520.0000000004366</v>
      </c>
      <c r="H19" s="113">
        <v>5742364.3200007128</v>
      </c>
      <c r="I19" s="106">
        <f>F19+H19</f>
        <v>25057589.759979188</v>
      </c>
      <c r="J19" s="114">
        <v>1820.0000000001637</v>
      </c>
      <c r="K19" s="114">
        <v>1979375.5800001782</v>
      </c>
      <c r="L19" s="123">
        <v>399.99999999997726</v>
      </c>
      <c r="M19" s="125">
        <v>652541.399999963</v>
      </c>
      <c r="N19" s="108">
        <f>K19+M19</f>
        <v>2631916.9800001411</v>
      </c>
      <c r="O19" s="106">
        <f>I19+N19</f>
        <v>27689506.73997933</v>
      </c>
      <c r="P19" s="108">
        <f>E19+G19+J19+L19</f>
        <v>23499.999999980788</v>
      </c>
      <c r="Q19" s="126">
        <f>R19+T19</f>
        <v>515</v>
      </c>
      <c r="R19" s="127">
        <v>320</v>
      </c>
      <c r="S19" s="127">
        <v>5750457.5999999996</v>
      </c>
      <c r="T19" s="120">
        <v>195</v>
      </c>
      <c r="U19" s="120">
        <v>908387.99999999988</v>
      </c>
      <c r="V19" s="118">
        <f>S19+U19</f>
        <v>6658845.5999999996</v>
      </c>
      <c r="W19" s="129">
        <v>81.003080000002342</v>
      </c>
      <c r="X19" s="114"/>
      <c r="Y19" s="111">
        <v>0</v>
      </c>
      <c r="Z19" s="114"/>
      <c r="AA19" s="114"/>
      <c r="AB19" s="114">
        <v>36</v>
      </c>
      <c r="AC19" s="126">
        <f>W19+X19+Y19+Z19+AA19+AB19</f>
        <v>117.00308000000234</v>
      </c>
      <c r="AD19" s="111">
        <v>1240924.2712400239</v>
      </c>
      <c r="AE19" s="115"/>
      <c r="AF19" s="132">
        <v>145</v>
      </c>
      <c r="AG19" s="134">
        <v>0</v>
      </c>
      <c r="AH19" s="133">
        <f>AF19+AG19</f>
        <v>145</v>
      </c>
      <c r="AI19" s="136">
        <v>1261500</v>
      </c>
      <c r="AJ19" s="21"/>
    </row>
    <row r="20" spans="1:36" ht="15">
      <c r="A20" s="19"/>
      <c r="B20" s="64">
        <v>14</v>
      </c>
      <c r="C20" s="65">
        <v>40</v>
      </c>
      <c r="D20" s="65">
        <v>284</v>
      </c>
      <c r="E20" s="111">
        <v>17520.000000018626</v>
      </c>
      <c r="F20" s="111">
        <v>19054208.880020257</v>
      </c>
      <c r="G20" s="112">
        <v>3439.9999999986903</v>
      </c>
      <c r="H20" s="113">
        <v>5611856.0399978645</v>
      </c>
      <c r="I20" s="106">
        <f>F20+H20</f>
        <v>24666064.920018122</v>
      </c>
      <c r="J20" s="114">
        <v>1800.0000000001819</v>
      </c>
      <c r="K20" s="114">
        <v>1957624.2000001979</v>
      </c>
      <c r="L20" s="123">
        <v>420.00000000007276</v>
      </c>
      <c r="M20" s="125">
        <v>685168.47000011872</v>
      </c>
      <c r="N20" s="108">
        <f>K20+M20</f>
        <v>2642792.6700003166</v>
      </c>
      <c r="O20" s="106">
        <f>I20+N20</f>
        <v>27308857.590018436</v>
      </c>
      <c r="P20" s="108">
        <f>E20+G20+J20+L20</f>
        <v>23180.000000017571</v>
      </c>
      <c r="Q20" s="126">
        <f>R20+T20</f>
        <v>873.20000000000437</v>
      </c>
      <c r="R20" s="127">
        <v>302</v>
      </c>
      <c r="S20" s="127">
        <v>5426994.3600000003</v>
      </c>
      <c r="T20" s="120">
        <v>571.20000000000437</v>
      </c>
      <c r="U20" s="120">
        <v>2660878.0800000201</v>
      </c>
      <c r="V20" s="118">
        <f>S20+U20</f>
        <v>8087872.44000002</v>
      </c>
      <c r="W20" s="129">
        <v>92.200919999997652</v>
      </c>
      <c r="X20" s="114">
        <v>250</v>
      </c>
      <c r="Y20" s="111">
        <v>400</v>
      </c>
      <c r="Z20" s="114"/>
      <c r="AA20" s="114"/>
      <c r="AB20" s="114"/>
      <c r="AC20" s="126">
        <f>W20+X20+Y20+Z20+AA20+AB20</f>
        <v>742.20091999999772</v>
      </c>
      <c r="AD20" s="111">
        <v>8196615.9407599764</v>
      </c>
      <c r="AE20" s="115"/>
      <c r="AF20" s="132">
        <v>312.29999999995925</v>
      </c>
      <c r="AG20" s="134">
        <v>50.500000000000114</v>
      </c>
      <c r="AH20" s="133">
        <f>AF20+AG20</f>
        <v>362.79999999995937</v>
      </c>
      <c r="AI20" s="136">
        <v>3156359.9999996466</v>
      </c>
      <c r="AJ20" s="21"/>
    </row>
    <row r="21" spans="1:36" ht="15">
      <c r="A21" s="19"/>
      <c r="B21" s="81">
        <v>15</v>
      </c>
      <c r="C21" s="71">
        <v>31</v>
      </c>
      <c r="D21" s="71">
        <v>293</v>
      </c>
      <c r="E21" s="116">
        <v>17639.999999984866</v>
      </c>
      <c r="F21" s="120">
        <v>19184717.159983542</v>
      </c>
      <c r="G21" s="117">
        <v>3439.9999999986903</v>
      </c>
      <c r="H21" s="117">
        <v>5611856.0399978645</v>
      </c>
      <c r="I21" s="106">
        <f>F21+H21</f>
        <v>24796573.199981406</v>
      </c>
      <c r="J21" s="117">
        <v>1779.9999999997453</v>
      </c>
      <c r="K21" s="117">
        <v>1935872.819999723</v>
      </c>
      <c r="L21" s="117">
        <v>439.99999999994088</v>
      </c>
      <c r="M21" s="120">
        <v>717795.53999990365</v>
      </c>
      <c r="N21" s="108">
        <f>K21+M21</f>
        <v>2653668.3599996269</v>
      </c>
      <c r="O21" s="106">
        <f>I21+N21</f>
        <v>27450241.559981033</v>
      </c>
      <c r="P21" s="108">
        <f>E21+G21+J21+L21</f>
        <v>23299.999999983243</v>
      </c>
      <c r="Q21" s="126">
        <f>R21+T21</f>
        <v>474</v>
      </c>
      <c r="R21" s="127">
        <v>288</v>
      </c>
      <c r="S21" s="127">
        <v>5175411.84</v>
      </c>
      <c r="T21" s="120">
        <v>186</v>
      </c>
      <c r="U21" s="120">
        <v>866462.39999999991</v>
      </c>
      <c r="V21" s="118">
        <f>S21+U21</f>
        <v>6041874.2400000002</v>
      </c>
      <c r="W21" s="129">
        <v>81.808679999990616</v>
      </c>
      <c r="X21" s="114"/>
      <c r="Y21" s="111">
        <v>0</v>
      </c>
      <c r="Z21" s="114"/>
      <c r="AA21" s="114"/>
      <c r="AB21" s="114">
        <v>12</v>
      </c>
      <c r="AC21" s="126">
        <f>W21+X21+Y21+Z21+AA21+AB21</f>
        <v>93.808679999990616</v>
      </c>
      <c r="AD21" s="111">
        <v>970103.52803990478</v>
      </c>
      <c r="AE21" s="115"/>
      <c r="AF21" s="132">
        <v>333.50000000005821</v>
      </c>
      <c r="AG21" s="134">
        <v>0</v>
      </c>
      <c r="AH21" s="133">
        <f>AF21+AG21</f>
        <v>333.50000000005821</v>
      </c>
      <c r="AI21" s="136">
        <v>2901450.0000005066</v>
      </c>
      <c r="AJ21" s="21"/>
    </row>
    <row r="22" spans="1:36" ht="15">
      <c r="A22" s="19"/>
      <c r="B22" s="64">
        <v>16</v>
      </c>
      <c r="C22" s="71">
        <v>28</v>
      </c>
      <c r="D22" s="71">
        <v>223</v>
      </c>
      <c r="E22" s="116">
        <v>16839.999999996508</v>
      </c>
      <c r="F22" s="120">
        <v>18314661.959996201</v>
      </c>
      <c r="G22" s="117">
        <v>3319.999999999709</v>
      </c>
      <c r="H22" s="117">
        <v>5416093.6199995251</v>
      </c>
      <c r="I22" s="106">
        <f>F22+H22</f>
        <v>23730755.579995725</v>
      </c>
      <c r="J22" s="117">
        <v>1840.0000000001455</v>
      </c>
      <c r="K22" s="117">
        <v>2001126.9600001583</v>
      </c>
      <c r="L22" s="117">
        <v>379.99999999999545</v>
      </c>
      <c r="M22" s="120">
        <v>619914.32999999262</v>
      </c>
      <c r="N22" s="108">
        <f>K22+M22</f>
        <v>2621041.2900001509</v>
      </c>
      <c r="O22" s="106">
        <f>I22+N22</f>
        <v>26351796.869995877</v>
      </c>
      <c r="P22" s="108">
        <f>E22+G22+J22+L22</f>
        <v>22379.999999996358</v>
      </c>
      <c r="Q22" s="126">
        <f>R22+T22</f>
        <v>761.19999999999709</v>
      </c>
      <c r="R22" s="127">
        <v>343</v>
      </c>
      <c r="S22" s="127">
        <v>6163771.7400000002</v>
      </c>
      <c r="T22" s="120">
        <v>418.19999999999709</v>
      </c>
      <c r="U22" s="120">
        <v>1948142.8799999864</v>
      </c>
      <c r="V22" s="118">
        <f>S22+U22</f>
        <v>8111914.6199999861</v>
      </c>
      <c r="W22" s="129">
        <v>96.309480000014062</v>
      </c>
      <c r="X22" s="114"/>
      <c r="Y22" s="111">
        <v>0</v>
      </c>
      <c r="Z22" s="114"/>
      <c r="AA22" s="114"/>
      <c r="AB22" s="114">
        <v>12</v>
      </c>
      <c r="AC22" s="126">
        <f>W22+X22+Y22+Z22+AA22+AB22</f>
        <v>108.30948000001406</v>
      </c>
      <c r="AD22" s="111">
        <v>1117330.1504401427</v>
      </c>
      <c r="AE22" s="115"/>
      <c r="AF22" s="132">
        <v>283.80000000004657</v>
      </c>
      <c r="AG22" s="134">
        <v>0</v>
      </c>
      <c r="AH22" s="133">
        <f>AF22+AG22</f>
        <v>283.80000000004657</v>
      </c>
      <c r="AI22" s="136">
        <v>2469060.0000004051</v>
      </c>
      <c r="AJ22" s="21"/>
    </row>
    <row r="23" spans="1:36" ht="15">
      <c r="A23" s="19"/>
      <c r="B23" s="81">
        <v>17</v>
      </c>
      <c r="C23" s="71">
        <v>27</v>
      </c>
      <c r="D23" s="71">
        <v>174</v>
      </c>
      <c r="E23" s="116">
        <v>17279.999999998836</v>
      </c>
      <c r="F23" s="120">
        <v>18793192.319998737</v>
      </c>
      <c r="G23" s="117">
        <v>3480.0000000032014</v>
      </c>
      <c r="H23" s="117">
        <v>5677110.1800052226</v>
      </c>
      <c r="I23" s="106">
        <f>F23+H23</f>
        <v>24470302.50000396</v>
      </c>
      <c r="J23" s="117">
        <v>980.00000000001819</v>
      </c>
      <c r="K23" s="117">
        <v>1065817.6200000197</v>
      </c>
      <c r="L23" s="117">
        <v>160.00000000008185</v>
      </c>
      <c r="M23" s="120">
        <v>261016.56000013356</v>
      </c>
      <c r="N23" s="108">
        <f>K23+M23</f>
        <v>1326834.1800001531</v>
      </c>
      <c r="O23" s="106">
        <f>I23+N23</f>
        <v>25797136.680004112</v>
      </c>
      <c r="P23" s="108">
        <f>E23+G23+J23+L23</f>
        <v>21900.000000002139</v>
      </c>
      <c r="Q23" s="126">
        <f>R23+T23</f>
        <v>512</v>
      </c>
      <c r="R23" s="127">
        <v>295</v>
      </c>
      <c r="S23" s="127">
        <v>5301203.0999999996</v>
      </c>
      <c r="T23" s="120">
        <v>217</v>
      </c>
      <c r="U23" s="120">
        <v>1010872.7999999999</v>
      </c>
      <c r="V23" s="118">
        <f>S23+U23</f>
        <v>6312075.8999999994</v>
      </c>
      <c r="W23" s="129">
        <v>101.38475999999295</v>
      </c>
      <c r="X23" s="114"/>
      <c r="Y23" s="111">
        <v>0</v>
      </c>
      <c r="Z23" s="114">
        <v>50</v>
      </c>
      <c r="AA23" s="114"/>
      <c r="AB23" s="114">
        <v>0</v>
      </c>
      <c r="AC23" s="126">
        <f>W23+X23+Y23+Z23+AA23+AB23</f>
        <v>151.38475999999295</v>
      </c>
      <c r="AD23" s="111">
        <v>1587859.4682799284</v>
      </c>
      <c r="AE23" s="115"/>
      <c r="AF23" s="132">
        <v>254.69999999986612</v>
      </c>
      <c r="AG23" s="134">
        <v>0</v>
      </c>
      <c r="AH23" s="133">
        <f>AF23+AG23</f>
        <v>254.69999999986612</v>
      </c>
      <c r="AI23" s="136">
        <v>2215889.9999988354</v>
      </c>
      <c r="AJ23" s="21"/>
    </row>
    <row r="24" spans="1:36" ht="15">
      <c r="A24" s="19"/>
      <c r="B24" s="64">
        <v>18</v>
      </c>
      <c r="C24" s="71">
        <v>27</v>
      </c>
      <c r="D24" s="71">
        <v>323</v>
      </c>
      <c r="E24" s="116">
        <v>16800.000000017462</v>
      </c>
      <c r="F24" s="120">
        <v>18271159.200018991</v>
      </c>
      <c r="G24" s="117">
        <v>3599.9999999985448</v>
      </c>
      <c r="H24" s="117">
        <v>5872872.5999976266</v>
      </c>
      <c r="I24" s="106">
        <f>F24+H24</f>
        <v>24144031.800016619</v>
      </c>
      <c r="J24" s="117">
        <v>1659.9999999998545</v>
      </c>
      <c r="K24" s="121">
        <v>1805364.5399998417</v>
      </c>
      <c r="L24" s="117">
        <v>439.99999999994088</v>
      </c>
      <c r="M24" s="120">
        <v>717795.53999990365</v>
      </c>
      <c r="N24" s="108">
        <f>K24+M24</f>
        <v>2523160.0799997454</v>
      </c>
      <c r="O24" s="106">
        <f>I24+N24</f>
        <v>26667191.880016364</v>
      </c>
      <c r="P24" s="108">
        <f>E24+G24+J24+L24</f>
        <v>22500.000000015803</v>
      </c>
      <c r="Q24" s="126">
        <f>R24+T24</f>
        <v>571</v>
      </c>
      <c r="R24" s="127">
        <v>263</v>
      </c>
      <c r="S24" s="127">
        <v>4726157.34</v>
      </c>
      <c r="T24" s="120">
        <v>308</v>
      </c>
      <c r="U24" s="120">
        <v>1434787.2</v>
      </c>
      <c r="V24" s="118">
        <f>S24+U24</f>
        <v>6160944.54</v>
      </c>
      <c r="W24" s="129">
        <v>94.778839999995299</v>
      </c>
      <c r="X24" s="114"/>
      <c r="Y24" s="111">
        <v>0</v>
      </c>
      <c r="Z24" s="114"/>
      <c r="AA24" s="114"/>
      <c r="AB24" s="114">
        <v>12</v>
      </c>
      <c r="AC24" s="126">
        <f>W24+X24+Y24+Z24+AA24+AB24</f>
        <v>106.7788399999953</v>
      </c>
      <c r="AD24" s="111">
        <v>1101789.5625199522</v>
      </c>
      <c r="AE24" s="115"/>
      <c r="AF24" s="132">
        <v>200.90000000011059</v>
      </c>
      <c r="AG24" s="134">
        <v>0</v>
      </c>
      <c r="AH24" s="133">
        <f>AF24+AG24</f>
        <v>200.90000000011059</v>
      </c>
      <c r="AI24" s="136">
        <v>1747830.0000009621</v>
      </c>
      <c r="AJ24" s="21"/>
    </row>
    <row r="25" spans="1:36" ht="15">
      <c r="A25" s="19"/>
      <c r="B25" s="81">
        <v>19</v>
      </c>
      <c r="C25" s="71">
        <v>33</v>
      </c>
      <c r="D25" s="71">
        <v>312</v>
      </c>
      <c r="E25" s="116">
        <v>17959.999999991851</v>
      </c>
      <c r="F25" s="120">
        <v>19532739.23999114</v>
      </c>
      <c r="G25" s="117">
        <v>3599.9999999985448</v>
      </c>
      <c r="H25" s="117">
        <v>5872872.5999976266</v>
      </c>
      <c r="I25" s="106">
        <f>F25+H25</f>
        <v>25405611.839988768</v>
      </c>
      <c r="J25" s="117">
        <v>1840.0000000001455</v>
      </c>
      <c r="K25" s="117">
        <v>2001126.9600001583</v>
      </c>
      <c r="L25" s="117">
        <v>420.00000000007276</v>
      </c>
      <c r="M25" s="120">
        <v>685168.47000011872</v>
      </c>
      <c r="N25" s="108">
        <f>K25+M25</f>
        <v>2686295.4300002772</v>
      </c>
      <c r="O25" s="106">
        <f>I25+N25</f>
        <v>28091907.269989043</v>
      </c>
      <c r="P25" s="108">
        <f>E25+G25+J25+L25</f>
        <v>23819.999999990614</v>
      </c>
      <c r="Q25" s="126">
        <f>R25+T25</f>
        <v>554</v>
      </c>
      <c r="R25" s="127">
        <v>303</v>
      </c>
      <c r="S25" s="127">
        <v>5444964.54</v>
      </c>
      <c r="T25" s="120">
        <v>251</v>
      </c>
      <c r="U25" s="120">
        <v>1169258.3999999999</v>
      </c>
      <c r="V25" s="118">
        <f>S25+U25</f>
        <v>6614222.9399999995</v>
      </c>
      <c r="W25" s="129">
        <v>93.046800000023438</v>
      </c>
      <c r="X25" s="114"/>
      <c r="Y25" s="111">
        <v>400</v>
      </c>
      <c r="Z25" s="114"/>
      <c r="AA25" s="114"/>
      <c r="AB25" s="114">
        <v>0</v>
      </c>
      <c r="AC25" s="126">
        <f>W25+X25+Y25+Z25+AA25+AB25</f>
        <v>493.04680000002344</v>
      </c>
      <c r="AD25" s="111">
        <v>5412704.1604002379</v>
      </c>
      <c r="AE25" s="115"/>
      <c r="AF25" s="132">
        <v>310.80000000001746</v>
      </c>
      <c r="AG25" s="134">
        <v>0</v>
      </c>
      <c r="AH25" s="133">
        <f>AF25+AG25</f>
        <v>310.80000000001746</v>
      </c>
      <c r="AI25" s="136">
        <v>2703960.0000001518</v>
      </c>
      <c r="AJ25" s="21"/>
    </row>
    <row r="26" spans="1:36" ht="15">
      <c r="A26" s="19"/>
      <c r="B26" s="64">
        <v>20</v>
      </c>
      <c r="C26" s="71">
        <v>37</v>
      </c>
      <c r="D26" s="71">
        <v>377</v>
      </c>
      <c r="E26" s="116">
        <v>17839.999999996508</v>
      </c>
      <c r="F26" s="120">
        <v>19402230.959996201</v>
      </c>
      <c r="G26" s="117">
        <v>3760.0000000020373</v>
      </c>
      <c r="H26" s="117">
        <v>6133889.160003324</v>
      </c>
      <c r="I26" s="106">
        <f>F26+H26</f>
        <v>25536120.119999524</v>
      </c>
      <c r="J26" s="117">
        <v>1860.0000000001273</v>
      </c>
      <c r="K26" s="117">
        <v>2022878.3400001386</v>
      </c>
      <c r="L26" s="117">
        <v>439.99999999994088</v>
      </c>
      <c r="M26" s="120">
        <v>717795.53999990365</v>
      </c>
      <c r="N26" s="108">
        <f>K26+M26</f>
        <v>2740673.8800000423</v>
      </c>
      <c r="O26" s="106">
        <f>I26+N26</f>
        <v>28276793.999999568</v>
      </c>
      <c r="P26" s="108">
        <f>E26+G26+J26+L26</f>
        <v>23899.999999998614</v>
      </c>
      <c r="Q26" s="126">
        <f>R26+T26</f>
        <v>488</v>
      </c>
      <c r="R26" s="127">
        <v>291</v>
      </c>
      <c r="S26" s="127">
        <v>5229322.38</v>
      </c>
      <c r="T26" s="120">
        <v>197</v>
      </c>
      <c r="U26" s="120">
        <v>917704.79999999993</v>
      </c>
      <c r="V26" s="118">
        <f>S26+U26</f>
        <v>6147027.1799999997</v>
      </c>
      <c r="W26" s="129">
        <v>108.99767999999061</v>
      </c>
      <c r="X26" s="114">
        <v>250</v>
      </c>
      <c r="Y26" s="111">
        <v>0</v>
      </c>
      <c r="Z26" s="114"/>
      <c r="AA26" s="114"/>
      <c r="AB26" s="114"/>
      <c r="AC26" s="126">
        <f>W26+X26+Y26+Z26+AA26+AB26</f>
        <v>358.99767999999062</v>
      </c>
      <c r="AD26" s="111">
        <v>3899153.4450399047</v>
      </c>
      <c r="AE26" s="115"/>
      <c r="AF26" s="132">
        <v>357.5</v>
      </c>
      <c r="AG26" s="134">
        <v>0</v>
      </c>
      <c r="AH26" s="133">
        <f>AF26+AG26</f>
        <v>357.5</v>
      </c>
      <c r="AI26" s="136">
        <v>3110250</v>
      </c>
      <c r="AJ26" s="21"/>
    </row>
    <row r="27" spans="1:36" ht="15">
      <c r="A27" s="19"/>
      <c r="B27" s="81">
        <v>21</v>
      </c>
      <c r="C27" s="65">
        <v>48</v>
      </c>
      <c r="D27" s="65">
        <v>347</v>
      </c>
      <c r="E27" s="111">
        <v>18640.00000001397</v>
      </c>
      <c r="F27" s="111">
        <v>20272286.160015192</v>
      </c>
      <c r="G27" s="112">
        <v>3959.9999999991269</v>
      </c>
      <c r="H27" s="113">
        <v>6460159.8599985763</v>
      </c>
      <c r="I27" s="106">
        <f>F27+H27</f>
        <v>26732446.020013768</v>
      </c>
      <c r="J27" s="114">
        <v>1779.9999999997453</v>
      </c>
      <c r="K27" s="114">
        <v>1935872.819999723</v>
      </c>
      <c r="L27" s="123">
        <v>440.00000000005457</v>
      </c>
      <c r="M27" s="125">
        <v>717795.54000008909</v>
      </c>
      <c r="N27" s="108">
        <f>K27+M27</f>
        <v>2653668.3599998122</v>
      </c>
      <c r="O27" s="106">
        <f>I27+N27</f>
        <v>29386114.380013581</v>
      </c>
      <c r="P27" s="108">
        <f>E27+G27+J27+L27</f>
        <v>24820.000000012897</v>
      </c>
      <c r="Q27" s="126">
        <f>R27+T27</f>
        <v>650</v>
      </c>
      <c r="R27" s="127">
        <v>269</v>
      </c>
      <c r="S27" s="127">
        <v>4833978.42</v>
      </c>
      <c r="T27" s="120">
        <v>381</v>
      </c>
      <c r="U27" s="120">
        <v>1774850.4</v>
      </c>
      <c r="V27" s="118">
        <f>S27+U27</f>
        <v>6608828.8200000003</v>
      </c>
      <c r="W27" s="129">
        <v>109.19908000000234</v>
      </c>
      <c r="X27" s="114"/>
      <c r="Y27" s="111">
        <v>0</v>
      </c>
      <c r="Z27" s="114"/>
      <c r="AA27" s="114"/>
      <c r="AB27" s="114">
        <v>0</v>
      </c>
      <c r="AC27" s="126">
        <f>W27+X27+Y27+Z27+AA27+AB27</f>
        <v>109.19908000000234</v>
      </c>
      <c r="AD27" s="111">
        <v>1108698.2592400238</v>
      </c>
      <c r="AE27" s="115"/>
      <c r="AF27" s="132">
        <v>389.4999999999709</v>
      </c>
      <c r="AG27" s="134">
        <v>0</v>
      </c>
      <c r="AH27" s="133">
        <f>AF27+AG27</f>
        <v>389.4999999999709</v>
      </c>
      <c r="AI27" s="136">
        <v>3388649.9999997467</v>
      </c>
      <c r="AJ27" s="21"/>
    </row>
    <row r="28" spans="1:36" ht="15">
      <c r="A28" s="19"/>
      <c r="B28" s="64">
        <v>22</v>
      </c>
      <c r="C28" s="65">
        <v>49</v>
      </c>
      <c r="D28" s="65">
        <v>429</v>
      </c>
      <c r="E28" s="111">
        <v>19799.999999988358</v>
      </c>
      <c r="F28" s="111">
        <v>21533866.199987341</v>
      </c>
      <c r="G28" s="112">
        <v>3680.000000000291</v>
      </c>
      <c r="H28" s="113">
        <v>6003380.8800004749</v>
      </c>
      <c r="I28" s="106">
        <f>F28+H28</f>
        <v>27537247.079987817</v>
      </c>
      <c r="J28" s="114">
        <v>1760.0000000002183</v>
      </c>
      <c r="K28" s="114">
        <v>1914121.4400002374</v>
      </c>
      <c r="L28" s="123">
        <v>419.99999999995907</v>
      </c>
      <c r="M28" s="125">
        <v>685168.46999993327</v>
      </c>
      <c r="N28" s="108">
        <f>K28+M28</f>
        <v>2599289.9100001706</v>
      </c>
      <c r="O28" s="106">
        <f>I28+N28</f>
        <v>30136536.989987988</v>
      </c>
      <c r="P28" s="108">
        <f>E28+G28+J28+L28</f>
        <v>25659.999999988828</v>
      </c>
      <c r="Q28" s="126">
        <f>R28+T28</f>
        <v>665</v>
      </c>
      <c r="R28" s="127">
        <v>289</v>
      </c>
      <c r="S28" s="127">
        <v>5193382.0200000005</v>
      </c>
      <c r="T28" s="120">
        <v>376</v>
      </c>
      <c r="U28" s="120">
        <v>1751558.4</v>
      </c>
      <c r="V28" s="118">
        <f>S28+U28</f>
        <v>6944940.4199999999</v>
      </c>
      <c r="W28" s="129">
        <v>102.47231999998006</v>
      </c>
      <c r="X28" s="114"/>
      <c r="Y28" s="111">
        <v>0</v>
      </c>
      <c r="Z28" s="114"/>
      <c r="AA28" s="114"/>
      <c r="AB28" s="114">
        <v>0</v>
      </c>
      <c r="AC28" s="126">
        <f>W28+X28+Y28+Z28+AA28+AB28</f>
        <v>102.47231999998006</v>
      </c>
      <c r="AD28" s="111">
        <v>1040401.4649597976</v>
      </c>
      <c r="AE28" s="115"/>
      <c r="AF28" s="132">
        <v>511.9999999999709</v>
      </c>
      <c r="AG28" s="134">
        <v>0</v>
      </c>
      <c r="AH28" s="133">
        <f>AF28+AG28</f>
        <v>511.9999999999709</v>
      </c>
      <c r="AI28" s="136">
        <v>4454399.9999997467</v>
      </c>
      <c r="AJ28" s="21"/>
    </row>
    <row r="29" spans="1:36" ht="15">
      <c r="A29" s="19"/>
      <c r="B29" s="81">
        <v>23</v>
      </c>
      <c r="C29" s="65">
        <v>47</v>
      </c>
      <c r="D29" s="65">
        <v>395</v>
      </c>
      <c r="E29" s="111">
        <v>18799.999999988358</v>
      </c>
      <c r="F29" s="111">
        <v>20446297.199987341</v>
      </c>
      <c r="G29" s="112">
        <v>4119.9999999989814</v>
      </c>
      <c r="H29" s="113">
        <v>6721176.4199983394</v>
      </c>
      <c r="I29" s="106">
        <f>F29+H29</f>
        <v>27167473.619985681</v>
      </c>
      <c r="J29" s="114">
        <v>1799.9999999997272</v>
      </c>
      <c r="K29" s="114">
        <v>1957624.1999997033</v>
      </c>
      <c r="L29" s="123">
        <v>439.99999999994088</v>
      </c>
      <c r="M29" s="125">
        <v>717795.53999990365</v>
      </c>
      <c r="N29" s="108">
        <f>K29+M29</f>
        <v>2675419.7399996072</v>
      </c>
      <c r="O29" s="106">
        <f>I29+N29</f>
        <v>29842893.359985288</v>
      </c>
      <c r="P29" s="108">
        <f>E29+G29+J29+L29</f>
        <v>25159.999999987009</v>
      </c>
      <c r="Q29" s="126">
        <f>R29+T29</f>
        <v>703</v>
      </c>
      <c r="R29" s="127">
        <v>304</v>
      </c>
      <c r="S29" s="127">
        <v>5462934.7199999997</v>
      </c>
      <c r="T29" s="120">
        <v>399</v>
      </c>
      <c r="U29" s="120">
        <v>1858701.5999999999</v>
      </c>
      <c r="V29" s="118">
        <f>S29+U29</f>
        <v>7321636.3199999994</v>
      </c>
      <c r="W29" s="129">
        <v>101.70699999999999</v>
      </c>
      <c r="X29" s="114"/>
      <c r="Y29" s="111">
        <v>0</v>
      </c>
      <c r="Z29" s="114">
        <v>50</v>
      </c>
      <c r="AA29" s="114"/>
      <c r="AB29" s="114">
        <v>12</v>
      </c>
      <c r="AC29" s="126">
        <f>W29+X29+Y29+Z29+AA29+AB29</f>
        <v>163.70699999999999</v>
      </c>
      <c r="AD29" s="111">
        <v>1730631.1710000001</v>
      </c>
      <c r="AE29" s="115"/>
      <c r="AF29" s="132">
        <v>510</v>
      </c>
      <c r="AG29" s="134">
        <v>46.60000000000025</v>
      </c>
      <c r="AH29" s="133">
        <f>AF29+AG29</f>
        <v>556.60000000000025</v>
      </c>
      <c r="AI29" s="136">
        <v>4842420.0000000019</v>
      </c>
      <c r="AJ29" s="21"/>
    </row>
    <row r="30" spans="1:36" ht="15">
      <c r="A30" s="19"/>
      <c r="B30" s="64">
        <v>24</v>
      </c>
      <c r="C30" s="65">
        <v>50</v>
      </c>
      <c r="D30" s="65">
        <v>511</v>
      </c>
      <c r="E30" s="111">
        <v>18480.000000010477</v>
      </c>
      <c r="F30" s="111">
        <v>20098275.120011393</v>
      </c>
      <c r="G30" s="112">
        <v>3920.0000000018917</v>
      </c>
      <c r="H30" s="113">
        <v>6394905.7200030871</v>
      </c>
      <c r="I30" s="106">
        <f>F30+H30</f>
        <v>26493180.84001448</v>
      </c>
      <c r="J30" s="114">
        <v>1860.0000000001273</v>
      </c>
      <c r="K30" s="114">
        <v>2022878.3400001386</v>
      </c>
      <c r="L30" s="123">
        <v>460.00000000003638</v>
      </c>
      <c r="M30" s="125">
        <v>750422.61000005936</v>
      </c>
      <c r="N30" s="108">
        <f>K30+M30</f>
        <v>2773300.9500001981</v>
      </c>
      <c r="O30" s="106">
        <f>I30+N30</f>
        <v>29266481.790014677</v>
      </c>
      <c r="P30" s="108">
        <f>E30+G30+J30+L30</f>
        <v>24720.000000012533</v>
      </c>
      <c r="Q30" s="126">
        <f>R30+T30</f>
        <v>719</v>
      </c>
      <c r="R30" s="127">
        <v>316</v>
      </c>
      <c r="S30" s="127">
        <v>5678576.8799999999</v>
      </c>
      <c r="T30" s="120">
        <v>403</v>
      </c>
      <c r="U30" s="120">
        <v>1877335.2</v>
      </c>
      <c r="V30" s="118">
        <f>S30+U30</f>
        <v>7555912.0800000001</v>
      </c>
      <c r="W30" s="129">
        <v>97.235920000026951</v>
      </c>
      <c r="X30" s="114"/>
      <c r="Y30" s="111">
        <v>0</v>
      </c>
      <c r="Z30" s="114"/>
      <c r="AA30" s="114"/>
      <c r="AB30" s="114">
        <v>24</v>
      </c>
      <c r="AC30" s="126">
        <f>W30+X30+Y30+Z30+AA30+AB30</f>
        <v>121.23592000002695</v>
      </c>
      <c r="AD30" s="111">
        <v>1266236.2957602735</v>
      </c>
      <c r="AE30" s="115"/>
      <c r="AF30" s="132">
        <v>472.40000000005239</v>
      </c>
      <c r="AG30" s="134">
        <v>0</v>
      </c>
      <c r="AH30" s="133">
        <f>AF30+AG30</f>
        <v>472.40000000005239</v>
      </c>
      <c r="AI30" s="136">
        <v>4109880.0000004559</v>
      </c>
      <c r="AJ30" s="21"/>
    </row>
    <row r="31" spans="1:36" ht="15">
      <c r="A31" s="19"/>
      <c r="B31" s="81">
        <v>25</v>
      </c>
      <c r="C31" s="65">
        <v>45</v>
      </c>
      <c r="D31" s="65">
        <v>755</v>
      </c>
      <c r="E31" s="111">
        <v>19239.999999990687</v>
      </c>
      <c r="F31" s="111">
        <v>20924827.559989873</v>
      </c>
      <c r="G31" s="112">
        <v>4039.9999999972351</v>
      </c>
      <c r="H31" s="113">
        <v>6590668.1399954902</v>
      </c>
      <c r="I31" s="106">
        <f>F31+H31</f>
        <v>27515495.699985363</v>
      </c>
      <c r="J31" s="114">
        <v>1920.0000000000728</v>
      </c>
      <c r="K31" s="114">
        <v>2088132.4800000791</v>
      </c>
      <c r="L31" s="123">
        <v>440.00000000005457</v>
      </c>
      <c r="M31" s="125">
        <v>717795.54000008909</v>
      </c>
      <c r="N31" s="108">
        <f>K31+M31</f>
        <v>2805928.0200001681</v>
      </c>
      <c r="O31" s="106">
        <f>I31+N31</f>
        <v>30321423.71998553</v>
      </c>
      <c r="P31" s="108">
        <f>E31+G31+J31+L31</f>
        <v>25639.999999988049</v>
      </c>
      <c r="Q31" s="126">
        <f>R31+T31</f>
        <v>671</v>
      </c>
      <c r="R31" s="127">
        <v>281</v>
      </c>
      <c r="S31" s="127">
        <v>5049620.58</v>
      </c>
      <c r="T31" s="120">
        <v>390</v>
      </c>
      <c r="U31" s="120">
        <v>1816775.9999999998</v>
      </c>
      <c r="V31" s="118">
        <f>S31+U31</f>
        <v>6866396.5800000001</v>
      </c>
      <c r="W31" s="129">
        <v>80.64055999998709</v>
      </c>
      <c r="X31" s="114"/>
      <c r="Y31" s="111">
        <v>400</v>
      </c>
      <c r="Z31" s="114"/>
      <c r="AA31" s="114"/>
      <c r="AB31" s="114">
        <v>12</v>
      </c>
      <c r="AC31" s="126">
        <f>W31+X31+Y31+Z31+AA31+AB31</f>
        <v>492.64055999998709</v>
      </c>
      <c r="AD31" s="111">
        <v>5426243.6056798687</v>
      </c>
      <c r="AE31" s="115"/>
      <c r="AF31" s="132">
        <v>468.79999999990105</v>
      </c>
      <c r="AG31" s="134">
        <v>0</v>
      </c>
      <c r="AH31" s="133">
        <f>AF31+AG31</f>
        <v>468.79999999990105</v>
      </c>
      <c r="AI31" s="136">
        <v>4078559.999999139</v>
      </c>
      <c r="AJ31" s="21"/>
    </row>
    <row r="32" spans="1:36" ht="15">
      <c r="A32" s="19"/>
      <c r="B32" s="64">
        <v>26</v>
      </c>
      <c r="C32" s="65">
        <v>53</v>
      </c>
      <c r="D32" s="65">
        <v>519</v>
      </c>
      <c r="E32" s="111">
        <v>19559.999999997672</v>
      </c>
      <c r="F32" s="111">
        <v>21272849.639997467</v>
      </c>
      <c r="G32" s="112">
        <v>4000</v>
      </c>
      <c r="H32" s="113">
        <v>6525414</v>
      </c>
      <c r="I32" s="106">
        <f>F32+H32</f>
        <v>27798263.639997467</v>
      </c>
      <c r="J32" s="114">
        <v>1719.9999999997999</v>
      </c>
      <c r="K32" s="114">
        <v>1870618.6799997822</v>
      </c>
      <c r="L32" s="123">
        <v>419.99999999995907</v>
      </c>
      <c r="M32" s="125">
        <v>685168.46999993327</v>
      </c>
      <c r="N32" s="108">
        <f>K32+M32</f>
        <v>2555787.1499997154</v>
      </c>
      <c r="O32" s="106">
        <f>I32+N32</f>
        <v>30354050.789997183</v>
      </c>
      <c r="P32" s="108">
        <f>E32+G32+J32+L32</f>
        <v>25699.999999997432</v>
      </c>
      <c r="Q32" s="126">
        <f>R32+T32</f>
        <v>442</v>
      </c>
      <c r="R32" s="127">
        <v>252</v>
      </c>
      <c r="S32" s="127">
        <v>4528485.3600000003</v>
      </c>
      <c r="T32" s="120">
        <v>190</v>
      </c>
      <c r="U32" s="120">
        <v>885095.99999999988</v>
      </c>
      <c r="V32" s="118">
        <f>S32+U32</f>
        <v>5413581.3600000003</v>
      </c>
      <c r="W32" s="129">
        <v>85.957519999985919</v>
      </c>
      <c r="X32" s="114">
        <v>250</v>
      </c>
      <c r="Y32" s="111">
        <v>0</v>
      </c>
      <c r="Z32" s="114"/>
      <c r="AA32" s="114"/>
      <c r="AB32" s="114">
        <v>36</v>
      </c>
      <c r="AC32" s="126">
        <f>W32+X32+Y32+Z32+AA32+AB32</f>
        <v>371.95751999998595</v>
      </c>
      <c r="AD32" s="111">
        <v>4083726.7005598573</v>
      </c>
      <c r="AE32" s="115"/>
      <c r="AF32" s="132">
        <v>528.09999999997672</v>
      </c>
      <c r="AG32" s="134">
        <v>0</v>
      </c>
      <c r="AH32" s="133">
        <f>AF32+AG32</f>
        <v>528.09999999997672</v>
      </c>
      <c r="AI32" s="136">
        <v>4594469.999999797</v>
      </c>
      <c r="AJ32" s="21"/>
    </row>
    <row r="33" spans="1:36" ht="15">
      <c r="A33" s="19"/>
      <c r="B33" s="81">
        <v>27</v>
      </c>
      <c r="C33" s="65">
        <v>67</v>
      </c>
      <c r="D33" s="65">
        <v>593</v>
      </c>
      <c r="E33" s="111">
        <v>19720.000000001164</v>
      </c>
      <c r="F33" s="111">
        <v>21446860.680001266</v>
      </c>
      <c r="G33" s="112">
        <v>4200.0000000007276</v>
      </c>
      <c r="H33" s="113">
        <v>6851684.7000011876</v>
      </c>
      <c r="I33" s="106">
        <f>F33+H33</f>
        <v>28298545.380002454</v>
      </c>
      <c r="J33" s="114">
        <v>1940.0000000000546</v>
      </c>
      <c r="K33" s="114">
        <v>2109883.8600000595</v>
      </c>
      <c r="L33" s="123">
        <v>460.00000000003638</v>
      </c>
      <c r="M33" s="125">
        <v>750422.61000005936</v>
      </c>
      <c r="N33" s="108">
        <f>K33+M33</f>
        <v>2860306.4700001189</v>
      </c>
      <c r="O33" s="106">
        <f>I33+N33</f>
        <v>31158851.850002572</v>
      </c>
      <c r="P33" s="108">
        <f>E33+G33+J33+L33</f>
        <v>26320.000000001983</v>
      </c>
      <c r="Q33" s="126">
        <f>R33+T33</f>
        <v>739</v>
      </c>
      <c r="R33" s="127">
        <v>345</v>
      </c>
      <c r="S33" s="127">
        <v>6199712.1000000006</v>
      </c>
      <c r="T33" s="120">
        <v>394</v>
      </c>
      <c r="U33" s="120">
        <v>1835409.5999999999</v>
      </c>
      <c r="V33" s="118">
        <f>S33+U33</f>
        <v>8035121.7000000002</v>
      </c>
      <c r="W33" s="129">
        <v>100.7402800000082</v>
      </c>
      <c r="X33" s="114"/>
      <c r="Y33" s="111">
        <v>0</v>
      </c>
      <c r="Z33" s="114"/>
      <c r="AA33" s="114"/>
      <c r="AB33" s="114"/>
      <c r="AC33" s="126">
        <f>W33+X33+Y33+Z33+AA33+AB33</f>
        <v>100.7402800000082</v>
      </c>
      <c r="AD33" s="111">
        <v>1022816.0628400833</v>
      </c>
      <c r="AE33" s="115"/>
      <c r="AF33" s="132">
        <v>412.70000000004075</v>
      </c>
      <c r="AG33" s="134">
        <v>83.999999999999773</v>
      </c>
      <c r="AH33" s="133">
        <f>AF33+AG33</f>
        <v>496.70000000004052</v>
      </c>
      <c r="AI33" s="136">
        <v>4321290.000000353</v>
      </c>
      <c r="AJ33" s="21"/>
    </row>
    <row r="34" spans="1:36" ht="15">
      <c r="A34" s="19"/>
      <c r="B34" s="64">
        <v>28</v>
      </c>
      <c r="C34" s="65">
        <v>71</v>
      </c>
      <c r="D34" s="65">
        <v>678</v>
      </c>
      <c r="E34" s="111">
        <v>19680.000000022119</v>
      </c>
      <c r="F34" s="111">
        <v>21403357.920024056</v>
      </c>
      <c r="G34" s="112">
        <v>4240.0000000016007</v>
      </c>
      <c r="H34" s="113">
        <v>6916938.8400026122</v>
      </c>
      <c r="I34" s="106">
        <f>F34+H34</f>
        <v>28320296.760026667</v>
      </c>
      <c r="J34" s="114">
        <v>1960.0000000000364</v>
      </c>
      <c r="K34" s="114">
        <v>2131635.2400000393</v>
      </c>
      <c r="L34" s="123">
        <v>419.99999999995907</v>
      </c>
      <c r="M34" s="125">
        <v>685168.46999993327</v>
      </c>
      <c r="N34" s="108">
        <f>K34+M34</f>
        <v>2816803.7099999725</v>
      </c>
      <c r="O34" s="106">
        <f>I34+N34</f>
        <v>31137100.470026638</v>
      </c>
      <c r="P34" s="108">
        <f>E34+G34+J34+L34</f>
        <v>26300.000000023716</v>
      </c>
      <c r="Q34" s="126">
        <f>R34+T34</f>
        <v>256</v>
      </c>
      <c r="R34" s="127">
        <v>67</v>
      </c>
      <c r="S34" s="127">
        <v>1204002.06</v>
      </c>
      <c r="T34" s="120">
        <v>189</v>
      </c>
      <c r="U34" s="120">
        <v>880437.6</v>
      </c>
      <c r="V34" s="118">
        <f>S34+U34</f>
        <v>2084439.6600000001</v>
      </c>
      <c r="W34" s="129">
        <v>116.93283999999529</v>
      </c>
      <c r="X34" s="114"/>
      <c r="Y34" s="111">
        <v>0</v>
      </c>
      <c r="Z34" s="114"/>
      <c r="AA34" s="114"/>
      <c r="AB34" s="114">
        <v>24</v>
      </c>
      <c r="AC34" s="126">
        <f>W34+X34+Y34+Z34+AA34+AB34</f>
        <v>140.93283999999528</v>
      </c>
      <c r="AD34" s="111">
        <v>1466219.1245199523</v>
      </c>
      <c r="AE34" s="115"/>
      <c r="AF34" s="132">
        <v>335.80000000001746</v>
      </c>
      <c r="AG34" s="134">
        <v>0</v>
      </c>
      <c r="AH34" s="133">
        <f>AF34+AG34</f>
        <v>335.80000000001746</v>
      </c>
      <c r="AI34" s="136">
        <v>2921460.0000001518</v>
      </c>
      <c r="AJ34" s="21"/>
    </row>
    <row r="35" spans="1:36" ht="15">
      <c r="A35" s="19"/>
      <c r="B35" s="81">
        <v>29</v>
      </c>
      <c r="C35" s="65">
        <v>80</v>
      </c>
      <c r="D35" s="65">
        <v>569</v>
      </c>
      <c r="E35" s="111">
        <v>21479.999999981374</v>
      </c>
      <c r="F35" s="111">
        <v>23360982.119979743</v>
      </c>
      <c r="G35" s="112">
        <v>4239.9999999979627</v>
      </c>
      <c r="H35" s="113">
        <v>6916938.8399966769</v>
      </c>
      <c r="I35" s="106">
        <f>F35+H35</f>
        <v>30277920.95997642</v>
      </c>
      <c r="J35" s="114">
        <v>1860.0000000001273</v>
      </c>
      <c r="K35" s="114">
        <v>2022878.3400001386</v>
      </c>
      <c r="L35" s="123">
        <v>440.00000000005457</v>
      </c>
      <c r="M35" s="125">
        <v>717795.54000008909</v>
      </c>
      <c r="N35" s="108">
        <f>K35+M35</f>
        <v>2740673.8800002276</v>
      </c>
      <c r="O35" s="106">
        <f>I35+N35</f>
        <v>33018594.839976646</v>
      </c>
      <c r="P35" s="108">
        <f>E35+G35+J35+L35</f>
        <v>28019.999999979518</v>
      </c>
      <c r="Q35" s="126">
        <f>R35+T35</f>
        <v>680</v>
      </c>
      <c r="R35" s="127">
        <v>497</v>
      </c>
      <c r="S35" s="127">
        <v>8931179.4600000009</v>
      </c>
      <c r="T35" s="120">
        <v>183</v>
      </c>
      <c r="U35" s="120">
        <v>852487.2</v>
      </c>
      <c r="V35" s="118">
        <f>S35+U35</f>
        <v>9783666.6600000001</v>
      </c>
      <c r="W35" s="129">
        <v>101.62644000001289</v>
      </c>
      <c r="X35" s="114"/>
      <c r="Y35" s="111">
        <v>0</v>
      </c>
      <c r="Z35" s="114">
        <v>50</v>
      </c>
      <c r="AA35" s="114"/>
      <c r="AB35" s="114">
        <v>0</v>
      </c>
      <c r="AC35" s="126">
        <f>W35+X35+Y35+Z35+AA35+AB35</f>
        <v>151.62644000001291</v>
      </c>
      <c r="AD35" s="111">
        <v>1590313.2453201308</v>
      </c>
      <c r="AE35" s="115"/>
      <c r="AF35" s="132">
        <v>422.29999999995925</v>
      </c>
      <c r="AG35" s="134">
        <v>58.899999999999864</v>
      </c>
      <c r="AH35" s="133">
        <f>AF35+AG35</f>
        <v>481.19999999995912</v>
      </c>
      <c r="AI35" s="136">
        <v>4186439.9999996442</v>
      </c>
      <c r="AJ35" s="21"/>
    </row>
    <row r="36" spans="1:36" ht="15">
      <c r="A36" s="19"/>
      <c r="B36" s="64">
        <v>30</v>
      </c>
      <c r="C36" s="65">
        <v>76</v>
      </c>
      <c r="D36" s="65">
        <v>733</v>
      </c>
      <c r="E36" s="111">
        <v>20680.000000022119</v>
      </c>
      <c r="F36" s="111">
        <v>22490926.920024056</v>
      </c>
      <c r="G36" s="112">
        <v>4280.0000000024738</v>
      </c>
      <c r="H36" s="113">
        <v>6982192.9800040368</v>
      </c>
      <c r="I36" s="106">
        <f>F36+H36</f>
        <v>29473119.900028095</v>
      </c>
      <c r="J36" s="114">
        <v>1920.0000000000728</v>
      </c>
      <c r="K36" s="114">
        <v>2088132.4800000791</v>
      </c>
      <c r="L36" s="123">
        <v>439.99999999994088</v>
      </c>
      <c r="M36" s="125">
        <v>717795.53999990365</v>
      </c>
      <c r="N36" s="108">
        <f>K36+M36</f>
        <v>2805928.0199999828</v>
      </c>
      <c r="O36" s="106">
        <f>I36+N36</f>
        <v>32279047.920028076</v>
      </c>
      <c r="P36" s="108">
        <f>E36+G36+J36+L36</f>
        <v>27320.000000024607</v>
      </c>
      <c r="Q36" s="126">
        <f>R36+T36</f>
        <v>599</v>
      </c>
      <c r="R36" s="127">
        <v>299</v>
      </c>
      <c r="S36" s="127">
        <v>5373083.8200000003</v>
      </c>
      <c r="T36" s="120">
        <v>300</v>
      </c>
      <c r="U36" s="120">
        <v>1397520</v>
      </c>
      <c r="V36" s="118">
        <f>S36+U36</f>
        <v>6770603.8200000003</v>
      </c>
      <c r="W36" s="129">
        <v>92.08008000000234</v>
      </c>
      <c r="X36" s="114"/>
      <c r="Y36" s="111">
        <v>0</v>
      </c>
      <c r="Z36" s="114"/>
      <c r="AA36" s="114"/>
      <c r="AB36" s="114">
        <v>12</v>
      </c>
      <c r="AC36" s="126">
        <f>W36+X36+Y36+Z36+AA36+AB36</f>
        <v>104.08008000000234</v>
      </c>
      <c r="AD36" s="111">
        <v>1074389.0522400239</v>
      </c>
      <c r="AE36" s="115"/>
      <c r="AF36" s="132">
        <v>626.90000000002328</v>
      </c>
      <c r="AG36" s="134">
        <v>0</v>
      </c>
      <c r="AH36" s="133">
        <f>AF36+AG36</f>
        <v>626.90000000002328</v>
      </c>
      <c r="AI36" s="136">
        <v>5454030.000000203</v>
      </c>
      <c r="AJ36" s="21"/>
    </row>
    <row r="37" spans="1:36" ht="15">
      <c r="A37" s="19"/>
      <c r="B37" s="81">
        <v>31</v>
      </c>
      <c r="C37" s="65">
        <v>75</v>
      </c>
      <c r="D37" s="65">
        <v>679</v>
      </c>
      <c r="E37" s="111">
        <v>30799.999999988358</v>
      </c>
      <c r="F37" s="111">
        <v>33497125.199987341</v>
      </c>
      <c r="G37" s="112">
        <v>4200.0000000007276</v>
      </c>
      <c r="H37" s="113">
        <v>6851684.7000011876</v>
      </c>
      <c r="I37" s="106">
        <f>F37+H37</f>
        <v>40348809.899988532</v>
      </c>
      <c r="J37" s="114">
        <v>2899.9999999996362</v>
      </c>
      <c r="K37" s="114">
        <v>3153950.0999996047</v>
      </c>
      <c r="L37" s="123">
        <v>419.99999999995907</v>
      </c>
      <c r="M37" s="125">
        <v>685168.46999993327</v>
      </c>
      <c r="N37" s="108">
        <f>K37+M37</f>
        <v>3839118.5699995379</v>
      </c>
      <c r="O37" s="106">
        <f>I37+N37</f>
        <v>44187928.46998807</v>
      </c>
      <c r="P37" s="108">
        <f>E37+G37+J37+L37</f>
        <v>38319.999999988679</v>
      </c>
      <c r="Q37" s="126">
        <f>R37+T37</f>
        <v>642</v>
      </c>
      <c r="R37" s="127">
        <v>112</v>
      </c>
      <c r="S37" s="127">
        <v>2012660.1600000001</v>
      </c>
      <c r="T37" s="120">
        <v>530</v>
      </c>
      <c r="U37" s="120">
        <v>2468952</v>
      </c>
      <c r="V37" s="118">
        <f>S37+U37</f>
        <v>4481612.16</v>
      </c>
      <c r="W37" s="129">
        <v>95.54416000000468</v>
      </c>
      <c r="X37" s="114">
        <v>250</v>
      </c>
      <c r="Y37" s="111">
        <v>400</v>
      </c>
      <c r="Z37" s="114"/>
      <c r="AA37" s="114"/>
      <c r="AB37" s="114">
        <v>0</v>
      </c>
      <c r="AC37" s="126">
        <f>W37+X37+Y37+Z37+AA37+AB37</f>
        <v>745.54416000000469</v>
      </c>
      <c r="AD37" s="111">
        <v>8230559.8564800471</v>
      </c>
      <c r="AE37" s="115"/>
      <c r="AF37" s="132">
        <v>606.39999999999418</v>
      </c>
      <c r="AG37" s="134">
        <v>0</v>
      </c>
      <c r="AH37" s="133">
        <f>AF37+AG37</f>
        <v>606.39999999999418</v>
      </c>
      <c r="AI37" s="136">
        <v>5275679.9999999497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8"/>
      <c r="D42" s="148"/>
      <c r="E42" s="149"/>
      <c r="F42" s="150"/>
      <c r="G42" s="151"/>
      <c r="H42" s="150"/>
      <c r="I42" s="151"/>
      <c r="J42" s="151"/>
      <c r="K42" s="151"/>
      <c r="L42" s="150"/>
      <c r="M42" s="152"/>
      <c r="N42" s="153"/>
      <c r="O42" s="151"/>
      <c r="P42" s="153"/>
      <c r="Q42" s="154"/>
      <c r="R42" s="155"/>
      <c r="S42" s="151"/>
      <c r="T42" s="151"/>
      <c r="U42" s="151"/>
      <c r="V42" s="151"/>
      <c r="W42" s="156"/>
      <c r="X42" s="150"/>
      <c r="Y42" s="156"/>
      <c r="Z42" s="156"/>
      <c r="AA42" s="156"/>
      <c r="AB42" s="156"/>
      <c r="AC42" s="156"/>
      <c r="AD42" s="150"/>
      <c r="AE42" s="157"/>
      <c r="AF42" s="157"/>
      <c r="AG42" s="157"/>
      <c r="AH42" s="157"/>
      <c r="AI42" s="158"/>
    </row>
    <row r="43" spans="1:36">
      <c r="A43" s="33"/>
      <c r="B43" s="147"/>
      <c r="C43" s="137">
        <f>SUM(C7:C37)</f>
        <v>1431</v>
      </c>
      <c r="D43" s="137">
        <f>SUM(D7:D37)</f>
        <v>12704</v>
      </c>
      <c r="E43" s="138">
        <f>SUM(E7:E37)</f>
        <v>581760.00000000931</v>
      </c>
      <c r="F43" s="138">
        <f>SUM(F7:F37)</f>
        <v>632704141.44001007</v>
      </c>
      <c r="G43" s="138">
        <f>SUM(G7:G37)</f>
        <v>118960.00000000276</v>
      </c>
      <c r="H43" s="138">
        <f>SUM(H7:H37)</f>
        <v>194065812.36000451</v>
      </c>
      <c r="I43" s="138">
        <f>SUM(I7:I37)</f>
        <v>826769953.80001473</v>
      </c>
      <c r="J43" s="138">
        <f>SUM(J7:J37)</f>
        <v>56559.999999999956</v>
      </c>
      <c r="K43" s="138">
        <f>SUM(K7:K37)</f>
        <v>61512902.639999941</v>
      </c>
      <c r="L43" s="138">
        <f>SUM(L7:L37)</f>
        <v>13139.999999999993</v>
      </c>
      <c r="M43" s="138">
        <f>SUM(M7:M37)</f>
        <v>21435984.989999972</v>
      </c>
      <c r="N43" s="138">
        <f>SUM(N7:N37)</f>
        <v>82948887.629999906</v>
      </c>
      <c r="O43" s="139">
        <f>SUM(O7:O37)</f>
        <v>909718841.43001449</v>
      </c>
      <c r="P43" s="140">
        <f>SUM(P7:P37)</f>
        <v>770420.00000001211</v>
      </c>
      <c r="Q43" s="141">
        <f>SUM(Q7:Q37)</f>
        <v>19444.099999999999</v>
      </c>
      <c r="R43" s="138">
        <f>SUM(R7:R37)</f>
        <v>8444</v>
      </c>
      <c r="S43" s="138">
        <f>SUM(S7:S37)</f>
        <v>151740199.91999999</v>
      </c>
      <c r="T43" s="138">
        <f>SUM(T7:T37)</f>
        <v>11000.099999999999</v>
      </c>
      <c r="U43" s="138">
        <f>SUM(U7:U37)</f>
        <v>51242865.839999996</v>
      </c>
      <c r="V43" s="142">
        <f>SUM(V8:V38)</f>
        <v>197777930.15999997</v>
      </c>
      <c r="W43" s="143">
        <f>SUM(W7:W37)</f>
        <v>2788.6246800000195</v>
      </c>
      <c r="X43" s="138">
        <f>SUM(X7:X37)</f>
        <v>1500</v>
      </c>
      <c r="Y43" s="138">
        <f>SUM(Y7:Y37)</f>
        <v>2400</v>
      </c>
      <c r="Z43" s="138">
        <f>SUM(Z7:Z37)</f>
        <v>250</v>
      </c>
      <c r="AA43" s="138">
        <f>SUM(AA7:AA37)</f>
        <v>0</v>
      </c>
      <c r="AB43" s="138">
        <f>SUM(AB7:AB37)</f>
        <v>384</v>
      </c>
      <c r="AC43" s="144">
        <f>SUM(AC7:AC37)</f>
        <v>7322.624680000019</v>
      </c>
      <c r="AD43" s="144">
        <f>SUM(AD7:AD37)</f>
        <v>79132406.376040205</v>
      </c>
      <c r="AE43" s="145">
        <f>SUM(AE8:AE39)</f>
        <v>0</v>
      </c>
      <c r="AF43" s="138">
        <f>SUM(AF7:AF37)</f>
        <v>12123.499999999913</v>
      </c>
      <c r="AG43" s="138">
        <f>SUM(AG7:AG37)</f>
        <v>293.89999999999986</v>
      </c>
      <c r="AH43" s="146">
        <f>SUM(AH7:AH37)</f>
        <v>12417.399999999912</v>
      </c>
      <c r="AI43" s="146">
        <f>SUM(AI7:AI37)</f>
        <v>108031379.99999925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1180.80896320189</v>
      </c>
      <c r="Q45" s="43"/>
      <c r="R45" s="43"/>
      <c r="S45" s="43"/>
      <c r="T45" s="36"/>
      <c r="U45" s="36"/>
      <c r="V45" s="43">
        <f>V43/Q43</f>
        <v>10171.616591151042</v>
      </c>
      <c r="W45" s="43"/>
      <c r="X45" s="36"/>
      <c r="Y45" s="43"/>
      <c r="Z45" s="43"/>
      <c r="AA45" s="43"/>
      <c r="AB45" s="159">
        <f>AC43-W43</f>
        <v>4534</v>
      </c>
      <c r="AC45" s="36"/>
      <c r="AD45" s="36">
        <f>AD43/AC43</f>
        <v>10806.56319750639</v>
      </c>
      <c r="AE45" s="40"/>
      <c r="AF45" s="40"/>
      <c r="AG45" s="40"/>
      <c r="AH45" s="40"/>
      <c r="AI45" s="43">
        <f>AI43/AH43</f>
        <v>8700.0000000000018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