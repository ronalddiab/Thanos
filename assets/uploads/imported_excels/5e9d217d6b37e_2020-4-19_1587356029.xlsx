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22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22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22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22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22" i="9"/>
  <c r="N23" i="9"/>
  <c r="N24" i="9"/>
  <c r="N25" i="9"/>
  <c r="N26" i="9"/>
  <c r="N27" i="9"/>
  <c r="N28" i="9"/>
  <c r="N29" i="9"/>
  <c r="N30" i="9"/>
  <c r="N31" i="9"/>
  <c r="M3" i="9"/>
  <c r="M4" i="9"/>
  <c r="M5" i="9"/>
  <c r="M22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22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22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22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22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22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22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<sst xmlns="http://schemas.openxmlformats.org/spreadsheetml/2006/main" count="128" uniqueCount="49">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</sst>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Submetering!R7</f>
        <v>52.995740000000005</v>
      </c>
      <c r="H7" s="11">
        <v>0.52800000000000002</v>
      </c>
      <c r="I7" s="12">
        <f>Hotel!B12</f>
        <v>7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Submetering!R8</f>
        <v>1501.672147</v>
      </c>
      <c r="H8" s="11">
        <v>0.52800000000000002</v>
      </c>
      <c r="I8" s="12">
        <f>Hotel!B13</f>
        <v>4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Submetering!R9</f>
        <v>155.58035100000001</v>
      </c>
      <c r="H9" s="11">
        <v>0.52800000000000002</v>
      </c>
      <c r="I9" s="12">
        <f>Hotel!B14</f>
        <v>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Submetering!R10</f>
        <v>566.29733599999997</v>
      </c>
      <c r="H10" s="11">
        <v>0.52800000000000002</v>
      </c>
      <c r="I10" s="12">
        <f>Hotel!B15</f>
        <v>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31726</v>
      </c>
      <c r="F11" s="11">
        <v>5.0000000000000001E-3</v>
      </c>
      <c r="G11" s="12">
        <f>Submetering!R11</f>
        <v>418.66634600000003</v>
      </c>
      <c r="H11" s="11">
        <v>0.52800000000000002</v>
      </c>
      <c r="I11" s="12">
        <f>Hotel!B16</f>
        <v>13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32754</v>
      </c>
      <c r="F12" s="11">
        <v>5.0000000000000001E-3</v>
      </c>
      <c r="G12" s="12">
        <f>Submetering!R12</f>
        <v>540.93508899999995</v>
      </c>
      <c r="H12" s="11">
        <v>0.52800000000000002</v>
      </c>
      <c r="I12" s="12">
        <f>Hotel!B17</f>
        <v>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32180</v>
      </c>
      <c r="F13" s="11">
        <v>5.0000000000000001E-3</v>
      </c>
      <c r="G13" s="12">
        <f>Submetering!R13</f>
        <v>164.665335</v>
      </c>
      <c r="H13" s="11">
        <v>0.52800000000000002</v>
      </c>
      <c r="I13" s="12">
        <f>Hotel!B18</f>
        <v>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32170</v>
      </c>
      <c r="F14" s="11">
        <v>5.0000000000000001E-3</v>
      </c>
      <c r="G14" s="12">
        <f>Submetering!R14</f>
        <v>393.30409900000001</v>
      </c>
      <c r="H14" s="11">
        <v>0.52800000000000002</v>
      </c>
      <c r="I14" s="12">
        <f>Hotel!B19</f>
        <v>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30050</v>
      </c>
      <c r="F15" s="11">
        <v>5.0000000000000001E-3</v>
      </c>
      <c r="G15" s="12">
        <f>Submetering!R15</f>
        <v>711.65707999999995</v>
      </c>
      <c r="H15" s="11">
        <v>0.52800000000000002</v>
      </c>
      <c r="I15" s="12">
        <f>Hotel!B20</f>
        <v>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29640</v>
      </c>
      <c r="F16" s="11">
        <v>5.0000000000000001E-3</v>
      </c>
      <c r="G16" s="12">
        <f>Submetering!R16</f>
        <v>436.07923199999999</v>
      </c>
      <c r="H16" s="11">
        <v>0.52800000000000002</v>
      </c>
      <c r="I16" s="12">
        <f>Hotel!B21</f>
        <v>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32640</v>
      </c>
      <c r="F17" s="11">
        <v>5.0000000000000001E-3</v>
      </c>
      <c r="G17" s="12">
        <f>Submetering!R17</f>
        <v>436.45777299999997</v>
      </c>
      <c r="H17" s="11">
        <v>0.52800000000000002</v>
      </c>
      <c r="I17" s="12">
        <f>Hotel!B22</f>
        <v>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34430</v>
      </c>
      <c r="F18" s="11">
        <v>5.0000000000000001E-3</v>
      </c>
      <c r="G18" s="12">
        <f>Submetering!R18</f>
        <v>317.21735799999999</v>
      </c>
      <c r="H18" s="11">
        <v>0.52800000000000002</v>
      </c>
      <c r="I18" s="12">
        <f>Hotel!B23</f>
        <v>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33360</v>
      </c>
      <c r="F19" s="11">
        <v>5.0000000000000001E-3</v>
      </c>
      <c r="G19" s="12">
        <f>Submetering!R19</f>
        <v>291.47656999999998</v>
      </c>
      <c r="H19" s="11">
        <v>0.52800000000000002</v>
      </c>
      <c r="I19" s="12">
        <f>Hotel!B24</f>
        <v>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35960</v>
      </c>
      <c r="F20" s="11">
        <v>5.0000000000000001E-3</v>
      </c>
      <c r="G20" s="12">
        <f>Submetering!R20</f>
        <v>123.78290699999998</v>
      </c>
      <c r="H20" s="11">
        <v>0.52800000000000002</v>
      </c>
      <c r="I20" s="12">
        <f>Hotel!B25</f>
        <v>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Hotel!AV12*0.00378541*100</f>
        <v>52.995740000000005</v>
      </c>
      <c r="S7" s="4">
        <f>Hotel!B12</f>
        <v>7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Hotel!AV13*0.00378541*100</f>
        <v>1501.672147</v>
      </c>
      <c r="S8" s="4">
        <f>Hotel!B13</f>
        <v>4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Hotel!AV14*0.00378541*100</f>
        <v>155.58035100000001</v>
      </c>
      <c r="S9" s="4">
        <f>Hotel!B14</f>
        <v>8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Hotel!AV15*0.00378541*100</f>
        <v>566.29733599999997</v>
      </c>
      <c r="S10" s="4">
        <f>Hotel!B15</f>
        <v>14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570</v>
      </c>
      <c r="F11" s="4">
        <f>Hotel!R16</f>
        <v>1906</v>
      </c>
      <c r="G11" s="4">
        <f>Hotel!S16</f>
        <v>3510</v>
      </c>
      <c r="H11" s="4">
        <f>Hotel!T16</f>
        <v>1340</v>
      </c>
      <c r="I11" s="4">
        <f>Hotel!U16</f>
        <v>3040</v>
      </c>
      <c r="J11" s="4">
        <f>Hotel!V16</f>
        <v>2190</v>
      </c>
      <c r="K11" s="4">
        <f>Hotel!W16</f>
        <v>2100</v>
      </c>
      <c r="L11" s="4">
        <f>Hotel!X16</f>
        <v>1340</v>
      </c>
      <c r="M11" s="4">
        <f>Hotel!Y16</f>
        <v>2550</v>
      </c>
      <c r="N11" s="4">
        <f>Hotel!Z16</f>
        <v>2320</v>
      </c>
      <c r="O11" s="4">
        <f>Hotel!AA16</f>
        <v>2120</v>
      </c>
      <c r="P11" s="4">
        <f>Hotel!AB16</f>
        <v>4200</v>
      </c>
      <c r="Q11" s="4">
        <f>Hotel!AC16</f>
        <v>4540</v>
      </c>
      <c r="R11" s="4">
        <f>Hotel!AV16*0.00378541*100</f>
        <v>418.66634600000003</v>
      </c>
      <c r="S11" s="4">
        <f>Hotel!B16</f>
        <v>13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560</v>
      </c>
      <c r="F12" s="4">
        <f>Hotel!R17</f>
        <v>1914</v>
      </c>
      <c r="G12" s="4">
        <f>Hotel!S17</f>
        <v>3290</v>
      </c>
      <c r="H12" s="4">
        <f>Hotel!T17</f>
        <v>1440</v>
      </c>
      <c r="I12" s="4">
        <f>Hotel!U17</f>
        <v>3290</v>
      </c>
      <c r="J12" s="4">
        <f>Hotel!V17</f>
        <v>2380</v>
      </c>
      <c r="K12" s="4">
        <f>Hotel!W17</f>
        <v>2150</v>
      </c>
      <c r="L12" s="4">
        <f>Hotel!X17</f>
        <v>1400</v>
      </c>
      <c r="M12" s="4">
        <f>Hotel!Y17</f>
        <v>2830</v>
      </c>
      <c r="N12" s="4">
        <f>Hotel!Z17</f>
        <v>2300</v>
      </c>
      <c r="O12" s="4">
        <f>Hotel!AA17</f>
        <v>2410</v>
      </c>
      <c r="P12" s="4">
        <f>Hotel!AB17</f>
        <v>4060</v>
      </c>
      <c r="Q12" s="4">
        <f>Hotel!AC17</f>
        <v>4730</v>
      </c>
      <c r="R12" s="4">
        <f>Hotel!AV17*0.00378541*100</f>
        <v>540.93508899999995</v>
      </c>
      <c r="S12" s="4">
        <f>Hotel!B17</f>
        <v>5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570</v>
      </c>
      <c r="F13" s="4">
        <f>Hotel!R18</f>
        <v>1910</v>
      </c>
      <c r="G13" s="4">
        <f>Hotel!S18</f>
        <v>2910</v>
      </c>
      <c r="H13" s="4">
        <f>Hotel!T18</f>
        <v>1330</v>
      </c>
      <c r="I13" s="4">
        <f>Hotel!U18</f>
        <v>3070</v>
      </c>
      <c r="J13" s="4">
        <f>Hotel!V18</f>
        <v>2380</v>
      </c>
      <c r="K13" s="4">
        <f>Hotel!W18</f>
        <v>2130</v>
      </c>
      <c r="L13" s="4">
        <f>Hotel!X18</f>
        <v>1440</v>
      </c>
      <c r="M13" s="4">
        <f>Hotel!Y18</f>
        <v>2980</v>
      </c>
      <c r="N13" s="4">
        <f>Hotel!Z18</f>
        <v>2260</v>
      </c>
      <c r="O13" s="4">
        <f>Hotel!AA18</f>
        <v>2300</v>
      </c>
      <c r="P13" s="4">
        <f>Hotel!AB18</f>
        <v>3930</v>
      </c>
      <c r="Q13" s="4">
        <f>Hotel!AC18</f>
        <v>4970</v>
      </c>
      <c r="R13" s="4">
        <f>Hotel!AV18*0.00378541*100</f>
        <v>164.665335</v>
      </c>
      <c r="S13" s="4">
        <f>Hotel!B18</f>
        <v>5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550</v>
      </c>
      <c r="F14" s="4">
        <f>Hotel!R19</f>
        <v>1850</v>
      </c>
      <c r="G14" s="4">
        <f>Hotel!S19</f>
        <v>2790</v>
      </c>
      <c r="H14" s="4">
        <f>Hotel!T19</f>
        <v>1470</v>
      </c>
      <c r="I14" s="4">
        <f>Hotel!U19</f>
        <v>2810</v>
      </c>
      <c r="J14" s="4">
        <f>Hotel!V19</f>
        <v>2320</v>
      </c>
      <c r="K14" s="4">
        <f>Hotel!W19</f>
        <v>2040</v>
      </c>
      <c r="L14" s="4">
        <f>Hotel!X19</f>
        <v>1290</v>
      </c>
      <c r="M14" s="4">
        <f>Hotel!Y19</f>
        <v>2980</v>
      </c>
      <c r="N14" s="4">
        <f>Hotel!Z19</f>
        <v>2210</v>
      </c>
      <c r="O14" s="4">
        <f>Hotel!AA19</f>
        <v>2130</v>
      </c>
      <c r="P14" s="4">
        <f>Hotel!AB19</f>
        <v>4090</v>
      </c>
      <c r="Q14" s="4">
        <f>Hotel!AC19</f>
        <v>5640</v>
      </c>
      <c r="R14" s="4">
        <f>Hotel!AV19*0.00378541*100</f>
        <v>393.30409900000001</v>
      </c>
      <c r="S14" s="4">
        <f>Hotel!B19</f>
        <v>4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550</v>
      </c>
      <c r="F15" s="4">
        <f>Hotel!R20</f>
        <v>1860</v>
      </c>
      <c r="G15" s="4">
        <f>Hotel!S20</f>
        <v>2650</v>
      </c>
      <c r="H15" s="4">
        <f>Hotel!T20</f>
        <v>1360</v>
      </c>
      <c r="I15" s="4">
        <f>Hotel!U20</f>
        <v>2630</v>
      </c>
      <c r="J15" s="4">
        <f>Hotel!V20</f>
        <v>2380</v>
      </c>
      <c r="K15" s="4">
        <f>Hotel!W20</f>
        <v>2000</v>
      </c>
      <c r="L15" s="4">
        <f>Hotel!X20</f>
        <v>1390</v>
      </c>
      <c r="M15" s="4">
        <f>Hotel!Y20</f>
        <v>2680</v>
      </c>
      <c r="N15" s="4">
        <f>Hotel!Z20</f>
        <v>2230</v>
      </c>
      <c r="O15" s="4">
        <f>Hotel!AA20</f>
        <v>1870</v>
      </c>
      <c r="P15" s="4">
        <f>Hotel!AB20</f>
        <v>3320</v>
      </c>
      <c r="Q15" s="4">
        <f>Hotel!AC20</f>
        <v>5130</v>
      </c>
      <c r="R15" s="4">
        <f>Hotel!AV20*0.00378541*100</f>
        <v>711.65707999999995</v>
      </c>
      <c r="S15" s="4">
        <f>Hotel!B20</f>
        <v>4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550</v>
      </c>
      <c r="F16" s="4">
        <f>Hotel!R21</f>
        <v>2000</v>
      </c>
      <c r="G16" s="4">
        <f>Hotel!S21</f>
        <v>2100</v>
      </c>
      <c r="H16" s="4">
        <f>Hotel!T21</f>
        <v>1360</v>
      </c>
      <c r="I16" s="4">
        <f>Hotel!U21</f>
        <v>2630</v>
      </c>
      <c r="J16" s="4">
        <f>Hotel!V21</f>
        <v>2380</v>
      </c>
      <c r="K16" s="4">
        <f>Hotel!W21</f>
        <v>2000</v>
      </c>
      <c r="L16" s="4">
        <f>Hotel!X21</f>
        <v>1390</v>
      </c>
      <c r="M16" s="4">
        <f>Hotel!Y21</f>
        <v>2680</v>
      </c>
      <c r="N16" s="4">
        <f>Hotel!Z21</f>
        <v>2230</v>
      </c>
      <c r="O16" s="4">
        <f>Hotel!AA21</f>
        <v>1870</v>
      </c>
      <c r="P16" s="4">
        <f>Hotel!AB21</f>
        <v>3320</v>
      </c>
      <c r="Q16" s="4">
        <f>Hotel!AC21</f>
        <v>5130</v>
      </c>
      <c r="R16" s="4">
        <f>Hotel!AV21*0.00378541*100</f>
        <v>436.07923199999999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560</v>
      </c>
      <c r="F17" s="4">
        <f>Hotel!R22</f>
        <v>6650</v>
      </c>
      <c r="G17" s="4">
        <f>Hotel!S22</f>
        <v>1540</v>
      </c>
      <c r="H17" s="4">
        <f>Hotel!T22</f>
        <v>1450</v>
      </c>
      <c r="I17" s="4">
        <f>Hotel!U22</f>
        <v>2640</v>
      </c>
      <c r="J17" s="4">
        <f>Hotel!V22</f>
        <v>2560</v>
      </c>
      <c r="K17" s="4">
        <f>Hotel!W22</f>
        <v>2160</v>
      </c>
      <c r="L17" s="4">
        <f>Hotel!X22</f>
        <v>1620</v>
      </c>
      <c r="M17" s="4">
        <f>Hotel!Y22</f>
        <v>2330</v>
      </c>
      <c r="N17" s="4">
        <f>Hotel!Z22</f>
        <v>2320</v>
      </c>
      <c r="O17" s="4">
        <f>Hotel!AA22</f>
        <v>1630</v>
      </c>
      <c r="P17" s="4">
        <f>Hotel!AB22</f>
        <v>2770</v>
      </c>
      <c r="Q17" s="4">
        <f>Hotel!AC22</f>
        <v>4410</v>
      </c>
      <c r="R17" s="4">
        <f>Hotel!AV22*0.00378541*100</f>
        <v>436.45777299999997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530</v>
      </c>
      <c r="F18" s="4">
        <f>Hotel!R23</f>
        <v>9750</v>
      </c>
      <c r="G18" s="4">
        <f>Hotel!S23</f>
        <v>0</v>
      </c>
      <c r="H18" s="4">
        <f>Hotel!T23</f>
        <v>1410</v>
      </c>
      <c r="I18" s="4">
        <f>Hotel!U23</f>
        <v>2820</v>
      </c>
      <c r="J18" s="4">
        <f>Hotel!V23</f>
        <v>2330</v>
      </c>
      <c r="K18" s="4">
        <f>Hotel!W23</f>
        <v>2040</v>
      </c>
      <c r="L18" s="4">
        <f>Hotel!X23</f>
        <v>1460</v>
      </c>
      <c r="M18" s="4">
        <f>Hotel!Y23</f>
        <v>2220</v>
      </c>
      <c r="N18" s="4">
        <f>Hotel!Z23</f>
        <v>2250</v>
      </c>
      <c r="O18" s="4">
        <f>Hotel!AA23</f>
        <v>1880</v>
      </c>
      <c r="P18" s="4">
        <f>Hotel!AB23</f>
        <v>3030</v>
      </c>
      <c r="Q18" s="4">
        <f>Hotel!AC23</f>
        <v>4710</v>
      </c>
      <c r="R18" s="4">
        <f>Hotel!AV23*0.00378541*100</f>
        <v>317.21735799999999</v>
      </c>
      <c r="S18" s="4">
        <f>Hotel!B23</f>
        <v>7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530</v>
      </c>
      <c r="F19" s="4">
        <f>Hotel!R24</f>
        <v>9550</v>
      </c>
      <c r="G19" s="4">
        <f>Hotel!S24</f>
        <v>0</v>
      </c>
      <c r="H19" s="4">
        <f>Hotel!T24</f>
        <v>1370</v>
      </c>
      <c r="I19" s="4">
        <f>Hotel!U24</f>
        <v>2700</v>
      </c>
      <c r="J19" s="4">
        <f>Hotel!V24</f>
        <v>2250</v>
      </c>
      <c r="K19" s="4">
        <f>Hotel!W24</f>
        <v>1990</v>
      </c>
      <c r="L19" s="4">
        <f>Hotel!X24</f>
        <v>1400</v>
      </c>
      <c r="M19" s="4">
        <f>Hotel!Y24</f>
        <v>1840</v>
      </c>
      <c r="N19" s="4">
        <f>Hotel!Z24</f>
        <v>2220</v>
      </c>
      <c r="O19" s="4">
        <f>Hotel!AA24</f>
        <v>1590</v>
      </c>
      <c r="P19" s="4">
        <f>Hotel!AB24</f>
        <v>3160</v>
      </c>
      <c r="Q19" s="4">
        <f>Hotel!AC24</f>
        <v>4760</v>
      </c>
      <c r="R19" s="4">
        <f>Hotel!AV24*0.00378541*100</f>
        <v>291.47656999999998</v>
      </c>
      <c r="S19" s="4">
        <f>Hotel!B24</f>
        <v>5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550</v>
      </c>
      <c r="F20" s="4">
        <f>Hotel!R25</f>
        <v>10240</v>
      </c>
      <c r="G20" s="4">
        <f>Hotel!S25</f>
        <v>0</v>
      </c>
      <c r="H20" s="4">
        <f>Hotel!T25</f>
        <v>1440</v>
      </c>
      <c r="I20" s="4">
        <f>Hotel!U25</f>
        <v>2940</v>
      </c>
      <c r="J20" s="4">
        <f>Hotel!V25</f>
        <v>2260</v>
      </c>
      <c r="K20" s="4">
        <f>Hotel!W25</f>
        <v>2110</v>
      </c>
      <c r="L20" s="4">
        <f>Hotel!X25</f>
        <v>1450</v>
      </c>
      <c r="M20" s="4">
        <f>Hotel!Y25</f>
        <v>1930</v>
      </c>
      <c r="N20" s="4">
        <f>Hotel!Z25</f>
        <v>2360</v>
      </c>
      <c r="O20" s="4">
        <f>Hotel!AA25</f>
        <v>2140</v>
      </c>
      <c r="P20" s="4">
        <f>Hotel!AB25</f>
        <v>3500</v>
      </c>
      <c r="Q20" s="4">
        <f>Hotel!AC25</f>
        <v>5040</v>
      </c>
      <c r="R20" s="4">
        <f>Hotel!AV25*0.00378541*100</f>
        <v>123.78290699999998</v>
      </c>
      <c r="S20" s="4">
        <f>Hotel!B25</f>
        <v>8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R29" sqref="AR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>
        <v>7</v>
      </c>
      <c r="C12" s="49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16"/>
        <v>560</v>
      </c>
      <c r="R12" s="37">
        <f t="shared" si="17"/>
        <v>1800</v>
      </c>
      <c r="S12" s="37">
        <f t="shared" si="15"/>
        <v>2500</v>
      </c>
      <c r="T12" s="37">
        <f t="shared" ref="T12:W14" si="32">IF((F12-F11&lt;0), "0",F12-F11)</f>
        <v>1400</v>
      </c>
      <c r="U12" s="37">
        <f t="shared" si="32"/>
        <v>3000</v>
      </c>
      <c r="V12" s="37">
        <f t="shared" si="32"/>
        <v>2030</v>
      </c>
      <c r="W12" s="37">
        <f t="shared" si="32"/>
        <v>2090</v>
      </c>
      <c r="X12" s="37">
        <f t="shared" si="22"/>
        <v>1000</v>
      </c>
      <c r="Y12" s="37">
        <f t="shared" si="23"/>
        <v>2000</v>
      </c>
      <c r="Z12" s="37">
        <f>IF((L12-L11&lt;0), "0",L12-L11)</f>
        <v>2060</v>
      </c>
      <c r="AA12" s="37">
        <f t="shared" si="25"/>
        <v>1500</v>
      </c>
      <c r="AB12" s="37">
        <f t="shared" si="26"/>
        <v>4100</v>
      </c>
      <c r="AC12" s="37">
        <f t="shared" si="27"/>
        <v>3500</v>
      </c>
      <c r="AD12" s="35">
        <f t="shared" si="28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29"/>
        <v>137.69999999999999</v>
      </c>
      <c r="AU12" s="47">
        <v>878514</v>
      </c>
      <c r="AV12" s="37">
        <f t="shared" si="31"/>
        <v>140</v>
      </c>
      <c r="AW12" s="35">
        <f t="shared" si="30"/>
        <v>0.28000000000000003</v>
      </c>
    </row>
    <row r="13" spans="1:49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16"/>
        <v>580</v>
      </c>
      <c r="R13" s="37">
        <f t="shared" si="17"/>
        <v>2010</v>
      </c>
      <c r="S13" s="37">
        <f t="shared" si="15"/>
        <v>3460</v>
      </c>
      <c r="T13" s="37">
        <f t="shared" si="32"/>
        <v>1430</v>
      </c>
      <c r="U13" s="37">
        <f t="shared" si="32"/>
        <v>2610</v>
      </c>
      <c r="V13" s="37">
        <f t="shared" si="32"/>
        <v>2760</v>
      </c>
      <c r="W13" s="37">
        <f t="shared" si="32"/>
        <v>2100</v>
      </c>
      <c r="X13" s="37">
        <f t="shared" si="22"/>
        <v>1890</v>
      </c>
      <c r="Y13" s="37">
        <f t="shared" si="23"/>
        <v>2170</v>
      </c>
      <c r="Z13" s="37">
        <f>IF((L13-L12&lt;0), "0",L13-L12)</f>
        <v>2340</v>
      </c>
      <c r="AA13" s="37">
        <f t="shared" si="25"/>
        <v>2730</v>
      </c>
      <c r="AB13" s="37">
        <f t="shared" si="26"/>
        <v>4140</v>
      </c>
      <c r="AC13" s="37">
        <f t="shared" si="27"/>
        <v>3970</v>
      </c>
      <c r="AD13" s="35">
        <f t="shared" si="28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29"/>
        <v>160.94999999999999</v>
      </c>
      <c r="AU13" s="47">
        <v>882481</v>
      </c>
      <c r="AV13" s="37">
        <f t="shared" si="31"/>
        <v>3967</v>
      </c>
      <c r="AW13" s="35">
        <f t="shared" si="30"/>
        <v>7.9340000000000002</v>
      </c>
    </row>
    <row r="14" spans="1:49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54"/>
      <c r="Q14" s="37">
        <f t="shared" si="16"/>
        <v>530</v>
      </c>
      <c r="R14" s="37">
        <f t="shared" si="17"/>
        <v>1800</v>
      </c>
      <c r="S14" s="37">
        <f t="shared" si="15"/>
        <v>3080</v>
      </c>
      <c r="T14" s="37">
        <f t="shared" si="32"/>
        <v>1350</v>
      </c>
      <c r="U14" s="37">
        <f t="shared" si="32"/>
        <v>2690</v>
      </c>
      <c r="V14" s="37">
        <f t="shared" si="32"/>
        <v>2060</v>
      </c>
      <c r="W14" s="37">
        <f t="shared" si="32"/>
        <v>2000</v>
      </c>
      <c r="X14" s="37">
        <f t="shared" si="22"/>
        <v>1400</v>
      </c>
      <c r="Y14" s="37">
        <f t="shared" si="23"/>
        <v>2120</v>
      </c>
      <c r="Z14" s="37">
        <f>IF((L14-L13&lt;0), "0",L14-L13)</f>
        <v>2060</v>
      </c>
      <c r="AA14" s="37">
        <f t="shared" si="25"/>
        <v>2000</v>
      </c>
      <c r="AB14" s="37">
        <f t="shared" si="26"/>
        <v>4000</v>
      </c>
      <c r="AC14" s="37">
        <f t="shared" si="27"/>
        <v>4080</v>
      </c>
      <c r="AD14" s="35">
        <f t="shared" si="28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29"/>
        <v>145.85</v>
      </c>
      <c r="AU14" s="47">
        <v>882892</v>
      </c>
      <c r="AV14" s="37">
        <f t="shared" si="31"/>
        <v>411</v>
      </c>
      <c r="AW14" s="35">
        <f t="shared" si="30"/>
        <v>0.82200000000000006</v>
      </c>
    </row>
    <row r="15" spans="1:49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16"/>
        <v>560</v>
      </c>
      <c r="R15" s="37">
        <f t="shared" si="17"/>
        <v>1910</v>
      </c>
      <c r="S15" s="37">
        <f t="shared" si="15"/>
        <v>3330</v>
      </c>
      <c r="T15" s="37">
        <f t="shared" si="18"/>
        <v>1380</v>
      </c>
      <c r="U15" s="37">
        <f t="shared" si="19"/>
        <v>2940</v>
      </c>
      <c r="V15" s="37">
        <f t="shared" si="20"/>
        <v>2270</v>
      </c>
      <c r="W15" s="37">
        <f t="shared" si="21"/>
        <v>2130</v>
      </c>
      <c r="X15" s="37">
        <f t="shared" si="22"/>
        <v>1480</v>
      </c>
      <c r="Y15" s="37">
        <f t="shared" si="23"/>
        <v>2280</v>
      </c>
      <c r="Z15" s="37">
        <f t="shared" si="24"/>
        <v>2360</v>
      </c>
      <c r="AA15" s="37">
        <f t="shared" si="25"/>
        <v>1920</v>
      </c>
      <c r="AB15" s="37">
        <f t="shared" si="26"/>
        <v>4230</v>
      </c>
      <c r="AC15" s="37">
        <f t="shared" si="27"/>
        <v>4370</v>
      </c>
      <c r="AD15" s="35">
        <f t="shared" si="28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29"/>
        <v>155.80000000000001</v>
      </c>
      <c r="AU15" s="47">
        <v>884388</v>
      </c>
      <c r="AV15" s="37">
        <f t="shared" si="31"/>
        <v>1496</v>
      </c>
      <c r="AW15" s="35">
        <f t="shared" si="30"/>
        <v>2.992</v>
      </c>
    </row>
    <row r="16" spans="1:49" x14ac:dyDescent="0.25">
      <c r="A16" s="23">
        <v>43931</v>
      </c>
      <c r="B16" s="40">
        <v>13</v>
      </c>
      <c r="C16" s="24">
        <v>5977720</v>
      </c>
      <c r="D16" s="24">
        <v>12936746</v>
      </c>
      <c r="E16" s="24">
        <v>1633100</v>
      </c>
      <c r="F16" s="24">
        <v>2788430</v>
      </c>
      <c r="G16" s="24">
        <v>8661390</v>
      </c>
      <c r="H16" s="24">
        <v>4290270</v>
      </c>
      <c r="I16" s="24">
        <v>4120770</v>
      </c>
      <c r="J16" s="24">
        <v>4710650</v>
      </c>
      <c r="K16" s="24">
        <v>7430240</v>
      </c>
      <c r="L16" s="24">
        <v>2776930</v>
      </c>
      <c r="M16" s="24">
        <v>6716790</v>
      </c>
      <c r="N16" s="24">
        <v>9480090</v>
      </c>
      <c r="O16" s="24">
        <v>12938990</v>
      </c>
      <c r="Q16" s="37">
        <f t="shared" si="16"/>
        <v>570</v>
      </c>
      <c r="R16" s="37">
        <f t="shared" si="17"/>
        <v>1906</v>
      </c>
      <c r="S16" s="37">
        <f t="shared" si="15"/>
        <v>3510</v>
      </c>
      <c r="T16" s="37">
        <f t="shared" si="18"/>
        <v>1340</v>
      </c>
      <c r="U16" s="37">
        <f t="shared" si="19"/>
        <v>3040</v>
      </c>
      <c r="V16" s="37">
        <f t="shared" si="20"/>
        <v>2190</v>
      </c>
      <c r="W16" s="37">
        <f t="shared" si="21"/>
        <v>2100</v>
      </c>
      <c r="X16" s="37">
        <f t="shared" si="22"/>
        <v>1340</v>
      </c>
      <c r="Y16" s="37">
        <f t="shared" si="23"/>
        <v>2550</v>
      </c>
      <c r="Z16" s="37">
        <f t="shared" si="24"/>
        <v>2320</v>
      </c>
      <c r="AA16" s="37">
        <f t="shared" si="25"/>
        <v>2120</v>
      </c>
      <c r="AB16" s="37">
        <f t="shared" si="26"/>
        <v>4200</v>
      </c>
      <c r="AC16" s="37">
        <f t="shared" si="27"/>
        <v>4540</v>
      </c>
      <c r="AD16" s="35">
        <f t="shared" si="28"/>
        <v>31726</v>
      </c>
      <c r="AF16" s="20">
        <f t="shared" si="1"/>
        <v>2.85</v>
      </c>
      <c r="AG16" s="20">
        <f t="shared" si="2"/>
        <v>9.5299999999999994</v>
      </c>
      <c r="AH16" s="20">
        <f t="shared" si="3"/>
        <v>17.55</v>
      </c>
      <c r="AI16" s="20">
        <f t="shared" si="4"/>
        <v>6.7</v>
      </c>
      <c r="AJ16" s="20">
        <f t="shared" si="5"/>
        <v>15.200000000000001</v>
      </c>
      <c r="AK16" s="20">
        <f t="shared" si="6"/>
        <v>10.950000000000001</v>
      </c>
      <c r="AL16" s="20">
        <f t="shared" si="7"/>
        <v>10.5</v>
      </c>
      <c r="AM16" s="20">
        <f t="shared" si="8"/>
        <v>6.7</v>
      </c>
      <c r="AN16" s="20">
        <f t="shared" si="9"/>
        <v>12.75</v>
      </c>
      <c r="AO16" s="20">
        <f t="shared" si="10"/>
        <v>11.6</v>
      </c>
      <c r="AP16" s="20">
        <f t="shared" si="11"/>
        <v>10.6</v>
      </c>
      <c r="AQ16" s="20">
        <f t="shared" si="12"/>
        <v>21</v>
      </c>
      <c r="AR16" s="20">
        <f t="shared" si="13"/>
        <v>22.7</v>
      </c>
      <c r="AS16" s="35">
        <f t="shared" si="29"/>
        <v>158.63</v>
      </c>
      <c r="AU16" s="47">
        <v>885494</v>
      </c>
      <c r="AV16" s="37">
        <f t="shared" si="31"/>
        <v>1106</v>
      </c>
      <c r="AW16" s="35">
        <f t="shared" si="30"/>
        <v>2.2120000000000002</v>
      </c>
    </row>
    <row r="17" spans="1:49" x14ac:dyDescent="0.25">
      <c r="A17" s="23">
        <v>43932</v>
      </c>
      <c r="B17" s="40">
        <v>5</v>
      </c>
      <c r="C17" s="24">
        <v>5978280</v>
      </c>
      <c r="D17" s="24">
        <v>12938660</v>
      </c>
      <c r="E17" s="24">
        <v>1636390</v>
      </c>
      <c r="F17" s="24">
        <v>2789870</v>
      </c>
      <c r="G17" s="24">
        <v>8664680</v>
      </c>
      <c r="H17" s="24">
        <v>4292650</v>
      </c>
      <c r="I17" s="24">
        <v>4122920</v>
      </c>
      <c r="J17" s="24">
        <v>4712050</v>
      </c>
      <c r="K17" s="24">
        <v>7433070</v>
      </c>
      <c r="L17" s="24">
        <v>2779230</v>
      </c>
      <c r="M17" s="24">
        <v>6719200</v>
      </c>
      <c r="N17" s="24">
        <v>9484150</v>
      </c>
      <c r="O17" s="24">
        <v>12943720</v>
      </c>
      <c r="Q17" s="37">
        <f t="shared" si="16"/>
        <v>560</v>
      </c>
      <c r="R17" s="37">
        <f t="shared" si="17"/>
        <v>1914</v>
      </c>
      <c r="S17" s="37">
        <f t="shared" si="15"/>
        <v>3290</v>
      </c>
      <c r="T17" s="37">
        <f t="shared" si="18"/>
        <v>1440</v>
      </c>
      <c r="U17" s="37">
        <f t="shared" si="19"/>
        <v>3290</v>
      </c>
      <c r="V17" s="37">
        <f t="shared" si="20"/>
        <v>2380</v>
      </c>
      <c r="W17" s="37">
        <f t="shared" si="21"/>
        <v>2150</v>
      </c>
      <c r="X17" s="37">
        <f t="shared" si="22"/>
        <v>1400</v>
      </c>
      <c r="Y17" s="37">
        <f t="shared" si="23"/>
        <v>2830</v>
      </c>
      <c r="Z17" s="37">
        <f t="shared" si="24"/>
        <v>2300</v>
      </c>
      <c r="AA17" s="37">
        <f t="shared" si="25"/>
        <v>2410</v>
      </c>
      <c r="AB17" s="37">
        <f t="shared" si="26"/>
        <v>4060</v>
      </c>
      <c r="AC17" s="37">
        <f t="shared" si="27"/>
        <v>4730</v>
      </c>
      <c r="AD17" s="35">
        <f t="shared" si="28"/>
        <v>32754</v>
      </c>
      <c r="AF17" s="20">
        <f t="shared" si="1"/>
        <v>2.8000000000000003</v>
      </c>
      <c r="AG17" s="20">
        <f t="shared" si="2"/>
        <v>9.57</v>
      </c>
      <c r="AH17" s="20">
        <f t="shared" si="3"/>
        <v>16.45</v>
      </c>
      <c r="AI17" s="20">
        <f t="shared" si="4"/>
        <v>7.2</v>
      </c>
      <c r="AJ17" s="20">
        <f t="shared" si="5"/>
        <v>16.45</v>
      </c>
      <c r="AK17" s="20">
        <f t="shared" si="6"/>
        <v>11.9</v>
      </c>
      <c r="AL17" s="20">
        <f t="shared" si="7"/>
        <v>10.75</v>
      </c>
      <c r="AM17" s="20">
        <f t="shared" si="8"/>
        <v>7</v>
      </c>
      <c r="AN17" s="20">
        <f t="shared" si="9"/>
        <v>14.15</v>
      </c>
      <c r="AO17" s="20">
        <f t="shared" si="10"/>
        <v>11.5</v>
      </c>
      <c r="AP17" s="20">
        <f t="shared" si="11"/>
        <v>12.05</v>
      </c>
      <c r="AQ17" s="20">
        <f t="shared" si="12"/>
        <v>20.3</v>
      </c>
      <c r="AR17" s="20">
        <f t="shared" si="13"/>
        <v>23.650000000000002</v>
      </c>
      <c r="AS17" s="35">
        <f t="shared" si="29"/>
        <v>163.77000000000001</v>
      </c>
      <c r="AU17" s="47">
        <v>886923</v>
      </c>
      <c r="AV17" s="37">
        <f t="shared" si="31"/>
        <v>1429</v>
      </c>
      <c r="AW17" s="35">
        <f t="shared" si="30"/>
        <v>2.8580000000000001</v>
      </c>
    </row>
    <row r="18" spans="1:49" x14ac:dyDescent="0.25">
      <c r="A18" s="23">
        <v>43933</v>
      </c>
      <c r="B18" s="40">
        <v>5</v>
      </c>
      <c r="C18" s="24">
        <v>5978850</v>
      </c>
      <c r="D18" s="24">
        <v>12940570</v>
      </c>
      <c r="E18" s="24">
        <v>1639300</v>
      </c>
      <c r="F18" s="24">
        <v>2791200</v>
      </c>
      <c r="G18" s="24">
        <v>8667750</v>
      </c>
      <c r="H18" s="24">
        <v>4295030</v>
      </c>
      <c r="I18" s="24">
        <v>4125050</v>
      </c>
      <c r="J18" s="24">
        <v>4713490</v>
      </c>
      <c r="K18" s="24">
        <v>7436050</v>
      </c>
      <c r="L18" s="24">
        <v>2781490</v>
      </c>
      <c r="M18" s="24">
        <v>6721500</v>
      </c>
      <c r="N18" s="24">
        <v>9488080</v>
      </c>
      <c r="O18" s="24">
        <v>12948690</v>
      </c>
      <c r="Q18" s="37">
        <f t="shared" si="16"/>
        <v>570</v>
      </c>
      <c r="R18" s="37">
        <f t="shared" si="17"/>
        <v>1910</v>
      </c>
      <c r="S18" s="37">
        <f t="shared" si="15"/>
        <v>2910</v>
      </c>
      <c r="T18" s="37">
        <f t="shared" si="18"/>
        <v>1330</v>
      </c>
      <c r="U18" s="37">
        <f t="shared" si="19"/>
        <v>3070</v>
      </c>
      <c r="V18" s="37">
        <f t="shared" si="20"/>
        <v>2380</v>
      </c>
      <c r="W18" s="37">
        <f t="shared" si="21"/>
        <v>2130</v>
      </c>
      <c r="X18" s="37">
        <f t="shared" si="22"/>
        <v>1440</v>
      </c>
      <c r="Y18" s="37">
        <f t="shared" si="23"/>
        <v>2980</v>
      </c>
      <c r="Z18" s="37">
        <f t="shared" si="24"/>
        <v>2260</v>
      </c>
      <c r="AA18" s="37">
        <f t="shared" si="25"/>
        <v>2300</v>
      </c>
      <c r="AB18" s="37">
        <f t="shared" si="26"/>
        <v>3930</v>
      </c>
      <c r="AC18" s="37">
        <f t="shared" si="27"/>
        <v>4970</v>
      </c>
      <c r="AD18" s="35">
        <f t="shared" si="28"/>
        <v>32180</v>
      </c>
      <c r="AF18" s="20">
        <f t="shared" si="1"/>
        <v>2.85</v>
      </c>
      <c r="AG18" s="20">
        <f t="shared" si="2"/>
        <v>9.5500000000000007</v>
      </c>
      <c r="AH18" s="20">
        <f t="shared" si="3"/>
        <v>14.55</v>
      </c>
      <c r="AI18" s="20">
        <f t="shared" si="4"/>
        <v>6.65</v>
      </c>
      <c r="AJ18" s="20">
        <f t="shared" si="5"/>
        <v>15.35</v>
      </c>
      <c r="AK18" s="20">
        <f t="shared" si="6"/>
        <v>11.9</v>
      </c>
      <c r="AL18" s="20">
        <f t="shared" si="7"/>
        <v>10.65</v>
      </c>
      <c r="AM18" s="20">
        <f t="shared" si="8"/>
        <v>7.2</v>
      </c>
      <c r="AN18" s="20">
        <f t="shared" si="9"/>
        <v>14.9</v>
      </c>
      <c r="AO18" s="20">
        <f t="shared" si="10"/>
        <v>11.3</v>
      </c>
      <c r="AP18" s="20">
        <f t="shared" si="11"/>
        <v>11.5</v>
      </c>
      <c r="AQ18" s="20">
        <f t="shared" si="12"/>
        <v>19.650000000000002</v>
      </c>
      <c r="AR18" s="20">
        <f t="shared" si="13"/>
        <v>24.85</v>
      </c>
      <c r="AS18" s="35">
        <f t="shared" si="29"/>
        <v>160.9</v>
      </c>
      <c r="AU18" s="47">
        <v>887358</v>
      </c>
      <c r="AV18" s="37">
        <f t="shared" si="31"/>
        <v>435</v>
      </c>
      <c r="AW18" s="35">
        <f t="shared" si="30"/>
        <v>0.87</v>
      </c>
    </row>
    <row r="19" spans="1:49" x14ac:dyDescent="0.25">
      <c r="A19" s="23">
        <v>43934</v>
      </c>
      <c r="B19" s="40">
        <v>4</v>
      </c>
      <c r="C19" s="24">
        <v>5979400</v>
      </c>
      <c r="D19" s="24">
        <v>12942420</v>
      </c>
      <c r="E19" s="24">
        <v>1642090</v>
      </c>
      <c r="F19" s="24">
        <v>2792670</v>
      </c>
      <c r="G19" s="24">
        <v>8670560</v>
      </c>
      <c r="H19" s="24">
        <v>4297350</v>
      </c>
      <c r="I19" s="24">
        <v>4127090</v>
      </c>
      <c r="J19" s="24">
        <v>4714780</v>
      </c>
      <c r="K19" s="24">
        <v>7439030</v>
      </c>
      <c r="L19" s="24">
        <v>2783700</v>
      </c>
      <c r="M19" s="24">
        <v>6723630</v>
      </c>
      <c r="N19" s="24">
        <v>9492170</v>
      </c>
      <c r="O19" s="24">
        <v>12954330</v>
      </c>
      <c r="Q19" s="37">
        <f t="shared" si="16"/>
        <v>550</v>
      </c>
      <c r="R19" s="37">
        <f t="shared" si="17"/>
        <v>1850</v>
      </c>
      <c r="S19" s="37">
        <f t="shared" si="15"/>
        <v>2790</v>
      </c>
      <c r="T19" s="37">
        <f t="shared" si="18"/>
        <v>1470</v>
      </c>
      <c r="U19" s="37">
        <f t="shared" si="19"/>
        <v>2810</v>
      </c>
      <c r="V19" s="37">
        <f t="shared" si="20"/>
        <v>2320</v>
      </c>
      <c r="W19" s="37">
        <f t="shared" si="21"/>
        <v>2040</v>
      </c>
      <c r="X19" s="37">
        <f t="shared" si="22"/>
        <v>1290</v>
      </c>
      <c r="Y19" s="37">
        <f t="shared" si="23"/>
        <v>2980</v>
      </c>
      <c r="Z19" s="37">
        <f t="shared" si="24"/>
        <v>2210</v>
      </c>
      <c r="AA19" s="37">
        <f t="shared" si="25"/>
        <v>2130</v>
      </c>
      <c r="AB19" s="37">
        <f t="shared" si="26"/>
        <v>4090</v>
      </c>
      <c r="AC19" s="37">
        <f t="shared" si="27"/>
        <v>5640</v>
      </c>
      <c r="AD19" s="35">
        <f t="shared" si="28"/>
        <v>32170</v>
      </c>
      <c r="AF19" s="20">
        <f t="shared" si="1"/>
        <v>2.75</v>
      </c>
      <c r="AG19" s="20">
        <f t="shared" si="2"/>
        <v>9.25</v>
      </c>
      <c r="AH19" s="20">
        <f t="shared" si="3"/>
        <v>13.950000000000001</v>
      </c>
      <c r="AI19" s="20">
        <f t="shared" si="4"/>
        <v>7.3500000000000005</v>
      </c>
      <c r="AJ19" s="20">
        <f t="shared" si="5"/>
        <v>14.05</v>
      </c>
      <c r="AK19" s="20">
        <f t="shared" si="6"/>
        <v>11.6</v>
      </c>
      <c r="AL19" s="20">
        <f t="shared" si="7"/>
        <v>10.200000000000001</v>
      </c>
      <c r="AM19" s="20">
        <f t="shared" si="8"/>
        <v>6.45</v>
      </c>
      <c r="AN19" s="20">
        <f t="shared" si="9"/>
        <v>14.9</v>
      </c>
      <c r="AO19" s="20">
        <f t="shared" si="10"/>
        <v>11.05</v>
      </c>
      <c r="AP19" s="20">
        <f t="shared" si="11"/>
        <v>10.65</v>
      </c>
      <c r="AQ19" s="20">
        <f t="shared" si="12"/>
        <v>20.45</v>
      </c>
      <c r="AR19" s="20">
        <f t="shared" si="13"/>
        <v>28.2</v>
      </c>
      <c r="AS19" s="35">
        <f t="shared" si="29"/>
        <v>160.85</v>
      </c>
      <c r="AU19" s="47">
        <v>888397</v>
      </c>
      <c r="AV19" s="37">
        <f t="shared" si="31"/>
        <v>1039</v>
      </c>
      <c r="AW19" s="35">
        <f t="shared" si="30"/>
        <v>2.0779999999999998</v>
      </c>
    </row>
    <row r="20" spans="1:49" x14ac:dyDescent="0.25">
      <c r="A20" s="23">
        <v>43935</v>
      </c>
      <c r="B20" s="40">
        <v>4</v>
      </c>
      <c r="C20" s="24">
        <v>5979950</v>
      </c>
      <c r="D20" s="24">
        <v>12944280</v>
      </c>
      <c r="E20" s="24">
        <v>1644740</v>
      </c>
      <c r="F20" s="24">
        <v>2794030</v>
      </c>
      <c r="G20" s="24">
        <v>8673190</v>
      </c>
      <c r="H20" s="24">
        <v>4299730</v>
      </c>
      <c r="I20" s="24">
        <v>4129090</v>
      </c>
      <c r="J20" s="24">
        <v>4716170</v>
      </c>
      <c r="K20" s="24">
        <v>7441710</v>
      </c>
      <c r="L20" s="24">
        <v>2785930</v>
      </c>
      <c r="M20" s="24">
        <v>6725500</v>
      </c>
      <c r="N20" s="24">
        <v>9495490</v>
      </c>
      <c r="O20" s="24">
        <v>12959460</v>
      </c>
      <c r="Q20" s="37">
        <f t="shared" si="16"/>
        <v>550</v>
      </c>
      <c r="R20" s="37">
        <f t="shared" si="17"/>
        <v>1860</v>
      </c>
      <c r="S20" s="37">
        <f t="shared" si="15"/>
        <v>2650</v>
      </c>
      <c r="T20" s="37">
        <f t="shared" si="18"/>
        <v>1360</v>
      </c>
      <c r="U20" s="37">
        <f t="shared" si="19"/>
        <v>2630</v>
      </c>
      <c r="V20" s="37">
        <f t="shared" si="20"/>
        <v>2380</v>
      </c>
      <c r="W20" s="37">
        <f t="shared" si="21"/>
        <v>2000</v>
      </c>
      <c r="X20" s="37">
        <f t="shared" si="22"/>
        <v>1390</v>
      </c>
      <c r="Y20" s="37">
        <f t="shared" si="23"/>
        <v>2680</v>
      </c>
      <c r="Z20" s="37">
        <f t="shared" si="24"/>
        <v>2230</v>
      </c>
      <c r="AA20" s="37">
        <f t="shared" si="25"/>
        <v>1870</v>
      </c>
      <c r="AB20" s="37">
        <f t="shared" si="26"/>
        <v>3320</v>
      </c>
      <c r="AC20" s="37">
        <f t="shared" si="27"/>
        <v>5130</v>
      </c>
      <c r="AD20" s="35">
        <f t="shared" si="28"/>
        <v>30050</v>
      </c>
      <c r="AF20" s="20">
        <f t="shared" si="1"/>
        <v>2.75</v>
      </c>
      <c r="AG20" s="20">
        <f t="shared" si="2"/>
        <v>9.3000000000000007</v>
      </c>
      <c r="AH20" s="20">
        <f t="shared" si="3"/>
        <v>13.25</v>
      </c>
      <c r="AI20" s="20">
        <f t="shared" si="4"/>
        <v>6.8</v>
      </c>
      <c r="AJ20" s="20">
        <f t="shared" si="5"/>
        <v>13.15</v>
      </c>
      <c r="AK20" s="20">
        <f t="shared" si="6"/>
        <v>11.9</v>
      </c>
      <c r="AL20" s="20">
        <f t="shared" si="7"/>
        <v>10</v>
      </c>
      <c r="AM20" s="20">
        <f t="shared" si="8"/>
        <v>6.95</v>
      </c>
      <c r="AN20" s="20">
        <f t="shared" si="9"/>
        <v>13.4</v>
      </c>
      <c r="AO20" s="20">
        <f t="shared" si="10"/>
        <v>11.15</v>
      </c>
      <c r="AP20" s="20">
        <f t="shared" si="11"/>
        <v>9.35</v>
      </c>
      <c r="AQ20" s="20">
        <f t="shared" si="12"/>
        <v>16.600000000000001</v>
      </c>
      <c r="AR20" s="20">
        <f t="shared" si="13"/>
        <v>25.650000000000002</v>
      </c>
      <c r="AS20" s="35">
        <f t="shared" si="29"/>
        <v>150.25000000000003</v>
      </c>
      <c r="AU20" s="47">
        <v>890277</v>
      </c>
      <c r="AV20" s="37">
        <f t="shared" si="31"/>
        <v>1880</v>
      </c>
      <c r="AW20" s="35">
        <f t="shared" si="30"/>
        <v>3.7600000000000002</v>
      </c>
    </row>
    <row r="21" spans="1:49" x14ac:dyDescent="0.25">
      <c r="A21" s="23">
        <v>43936</v>
      </c>
      <c r="B21" s="40">
        <v>5</v>
      </c>
      <c r="C21" s="24">
        <v>5980500</v>
      </c>
      <c r="D21" s="24">
        <v>12946280</v>
      </c>
      <c r="E21" s="24">
        <v>1646840</v>
      </c>
      <c r="F21" s="24">
        <v>2795390</v>
      </c>
      <c r="G21" s="24">
        <v>8675820</v>
      </c>
      <c r="H21" s="24">
        <v>4302110</v>
      </c>
      <c r="I21" s="24">
        <v>4131090</v>
      </c>
      <c r="J21" s="24">
        <v>4717560</v>
      </c>
      <c r="K21" s="24">
        <v>7444390</v>
      </c>
      <c r="L21" s="24">
        <v>2788160</v>
      </c>
      <c r="M21" s="24">
        <v>6727370</v>
      </c>
      <c r="N21" s="24">
        <v>9498810</v>
      </c>
      <c r="O21" s="24">
        <v>12964590</v>
      </c>
      <c r="Q21" s="37">
        <f t="shared" si="16"/>
        <v>550</v>
      </c>
      <c r="R21" s="37">
        <f t="shared" si="17"/>
        <v>2000</v>
      </c>
      <c r="S21" s="37">
        <f t="shared" si="15"/>
        <v>2100</v>
      </c>
      <c r="T21" s="37">
        <f t="shared" si="18"/>
        <v>1360</v>
      </c>
      <c r="U21" s="37">
        <f t="shared" si="19"/>
        <v>2630</v>
      </c>
      <c r="V21" s="37">
        <f t="shared" si="20"/>
        <v>2380</v>
      </c>
      <c r="W21" s="37">
        <f t="shared" si="21"/>
        <v>2000</v>
      </c>
      <c r="X21" s="37">
        <f t="shared" si="22"/>
        <v>1390</v>
      </c>
      <c r="Y21" s="37">
        <f t="shared" si="23"/>
        <v>2680</v>
      </c>
      <c r="Z21" s="37">
        <f t="shared" si="24"/>
        <v>2230</v>
      </c>
      <c r="AA21" s="37">
        <f t="shared" si="25"/>
        <v>1870</v>
      </c>
      <c r="AB21" s="37">
        <f t="shared" si="26"/>
        <v>3320</v>
      </c>
      <c r="AC21" s="37">
        <f t="shared" si="27"/>
        <v>5130</v>
      </c>
      <c r="AD21" s="35">
        <f t="shared" si="28"/>
        <v>29640</v>
      </c>
      <c r="AF21" s="20">
        <f t="shared" si="1"/>
        <v>2.75</v>
      </c>
      <c r="AG21" s="20">
        <f t="shared" si="2"/>
        <v>10</v>
      </c>
      <c r="AH21" s="20">
        <f t="shared" si="3"/>
        <v>10.5</v>
      </c>
      <c r="AI21" s="20">
        <f t="shared" si="4"/>
        <v>6.8</v>
      </c>
      <c r="AJ21" s="20">
        <f t="shared" si="5"/>
        <v>13.15</v>
      </c>
      <c r="AK21" s="20">
        <f t="shared" si="6"/>
        <v>11.9</v>
      </c>
      <c r="AL21" s="20">
        <f t="shared" si="7"/>
        <v>10</v>
      </c>
      <c r="AM21" s="20">
        <f t="shared" si="8"/>
        <v>6.95</v>
      </c>
      <c r="AN21" s="20">
        <f t="shared" si="9"/>
        <v>13.4</v>
      </c>
      <c r="AO21" s="20">
        <f t="shared" si="10"/>
        <v>11.15</v>
      </c>
      <c r="AP21" s="20">
        <f t="shared" si="11"/>
        <v>9.35</v>
      </c>
      <c r="AQ21" s="20">
        <f t="shared" si="12"/>
        <v>16.600000000000001</v>
      </c>
      <c r="AR21" s="20">
        <f t="shared" si="13"/>
        <v>25.650000000000002</v>
      </c>
      <c r="AS21" s="35">
        <f t="shared" si="29"/>
        <v>148.20000000000002</v>
      </c>
      <c r="AU21" s="47">
        <v>891429</v>
      </c>
      <c r="AV21" s="37">
        <f t="shared" si="31"/>
        <v>1152</v>
      </c>
      <c r="AW21" s="35">
        <f t="shared" si="30"/>
        <v>2.3040000000000003</v>
      </c>
    </row>
    <row r="22" spans="1:49" x14ac:dyDescent="0.25">
      <c r="A22" s="23">
        <v>43937</v>
      </c>
      <c r="B22" s="40">
        <v>7</v>
      </c>
      <c r="C22" s="24">
        <v>5981060</v>
      </c>
      <c r="D22" s="24">
        <v>12952930</v>
      </c>
      <c r="E22" s="24">
        <v>1648380</v>
      </c>
      <c r="F22" s="24">
        <v>2796840</v>
      </c>
      <c r="G22" s="24">
        <v>8678460</v>
      </c>
      <c r="H22" s="24">
        <v>4304670</v>
      </c>
      <c r="I22" s="24">
        <v>4133250</v>
      </c>
      <c r="J22" s="44">
        <v>4719180</v>
      </c>
      <c r="K22" s="24">
        <v>7446720</v>
      </c>
      <c r="L22" s="24">
        <v>2790480</v>
      </c>
      <c r="M22" s="24">
        <v>6729000</v>
      </c>
      <c r="N22" s="24">
        <v>9501580</v>
      </c>
      <c r="O22" s="44">
        <v>12969000</v>
      </c>
      <c r="Q22" s="37">
        <f t="shared" si="16"/>
        <v>560</v>
      </c>
      <c r="R22" s="37">
        <f t="shared" si="17"/>
        <v>6650</v>
      </c>
      <c r="S22" s="37">
        <f t="shared" si="15"/>
        <v>1540</v>
      </c>
      <c r="T22" s="37">
        <f t="shared" si="18"/>
        <v>1450</v>
      </c>
      <c r="U22" s="37">
        <f t="shared" si="19"/>
        <v>2640</v>
      </c>
      <c r="V22" s="37">
        <f t="shared" si="20"/>
        <v>2560</v>
      </c>
      <c r="W22" s="37">
        <f t="shared" si="21"/>
        <v>2160</v>
      </c>
      <c r="X22" s="37">
        <f t="shared" si="22"/>
        <v>1620</v>
      </c>
      <c r="Y22" s="37">
        <f t="shared" si="23"/>
        <v>2330</v>
      </c>
      <c r="Z22" s="37">
        <f t="shared" si="24"/>
        <v>2320</v>
      </c>
      <c r="AA22" s="37">
        <f t="shared" si="25"/>
        <v>1630</v>
      </c>
      <c r="AB22" s="37">
        <f t="shared" si="26"/>
        <v>2770</v>
      </c>
      <c r="AC22" s="37">
        <f t="shared" si="27"/>
        <v>4410</v>
      </c>
      <c r="AD22" s="35">
        <f t="shared" si="28"/>
        <v>32640</v>
      </c>
      <c r="AF22" s="20">
        <f t="shared" si="1"/>
        <v>2.8000000000000003</v>
      </c>
      <c r="AG22" s="20">
        <f t="shared" si="2"/>
        <v>33.25</v>
      </c>
      <c r="AH22" s="20">
        <f t="shared" si="3"/>
        <v>7.7</v>
      </c>
      <c r="AI22" s="20">
        <f t="shared" si="4"/>
        <v>7.25</v>
      </c>
      <c r="AJ22" s="20">
        <f t="shared" si="5"/>
        <v>13.200000000000001</v>
      </c>
      <c r="AK22" s="20">
        <f t="shared" si="6"/>
        <v>12.8</v>
      </c>
      <c r="AL22" s="20">
        <f t="shared" si="7"/>
        <v>10.8</v>
      </c>
      <c r="AM22" s="20">
        <f t="shared" si="8"/>
        <v>8.1</v>
      </c>
      <c r="AN22" s="20">
        <f t="shared" si="9"/>
        <v>11.65</v>
      </c>
      <c r="AO22" s="20">
        <f t="shared" si="10"/>
        <v>11.6</v>
      </c>
      <c r="AP22" s="20">
        <f t="shared" si="11"/>
        <v>8.15</v>
      </c>
      <c r="AQ22" s="20">
        <f t="shared" si="12"/>
        <v>13.85</v>
      </c>
      <c r="AR22" s="20">
        <f t="shared" si="13"/>
        <v>22.05</v>
      </c>
      <c r="AS22" s="35">
        <f t="shared" si="29"/>
        <v>163.20000000000002</v>
      </c>
      <c r="AU22" s="47">
        <v>892582</v>
      </c>
      <c r="AV22" s="37">
        <f t="shared" si="31"/>
        <v>1153</v>
      </c>
      <c r="AW22" s="35">
        <f t="shared" si="30"/>
        <v>2.306</v>
      </c>
    </row>
    <row r="23" spans="1:49" x14ac:dyDescent="0.25">
      <c r="A23" s="23">
        <v>43938</v>
      </c>
      <c r="B23" s="40">
        <v>7</v>
      </c>
      <c r="C23" s="24">
        <v>5981590</v>
      </c>
      <c r="D23" s="24">
        <v>12962680</v>
      </c>
      <c r="E23" s="24">
        <v>1648380</v>
      </c>
      <c r="F23" s="24">
        <v>2798250</v>
      </c>
      <c r="G23" s="24">
        <v>8681280</v>
      </c>
      <c r="H23" s="24">
        <v>4307000</v>
      </c>
      <c r="I23" s="24">
        <v>4135290</v>
      </c>
      <c r="J23" s="24">
        <v>4720640</v>
      </c>
      <c r="K23" s="24">
        <v>7448940</v>
      </c>
      <c r="L23" s="24">
        <v>2792730</v>
      </c>
      <c r="M23" s="24">
        <v>6730880</v>
      </c>
      <c r="N23" s="24">
        <v>9504610</v>
      </c>
      <c r="O23" s="24">
        <v>12973710</v>
      </c>
      <c r="Q23" s="37">
        <f t="shared" si="16"/>
        <v>530</v>
      </c>
      <c r="R23" s="37">
        <f t="shared" si="17"/>
        <v>9750</v>
      </c>
      <c r="S23" s="37">
        <f t="shared" si="15"/>
        <v>0</v>
      </c>
      <c r="T23" s="37">
        <f t="shared" si="18"/>
        <v>1410</v>
      </c>
      <c r="U23" s="37">
        <f t="shared" si="19"/>
        <v>2820</v>
      </c>
      <c r="V23" s="37">
        <f t="shared" si="20"/>
        <v>2330</v>
      </c>
      <c r="W23" s="37">
        <f t="shared" si="21"/>
        <v>2040</v>
      </c>
      <c r="X23" s="37">
        <f t="shared" si="22"/>
        <v>1460</v>
      </c>
      <c r="Y23" s="37">
        <f t="shared" si="23"/>
        <v>2220</v>
      </c>
      <c r="Z23" s="37">
        <f t="shared" si="24"/>
        <v>2250</v>
      </c>
      <c r="AA23" s="37">
        <f t="shared" si="25"/>
        <v>1880</v>
      </c>
      <c r="AB23" s="37">
        <f t="shared" si="26"/>
        <v>3030</v>
      </c>
      <c r="AC23" s="37">
        <f t="shared" si="27"/>
        <v>4710</v>
      </c>
      <c r="AD23" s="35">
        <f t="shared" si="28"/>
        <v>34430</v>
      </c>
      <c r="AF23" s="20">
        <f t="shared" si="1"/>
        <v>2.65</v>
      </c>
      <c r="AG23" s="20">
        <f t="shared" si="2"/>
        <v>48.75</v>
      </c>
      <c r="AH23" s="20">
        <f t="shared" si="3"/>
        <v>0</v>
      </c>
      <c r="AI23" s="20">
        <f t="shared" si="4"/>
        <v>7.05</v>
      </c>
      <c r="AJ23" s="20">
        <f t="shared" si="5"/>
        <v>14.1</v>
      </c>
      <c r="AK23" s="20">
        <f t="shared" si="6"/>
        <v>11.65</v>
      </c>
      <c r="AL23" s="20">
        <f t="shared" si="7"/>
        <v>10.200000000000001</v>
      </c>
      <c r="AM23" s="20">
        <f t="shared" si="8"/>
        <v>7.3</v>
      </c>
      <c r="AN23" s="20">
        <f t="shared" si="9"/>
        <v>11.1</v>
      </c>
      <c r="AO23" s="20">
        <f t="shared" si="10"/>
        <v>11.25</v>
      </c>
      <c r="AP23" s="20">
        <f t="shared" si="11"/>
        <v>9.4</v>
      </c>
      <c r="AQ23" s="20">
        <f t="shared" si="12"/>
        <v>15.15</v>
      </c>
      <c r="AR23" s="20">
        <f t="shared" si="13"/>
        <v>23.55</v>
      </c>
      <c r="AS23" s="35">
        <f t="shared" si="29"/>
        <v>172.15</v>
      </c>
      <c r="AU23" s="47">
        <v>893420</v>
      </c>
      <c r="AV23" s="37">
        <f t="shared" si="31"/>
        <v>838</v>
      </c>
      <c r="AW23" s="35">
        <f t="shared" si="30"/>
        <v>1.6759999999999999</v>
      </c>
    </row>
    <row r="24" spans="1:49" x14ac:dyDescent="0.25">
      <c r="A24" s="23">
        <v>43939</v>
      </c>
      <c r="B24" s="40">
        <v>5</v>
      </c>
      <c r="C24" s="24">
        <v>5982120</v>
      </c>
      <c r="D24" s="24">
        <v>12972230</v>
      </c>
      <c r="E24" s="24">
        <v>1648380</v>
      </c>
      <c r="F24" s="24">
        <v>2799620</v>
      </c>
      <c r="G24" s="24">
        <v>8683980</v>
      </c>
      <c r="H24" s="24">
        <v>4309250</v>
      </c>
      <c r="I24" s="24">
        <v>4137280</v>
      </c>
      <c r="J24" s="24">
        <v>4722040</v>
      </c>
      <c r="K24" s="24">
        <v>7450780</v>
      </c>
      <c r="L24" s="24">
        <v>2794950</v>
      </c>
      <c r="M24" s="24">
        <v>6732470</v>
      </c>
      <c r="N24" s="24">
        <v>9507770</v>
      </c>
      <c r="O24" s="24">
        <v>12978470</v>
      </c>
      <c r="Q24" s="37">
        <f t="shared" si="16"/>
        <v>530</v>
      </c>
      <c r="R24" s="37">
        <f t="shared" si="17"/>
        <v>9550</v>
      </c>
      <c r="S24" s="37">
        <f t="shared" si="15"/>
        <v>0</v>
      </c>
      <c r="T24" s="37">
        <f t="shared" si="18"/>
        <v>1370</v>
      </c>
      <c r="U24" s="37">
        <f t="shared" si="19"/>
        <v>2700</v>
      </c>
      <c r="V24" s="37">
        <f t="shared" si="20"/>
        <v>2250</v>
      </c>
      <c r="W24" s="37">
        <f t="shared" si="21"/>
        <v>1990</v>
      </c>
      <c r="X24" s="37">
        <f t="shared" si="22"/>
        <v>1400</v>
      </c>
      <c r="Y24" s="37">
        <f t="shared" si="23"/>
        <v>1840</v>
      </c>
      <c r="Z24" s="37">
        <f t="shared" si="24"/>
        <v>2220</v>
      </c>
      <c r="AA24" s="37">
        <f t="shared" si="25"/>
        <v>1590</v>
      </c>
      <c r="AB24" s="37">
        <f t="shared" si="26"/>
        <v>3160</v>
      </c>
      <c r="AC24" s="37">
        <f t="shared" si="27"/>
        <v>4760</v>
      </c>
      <c r="AD24" s="35">
        <f t="shared" si="28"/>
        <v>33360</v>
      </c>
      <c r="AF24" s="20">
        <f t="shared" si="1"/>
        <v>2.65</v>
      </c>
      <c r="AG24" s="20">
        <f t="shared" si="2"/>
        <v>47.75</v>
      </c>
      <c r="AH24" s="20">
        <f t="shared" si="3"/>
        <v>0</v>
      </c>
      <c r="AI24" s="20">
        <f t="shared" si="4"/>
        <v>6.8500000000000005</v>
      </c>
      <c r="AJ24" s="20">
        <f t="shared" si="5"/>
        <v>13.5</v>
      </c>
      <c r="AK24" s="20">
        <f t="shared" si="6"/>
        <v>11.25</v>
      </c>
      <c r="AL24" s="20">
        <f t="shared" si="7"/>
        <v>9.9500000000000011</v>
      </c>
      <c r="AM24" s="20">
        <f t="shared" si="8"/>
        <v>7</v>
      </c>
      <c r="AN24" s="20">
        <f t="shared" si="9"/>
        <v>9.2000000000000011</v>
      </c>
      <c r="AO24" s="20">
        <f t="shared" si="10"/>
        <v>11.1</v>
      </c>
      <c r="AP24" s="20">
        <f t="shared" si="11"/>
        <v>7.95</v>
      </c>
      <c r="AQ24" s="20">
        <f t="shared" si="12"/>
        <v>15.8</v>
      </c>
      <c r="AR24" s="20">
        <f t="shared" si="13"/>
        <v>23.8</v>
      </c>
      <c r="AS24" s="35">
        <f t="shared" si="29"/>
        <v>166.8</v>
      </c>
      <c r="AU24" s="47">
        <v>894190</v>
      </c>
      <c r="AV24" s="37">
        <f t="shared" si="31"/>
        <v>770</v>
      </c>
      <c r="AW24" s="35">
        <f t="shared" si="30"/>
        <v>1.54</v>
      </c>
    </row>
    <row r="25" spans="1:49" x14ac:dyDescent="0.25">
      <c r="A25" s="23">
        <v>43940</v>
      </c>
      <c r="B25" s="40">
        <v>8</v>
      </c>
      <c r="C25" s="24">
        <v>5982670</v>
      </c>
      <c r="D25" s="24">
        <v>12982470</v>
      </c>
      <c r="E25" s="24">
        <v>1648380</v>
      </c>
      <c r="F25" s="24">
        <v>2801060</v>
      </c>
      <c r="G25" s="24">
        <v>8686920</v>
      </c>
      <c r="H25" s="24">
        <v>4311510</v>
      </c>
      <c r="I25" s="24">
        <v>4139390</v>
      </c>
      <c r="J25" s="24">
        <v>4723490</v>
      </c>
      <c r="K25" s="24">
        <v>7452710</v>
      </c>
      <c r="L25" s="24">
        <v>2797310</v>
      </c>
      <c r="M25" s="24">
        <v>6734610</v>
      </c>
      <c r="N25" s="24">
        <v>9511270</v>
      </c>
      <c r="O25" s="24">
        <v>12983510</v>
      </c>
      <c r="Q25" s="37">
        <f t="shared" ref="Q25:AC27" si="33">IF((C25-C24&lt;0), "0",C25-C24)</f>
        <v>550</v>
      </c>
      <c r="R25" s="37">
        <f t="shared" si="33"/>
        <v>10240</v>
      </c>
      <c r="S25" s="37">
        <f t="shared" si="33"/>
        <v>0</v>
      </c>
      <c r="T25" s="37">
        <f t="shared" si="33"/>
        <v>1440</v>
      </c>
      <c r="U25" s="37">
        <f t="shared" si="33"/>
        <v>2940</v>
      </c>
      <c r="V25" s="37">
        <f t="shared" si="33"/>
        <v>2260</v>
      </c>
      <c r="W25" s="37">
        <f t="shared" si="33"/>
        <v>2110</v>
      </c>
      <c r="X25" s="37">
        <f t="shared" si="33"/>
        <v>1450</v>
      </c>
      <c r="Y25" s="37">
        <f t="shared" si="33"/>
        <v>1930</v>
      </c>
      <c r="Z25" s="37">
        <f t="shared" si="33"/>
        <v>2360</v>
      </c>
      <c r="AA25" s="37">
        <f t="shared" si="33"/>
        <v>2140</v>
      </c>
      <c r="AB25" s="37">
        <f t="shared" si="33"/>
        <v>3500</v>
      </c>
      <c r="AC25" s="37">
        <f t="shared" si="33"/>
        <v>5040</v>
      </c>
      <c r="AD25" s="35">
        <f t="shared" si="28"/>
        <v>35960</v>
      </c>
      <c r="AF25" s="20">
        <f t="shared" si="1"/>
        <v>2.75</v>
      </c>
      <c r="AG25" s="20">
        <f t="shared" si="2"/>
        <v>51.2</v>
      </c>
      <c r="AH25" s="20">
        <f t="shared" si="3"/>
        <v>0</v>
      </c>
      <c r="AI25" s="20">
        <f t="shared" si="4"/>
        <v>7.2</v>
      </c>
      <c r="AJ25" s="20">
        <f t="shared" si="5"/>
        <v>14.700000000000001</v>
      </c>
      <c r="AK25" s="20">
        <f t="shared" si="6"/>
        <v>11.3</v>
      </c>
      <c r="AL25" s="20">
        <f t="shared" si="7"/>
        <v>10.55</v>
      </c>
      <c r="AM25" s="20">
        <f t="shared" si="8"/>
        <v>7.25</v>
      </c>
      <c r="AN25" s="20">
        <f t="shared" si="9"/>
        <v>9.65</v>
      </c>
      <c r="AO25" s="20">
        <f t="shared" si="10"/>
        <v>11.8</v>
      </c>
      <c r="AP25" s="20">
        <f t="shared" si="11"/>
        <v>10.700000000000001</v>
      </c>
      <c r="AQ25" s="20">
        <f t="shared" si="12"/>
        <v>17.5</v>
      </c>
      <c r="AR25" s="20">
        <f t="shared" si="13"/>
        <v>25.2</v>
      </c>
      <c r="AS25" s="35">
        <f t="shared" si="29"/>
        <v>179.79999999999998</v>
      </c>
      <c r="AU25" s="47">
        <v>894517</v>
      </c>
      <c r="AV25" s="37">
        <f t="shared" si="31"/>
        <v>327</v>
      </c>
      <c r="AW25" s="35">
        <f t="shared" si="30"/>
        <v>0.65400000000000003</v>
      </c>
    </row>
    <row r="26" spans="1:49" x14ac:dyDescent="0.25">
      <c r="A26" s="23">
        <v>43941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10560</v>
      </c>
      <c r="R38" s="30">
        <f t="shared" si="62"/>
        <v>64600</v>
      </c>
      <c r="S38" s="30">
        <f t="shared" si="62"/>
        <v>44550</v>
      </c>
      <c r="T38" s="30">
        <f t="shared" si="62"/>
        <v>26520</v>
      </c>
      <c r="U38" s="30">
        <f t="shared" si="62"/>
        <v>53510</v>
      </c>
      <c r="V38" s="30">
        <f t="shared" si="62"/>
        <v>43890</v>
      </c>
      <c r="W38" s="30">
        <f t="shared" si="62"/>
        <v>39480</v>
      </c>
      <c r="X38" s="30">
        <f t="shared" si="62"/>
        <v>24960</v>
      </c>
      <c r="Y38" s="30">
        <f t="shared" si="62"/>
        <v>44140</v>
      </c>
      <c r="Z38" s="30">
        <f t="shared" si="62"/>
        <v>41810</v>
      </c>
      <c r="AA38" s="30">
        <f t="shared" si="62"/>
        <v>34880</v>
      </c>
      <c r="AB38" s="30">
        <f t="shared" si="62"/>
        <v>72530</v>
      </c>
      <c r="AC38" s="30">
        <f t="shared" si="62"/>
        <v>81830</v>
      </c>
      <c r="AD38" s="35">
        <f t="shared" si="62"/>
        <v>583260</v>
      </c>
      <c r="AF38" s="35">
        <f t="shared" ref="AF38:AS38" si="63">SUM(AF7:AF34)</f>
        <v>52.8</v>
      </c>
      <c r="AG38" s="35">
        <f t="shared" si="63"/>
        <v>322.99999999999994</v>
      </c>
      <c r="AH38" s="35">
        <f t="shared" si="63"/>
        <v>222.75</v>
      </c>
      <c r="AI38" s="35">
        <f t="shared" si="63"/>
        <v>132.6</v>
      </c>
      <c r="AJ38" s="35">
        <f t="shared" si="63"/>
        <v>267.55</v>
      </c>
      <c r="AK38" s="35">
        <f t="shared" si="63"/>
        <v>219.45000000000005</v>
      </c>
      <c r="AL38" s="35">
        <f t="shared" si="63"/>
        <v>197.4</v>
      </c>
      <c r="AM38" s="35">
        <f t="shared" si="63"/>
        <v>124.8</v>
      </c>
      <c r="AN38" s="35">
        <f t="shared" si="63"/>
        <v>220.70000000000002</v>
      </c>
      <c r="AO38" s="35">
        <f t="shared" si="63"/>
        <v>209.05</v>
      </c>
      <c r="AP38" s="35">
        <f t="shared" si="63"/>
        <v>174.39999999999998</v>
      </c>
      <c r="AQ38" s="35">
        <f t="shared" si="63"/>
        <v>362.65000000000009</v>
      </c>
      <c r="AR38" s="35">
        <f t="shared" si="63"/>
        <v>409.15</v>
      </c>
      <c r="AS38" s="35">
        <f t="shared" si="63"/>
        <v>2916.3</v>
      </c>
      <c r="AU38" s="48"/>
      <c r="AV38" s="35">
        <f>SUM(AV7:AV34)</f>
        <v>21047</v>
      </c>
      <c r="AW38" s="35">
        <f>SUM(AW7:AW34)</f>
        <v>36.764000000000003</v>
      </c>
    </row>
    <row r="39" spans="1:49" x14ac:dyDescent="0.25">
      <c r="D39">
        <v>5.0000000000000001E-3</v>
      </c>
      <c r="AV39" s="36">
        <f>AV38*0.00378541*1000</f>
        <v>79671.524269999994</v>
      </c>
    </row>
    <row r="40" spans="1:49" x14ac:dyDescent="0.25">
      <c r="D40">
        <v>2E-3</v>
      </c>
      <c r="AV40">
        <f>AV39/31</f>
        <v>2570.0491699999998</v>
      </c>
    </row>
    <row r="41" spans="1:49" x14ac:dyDescent="0.25">
      <c r="AV41">
        <f>AV38*0.00378541</f>
        <v>79.671524269999992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2020-04-20T04:11:59Z</dcterms:modified>
</cp:coreProperties>
</file>