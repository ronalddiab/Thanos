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" i="1" l="1"/>
  <c r="AB9" i="1" s="1"/>
  <c r="AB10" i="1" s="1"/>
  <c r="AB11" i="1" s="1"/>
  <c r="AB12" i="1" s="1"/>
  <c r="AB13" i="1" s="1"/>
  <c r="F11" i="4" l="1"/>
  <c r="B17" i="5" l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AF3" i="1"/>
  <c r="AF7" i="1" s="1"/>
  <c r="AF8" i="1" s="1"/>
  <c r="AF17" i="1" s="1"/>
  <c r="AD17" i="1"/>
  <c r="AD18" i="1" s="1"/>
  <c r="AD19" i="1" s="1"/>
  <c r="AD20" i="1" s="1"/>
  <c r="AB3" i="1"/>
  <c r="AB4" i="1" s="1"/>
  <c r="AB5" i="1" s="1"/>
  <c r="AB6" i="1" s="1"/>
  <c r="AB7" i="1" s="1"/>
  <c r="AB14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Z17" i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X17" i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Q5" i="1"/>
  <c r="Q7" i="1" s="1"/>
  <c r="Q8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17" i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E17" i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14" i="3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F14" i="3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D14" i="3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J2" i="3"/>
  <c r="K2" i="3" s="1"/>
  <c r="T12" i="2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N12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2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12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F12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12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B12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V17" i="4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R17" i="4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P17" i="4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N17" i="4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L17" i="4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J17" i="4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G17" i="4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E17" i="4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C6" i="4"/>
  <c r="C7" i="4" s="1"/>
  <c r="C9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I2" i="4"/>
  <c r="AD21" i="1" l="1"/>
  <c r="AE20" i="1"/>
  <c r="AF18" i="1"/>
  <c r="AG17" i="1"/>
  <c r="T2" i="1"/>
  <c r="U2" i="1" s="1"/>
  <c r="D2" i="1"/>
  <c r="Z2" i="4"/>
  <c r="X2" i="4"/>
  <c r="Y2" i="4" s="1"/>
  <c r="AF19" i="1" l="1"/>
  <c r="AG18" i="1"/>
  <c r="AD22" i="1"/>
  <c r="AD23" i="1" s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0" i="1" l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G19" i="1"/>
  <c r="I12" i="4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2" i="2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<sst xmlns="http://schemas.openxmlformats.org/spreadsheetml/2006/main" count="436" uniqueCount="149">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</sst>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42" fillId="17" borderId="1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51787.768983999995</v>
      </c>
      <c r="F3" s="141">
        <v>1.27</v>
      </c>
      <c r="G3" s="38">
        <f>Gas!C4*0.9147</f>
        <v>3151.1414999999997</v>
      </c>
      <c r="H3" s="142">
        <v>3.65</v>
      </c>
      <c r="I3" s="144">
        <f>Submetering!H3+Submetering!AD3+Submetering!AE3</f>
        <v>616</v>
      </c>
      <c r="J3" s="144">
        <v>10.029999999999999</v>
      </c>
      <c r="K3" s="38">
        <f>ELECT.!B4</f>
        <v>190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30046.785071999999</v>
      </c>
      <c r="F4" s="141">
        <v>1.27</v>
      </c>
      <c r="G4" s="38">
        <f>Gas!C5*0.9147</f>
        <v>3087.1124999999997</v>
      </c>
      <c r="H4" s="142">
        <v>3.65</v>
      </c>
      <c r="I4" s="144">
        <f>Submetering!H4+Submetering!AD4+Submetering!AE4</f>
        <v>616</v>
      </c>
      <c r="J4" s="144">
        <v>10.029999999999999</v>
      </c>
      <c r="K4" s="38">
        <f>ELECT.!B5</f>
        <v>182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48904.452404000003</v>
      </c>
      <c r="F5" s="141">
        <v>1.27</v>
      </c>
      <c r="G5" s="38">
        <f>Gas!C6*0.9147</f>
        <v>2825.5083</v>
      </c>
      <c r="H5" s="142">
        <v>3.65</v>
      </c>
      <c r="I5" s="144">
        <f>Submetering!H5+Submetering!AD5+Submetering!AE5</f>
        <v>546</v>
      </c>
      <c r="J5" s="144">
        <v>10.029999999999999</v>
      </c>
      <c r="K5" s="38">
        <f>ELECT.!B6</f>
        <v>178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41927.921951999997</v>
      </c>
      <c r="F6" s="141">
        <v>1.27</v>
      </c>
      <c r="G6" s="38">
        <f>Gas!C7*0.9147</f>
        <v>2716.6589999999997</v>
      </c>
      <c r="H6" s="142">
        <v>3.65</v>
      </c>
      <c r="I6" s="144">
        <f>Submetering!H6+Submetering!AD6+Submetering!AE6</f>
        <v>646</v>
      </c>
      <c r="J6" s="144">
        <v>10.029999999999999</v>
      </c>
      <c r="K6" s="38">
        <f>ELECT.!B7</f>
        <v>211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54278.328976000004</v>
      </c>
      <c r="F7" s="141">
        <v>1.27</v>
      </c>
      <c r="G7" s="38">
        <f>Gas!C8*0.9147</f>
        <v>2430.3579</v>
      </c>
      <c r="H7" s="142">
        <v>3.65</v>
      </c>
      <c r="I7" s="144">
        <f>Submetering!H7+Submetering!AD7+Submetering!AE7</f>
        <v>646</v>
      </c>
      <c r="J7" s="144">
        <v>10.029999999999999</v>
      </c>
      <c r="K7" s="38">
        <f>ELECT.!B8</f>
        <v>216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33188.190587999998</v>
      </c>
      <c r="F8" s="141">
        <v>1.27</v>
      </c>
      <c r="G8" s="38">
        <f>Gas!C9*0.9147</f>
        <v>2282.1765</v>
      </c>
      <c r="H8" s="142">
        <v>3.65</v>
      </c>
      <c r="I8" s="144">
        <f>Submetering!H8+Submetering!AD8+Submetering!AE8</f>
        <v>606</v>
      </c>
      <c r="J8" s="144">
        <v>10.029999999999999</v>
      </c>
      <c r="K8" s="38">
        <f>ELECT.!B9</f>
        <v>264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53486.054032</v>
      </c>
      <c r="F9" s="141">
        <v>1.27</v>
      </c>
      <c r="G9" s="38">
        <f>Gas!C10*0.9147</f>
        <v>3176.7530999999999</v>
      </c>
      <c r="H9" s="142">
        <v>3.65</v>
      </c>
      <c r="I9" s="144">
        <f>Submetering!H9+Submetering!AD9+Submetering!AE9</f>
        <v>696</v>
      </c>
      <c r="J9" s="144">
        <v>10.029999999999999</v>
      </c>
      <c r="K9" s="38">
        <f>ELECT.!B10</f>
        <v>242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37270.139404000001</v>
      </c>
      <c r="F10" s="141">
        <v>1.27</v>
      </c>
      <c r="G10" s="38">
        <f>Gas!C11*0.9147</f>
        <v>2817.2759999999998</v>
      </c>
      <c r="H10" s="142">
        <v>3.65</v>
      </c>
      <c r="I10" s="144">
        <f>Submetering!H10+Submetering!AD10+Submetering!AE10</f>
        <v>666</v>
      </c>
      <c r="J10" s="144">
        <v>10.029999999999999</v>
      </c>
      <c r="K10" s="38">
        <f>ELECT.!B11</f>
        <v>157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43247.953863999996</v>
      </c>
      <c r="F11" s="141">
        <v>1.27</v>
      </c>
      <c r="G11" s="38">
        <f>Gas!C12*0.9147</f>
        <v>2667.2651999999998</v>
      </c>
      <c r="H11" s="142">
        <v>3.65</v>
      </c>
      <c r="I11" s="144">
        <f>Submetering!H11+Submetering!AD11+Submetering!AE11</f>
        <v>676</v>
      </c>
      <c r="J11" s="144">
        <v>10.029999999999999</v>
      </c>
      <c r="K11" s="38">
        <f>ELECT.!B12</f>
        <v>157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58181.171395999998</v>
      </c>
      <c r="F12" s="141">
        <v>1.27</v>
      </c>
      <c r="G12" s="38">
        <f>Gas!C13*0.9147</f>
        <v>2638.9094999999998</v>
      </c>
      <c r="H12" s="142">
        <v>3.65</v>
      </c>
      <c r="I12" s="144">
        <f>Submetering!H12+Submetering!AD12+Submetering!AE12</f>
        <v>676</v>
      </c>
      <c r="J12" s="144">
        <v>10.029999999999999</v>
      </c>
      <c r="K12" s="38">
        <f>ELECT.!B13</f>
        <v>179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36945.725099999996</v>
      </c>
      <c r="F13" s="141">
        <v>1.27</v>
      </c>
      <c r="G13" s="38">
        <f>Gas!C14*0.9147</f>
        <v>3730.1466</v>
      </c>
      <c r="H13" s="142">
        <v>3.65</v>
      </c>
      <c r="I13" s="144">
        <f>Submetering!H13+Submetering!AD13+Submetering!AE13</f>
        <v>465.99999999999994</v>
      </c>
      <c r="J13" s="144">
        <v>10.029999999999999</v>
      </c>
      <c r="K13" s="38">
        <f>ELECT.!B14</f>
        <v>157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53142.257660000003</v>
      </c>
      <c r="F14" s="141">
        <v>1.27</v>
      </c>
      <c r="G14" s="38">
        <f>Gas!C15*0.9147</f>
        <v>2576.7098999999998</v>
      </c>
      <c r="H14" s="142">
        <v>3.65</v>
      </c>
      <c r="I14" s="144">
        <f>Submetering!H14+Submetering!AD14+Submetering!AE14</f>
        <v>706.00000000000011</v>
      </c>
      <c r="J14" s="144">
        <v>10.029999999999999</v>
      </c>
      <c r="K14" s="38">
        <f>ELECT.!B15</f>
        <v>216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44443.869112</v>
      </c>
      <c r="F15" s="141">
        <v>1.27</v>
      </c>
      <c r="G15" s="38">
        <f>Gas!C16*0.9147</f>
        <v>3578.3063999999999</v>
      </c>
      <c r="H15" s="142">
        <v>3.65</v>
      </c>
      <c r="I15" s="144">
        <f>Submetering!H15+Submetering!AD15+Submetering!AE15</f>
        <v>636</v>
      </c>
      <c r="J15" s="144">
        <v>10.029999999999999</v>
      </c>
      <c r="K15" s="38">
        <f>ELECT.!B16</f>
        <v>240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1">
        <v>1.27</v>
      </c>
      <c r="G16" s="38">
        <f>Gas!C17*0.9147</f>
        <v>0</v>
      </c>
      <c r="H16" s="142">
        <v>3.65</v>
      </c>
      <c r="I16" s="144">
        <f>Submetering!H16+Submetering!AD16+Submetering!AE16</f>
        <v>-194</v>
      </c>
      <c r="J16" s="144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1">
        <v>1.27</v>
      </c>
      <c r="G17" s="38">
        <f>Gas!C18*0.9147</f>
        <v>0</v>
      </c>
      <c r="H17" s="142">
        <v>3.65</v>
      </c>
      <c r="I17" s="144">
        <f>Submetering!H17+Submetering!AD17+Submetering!AE17</f>
        <v>-194</v>
      </c>
      <c r="J17" s="144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1">
        <v>1.27</v>
      </c>
      <c r="G18" s="38">
        <f>Gas!C19*0.9147</f>
        <v>0</v>
      </c>
      <c r="H18" s="142">
        <v>3.65</v>
      </c>
      <c r="I18" s="144">
        <f>Submetering!H18+Submetering!AD18+Submetering!AE18</f>
        <v>-194</v>
      </c>
      <c r="J18" s="144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1">
        <v>1.27</v>
      </c>
      <c r="G19" s="38">
        <f>Gas!C20*0.9147</f>
        <v>0</v>
      </c>
      <c r="H19" s="142">
        <v>3.65</v>
      </c>
      <c r="I19" s="144">
        <f>Submetering!H19+Submetering!AD19+Submetering!AE19</f>
        <v>-194</v>
      </c>
      <c r="J19" s="144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1">
        <v>1.27</v>
      </c>
      <c r="G20" s="38">
        <f>Gas!C21*0.9147</f>
        <v>0</v>
      </c>
      <c r="H20" s="142">
        <v>3.65</v>
      </c>
      <c r="I20" s="144">
        <f>Submetering!H20+Submetering!AD20+Submetering!AE20</f>
        <v>-194</v>
      </c>
      <c r="J20" s="144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1">
        <v>1.27</v>
      </c>
      <c r="G21" s="38">
        <f>Gas!C22*0.9147</f>
        <v>0</v>
      </c>
      <c r="H21" s="142">
        <v>3.65</v>
      </c>
      <c r="I21" s="144">
        <f>Submetering!H21+Submetering!AD21+Submetering!AE21</f>
        <v>-194</v>
      </c>
      <c r="J21" s="144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1">
        <v>1.27</v>
      </c>
      <c r="G22" s="38">
        <f>Gas!C23*0.9147</f>
        <v>0</v>
      </c>
      <c r="H22" s="142">
        <v>3.65</v>
      </c>
      <c r="I22" s="144">
        <f>Submetering!H22+Submetering!AD22+Submetering!AE22</f>
        <v>-194</v>
      </c>
      <c r="J22" s="144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810</v>
      </c>
      <c r="F3" s="38">
        <f>Water!E4</f>
        <v>500</v>
      </c>
      <c r="G3" s="38">
        <f>Water!G4</f>
        <v>251.1</v>
      </c>
      <c r="H3" s="38">
        <f>Water!I4</f>
        <v>5.67</v>
      </c>
      <c r="I3" s="38">
        <f>ELECT.!F4</f>
        <v>10599</v>
      </c>
      <c r="J3" s="38">
        <f>ELECT.!H4</f>
        <v>43604</v>
      </c>
      <c r="K3" s="38">
        <f>ELECT.!K4</f>
        <v>10828</v>
      </c>
      <c r="L3" s="38">
        <f>ELECT.!M4</f>
        <v>4874</v>
      </c>
      <c r="M3" s="38">
        <f>ELECT.!O4</f>
        <v>5576</v>
      </c>
      <c r="N3" s="38">
        <f>ELECT.!Q4</f>
        <v>3201</v>
      </c>
      <c r="O3" s="38">
        <f>ELECT.!S4</f>
        <v>11280</v>
      </c>
      <c r="P3" s="38">
        <f>ELECT.!W4*2</f>
        <v>22446</v>
      </c>
      <c r="Q3" s="38">
        <f>ELECT.!D4</f>
        <v>0</v>
      </c>
      <c r="R3" s="39">
        <f>BTU!C4</f>
        <v>1.8060000000004948</v>
      </c>
      <c r="S3" s="39">
        <f>BTU!F4</f>
        <v>0.45199999999931606</v>
      </c>
      <c r="T3" s="39">
        <f>BTU!I4</f>
        <v>4</v>
      </c>
      <c r="U3" s="39">
        <f>BTU!O4</f>
        <v>0.96500000000014552</v>
      </c>
      <c r="V3" s="39">
        <f>BTU!L4</f>
        <v>0</v>
      </c>
      <c r="W3" s="39" t="str">
        <f>BTU!R4</f>
        <v>0</v>
      </c>
      <c r="X3" s="36">
        <f>ELECT.!B4</f>
        <v>190</v>
      </c>
      <c r="Y3" s="36">
        <f t="shared" ref="Y3:Y29" si="0">I3+J3-(K3+L3+M3+N3+O3+P3)</f>
        <v>-4002</v>
      </c>
      <c r="Z3">
        <f>'Mall, Citadel, Rotana'!C4+'Mall, Citadel, Rotana'!E4+'Mall, Citadel, Rotana'!G4+'Mall, Citadel, Rotana'!I4</f>
        <v>1355</v>
      </c>
      <c r="AA3">
        <f>'Mall, Citadel, Rotana'!K4+'Mall, Citadel, Rotana'!M4</f>
        <v>480</v>
      </c>
      <c r="AB3">
        <f>'Mall, Citadel, Rotana'!O4</f>
        <v>121</v>
      </c>
      <c r="AC3">
        <f>'Mall, Citadel, Rotana'!Q4+'Mall, Citadel, Rotana'!S4</f>
        <v>0</v>
      </c>
      <c r="AD3" s="36">
        <f t="shared" ref="AD3:AD29" si="1">(E3-H3-194)*0.1318</f>
        <v>80.441494000000006</v>
      </c>
      <c r="AE3" s="36">
        <f t="shared" ref="AE3:AE29" si="2">E3-H3-AD3-194</f>
        <v>529.88850600000001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810</v>
      </c>
      <c r="F4" s="38">
        <f>Water!E5</f>
        <v>500</v>
      </c>
      <c r="G4" s="38">
        <f>Water!G5</f>
        <v>251.1</v>
      </c>
      <c r="H4" s="38">
        <f>Water!I5</f>
        <v>5.67</v>
      </c>
      <c r="I4" s="38">
        <f>ELECT.!F5</f>
        <v>4081</v>
      </c>
      <c r="J4" s="38">
        <f>ELECT.!H5</f>
        <v>28056</v>
      </c>
      <c r="K4" s="38">
        <f>ELECT.!K5</f>
        <v>6740</v>
      </c>
      <c r="L4" s="38">
        <f>ELECT.!M5</f>
        <v>3075</v>
      </c>
      <c r="M4" s="38">
        <f>ELECT.!O5</f>
        <v>916</v>
      </c>
      <c r="N4" s="38">
        <f>ELECT.!Q5</f>
        <v>4661</v>
      </c>
      <c r="O4" s="38">
        <f>ELECT.!S5</f>
        <v>6428</v>
      </c>
      <c r="P4" s="38">
        <f>ELECT.!W5*2</f>
        <v>12880</v>
      </c>
      <c r="Q4" s="38">
        <f>ELECT.!D5</f>
        <v>0</v>
      </c>
      <c r="R4" s="39">
        <f>BTU!C5</f>
        <v>2.1430000000000291</v>
      </c>
      <c r="S4" s="39">
        <f>BTU!F5</f>
        <v>0.51200000000062573</v>
      </c>
      <c r="T4" s="39">
        <f>BTU!I5</f>
        <v>4</v>
      </c>
      <c r="U4" s="39">
        <f>BTU!O5</f>
        <v>1.0090000000000146</v>
      </c>
      <c r="V4" s="39">
        <f>BTU!L5</f>
        <v>0</v>
      </c>
      <c r="W4" s="39">
        <f>BTU!R5</f>
        <v>0</v>
      </c>
      <c r="X4" s="36">
        <f>ELECT.!B5</f>
        <v>182</v>
      </c>
      <c r="Y4" s="36">
        <f t="shared" si="0"/>
        <v>-2563</v>
      </c>
      <c r="Z4">
        <f>'Mall, Citadel, Rotana'!C5+'Mall, Citadel, Rotana'!E5+'Mall, Citadel, Rotana'!G5+'Mall, Citadel, Rotana'!I5</f>
        <v>1375</v>
      </c>
      <c r="AA4">
        <f>'Mall, Citadel, Rotana'!K5+'Mall, Citadel, Rotana'!M5</f>
        <v>320</v>
      </c>
      <c r="AB4">
        <f>'Mall, Citadel, Rotana'!O5</f>
        <v>123</v>
      </c>
      <c r="AC4">
        <f>'Mall, Citadel, Rotana'!Q5+'Mall, Citadel, Rotana'!S5</f>
        <v>0</v>
      </c>
      <c r="AD4" s="36">
        <f t="shared" si="1"/>
        <v>80.441494000000006</v>
      </c>
      <c r="AE4" s="36">
        <f t="shared" si="2"/>
        <v>529.88850600000001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740</v>
      </c>
      <c r="F5" s="38">
        <f>Water!E6</f>
        <v>460</v>
      </c>
      <c r="G5" s="38">
        <f>Water!G6</f>
        <v>210.6</v>
      </c>
      <c r="H5" s="38">
        <f>Water!I6</f>
        <v>4.9409999999999998</v>
      </c>
      <c r="I5" s="38">
        <f>ELECT.!F6</f>
        <v>9426</v>
      </c>
      <c r="J5" s="38">
        <f>ELECT.!H6</f>
        <v>41809</v>
      </c>
      <c r="K5" s="38">
        <f>ELECT.!K6</f>
        <v>9766</v>
      </c>
      <c r="L5" s="38">
        <f>ELECT.!M6</f>
        <v>4577</v>
      </c>
      <c r="M5" s="38">
        <f>ELECT.!O6</f>
        <v>4678</v>
      </c>
      <c r="N5" s="38">
        <f>ELECT.!Q6</f>
        <v>3766</v>
      </c>
      <c r="O5" s="38">
        <f>ELECT.!S6</f>
        <v>10787</v>
      </c>
      <c r="P5" s="38">
        <f>ELECT.!W6*2</f>
        <v>22744</v>
      </c>
      <c r="Q5" s="38">
        <f>ELECT.!D6</f>
        <v>0</v>
      </c>
      <c r="R5" s="39">
        <f>BTU!C6</f>
        <v>1.7319999999999709</v>
      </c>
      <c r="S5" s="39">
        <f>BTU!F6</f>
        <v>0.33399999999983265</v>
      </c>
      <c r="T5" s="39">
        <f>BTU!I6</f>
        <v>5</v>
      </c>
      <c r="U5" s="39">
        <f>BTU!O6</f>
        <v>0.97199999999975262</v>
      </c>
      <c r="V5" s="39">
        <f>BTU!L6</f>
        <v>0</v>
      </c>
      <c r="W5" s="39">
        <f>BTU!R6</f>
        <v>0</v>
      </c>
      <c r="X5" s="36">
        <f>ELECT.!B6</f>
        <v>178</v>
      </c>
      <c r="Y5" s="36">
        <f t="shared" si="0"/>
        <v>-5083</v>
      </c>
      <c r="Z5">
        <f>'Mall, Citadel, Rotana'!C6+'Mall, Citadel, Rotana'!E6+'Mall, Citadel, Rotana'!G6+'Mall, Citadel, Rotana'!I6</f>
        <v>1214</v>
      </c>
      <c r="AA5">
        <f>'Mall, Citadel, Rotana'!K6+'Mall, Citadel, Rotana'!M6</f>
        <v>640</v>
      </c>
      <c r="AB5">
        <f>'Mall, Citadel, Rotana'!O6</f>
        <v>66</v>
      </c>
      <c r="AC5">
        <f>'Mall, Citadel, Rotana'!Q6+'Mall, Citadel, Rotana'!S6</f>
        <v>0</v>
      </c>
      <c r="AD5" s="36">
        <f t="shared" si="1"/>
        <v>71.31157619999999</v>
      </c>
      <c r="AE5" s="36">
        <f t="shared" si="2"/>
        <v>469.74742379999998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840</v>
      </c>
      <c r="F6" s="38">
        <f>Water!E7</f>
        <v>470</v>
      </c>
      <c r="G6" s="38">
        <f>Water!G7</f>
        <v>202.5</v>
      </c>
      <c r="H6" s="38">
        <f>Water!I7</f>
        <v>5.5889999999999995</v>
      </c>
      <c r="I6" s="38">
        <f>ELECT.!F7</f>
        <v>8692</v>
      </c>
      <c r="J6" s="38">
        <f>ELECT.!H7</f>
        <v>35635</v>
      </c>
      <c r="K6" s="38">
        <f>ELECT.!K7</f>
        <v>8378</v>
      </c>
      <c r="L6" s="38">
        <f>ELECT.!M7</f>
        <v>4004</v>
      </c>
      <c r="M6" s="38">
        <f>ELECT.!O7</f>
        <v>4592</v>
      </c>
      <c r="N6" s="38">
        <f>ELECT.!Q7</f>
        <v>2389</v>
      </c>
      <c r="O6" s="38">
        <f>ELECT.!S7</f>
        <v>9320</v>
      </c>
      <c r="P6" s="38">
        <f>ELECT.!W7*2</f>
        <v>14708</v>
      </c>
      <c r="Q6" s="38">
        <f>ELECT.!D7</f>
        <v>0</v>
      </c>
      <c r="R6" s="39">
        <f>BTU!C7</f>
        <v>1.9120000000002619</v>
      </c>
      <c r="S6" s="39">
        <f>BTU!F7</f>
        <v>0.37899999999990541</v>
      </c>
      <c r="T6" s="39">
        <f>BTU!I7</f>
        <v>4</v>
      </c>
      <c r="U6" s="39">
        <f>BTU!O7</f>
        <v>0.96600000000034925</v>
      </c>
      <c r="V6" s="39">
        <f>BTU!L7</f>
        <v>0</v>
      </c>
      <c r="W6" s="39">
        <f>BTU!R7</f>
        <v>0</v>
      </c>
      <c r="X6" s="36">
        <f>ELECT.!B7</f>
        <v>211</v>
      </c>
      <c r="Y6" s="36">
        <f t="shared" si="0"/>
        <v>936</v>
      </c>
      <c r="Z6">
        <f>'Mall, Citadel, Rotana'!C7+'Mall, Citadel, Rotana'!E7+'Mall, Citadel, Rotana'!G7+'Mall, Citadel, Rotana'!I7</f>
        <v>1213</v>
      </c>
      <c r="AA6">
        <f>'Mall, Citadel, Rotana'!K7+'Mall, Citadel, Rotana'!M7</f>
        <v>640</v>
      </c>
      <c r="AB6">
        <f>'Mall, Citadel, Rotana'!O7</f>
        <v>69</v>
      </c>
      <c r="AC6">
        <f>'Mall, Citadel, Rotana'!Q7+'Mall, Citadel, Rotana'!S7</f>
        <v>0</v>
      </c>
      <c r="AD6" s="36">
        <f t="shared" si="1"/>
        <v>84.406169799999986</v>
      </c>
      <c r="AE6" s="36">
        <f t="shared" si="2"/>
        <v>556.00483020000001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840</v>
      </c>
      <c r="F7" s="38">
        <f>Water!E8</f>
        <v>520</v>
      </c>
      <c r="G7" s="38">
        <f>Water!G8</f>
        <v>207.9</v>
      </c>
      <c r="H7" s="38">
        <f>Water!I8</f>
        <v>6.2910000000000004</v>
      </c>
      <c r="I7" s="38">
        <f>ELECT.!F8</f>
        <v>10721</v>
      </c>
      <c r="J7" s="38">
        <f>ELECT.!H8</f>
        <v>45688</v>
      </c>
      <c r="K7" s="38">
        <f>ELECT.!K8</f>
        <v>11202</v>
      </c>
      <c r="L7" s="38">
        <f>ELECT.!M8</f>
        <v>5327</v>
      </c>
      <c r="M7" s="38">
        <f>ELECT.!O8</f>
        <v>5726</v>
      </c>
      <c r="N7" s="38">
        <f>ELECT.!Q8</f>
        <v>2944</v>
      </c>
      <c r="O7" s="38">
        <f>ELECT.!S8</f>
        <v>12254</v>
      </c>
      <c r="P7" s="38">
        <f>ELECT.!W8*2</f>
        <v>26510</v>
      </c>
      <c r="Q7" s="38">
        <f>ELECT.!D8</f>
        <v>0</v>
      </c>
      <c r="R7" s="39">
        <f>BTU!C8</f>
        <v>2.1759999999994761</v>
      </c>
      <c r="S7" s="39">
        <f>BTU!F8</f>
        <v>0.48999999999978172</v>
      </c>
      <c r="T7" s="39">
        <f>BTU!I8</f>
        <v>4</v>
      </c>
      <c r="U7" s="39">
        <f>BTU!O8</f>
        <v>1.0339999999996508</v>
      </c>
      <c r="V7" s="39">
        <f>BTU!L8</f>
        <v>0</v>
      </c>
      <c r="W7" s="39">
        <f>BTU!R8</f>
        <v>0</v>
      </c>
      <c r="X7" s="36">
        <f>ELECT.!B8</f>
        <v>216</v>
      </c>
      <c r="Y7" s="36">
        <f t="shared" si="0"/>
        <v>-7554</v>
      </c>
      <c r="Z7">
        <f>'Mall, Citadel, Rotana'!C8+'Mall, Citadel, Rotana'!E8+'Mall, Citadel, Rotana'!G8+'Mall, Citadel, Rotana'!I8</f>
        <v>1054</v>
      </c>
      <c r="AA7">
        <f>'Mall, Citadel, Rotana'!K8+'Mall, Citadel, Rotana'!M8</f>
        <v>640</v>
      </c>
      <c r="AB7">
        <f>'Mall, Citadel, Rotana'!O8</f>
        <v>54</v>
      </c>
      <c r="AC7">
        <f>'Mall, Citadel, Rotana'!Q8+'Mall, Citadel, Rotana'!S8</f>
        <v>0</v>
      </c>
      <c r="AD7" s="36">
        <f t="shared" si="1"/>
        <v>84.313646199999994</v>
      </c>
      <c r="AE7" s="36">
        <f t="shared" si="2"/>
        <v>555.39535379999995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800</v>
      </c>
      <c r="F8" s="38">
        <f>Water!E9</f>
        <v>440</v>
      </c>
      <c r="G8" s="38">
        <f>Water!G9</f>
        <v>245.7</v>
      </c>
      <c r="H8" s="38">
        <f>Water!I9</f>
        <v>5.67</v>
      </c>
      <c r="I8" s="38">
        <f>ELECT.!F9</f>
        <v>7528</v>
      </c>
      <c r="J8" s="38">
        <f>ELECT.!H9</f>
        <v>27902</v>
      </c>
      <c r="K8" s="38">
        <f>ELECT.!K9</f>
        <v>7052</v>
      </c>
      <c r="L8" s="38">
        <f>ELECT.!M9</f>
        <v>2706</v>
      </c>
      <c r="M8" s="38">
        <f>ELECT.!O9</f>
        <v>4216</v>
      </c>
      <c r="N8" s="38">
        <f>ELECT.!Q9</f>
        <v>1895</v>
      </c>
      <c r="O8" s="38">
        <f>ELECT.!S9</f>
        <v>6567</v>
      </c>
      <c r="P8" s="38">
        <f>ELECT.!W9*2</f>
        <v>8690</v>
      </c>
      <c r="Q8" s="38">
        <f>ELECT.!D9</f>
        <v>0</v>
      </c>
      <c r="R8" s="39">
        <f>BTU!C9</f>
        <v>2.8099999999976717</v>
      </c>
      <c r="S8" s="39">
        <f>BTU!F9</f>
        <v>0.69500000000061846</v>
      </c>
      <c r="T8" s="39">
        <f>BTU!I9</f>
        <v>6</v>
      </c>
      <c r="U8" s="39">
        <f>BTU!O9</f>
        <v>1.1000000000003638</v>
      </c>
      <c r="V8" s="39">
        <f>BTU!L9</f>
        <v>0</v>
      </c>
      <c r="W8" s="39">
        <f>BTU!R9</f>
        <v>0</v>
      </c>
      <c r="X8" s="36">
        <f>ELECT.!B9</f>
        <v>264</v>
      </c>
      <c r="Y8" s="36">
        <f t="shared" si="0"/>
        <v>4304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66</v>
      </c>
      <c r="AC8">
        <f>'Mall, Citadel, Rotana'!Q9+'Mall, Citadel, Rotana'!S9</f>
        <v>0</v>
      </c>
      <c r="AD8" s="36">
        <f t="shared" si="1"/>
        <v>79.123494000000008</v>
      </c>
      <c r="AE8" s="36">
        <f t="shared" si="2"/>
        <v>521.20650599999999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890</v>
      </c>
      <c r="F9" s="38">
        <f>Water!E10</f>
        <v>470</v>
      </c>
      <c r="G9" s="38">
        <f>Water!G10</f>
        <v>332.1</v>
      </c>
      <c r="H9" s="38">
        <f>Water!I10</f>
        <v>6.0750000000000002</v>
      </c>
      <c r="I9" s="38">
        <f>ELECT.!F10</f>
        <v>12461</v>
      </c>
      <c r="J9" s="38">
        <f>ELECT.!H10</f>
        <v>44188</v>
      </c>
      <c r="K9" s="38">
        <f>ELECT.!K10</f>
        <v>11164</v>
      </c>
      <c r="L9" s="38">
        <f>ELECT.!M10</f>
        <v>5818</v>
      </c>
      <c r="M9" s="38">
        <f>ELECT.!O10</f>
        <v>6484</v>
      </c>
      <c r="N9" s="38">
        <f>ELECT.!Q10</f>
        <v>3080</v>
      </c>
      <c r="O9" s="38">
        <f>ELECT.!S10</f>
        <v>11182</v>
      </c>
      <c r="P9" s="38">
        <f>ELECT.!W10*2</f>
        <v>29066</v>
      </c>
      <c r="Q9" s="38">
        <f>ELECT.!D10</f>
        <v>320</v>
      </c>
      <c r="R9" s="39">
        <f>BTU!C10</f>
        <v>1.6290000000008149</v>
      </c>
      <c r="S9" s="39">
        <f>BTU!F10</f>
        <v>0.3499999999994543</v>
      </c>
      <c r="T9" s="39">
        <f>BTU!I10</f>
        <v>3</v>
      </c>
      <c r="U9" s="39">
        <f>BTU!O10</f>
        <v>0.59699999999975262</v>
      </c>
      <c r="V9" s="39">
        <f>BTU!L10</f>
        <v>0</v>
      </c>
      <c r="W9" s="39">
        <f>BTU!R10</f>
        <v>0</v>
      </c>
      <c r="X9" s="36">
        <f>ELECT.!B10</f>
        <v>242</v>
      </c>
      <c r="Y9" s="36">
        <f t="shared" si="0"/>
        <v>-10145</v>
      </c>
      <c r="Z9">
        <f>'Mall, Citadel, Rotana'!C10+'Mall, Citadel, Rotana'!E10+'Mall, Citadel, Rotana'!G10+'Mall, Citadel, Rotana'!I10</f>
        <v>2294</v>
      </c>
      <c r="AA9">
        <f>'Mall, Citadel, Rotana'!K10+'Mall, Citadel, Rotana'!M10</f>
        <v>320</v>
      </c>
      <c r="AB9">
        <f>'Mall, Citadel, Rotana'!O10</f>
        <v>257</v>
      </c>
      <c r="AC9">
        <f>'Mall, Citadel, Rotana'!Q10+'Mall, Citadel, Rotana'!S10</f>
        <v>0</v>
      </c>
      <c r="AD9" s="36">
        <f t="shared" si="1"/>
        <v>90.932114999999996</v>
      </c>
      <c r="AE9" s="36">
        <f t="shared" si="2"/>
        <v>598.992885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860</v>
      </c>
      <c r="F10" s="38">
        <f>Water!E11</f>
        <v>480</v>
      </c>
      <c r="G10" s="38">
        <f>Water!G11</f>
        <v>245.7</v>
      </c>
      <c r="H10" s="38">
        <f>Water!I11</f>
        <v>6.5880000000000001</v>
      </c>
      <c r="I10" s="38">
        <f>ELECT.!F11</f>
        <v>9328</v>
      </c>
      <c r="J10" s="38">
        <f>ELECT.!H11</f>
        <v>31822</v>
      </c>
      <c r="K10" s="38">
        <f>ELECT.!K11</f>
        <v>7854</v>
      </c>
      <c r="L10" s="38">
        <f>ELECT.!M11</f>
        <v>4757</v>
      </c>
      <c r="M10" s="38">
        <f>ELECT.!O11</f>
        <v>4436</v>
      </c>
      <c r="N10" s="38">
        <f>ELECT.!Q11</f>
        <v>2077</v>
      </c>
      <c r="O10" s="38">
        <f>ELECT.!S11</f>
        <v>8385</v>
      </c>
      <c r="P10" s="38">
        <f>ELECT.!W11*2</f>
        <v>16496</v>
      </c>
      <c r="Q10" s="38">
        <f>ELECT.!D11</f>
        <v>480</v>
      </c>
      <c r="R10" s="39">
        <f>BTU!C11</f>
        <v>2.8159999999988941</v>
      </c>
      <c r="S10" s="39">
        <f>BTU!F11</f>
        <v>0.72000000000025466</v>
      </c>
      <c r="T10" s="39">
        <f>BTU!I11</f>
        <v>4</v>
      </c>
      <c r="U10" s="39">
        <f>BTU!O11</f>
        <v>1.0460000000002765</v>
      </c>
      <c r="V10" s="39">
        <f>BTU!L11</f>
        <v>0</v>
      </c>
      <c r="W10" s="39">
        <f>BTU!R11</f>
        <v>1.0000000000218279E-2</v>
      </c>
      <c r="X10" s="36">
        <f>ELECT.!B11</f>
        <v>157</v>
      </c>
      <c r="Y10" s="36">
        <f t="shared" si="0"/>
        <v>-2855</v>
      </c>
      <c r="Z10">
        <f>'Mall, Citadel, Rotana'!C11+'Mall, Citadel, Rotana'!E11+'Mall, Citadel, Rotana'!G11+'Mall, Citadel, Rotana'!I11</f>
        <v>2731</v>
      </c>
      <c r="AA10">
        <f>'Mall, Citadel, Rotana'!K11+'Mall, Citadel, Rotana'!M11</f>
        <v>640</v>
      </c>
      <c r="AB10">
        <f>'Mall, Citadel, Rotana'!O11</f>
        <v>237</v>
      </c>
      <c r="AC10">
        <f>'Mall, Citadel, Rotana'!Q11+'Mall, Citadel, Rotana'!S11</f>
        <v>0</v>
      </c>
      <c r="AD10" s="36">
        <f t="shared" si="1"/>
        <v>86.910501600000003</v>
      </c>
      <c r="AE10" s="36">
        <f t="shared" si="2"/>
        <v>572.50149840000006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870</v>
      </c>
      <c r="F11" s="38">
        <f>Water!E12</f>
        <v>480</v>
      </c>
      <c r="G11" s="38">
        <f>Water!G12</f>
        <v>297</v>
      </c>
      <c r="H11" s="38">
        <f>Water!I12</f>
        <v>5.3460000000000001</v>
      </c>
      <c r="I11" s="38">
        <f>ELECT.!F12</f>
        <v>9694</v>
      </c>
      <c r="J11" s="38">
        <f>ELECT.!H12</f>
        <v>33873</v>
      </c>
      <c r="K11" s="38">
        <f>ELECT.!K12</f>
        <v>8272</v>
      </c>
      <c r="L11" s="38">
        <f>ELECT.!M12</f>
        <v>4834</v>
      </c>
      <c r="M11" s="38">
        <f>ELECT.!O12</f>
        <v>4726</v>
      </c>
      <c r="N11" s="38">
        <f>ELECT.!Q12</f>
        <v>2225</v>
      </c>
      <c r="O11" s="38">
        <f>ELECT.!S12</f>
        <v>9098</v>
      </c>
      <c r="P11" s="38">
        <f>ELECT.!W12*2</f>
        <v>17448</v>
      </c>
      <c r="Q11" s="38">
        <f>ELECT.!D12</f>
        <v>320</v>
      </c>
      <c r="R11" s="39">
        <f>BTU!C12</f>
        <v>2.0700000000033469</v>
      </c>
      <c r="S11" s="39">
        <f>BTU!F12</f>
        <v>0.45200000000022555</v>
      </c>
      <c r="T11" s="39">
        <f>BTU!I12</f>
        <v>5</v>
      </c>
      <c r="U11" s="39">
        <f>BTU!O12</f>
        <v>0.95799999999962893</v>
      </c>
      <c r="V11" s="39">
        <f>BTU!L12</f>
        <v>0</v>
      </c>
      <c r="W11" s="39">
        <f>BTU!R12</f>
        <v>0</v>
      </c>
      <c r="X11" s="36">
        <f>ELECT.!B12</f>
        <v>157</v>
      </c>
      <c r="Y11" s="36">
        <f t="shared" si="0"/>
        <v>-3036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88.392197199999998</v>
      </c>
      <c r="AE11" s="36">
        <f t="shared" si="2"/>
        <v>582.26180279999994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870</v>
      </c>
      <c r="F12" s="38">
        <f>Water!E13</f>
        <v>480</v>
      </c>
      <c r="G12" s="38">
        <f>Water!G13</f>
        <v>297</v>
      </c>
      <c r="H12" s="38">
        <f>Water!I13</f>
        <v>5.3460000000000001</v>
      </c>
      <c r="I12" s="38">
        <f>ELECT.!F13</f>
        <v>12940</v>
      </c>
      <c r="J12" s="38">
        <f>ELECT.!H13</f>
        <v>47413</v>
      </c>
      <c r="K12" s="38">
        <f>ELECT.!K13</f>
        <v>8686</v>
      </c>
      <c r="L12" s="38">
        <f>ELECT.!M13</f>
        <v>6263</v>
      </c>
      <c r="M12" s="38">
        <f>ELECT.!O13</f>
        <v>6510</v>
      </c>
      <c r="N12" s="38">
        <f>ELECT.!Q13</f>
        <v>3188</v>
      </c>
      <c r="O12" s="38">
        <f>ELECT.!S13</f>
        <v>12873</v>
      </c>
      <c r="P12" s="38">
        <f>ELECT.!W13*2</f>
        <v>24846</v>
      </c>
      <c r="Q12" s="38">
        <f>ELECT.!D13</f>
        <v>320</v>
      </c>
      <c r="R12" s="39">
        <f>BTU!C13</f>
        <v>2.1979999999966822</v>
      </c>
      <c r="S12" s="39">
        <f>BTU!F13</f>
        <v>0.33599999999933061</v>
      </c>
      <c r="T12" s="39">
        <f>BTU!I13</f>
        <v>4</v>
      </c>
      <c r="U12" s="39">
        <f>BTU!O13</f>
        <v>1.0160000000000764</v>
      </c>
      <c r="V12" s="39">
        <f>BTU!L13</f>
        <v>0</v>
      </c>
      <c r="W12" s="39">
        <f>BTU!R13</f>
        <v>0</v>
      </c>
      <c r="X12" s="36">
        <f>ELECT.!B13</f>
        <v>179</v>
      </c>
      <c r="Y12" s="36">
        <f t="shared" si="0"/>
        <v>-2013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320</v>
      </c>
      <c r="AB12">
        <f>'Mall, Citadel, Rotana'!O13</f>
        <v>91</v>
      </c>
      <c r="AC12">
        <f>'Mall, Citadel, Rotana'!Q13+'Mall, Citadel, Rotana'!S13</f>
        <v>0</v>
      </c>
      <c r="AD12" s="36">
        <f t="shared" si="1"/>
        <v>88.392197199999998</v>
      </c>
      <c r="AE12" s="36">
        <f t="shared" si="2"/>
        <v>582.26180279999994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660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9207</v>
      </c>
      <c r="J13" s="38">
        <f>ELECT.!H14</f>
        <v>29749</v>
      </c>
      <c r="K13" s="38">
        <f>ELECT.!K14</f>
        <v>8490</v>
      </c>
      <c r="L13" s="38">
        <f>ELECT.!M14</f>
        <v>4256</v>
      </c>
      <c r="M13" s="38">
        <f>ELECT.!O14</f>
        <v>4832</v>
      </c>
      <c r="N13" s="38">
        <f>ELECT.!Q14</f>
        <v>2052</v>
      </c>
      <c r="O13" s="38">
        <f>ELECT.!S14</f>
        <v>8195</v>
      </c>
      <c r="P13" s="38">
        <f>ELECT.!W14*2</f>
        <v>15330</v>
      </c>
      <c r="Q13" s="38">
        <f>ELECT.!D14</f>
        <v>320</v>
      </c>
      <c r="R13" s="39">
        <f>BTU!C14</f>
        <v>2.2040000000015425</v>
      </c>
      <c r="S13" s="39">
        <f>BTU!F14</f>
        <v>0.36599999999998545</v>
      </c>
      <c r="T13" s="39">
        <f>BTU!I14</f>
        <v>5</v>
      </c>
      <c r="U13" s="39">
        <f>BTU!O14</f>
        <v>1.0640000000003056</v>
      </c>
      <c r="V13" s="39">
        <f>BTU!L14</f>
        <v>0</v>
      </c>
      <c r="W13" s="39">
        <f>BTU!R14</f>
        <v>0</v>
      </c>
      <c r="X13" s="36">
        <f>ELECT.!B14</f>
        <v>157</v>
      </c>
      <c r="Y13" s="36">
        <f t="shared" si="0"/>
        <v>-4199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320</v>
      </c>
      <c r="AB13">
        <f>'Mall, Citadel, Rotana'!O14</f>
        <v>82</v>
      </c>
      <c r="AC13">
        <f>'Mall, Citadel, Rotana'!Q14+'Mall, Citadel, Rotana'!S14</f>
        <v>0</v>
      </c>
      <c r="AD13" s="36">
        <f t="shared" si="1"/>
        <v>61.418799999999997</v>
      </c>
      <c r="AE13" s="36">
        <f t="shared" si="2"/>
        <v>404.58119999999997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900</v>
      </c>
      <c r="F14" s="38">
        <f>Water!E15</f>
        <v>790</v>
      </c>
      <c r="G14" s="38">
        <f>Water!G15</f>
        <v>494.1</v>
      </c>
      <c r="H14" s="38">
        <f>Water!I15</f>
        <v>10.179</v>
      </c>
      <c r="I14" s="38">
        <f>ELECT.!F15</f>
        <v>9039</v>
      </c>
      <c r="J14" s="38">
        <f>ELECT.!H15</f>
        <v>46296</v>
      </c>
      <c r="K14" s="38">
        <f>ELECT.!K15</f>
        <v>10476</v>
      </c>
      <c r="L14" s="38">
        <f>ELECT.!M15</f>
        <v>5643</v>
      </c>
      <c r="M14" s="38">
        <f>ELECT.!O15</f>
        <v>3264</v>
      </c>
      <c r="N14" s="38">
        <f>ELECT.!Q15</f>
        <v>5170</v>
      </c>
      <c r="O14" s="38">
        <f>ELECT.!S15</f>
        <v>11453</v>
      </c>
      <c r="P14" s="38">
        <f>ELECT.!W15*2</f>
        <v>23212</v>
      </c>
      <c r="Q14" s="38">
        <f>ELECT.!D15</f>
        <v>480</v>
      </c>
      <c r="R14" s="39">
        <f>BTU!C15</f>
        <v>2.9799999999995634</v>
      </c>
      <c r="S14" s="39">
        <f>BTU!F15</f>
        <v>0.73400000000037835</v>
      </c>
      <c r="T14" s="39">
        <f>BTU!I15</f>
        <v>6</v>
      </c>
      <c r="U14" s="39">
        <f>BTU!O15</f>
        <v>1.5179999999995744</v>
      </c>
      <c r="V14" s="39">
        <f>BTU!L15</f>
        <v>0</v>
      </c>
      <c r="W14" s="39">
        <f>BTU!R15</f>
        <v>0</v>
      </c>
      <c r="X14" s="36">
        <f>ELECT.!B15</f>
        <v>216</v>
      </c>
      <c r="Y14" s="36">
        <f t="shared" si="0"/>
        <v>-3883</v>
      </c>
      <c r="Z14">
        <f>'Mall, Citadel, Rotana'!C15+'Mall, Citadel, Rotana'!E15+'Mall, Citadel, Rotana'!G15+'Mall, Citadel, Rotana'!I15</f>
        <v>1216</v>
      </c>
      <c r="AA14">
        <f>'Mall, Citadel, Rotana'!K15+'Mall, Citadel, Rotana'!M15</f>
        <v>480</v>
      </c>
      <c r="AB14">
        <f>'Mall, Citadel, Rotana'!O15</f>
        <v>108</v>
      </c>
      <c r="AC14">
        <f>'Mall, Citadel, Rotana'!Q15+'Mall, Citadel, Rotana'!S15</f>
        <v>0</v>
      </c>
      <c r="AD14" s="36">
        <f t="shared" si="1"/>
        <v>91.709207800000001</v>
      </c>
      <c r="AE14" s="36">
        <f t="shared" si="2"/>
        <v>604.11179220000008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830</v>
      </c>
      <c r="F15" s="38">
        <f>Water!E16</f>
        <v>440</v>
      </c>
      <c r="G15" s="38">
        <f>Water!G16</f>
        <v>278.10000000000002</v>
      </c>
      <c r="H15" s="38">
        <f>Water!I16</f>
        <v>6.2640000000000002</v>
      </c>
      <c r="I15" s="38">
        <f>ELECT.!F16</f>
        <v>12286</v>
      </c>
      <c r="J15" s="38">
        <f>ELECT.!H16</f>
        <v>33896</v>
      </c>
      <c r="K15" s="38">
        <f>ELECT.!K16</f>
        <v>31340</v>
      </c>
      <c r="L15" s="38">
        <f>ELECT.!M16</f>
        <v>5958</v>
      </c>
      <c r="M15" s="38">
        <f>ELECT.!O16</f>
        <v>6076</v>
      </c>
      <c r="N15" s="38">
        <f>ELECT.!Q16</f>
        <v>4006</v>
      </c>
      <c r="O15" s="38">
        <f>ELECT.!S16</f>
        <v>8432</v>
      </c>
      <c r="P15" s="38">
        <f>ELECT.!W16*2</f>
        <v>16786</v>
      </c>
      <c r="Q15" s="38">
        <f>ELECT.!D16</f>
        <v>480</v>
      </c>
      <c r="R15" s="39">
        <f>BTU!C16</f>
        <v>1.647000000000844</v>
      </c>
      <c r="S15" s="39">
        <f>BTU!F16</f>
        <v>0.54799999999977445</v>
      </c>
      <c r="T15" s="39">
        <f>BTU!I16</f>
        <v>4</v>
      </c>
      <c r="U15" s="39">
        <f>BTU!O16</f>
        <v>0.71100000000024011</v>
      </c>
      <c r="V15" s="39">
        <f>BTU!L16</f>
        <v>0</v>
      </c>
      <c r="W15" s="39">
        <f>BTU!R16</f>
        <v>0</v>
      </c>
      <c r="X15" s="36">
        <f>ELECT.!B16</f>
        <v>240</v>
      </c>
      <c r="Y15" s="36">
        <f t="shared" si="0"/>
        <v>-26416</v>
      </c>
      <c r="Z15">
        <f>'Mall, Citadel, Rotana'!C16+'Mall, Citadel, Rotana'!E16+'Mall, Citadel, Rotana'!G16+'Mall, Citadel, Rotana'!I16</f>
        <v>1373</v>
      </c>
      <c r="AA15">
        <f>'Mall, Citadel, Rotana'!K16+'Mall, Citadel, Rotana'!M16</f>
        <v>640</v>
      </c>
      <c r="AB15">
        <f>'Mall, Citadel, Rotana'!O16</f>
        <v>114</v>
      </c>
      <c r="AC15">
        <f>'Mall, Citadel, Rotana'!Q16+'Mall, Citadel, Rotana'!S16</f>
        <v>0</v>
      </c>
      <c r="AD15" s="36">
        <f t="shared" si="1"/>
        <v>82.999204800000001</v>
      </c>
      <c r="AE15" s="36">
        <f t="shared" si="2"/>
        <v>546.73679519999996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T17" sqref="T17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69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3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v>46575</v>
      </c>
      <c r="C4" s="15">
        <f t="shared" ref="C4:C30" si="1">(B4-B3)*800/5</f>
        <v>800</v>
      </c>
      <c r="D4" s="33">
        <v>40262</v>
      </c>
      <c r="E4" s="15">
        <f t="shared" ref="E4:E30" si="2">(D4-D3)*800/5</f>
        <v>480</v>
      </c>
      <c r="F4" s="33">
        <v>21281</v>
      </c>
      <c r="G4" s="15">
        <f t="shared" ref="G4:G30" si="3">(F4-F3)*100/5</f>
        <v>60</v>
      </c>
      <c r="H4" s="33">
        <v>253601</v>
      </c>
      <c r="I4" s="15">
        <f t="shared" ref="I4:I30" si="4">(H4-H3)</f>
        <v>15</v>
      </c>
      <c r="J4" s="33">
        <v>303517</v>
      </c>
      <c r="K4" s="15">
        <v>0</v>
      </c>
      <c r="L4" s="33">
        <v>25820</v>
      </c>
      <c r="M4" s="15">
        <f t="shared" ref="M4:M30" si="5">(L4-L3)*800/5</f>
        <v>480</v>
      </c>
      <c r="N4" s="33">
        <v>222385</v>
      </c>
      <c r="O4" s="15">
        <f t="shared" ref="O4:O30" si="6">N4-N3</f>
        <v>121</v>
      </c>
      <c r="P4" s="33">
        <v>139625</v>
      </c>
      <c r="Q4" s="15">
        <f t="shared" ref="Q4:Q30" si="7">P4-P3</f>
        <v>0</v>
      </c>
      <c r="R4" s="1">
        <f t="shared" si="0"/>
        <v>55047</v>
      </c>
      <c r="S4" s="15">
        <f t="shared" ref="S4:S30" si="8">R4-R3</f>
        <v>0</v>
      </c>
      <c r="T4" s="33">
        <v>3920</v>
      </c>
      <c r="U4" s="15">
        <f t="shared" ref="U4:U30" si="9">(T4-T3)*800/5</f>
        <v>160</v>
      </c>
    </row>
    <row r="5" spans="1:24" ht="13.5" thickBot="1" x14ac:dyDescent="0.25">
      <c r="A5" s="9">
        <v>44595</v>
      </c>
      <c r="B5" s="33">
        <v>46580</v>
      </c>
      <c r="C5" s="15">
        <f t="shared" si="1"/>
        <v>800</v>
      </c>
      <c r="D5" s="33">
        <v>40265</v>
      </c>
      <c r="E5" s="15">
        <f t="shared" si="2"/>
        <v>480</v>
      </c>
      <c r="F5" s="33">
        <v>21285</v>
      </c>
      <c r="G5" s="15">
        <f t="shared" si="3"/>
        <v>80</v>
      </c>
      <c r="H5" s="33">
        <v>253616</v>
      </c>
      <c r="I5" s="15">
        <f t="shared" si="4"/>
        <v>15</v>
      </c>
      <c r="J5" s="33">
        <v>303517</v>
      </c>
      <c r="K5" s="15">
        <v>0</v>
      </c>
      <c r="L5" s="33">
        <v>25822</v>
      </c>
      <c r="M5" s="15">
        <f t="shared" si="5"/>
        <v>320</v>
      </c>
      <c r="N5" s="33">
        <v>222508</v>
      </c>
      <c r="O5" s="15">
        <f t="shared" si="6"/>
        <v>123</v>
      </c>
      <c r="P5" s="33">
        <f t="shared" ref="P5:P30" si="10">P4</f>
        <v>139625</v>
      </c>
      <c r="Q5" s="15">
        <f t="shared" si="7"/>
        <v>0</v>
      </c>
      <c r="R5" s="1">
        <f t="shared" si="0"/>
        <v>55047</v>
      </c>
      <c r="S5" s="15">
        <f t="shared" si="8"/>
        <v>0</v>
      </c>
      <c r="T5" s="33">
        <v>3921</v>
      </c>
      <c r="U5" s="15">
        <f t="shared" si="9"/>
        <v>160</v>
      </c>
    </row>
    <row r="6" spans="1:24" ht="13.5" thickBot="1" x14ac:dyDescent="0.25">
      <c r="A6" s="9">
        <v>44596</v>
      </c>
      <c r="B6" s="33">
        <v>46584</v>
      </c>
      <c r="C6" s="15">
        <f t="shared" si="1"/>
        <v>640</v>
      </c>
      <c r="D6" s="33">
        <v>40268</v>
      </c>
      <c r="E6" s="15">
        <f t="shared" si="2"/>
        <v>480</v>
      </c>
      <c r="F6" s="33">
        <v>21289</v>
      </c>
      <c r="G6" s="15">
        <f t="shared" si="3"/>
        <v>80</v>
      </c>
      <c r="H6" s="33">
        <v>253630</v>
      </c>
      <c r="I6" s="15">
        <f t="shared" si="4"/>
        <v>14</v>
      </c>
      <c r="J6" s="33">
        <v>303517</v>
      </c>
      <c r="K6" s="15">
        <v>0</v>
      </c>
      <c r="L6" s="33">
        <v>25826</v>
      </c>
      <c r="M6" s="15">
        <f t="shared" si="5"/>
        <v>640</v>
      </c>
      <c r="N6" s="33">
        <v>222574</v>
      </c>
      <c r="O6" s="15">
        <f t="shared" si="6"/>
        <v>66</v>
      </c>
      <c r="P6" s="33">
        <f t="shared" si="10"/>
        <v>139625</v>
      </c>
      <c r="Q6" s="15">
        <f t="shared" si="7"/>
        <v>0</v>
      </c>
      <c r="R6" s="1">
        <f t="shared" si="0"/>
        <v>55047</v>
      </c>
      <c r="S6" s="15">
        <v>0</v>
      </c>
      <c r="T6" s="33">
        <v>3922</v>
      </c>
      <c r="U6" s="15">
        <f t="shared" si="9"/>
        <v>160</v>
      </c>
    </row>
    <row r="7" spans="1:24" ht="13.5" thickBot="1" x14ac:dyDescent="0.25">
      <c r="A7" s="9">
        <v>44597</v>
      </c>
      <c r="B7" s="33">
        <v>46588</v>
      </c>
      <c r="C7" s="15">
        <f t="shared" si="1"/>
        <v>640</v>
      </c>
      <c r="D7" s="33">
        <v>40271</v>
      </c>
      <c r="E7" s="15">
        <f t="shared" si="2"/>
        <v>480</v>
      </c>
      <c r="F7" s="33">
        <v>21293</v>
      </c>
      <c r="G7" s="15">
        <f t="shared" si="3"/>
        <v>80</v>
      </c>
      <c r="H7" s="33">
        <v>253643</v>
      </c>
      <c r="I7" s="15">
        <f t="shared" si="4"/>
        <v>13</v>
      </c>
      <c r="J7" s="33">
        <v>303517</v>
      </c>
      <c r="K7" s="15">
        <v>0</v>
      </c>
      <c r="L7" s="33">
        <v>25830</v>
      </c>
      <c r="M7" s="15">
        <f t="shared" si="5"/>
        <v>640</v>
      </c>
      <c r="N7" s="33">
        <v>222643</v>
      </c>
      <c r="O7" s="15">
        <f t="shared" si="6"/>
        <v>69</v>
      </c>
      <c r="P7" s="33">
        <f t="shared" si="10"/>
        <v>139625</v>
      </c>
      <c r="Q7" s="15">
        <v>0</v>
      </c>
      <c r="R7" s="1">
        <f t="shared" si="0"/>
        <v>55047</v>
      </c>
      <c r="S7" s="15">
        <v>0</v>
      </c>
      <c r="T7" s="33">
        <v>3923</v>
      </c>
      <c r="U7" s="15">
        <f t="shared" si="9"/>
        <v>160</v>
      </c>
    </row>
    <row r="8" spans="1:24" ht="13.5" thickBot="1" x14ac:dyDescent="0.25">
      <c r="A8" s="9">
        <v>44598</v>
      </c>
      <c r="B8" s="33">
        <v>46591</v>
      </c>
      <c r="C8" s="15">
        <f t="shared" si="1"/>
        <v>480</v>
      </c>
      <c r="D8" s="33">
        <v>40274</v>
      </c>
      <c r="E8" s="15">
        <f t="shared" si="2"/>
        <v>480</v>
      </c>
      <c r="F8" s="33">
        <v>21297</v>
      </c>
      <c r="G8" s="15">
        <f t="shared" si="3"/>
        <v>80</v>
      </c>
      <c r="H8" s="33">
        <v>253657</v>
      </c>
      <c r="I8" s="15">
        <f t="shared" si="4"/>
        <v>14</v>
      </c>
      <c r="J8" s="33">
        <v>303517</v>
      </c>
      <c r="K8" s="15">
        <v>0</v>
      </c>
      <c r="L8" s="33">
        <v>25834</v>
      </c>
      <c r="M8" s="15">
        <f t="shared" si="5"/>
        <v>640</v>
      </c>
      <c r="N8" s="33">
        <v>222697</v>
      </c>
      <c r="O8" s="15">
        <f t="shared" si="6"/>
        <v>54</v>
      </c>
      <c r="P8" s="33">
        <f t="shared" si="10"/>
        <v>139625</v>
      </c>
      <c r="Q8" s="15">
        <f t="shared" si="7"/>
        <v>0</v>
      </c>
      <c r="R8" s="1">
        <f t="shared" si="0"/>
        <v>55047</v>
      </c>
      <c r="S8" s="15">
        <f>R8-R7</f>
        <v>0</v>
      </c>
      <c r="T8" s="33">
        <v>3924</v>
      </c>
      <c r="U8" s="15">
        <f t="shared" si="9"/>
        <v>160</v>
      </c>
    </row>
    <row r="9" spans="1:24" ht="13.5" thickBot="1" x14ac:dyDescent="0.25">
      <c r="A9" s="9">
        <v>44599</v>
      </c>
      <c r="B9" s="33">
        <v>46594</v>
      </c>
      <c r="C9" s="15">
        <f t="shared" si="1"/>
        <v>480</v>
      </c>
      <c r="D9" s="33">
        <v>40277</v>
      </c>
      <c r="E9" s="15">
        <f t="shared" si="2"/>
        <v>480</v>
      </c>
      <c r="F9" s="33">
        <v>21301</v>
      </c>
      <c r="G9" s="15">
        <f t="shared" si="3"/>
        <v>80</v>
      </c>
      <c r="H9" s="33">
        <v>253671</v>
      </c>
      <c r="I9" s="15">
        <f t="shared" si="4"/>
        <v>14</v>
      </c>
      <c r="J9" s="33">
        <v>303517</v>
      </c>
      <c r="K9" s="15">
        <v>0</v>
      </c>
      <c r="L9" s="33">
        <v>25838</v>
      </c>
      <c r="M9" s="15">
        <f t="shared" si="5"/>
        <v>640</v>
      </c>
      <c r="N9" s="33">
        <v>222763</v>
      </c>
      <c r="O9" s="15">
        <f t="shared" si="6"/>
        <v>66</v>
      </c>
      <c r="P9" s="33">
        <f t="shared" si="10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v>3925</v>
      </c>
      <c r="U9" s="15">
        <f t="shared" si="9"/>
        <v>160</v>
      </c>
    </row>
    <row r="10" spans="1:24" ht="13.5" thickBot="1" x14ac:dyDescent="0.25">
      <c r="A10" s="9">
        <v>44600</v>
      </c>
      <c r="B10" s="33">
        <v>46603</v>
      </c>
      <c r="C10" s="15">
        <f t="shared" si="1"/>
        <v>1440</v>
      </c>
      <c r="D10" s="33">
        <v>40282</v>
      </c>
      <c r="E10" s="15">
        <f t="shared" si="2"/>
        <v>800</v>
      </c>
      <c r="F10" s="33">
        <v>21303</v>
      </c>
      <c r="G10" s="15">
        <f t="shared" si="3"/>
        <v>40</v>
      </c>
      <c r="H10" s="33">
        <v>253685</v>
      </c>
      <c r="I10" s="15">
        <f t="shared" si="4"/>
        <v>14</v>
      </c>
      <c r="J10" s="33">
        <v>303517</v>
      </c>
      <c r="K10" s="15">
        <v>0</v>
      </c>
      <c r="L10" s="33">
        <v>25840</v>
      </c>
      <c r="M10" s="15">
        <f t="shared" si="5"/>
        <v>320</v>
      </c>
      <c r="N10" s="33">
        <v>223020</v>
      </c>
      <c r="O10" s="15">
        <f t="shared" si="6"/>
        <v>257</v>
      </c>
      <c r="P10" s="33">
        <f t="shared" si="10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v>3926</v>
      </c>
      <c r="U10" s="15">
        <f t="shared" si="9"/>
        <v>160</v>
      </c>
    </row>
    <row r="11" spans="1:24" ht="13.5" thickBot="1" x14ac:dyDescent="0.25">
      <c r="A11" s="9">
        <v>44601</v>
      </c>
      <c r="B11" s="33">
        <v>46613</v>
      </c>
      <c r="C11" s="15">
        <f t="shared" si="1"/>
        <v>1600</v>
      </c>
      <c r="D11" s="33">
        <v>40288</v>
      </c>
      <c r="E11" s="15">
        <f t="shared" si="2"/>
        <v>960</v>
      </c>
      <c r="F11" s="33">
        <v>21310</v>
      </c>
      <c r="G11" s="15">
        <f t="shared" si="3"/>
        <v>140</v>
      </c>
      <c r="H11" s="33">
        <v>253716</v>
      </c>
      <c r="I11" s="15">
        <f t="shared" si="4"/>
        <v>31</v>
      </c>
      <c r="J11" s="33">
        <v>303517</v>
      </c>
      <c r="K11" s="15">
        <v>0</v>
      </c>
      <c r="L11" s="33">
        <v>25844</v>
      </c>
      <c r="M11" s="15">
        <f t="shared" si="5"/>
        <v>640</v>
      </c>
      <c r="N11" s="33">
        <v>223257</v>
      </c>
      <c r="O11" s="15">
        <f t="shared" si="6"/>
        <v>237</v>
      </c>
      <c r="P11" s="33">
        <f t="shared" si="10"/>
        <v>139625</v>
      </c>
      <c r="Q11" s="15">
        <f t="shared" si="7"/>
        <v>0</v>
      </c>
      <c r="R11" s="1">
        <f t="shared" si="0"/>
        <v>55047</v>
      </c>
      <c r="S11" s="15">
        <f t="shared" si="8"/>
        <v>0</v>
      </c>
      <c r="T11" s="33">
        <v>3928</v>
      </c>
      <c r="U11" s="15">
        <f t="shared" si="9"/>
        <v>320</v>
      </c>
    </row>
    <row r="12" spans="1:24" ht="13.5" thickBot="1" x14ac:dyDescent="0.25">
      <c r="A12" s="9">
        <v>44602</v>
      </c>
      <c r="B12" s="33">
        <f t="shared" ref="B12:B30" si="11">B11</f>
        <v>46613</v>
      </c>
      <c r="C12" s="15">
        <f t="shared" si="1"/>
        <v>0</v>
      </c>
      <c r="D12" s="33">
        <f t="shared" ref="D12:D30" si="12">D11</f>
        <v>40288</v>
      </c>
      <c r="E12" s="15">
        <f t="shared" si="2"/>
        <v>0</v>
      </c>
      <c r="F12" s="33">
        <f t="shared" ref="F12:F30" si="13">F11</f>
        <v>21310</v>
      </c>
      <c r="G12" s="15">
        <f t="shared" si="3"/>
        <v>0</v>
      </c>
      <c r="H12" s="33">
        <f t="shared" ref="H12:H30" si="14">H11</f>
        <v>253716</v>
      </c>
      <c r="I12" s="15">
        <f t="shared" si="4"/>
        <v>0</v>
      </c>
      <c r="J12" s="33">
        <f t="shared" ref="J12:J30" si="15">J11</f>
        <v>303517</v>
      </c>
      <c r="K12" s="15">
        <v>0</v>
      </c>
      <c r="L12" s="33">
        <f t="shared" ref="L12:L30" si="16">L11</f>
        <v>25844</v>
      </c>
      <c r="M12" s="15">
        <f t="shared" si="5"/>
        <v>0</v>
      </c>
      <c r="N12" s="33">
        <f t="shared" ref="N12:N30" si="17">N11</f>
        <v>223257</v>
      </c>
      <c r="O12" s="15">
        <f t="shared" si="6"/>
        <v>0</v>
      </c>
      <c r="P12" s="33">
        <f t="shared" si="10"/>
        <v>139625</v>
      </c>
      <c r="Q12" s="15">
        <f t="shared" si="7"/>
        <v>0</v>
      </c>
      <c r="R12" s="1">
        <f t="shared" si="0"/>
        <v>55047</v>
      </c>
      <c r="S12" s="15">
        <f t="shared" si="8"/>
        <v>0</v>
      </c>
      <c r="T12" s="33">
        <f t="shared" ref="T12:T30" si="18">T11</f>
        <v>3928</v>
      </c>
      <c r="U12" s="15">
        <f t="shared" si="9"/>
        <v>0</v>
      </c>
    </row>
    <row r="13" spans="1:24" ht="13.5" thickBot="1" x14ac:dyDescent="0.25">
      <c r="A13" s="9">
        <v>44603</v>
      </c>
      <c r="B13" s="33">
        <v>46617</v>
      </c>
      <c r="C13" s="15">
        <f t="shared" si="1"/>
        <v>640</v>
      </c>
      <c r="D13" s="33">
        <v>40291</v>
      </c>
      <c r="E13" s="15">
        <f t="shared" si="2"/>
        <v>480</v>
      </c>
      <c r="F13" s="33">
        <v>21314</v>
      </c>
      <c r="G13" s="15">
        <f t="shared" si="3"/>
        <v>80</v>
      </c>
      <c r="H13" s="33">
        <v>253733</v>
      </c>
      <c r="I13" s="15">
        <f t="shared" si="4"/>
        <v>17</v>
      </c>
      <c r="J13" s="33">
        <v>303517</v>
      </c>
      <c r="K13" s="15">
        <v>0</v>
      </c>
      <c r="L13" s="33">
        <v>25846</v>
      </c>
      <c r="M13" s="15">
        <f t="shared" si="5"/>
        <v>320</v>
      </c>
      <c r="N13" s="33">
        <v>223348</v>
      </c>
      <c r="O13" s="15">
        <f t="shared" si="6"/>
        <v>91</v>
      </c>
      <c r="P13" s="33">
        <f t="shared" si="10"/>
        <v>139625</v>
      </c>
      <c r="Q13" s="15">
        <f t="shared" si="7"/>
        <v>0</v>
      </c>
      <c r="R13" s="1">
        <v>55047</v>
      </c>
      <c r="S13" s="15">
        <f t="shared" si="8"/>
        <v>0</v>
      </c>
      <c r="T13" s="33">
        <v>3928</v>
      </c>
      <c r="U13" s="15">
        <f t="shared" si="9"/>
        <v>0</v>
      </c>
    </row>
    <row r="14" spans="1:24" ht="13.5" thickBot="1" x14ac:dyDescent="0.25">
      <c r="A14" s="9">
        <v>44604</v>
      </c>
      <c r="B14" s="33">
        <v>46622</v>
      </c>
      <c r="C14" s="15">
        <f t="shared" si="1"/>
        <v>800</v>
      </c>
      <c r="D14" s="33">
        <v>40294</v>
      </c>
      <c r="E14" s="15">
        <f t="shared" si="2"/>
        <v>480</v>
      </c>
      <c r="F14" s="33">
        <v>21317</v>
      </c>
      <c r="G14" s="15">
        <f t="shared" si="3"/>
        <v>60</v>
      </c>
      <c r="H14" s="33">
        <v>253750</v>
      </c>
      <c r="I14" s="15">
        <f t="shared" si="4"/>
        <v>17</v>
      </c>
      <c r="J14" s="33">
        <v>303517</v>
      </c>
      <c r="K14" s="15">
        <v>0</v>
      </c>
      <c r="L14" s="33">
        <v>25848</v>
      </c>
      <c r="M14" s="15">
        <f t="shared" si="5"/>
        <v>320</v>
      </c>
      <c r="N14" s="33">
        <v>223430</v>
      </c>
      <c r="O14" s="15">
        <f t="shared" si="6"/>
        <v>82</v>
      </c>
      <c r="P14" s="33">
        <f t="shared" si="10"/>
        <v>139625</v>
      </c>
      <c r="Q14" s="15">
        <f t="shared" si="7"/>
        <v>0</v>
      </c>
      <c r="R14" s="1">
        <f t="shared" si="0"/>
        <v>55047</v>
      </c>
      <c r="S14" s="15">
        <v>0</v>
      </c>
      <c r="T14" s="33">
        <v>3929</v>
      </c>
      <c r="U14" s="15">
        <f t="shared" si="9"/>
        <v>160</v>
      </c>
    </row>
    <row r="15" spans="1:24" ht="13.5" thickBot="1" x14ac:dyDescent="0.25">
      <c r="A15" s="9">
        <v>44605</v>
      </c>
      <c r="B15" s="33">
        <v>46626</v>
      </c>
      <c r="C15" s="15">
        <f t="shared" si="1"/>
        <v>640</v>
      </c>
      <c r="D15" s="33">
        <v>40297</v>
      </c>
      <c r="E15" s="15">
        <f t="shared" si="2"/>
        <v>480</v>
      </c>
      <c r="F15" s="33">
        <v>21321</v>
      </c>
      <c r="G15" s="15">
        <f t="shared" ref="G15" si="19">(F15-F14)*100/5</f>
        <v>80</v>
      </c>
      <c r="H15" s="33">
        <v>253766</v>
      </c>
      <c r="I15" s="15">
        <f t="shared" ref="I15" si="20">(H15-H14)</f>
        <v>16</v>
      </c>
      <c r="J15" s="33">
        <v>303517</v>
      </c>
      <c r="K15" s="15">
        <v>0</v>
      </c>
      <c r="L15" s="33">
        <v>25851</v>
      </c>
      <c r="M15" s="15">
        <f t="shared" ref="M15" si="21">(L15-L14)*800/5</f>
        <v>480</v>
      </c>
      <c r="N15" s="33">
        <v>223538</v>
      </c>
      <c r="O15" s="15">
        <f t="shared" ref="O15" si="22">N15-N14</f>
        <v>108</v>
      </c>
      <c r="P15" s="33">
        <f t="shared" si="10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v>3930</v>
      </c>
      <c r="U15" s="15">
        <f t="shared" ref="U15" si="24">(T15-T14)*800/5</f>
        <v>160</v>
      </c>
      <c r="X15" t="s">
        <v>12</v>
      </c>
    </row>
    <row r="16" spans="1:24" ht="13.5" thickBot="1" x14ac:dyDescent="0.25">
      <c r="A16" s="9">
        <v>44606</v>
      </c>
      <c r="B16" s="33">
        <v>46631</v>
      </c>
      <c r="C16" s="15">
        <f t="shared" si="1"/>
        <v>800</v>
      </c>
      <c r="D16" s="33">
        <v>40300</v>
      </c>
      <c r="E16" s="15">
        <f t="shared" si="2"/>
        <v>480</v>
      </c>
      <c r="F16" s="33">
        <v>21325</v>
      </c>
      <c r="G16" s="15">
        <f t="shared" si="3"/>
        <v>80</v>
      </c>
      <c r="H16" s="33">
        <v>253779</v>
      </c>
      <c r="I16" s="15">
        <f t="shared" si="4"/>
        <v>13</v>
      </c>
      <c r="J16" s="33">
        <v>303517</v>
      </c>
      <c r="K16" s="15">
        <v>0</v>
      </c>
      <c r="L16" s="33">
        <v>25855</v>
      </c>
      <c r="M16" s="15">
        <f t="shared" si="5"/>
        <v>640</v>
      </c>
      <c r="N16" s="33">
        <v>223652</v>
      </c>
      <c r="O16" s="15">
        <f t="shared" si="6"/>
        <v>114</v>
      </c>
      <c r="P16" s="33">
        <f t="shared" si="10"/>
        <v>139625</v>
      </c>
      <c r="Q16" s="15">
        <f t="shared" si="7"/>
        <v>0</v>
      </c>
      <c r="R16" s="1">
        <f t="shared" si="0"/>
        <v>55047</v>
      </c>
      <c r="S16" s="15">
        <f t="shared" si="8"/>
        <v>0</v>
      </c>
      <c r="T16" s="33">
        <v>3931</v>
      </c>
      <c r="U16" s="15">
        <f t="shared" si="9"/>
        <v>160</v>
      </c>
      <c r="W16" t="s">
        <v>12</v>
      </c>
    </row>
    <row r="17" spans="1:23" ht="13.5" thickBot="1" x14ac:dyDescent="0.25">
      <c r="A17" s="9">
        <v>44607</v>
      </c>
      <c r="B17" s="33">
        <f t="shared" si="11"/>
        <v>46631</v>
      </c>
      <c r="C17" s="15">
        <f t="shared" si="1"/>
        <v>0</v>
      </c>
      <c r="D17" s="33">
        <f t="shared" si="12"/>
        <v>40300</v>
      </c>
      <c r="E17" s="15">
        <f t="shared" si="2"/>
        <v>0</v>
      </c>
      <c r="F17" s="33">
        <f t="shared" si="13"/>
        <v>21325</v>
      </c>
      <c r="G17" s="15">
        <f t="shared" si="3"/>
        <v>0</v>
      </c>
      <c r="H17" s="33">
        <f t="shared" si="14"/>
        <v>253779</v>
      </c>
      <c r="I17" s="15">
        <f t="shared" si="4"/>
        <v>0</v>
      </c>
      <c r="J17" s="33">
        <v>303517</v>
      </c>
      <c r="K17" s="15">
        <v>0</v>
      </c>
      <c r="L17" s="33">
        <f t="shared" si="16"/>
        <v>25855</v>
      </c>
      <c r="M17" s="15">
        <f t="shared" si="5"/>
        <v>0</v>
      </c>
      <c r="N17" s="33">
        <f t="shared" si="17"/>
        <v>223652</v>
      </c>
      <c r="O17" s="15">
        <f t="shared" si="6"/>
        <v>0</v>
      </c>
      <c r="P17" s="33">
        <f t="shared" si="10"/>
        <v>139625</v>
      </c>
      <c r="Q17" s="15">
        <f t="shared" si="7"/>
        <v>0</v>
      </c>
      <c r="R17" s="1">
        <f t="shared" si="0"/>
        <v>55047</v>
      </c>
      <c r="S17" s="15">
        <f>S16</f>
        <v>0</v>
      </c>
      <c r="T17" s="33">
        <f t="shared" si="18"/>
        <v>3931</v>
      </c>
      <c r="U17" s="15">
        <f t="shared" si="9"/>
        <v>0</v>
      </c>
    </row>
    <row r="18" spans="1:23" ht="13.5" thickBot="1" x14ac:dyDescent="0.25">
      <c r="A18" s="9">
        <v>44608</v>
      </c>
      <c r="B18" s="33">
        <f t="shared" si="11"/>
        <v>46631</v>
      </c>
      <c r="C18" s="15">
        <f t="shared" si="1"/>
        <v>0</v>
      </c>
      <c r="D18" s="33">
        <f t="shared" si="12"/>
        <v>40300</v>
      </c>
      <c r="E18" s="15">
        <f t="shared" si="2"/>
        <v>0</v>
      </c>
      <c r="F18" s="33">
        <f t="shared" si="13"/>
        <v>21325</v>
      </c>
      <c r="G18" s="15">
        <f t="shared" si="3"/>
        <v>0</v>
      </c>
      <c r="H18" s="33">
        <f t="shared" si="14"/>
        <v>253779</v>
      </c>
      <c r="I18" s="15">
        <f t="shared" si="4"/>
        <v>0</v>
      </c>
      <c r="J18" s="33">
        <f t="shared" si="15"/>
        <v>303517</v>
      </c>
      <c r="K18" s="15">
        <v>0</v>
      </c>
      <c r="L18" s="33">
        <f t="shared" si="16"/>
        <v>25855</v>
      </c>
      <c r="M18" s="15">
        <f t="shared" si="5"/>
        <v>0</v>
      </c>
      <c r="N18" s="33">
        <f t="shared" si="17"/>
        <v>223652</v>
      </c>
      <c r="O18" s="15">
        <f t="shared" si="6"/>
        <v>0</v>
      </c>
      <c r="P18" s="33">
        <f t="shared" si="10"/>
        <v>139625</v>
      </c>
      <c r="Q18" s="15">
        <f t="shared" si="7"/>
        <v>0</v>
      </c>
      <c r="R18" s="1">
        <f t="shared" si="0"/>
        <v>55047</v>
      </c>
      <c r="S18" s="15">
        <f t="shared" si="8"/>
        <v>0</v>
      </c>
      <c r="T18" s="33">
        <f t="shared" si="18"/>
        <v>3931</v>
      </c>
      <c r="U18" s="15">
        <f t="shared" si="9"/>
        <v>0</v>
      </c>
    </row>
    <row r="19" spans="1:23" ht="13.5" thickBot="1" x14ac:dyDescent="0.25">
      <c r="A19" s="9">
        <v>44609</v>
      </c>
      <c r="B19" s="33">
        <f t="shared" si="11"/>
        <v>46631</v>
      </c>
      <c r="C19" s="15">
        <f t="shared" si="1"/>
        <v>0</v>
      </c>
      <c r="D19" s="33">
        <f t="shared" si="12"/>
        <v>40300</v>
      </c>
      <c r="E19" s="15">
        <f t="shared" si="2"/>
        <v>0</v>
      </c>
      <c r="F19" s="33">
        <f t="shared" si="13"/>
        <v>21325</v>
      </c>
      <c r="G19" s="15">
        <f t="shared" si="3"/>
        <v>0</v>
      </c>
      <c r="H19" s="33">
        <f t="shared" si="14"/>
        <v>253779</v>
      </c>
      <c r="I19" s="15">
        <f t="shared" si="4"/>
        <v>0</v>
      </c>
      <c r="J19" s="33">
        <v>303517</v>
      </c>
      <c r="K19" s="15">
        <v>0</v>
      </c>
      <c r="L19" s="33">
        <f t="shared" si="16"/>
        <v>25855</v>
      </c>
      <c r="M19" s="15">
        <f t="shared" si="5"/>
        <v>0</v>
      </c>
      <c r="N19" s="33">
        <f t="shared" si="17"/>
        <v>223652</v>
      </c>
      <c r="O19" s="15">
        <f t="shared" si="6"/>
        <v>0</v>
      </c>
      <c r="P19" s="33">
        <f t="shared" si="10"/>
        <v>139625</v>
      </c>
      <c r="Q19" s="15">
        <f t="shared" si="7"/>
        <v>0</v>
      </c>
      <c r="R19" s="1">
        <f t="shared" si="0"/>
        <v>55047</v>
      </c>
      <c r="S19" s="15">
        <f t="shared" si="8"/>
        <v>0</v>
      </c>
      <c r="T19" s="33">
        <f t="shared" si="18"/>
        <v>3931</v>
      </c>
      <c r="U19" s="15">
        <f t="shared" si="9"/>
        <v>0</v>
      </c>
      <c r="W19" t="s">
        <v>12</v>
      </c>
    </row>
    <row r="20" spans="1:23" ht="13.5" thickBot="1" x14ac:dyDescent="0.25">
      <c r="A20" s="9">
        <v>44610</v>
      </c>
      <c r="B20" s="33">
        <f t="shared" si="11"/>
        <v>46631</v>
      </c>
      <c r="C20" s="15">
        <f t="shared" si="1"/>
        <v>0</v>
      </c>
      <c r="D20" s="33">
        <f t="shared" si="12"/>
        <v>40300</v>
      </c>
      <c r="E20" s="15">
        <f t="shared" si="2"/>
        <v>0</v>
      </c>
      <c r="F20" s="33">
        <f t="shared" si="13"/>
        <v>21325</v>
      </c>
      <c r="G20" s="15">
        <f t="shared" si="3"/>
        <v>0</v>
      </c>
      <c r="H20" s="33">
        <f t="shared" si="14"/>
        <v>253779</v>
      </c>
      <c r="I20" s="15">
        <f t="shared" si="4"/>
        <v>0</v>
      </c>
      <c r="J20" s="33">
        <f t="shared" si="15"/>
        <v>303517</v>
      </c>
      <c r="K20" s="15">
        <v>0</v>
      </c>
      <c r="L20" s="33">
        <f t="shared" si="16"/>
        <v>25855</v>
      </c>
      <c r="M20" s="15">
        <f t="shared" si="5"/>
        <v>0</v>
      </c>
      <c r="N20" s="33">
        <f t="shared" si="17"/>
        <v>223652</v>
      </c>
      <c r="O20" s="15">
        <f t="shared" si="6"/>
        <v>0</v>
      </c>
      <c r="P20" s="33">
        <f t="shared" si="10"/>
        <v>139625</v>
      </c>
      <c r="Q20" s="15">
        <f>P20-P19</f>
        <v>0</v>
      </c>
      <c r="R20" s="1">
        <f t="shared" si="0"/>
        <v>55047</v>
      </c>
      <c r="S20" s="15">
        <f t="shared" si="8"/>
        <v>0</v>
      </c>
      <c r="T20" s="33">
        <f t="shared" si="18"/>
        <v>3931</v>
      </c>
      <c r="U20" s="15">
        <f t="shared" si="9"/>
        <v>0</v>
      </c>
    </row>
    <row r="21" spans="1:23" ht="13.5" thickBot="1" x14ac:dyDescent="0.25">
      <c r="A21" s="9">
        <v>44611</v>
      </c>
      <c r="B21" s="33">
        <f t="shared" si="11"/>
        <v>46631</v>
      </c>
      <c r="C21" s="15">
        <f t="shared" si="1"/>
        <v>0</v>
      </c>
      <c r="D21" s="33">
        <f t="shared" si="12"/>
        <v>40300</v>
      </c>
      <c r="E21" s="15">
        <f t="shared" si="2"/>
        <v>0</v>
      </c>
      <c r="F21" s="33">
        <f t="shared" si="13"/>
        <v>21325</v>
      </c>
      <c r="G21" s="15">
        <f t="shared" si="3"/>
        <v>0</v>
      </c>
      <c r="H21" s="33">
        <f t="shared" si="14"/>
        <v>253779</v>
      </c>
      <c r="I21" s="15">
        <f t="shared" si="4"/>
        <v>0</v>
      </c>
      <c r="J21" s="33">
        <v>303517</v>
      </c>
      <c r="K21" s="15">
        <v>0</v>
      </c>
      <c r="L21" s="33">
        <f t="shared" si="16"/>
        <v>25855</v>
      </c>
      <c r="M21" s="15">
        <f t="shared" si="5"/>
        <v>0</v>
      </c>
      <c r="N21" s="33">
        <f t="shared" si="17"/>
        <v>223652</v>
      </c>
      <c r="O21" s="15">
        <f t="shared" si="6"/>
        <v>0</v>
      </c>
      <c r="P21" s="33">
        <f t="shared" si="10"/>
        <v>139625</v>
      </c>
      <c r="Q21" s="15">
        <f t="shared" si="7"/>
        <v>0</v>
      </c>
      <c r="R21" s="1">
        <f t="shared" si="0"/>
        <v>55047</v>
      </c>
      <c r="S21" s="15">
        <f t="shared" si="8"/>
        <v>0</v>
      </c>
      <c r="T21" s="33">
        <f t="shared" si="18"/>
        <v>3931</v>
      </c>
      <c r="U21" s="15">
        <f t="shared" si="9"/>
        <v>0</v>
      </c>
    </row>
    <row r="22" spans="1:23" ht="13.5" thickBot="1" x14ac:dyDescent="0.25">
      <c r="A22" s="9">
        <v>44612</v>
      </c>
      <c r="B22" s="33">
        <f t="shared" si="11"/>
        <v>46631</v>
      </c>
      <c r="C22" s="15">
        <f t="shared" si="1"/>
        <v>0</v>
      </c>
      <c r="D22" s="33">
        <f t="shared" si="12"/>
        <v>40300</v>
      </c>
      <c r="E22" s="15">
        <f t="shared" si="2"/>
        <v>0</v>
      </c>
      <c r="F22" s="33">
        <f t="shared" si="13"/>
        <v>21325</v>
      </c>
      <c r="G22" s="15">
        <f t="shared" si="3"/>
        <v>0</v>
      </c>
      <c r="H22" s="33">
        <f t="shared" si="14"/>
        <v>253779</v>
      </c>
      <c r="I22" s="15">
        <f t="shared" si="4"/>
        <v>0</v>
      </c>
      <c r="J22" s="33">
        <v>303517</v>
      </c>
      <c r="K22" s="15">
        <v>0</v>
      </c>
      <c r="L22" s="33">
        <f t="shared" si="16"/>
        <v>25855</v>
      </c>
      <c r="M22" s="15">
        <f t="shared" si="5"/>
        <v>0</v>
      </c>
      <c r="N22" s="33">
        <f t="shared" si="17"/>
        <v>223652</v>
      </c>
      <c r="O22" s="15">
        <f t="shared" si="6"/>
        <v>0</v>
      </c>
      <c r="P22" s="33">
        <f t="shared" si="10"/>
        <v>139625</v>
      </c>
      <c r="Q22" s="15">
        <f>P22-P21</f>
        <v>0</v>
      </c>
      <c r="R22" s="1">
        <f t="shared" si="0"/>
        <v>55047</v>
      </c>
      <c r="S22" s="15">
        <f t="shared" si="8"/>
        <v>0</v>
      </c>
      <c r="T22" s="33">
        <f t="shared" si="18"/>
        <v>3931</v>
      </c>
      <c r="U22" s="15">
        <f t="shared" si="9"/>
        <v>0</v>
      </c>
    </row>
    <row r="23" spans="1:23" ht="13.5" thickBot="1" x14ac:dyDescent="0.25">
      <c r="A23" s="9">
        <v>44613</v>
      </c>
      <c r="B23" s="33">
        <f t="shared" si="11"/>
        <v>46631</v>
      </c>
      <c r="C23" s="15">
        <f t="shared" si="1"/>
        <v>0</v>
      </c>
      <c r="D23" s="33">
        <f t="shared" si="12"/>
        <v>40300</v>
      </c>
      <c r="E23" s="15">
        <f t="shared" si="2"/>
        <v>0</v>
      </c>
      <c r="F23" s="33">
        <f t="shared" si="13"/>
        <v>21325</v>
      </c>
      <c r="G23" s="15">
        <f t="shared" si="3"/>
        <v>0</v>
      </c>
      <c r="H23" s="33">
        <f t="shared" si="14"/>
        <v>253779</v>
      </c>
      <c r="I23" s="15">
        <f t="shared" si="4"/>
        <v>0</v>
      </c>
      <c r="J23" s="33">
        <v>303517</v>
      </c>
      <c r="K23" s="15">
        <v>0</v>
      </c>
      <c r="L23" s="33">
        <f t="shared" si="16"/>
        <v>25855</v>
      </c>
      <c r="M23" s="15">
        <f t="shared" si="5"/>
        <v>0</v>
      </c>
      <c r="N23" s="33">
        <f t="shared" si="17"/>
        <v>223652</v>
      </c>
      <c r="O23" s="15">
        <f t="shared" si="6"/>
        <v>0</v>
      </c>
      <c r="P23" s="33">
        <f t="shared" si="10"/>
        <v>139625</v>
      </c>
      <c r="Q23" s="15">
        <f t="shared" si="7"/>
        <v>0</v>
      </c>
      <c r="R23" s="1">
        <f t="shared" si="0"/>
        <v>55047</v>
      </c>
      <c r="S23" s="15">
        <f t="shared" si="8"/>
        <v>0</v>
      </c>
      <c r="T23" s="33">
        <f t="shared" si="18"/>
        <v>3931</v>
      </c>
      <c r="U23" s="15">
        <f t="shared" si="9"/>
        <v>0</v>
      </c>
    </row>
    <row r="24" spans="1:23" s="133" customFormat="1" ht="13.5" thickBot="1" x14ac:dyDescent="0.25">
      <c r="A24" s="9">
        <v>44614</v>
      </c>
      <c r="B24" s="33">
        <f t="shared" si="11"/>
        <v>46631</v>
      </c>
      <c r="C24" s="15">
        <f t="shared" si="1"/>
        <v>0</v>
      </c>
      <c r="D24" s="33">
        <f t="shared" si="12"/>
        <v>40300</v>
      </c>
      <c r="E24" s="15">
        <f t="shared" si="2"/>
        <v>0</v>
      </c>
      <c r="F24" s="33">
        <f t="shared" si="13"/>
        <v>21325</v>
      </c>
      <c r="G24" s="15">
        <f t="shared" si="3"/>
        <v>0</v>
      </c>
      <c r="H24" s="33">
        <f t="shared" si="14"/>
        <v>253779</v>
      </c>
      <c r="I24" s="15">
        <f t="shared" si="4"/>
        <v>0</v>
      </c>
      <c r="J24" s="33">
        <f t="shared" si="15"/>
        <v>303517</v>
      </c>
      <c r="K24" s="15">
        <v>0</v>
      </c>
      <c r="L24" s="33">
        <f t="shared" si="16"/>
        <v>25855</v>
      </c>
      <c r="M24" s="15">
        <f t="shared" si="5"/>
        <v>0</v>
      </c>
      <c r="N24" s="33">
        <f t="shared" si="17"/>
        <v>223652</v>
      </c>
      <c r="O24" s="15">
        <f t="shared" si="6"/>
        <v>0</v>
      </c>
      <c r="P24" s="33">
        <f t="shared" si="10"/>
        <v>139625</v>
      </c>
      <c r="Q24" s="15">
        <f t="shared" si="7"/>
        <v>0</v>
      </c>
      <c r="R24" s="1">
        <f t="shared" si="0"/>
        <v>55047</v>
      </c>
      <c r="S24" s="15">
        <f t="shared" si="8"/>
        <v>0</v>
      </c>
      <c r="T24" s="33">
        <f t="shared" si="18"/>
        <v>3931</v>
      </c>
      <c r="U24" s="15">
        <f t="shared" si="9"/>
        <v>0</v>
      </c>
    </row>
    <row r="25" spans="1:23" ht="13.5" thickBot="1" x14ac:dyDescent="0.25">
      <c r="A25" s="9">
        <v>44615</v>
      </c>
      <c r="B25" s="33">
        <f t="shared" si="11"/>
        <v>46631</v>
      </c>
      <c r="C25" s="15">
        <f t="shared" si="1"/>
        <v>0</v>
      </c>
      <c r="D25" s="33">
        <f t="shared" si="12"/>
        <v>40300</v>
      </c>
      <c r="E25" s="15">
        <f t="shared" si="2"/>
        <v>0</v>
      </c>
      <c r="F25" s="33">
        <f t="shared" si="13"/>
        <v>21325</v>
      </c>
      <c r="G25" s="15">
        <f t="shared" si="3"/>
        <v>0</v>
      </c>
      <c r="H25" s="33">
        <f t="shared" si="14"/>
        <v>253779</v>
      </c>
      <c r="I25" s="15">
        <f t="shared" si="4"/>
        <v>0</v>
      </c>
      <c r="J25" s="33">
        <v>303517</v>
      </c>
      <c r="K25" s="15">
        <v>0</v>
      </c>
      <c r="L25" s="33">
        <f t="shared" si="16"/>
        <v>25855</v>
      </c>
      <c r="M25" s="15">
        <f t="shared" si="5"/>
        <v>0</v>
      </c>
      <c r="N25" s="33">
        <f t="shared" si="17"/>
        <v>223652</v>
      </c>
      <c r="O25" s="15">
        <f t="shared" si="6"/>
        <v>0</v>
      </c>
      <c r="P25" s="33">
        <f t="shared" si="10"/>
        <v>139625</v>
      </c>
      <c r="Q25" s="15">
        <f t="shared" si="7"/>
        <v>0</v>
      </c>
      <c r="R25" s="1">
        <v>55047</v>
      </c>
      <c r="S25" s="15">
        <f t="shared" si="8"/>
        <v>0</v>
      </c>
      <c r="T25" s="33">
        <f t="shared" si="18"/>
        <v>3931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1"/>
        <v>46631</v>
      </c>
      <c r="C26" s="15">
        <f t="shared" si="1"/>
        <v>0</v>
      </c>
      <c r="D26" s="33">
        <f t="shared" si="12"/>
        <v>40300</v>
      </c>
      <c r="E26" s="15">
        <f t="shared" si="2"/>
        <v>0</v>
      </c>
      <c r="F26" s="33">
        <f t="shared" si="13"/>
        <v>21325</v>
      </c>
      <c r="G26" s="15">
        <f t="shared" si="3"/>
        <v>0</v>
      </c>
      <c r="H26" s="33">
        <f t="shared" si="14"/>
        <v>253779</v>
      </c>
      <c r="I26" s="15">
        <f t="shared" si="4"/>
        <v>0</v>
      </c>
      <c r="J26" s="33">
        <v>303517</v>
      </c>
      <c r="K26" s="15">
        <v>0</v>
      </c>
      <c r="L26" s="33">
        <f t="shared" si="16"/>
        <v>25855</v>
      </c>
      <c r="M26" s="15">
        <f t="shared" si="5"/>
        <v>0</v>
      </c>
      <c r="N26" s="33">
        <f t="shared" si="17"/>
        <v>223652</v>
      </c>
      <c r="O26" s="15">
        <f t="shared" si="6"/>
        <v>0</v>
      </c>
      <c r="P26" s="33">
        <f t="shared" si="10"/>
        <v>139625</v>
      </c>
      <c r="Q26" s="15">
        <f t="shared" si="7"/>
        <v>0</v>
      </c>
      <c r="R26" s="1">
        <f t="shared" si="0"/>
        <v>55047</v>
      </c>
      <c r="S26" s="15">
        <f t="shared" si="8"/>
        <v>0</v>
      </c>
      <c r="T26" s="33">
        <f t="shared" si="18"/>
        <v>3931</v>
      </c>
      <c r="U26" s="15">
        <f t="shared" si="9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1"/>
        <v>46631</v>
      </c>
      <c r="C27" s="15">
        <f t="shared" si="1"/>
        <v>0</v>
      </c>
      <c r="D27" s="33">
        <f t="shared" si="12"/>
        <v>40300</v>
      </c>
      <c r="E27" s="15">
        <f t="shared" si="2"/>
        <v>0</v>
      </c>
      <c r="F27" s="33">
        <f t="shared" si="13"/>
        <v>21325</v>
      </c>
      <c r="G27" s="15">
        <f t="shared" si="3"/>
        <v>0</v>
      </c>
      <c r="H27" s="33">
        <f t="shared" si="14"/>
        <v>253779</v>
      </c>
      <c r="I27" s="15">
        <f t="shared" si="4"/>
        <v>0</v>
      </c>
      <c r="J27" s="33">
        <v>303517</v>
      </c>
      <c r="K27" s="15">
        <v>0</v>
      </c>
      <c r="L27" s="33">
        <f t="shared" si="16"/>
        <v>25855</v>
      </c>
      <c r="M27" s="15">
        <f t="shared" si="5"/>
        <v>0</v>
      </c>
      <c r="N27" s="33">
        <f t="shared" si="17"/>
        <v>223652</v>
      </c>
      <c r="O27" s="15">
        <f t="shared" si="6"/>
        <v>0</v>
      </c>
      <c r="P27" s="33">
        <f t="shared" si="10"/>
        <v>139625</v>
      </c>
      <c r="Q27" s="15">
        <f t="shared" si="7"/>
        <v>0</v>
      </c>
      <c r="R27" s="1">
        <f t="shared" si="0"/>
        <v>55047</v>
      </c>
      <c r="S27" s="15">
        <f t="shared" si="8"/>
        <v>0</v>
      </c>
      <c r="T27" s="33">
        <f t="shared" si="18"/>
        <v>3931</v>
      </c>
      <c r="U27" s="15">
        <f t="shared" si="9"/>
        <v>0</v>
      </c>
    </row>
    <row r="28" spans="1:23" ht="13.5" thickBot="1" x14ac:dyDescent="0.25">
      <c r="A28" s="9">
        <v>44618</v>
      </c>
      <c r="B28" s="33">
        <f t="shared" si="11"/>
        <v>46631</v>
      </c>
      <c r="C28" s="15">
        <f t="shared" si="1"/>
        <v>0</v>
      </c>
      <c r="D28" s="33">
        <f t="shared" si="12"/>
        <v>40300</v>
      </c>
      <c r="E28" s="15">
        <f t="shared" si="2"/>
        <v>0</v>
      </c>
      <c r="F28" s="33">
        <f t="shared" si="13"/>
        <v>21325</v>
      </c>
      <c r="G28" s="15">
        <f t="shared" si="3"/>
        <v>0</v>
      </c>
      <c r="H28" s="33">
        <f t="shared" si="14"/>
        <v>253779</v>
      </c>
      <c r="I28" s="15">
        <f t="shared" si="4"/>
        <v>0</v>
      </c>
      <c r="J28" s="33">
        <v>303517</v>
      </c>
      <c r="K28" s="15">
        <v>0</v>
      </c>
      <c r="L28" s="33">
        <f t="shared" si="16"/>
        <v>25855</v>
      </c>
      <c r="M28" s="15">
        <f t="shared" si="5"/>
        <v>0</v>
      </c>
      <c r="N28" s="33">
        <f t="shared" si="17"/>
        <v>223652</v>
      </c>
      <c r="O28" s="15">
        <f t="shared" si="6"/>
        <v>0</v>
      </c>
      <c r="P28" s="33">
        <f t="shared" si="10"/>
        <v>139625</v>
      </c>
      <c r="Q28" s="16">
        <f t="shared" si="7"/>
        <v>0</v>
      </c>
      <c r="R28" s="1">
        <v>55047</v>
      </c>
      <c r="S28" s="16">
        <f t="shared" si="8"/>
        <v>0</v>
      </c>
      <c r="T28" s="33">
        <f t="shared" si="18"/>
        <v>3931</v>
      </c>
      <c r="U28" s="15">
        <f t="shared" si="9"/>
        <v>0</v>
      </c>
    </row>
    <row r="29" spans="1:23" ht="13.5" thickBot="1" x14ac:dyDescent="0.25">
      <c r="A29" s="9">
        <v>44619</v>
      </c>
      <c r="B29" s="33">
        <f t="shared" si="11"/>
        <v>46631</v>
      </c>
      <c r="C29" s="15">
        <f t="shared" si="1"/>
        <v>0</v>
      </c>
      <c r="D29" s="33">
        <f t="shared" si="12"/>
        <v>40300</v>
      </c>
      <c r="E29" s="15">
        <f t="shared" si="2"/>
        <v>0</v>
      </c>
      <c r="F29" s="33">
        <f t="shared" si="13"/>
        <v>21325</v>
      </c>
      <c r="G29" s="15">
        <f t="shared" si="3"/>
        <v>0</v>
      </c>
      <c r="H29" s="33">
        <f t="shared" si="14"/>
        <v>253779</v>
      </c>
      <c r="I29" s="15">
        <f t="shared" si="4"/>
        <v>0</v>
      </c>
      <c r="J29" s="33">
        <v>303517</v>
      </c>
      <c r="K29" s="15">
        <v>0</v>
      </c>
      <c r="L29" s="33">
        <f t="shared" si="16"/>
        <v>25855</v>
      </c>
      <c r="M29" s="15">
        <f t="shared" si="5"/>
        <v>0</v>
      </c>
      <c r="N29" s="33">
        <f t="shared" si="17"/>
        <v>223652</v>
      </c>
      <c r="O29" s="15">
        <f t="shared" si="6"/>
        <v>0</v>
      </c>
      <c r="P29" s="33">
        <f t="shared" si="10"/>
        <v>139625</v>
      </c>
      <c r="Q29" s="15">
        <f t="shared" si="7"/>
        <v>0</v>
      </c>
      <c r="R29" s="1">
        <v>55047</v>
      </c>
      <c r="S29" s="15">
        <f t="shared" si="8"/>
        <v>0</v>
      </c>
      <c r="T29" s="33">
        <f t="shared" si="18"/>
        <v>3931</v>
      </c>
      <c r="U29" s="15">
        <f t="shared" si="9"/>
        <v>0</v>
      </c>
    </row>
    <row r="30" spans="1:23" ht="13.5" thickBot="1" x14ac:dyDescent="0.25">
      <c r="A30" s="9">
        <v>44620</v>
      </c>
      <c r="B30" s="33">
        <f t="shared" si="11"/>
        <v>46631</v>
      </c>
      <c r="C30" s="15">
        <f t="shared" si="1"/>
        <v>0</v>
      </c>
      <c r="D30" s="33">
        <f t="shared" si="12"/>
        <v>40300</v>
      </c>
      <c r="E30" s="15">
        <f t="shared" si="2"/>
        <v>0</v>
      </c>
      <c r="F30" s="33">
        <f t="shared" si="13"/>
        <v>21325</v>
      </c>
      <c r="G30" s="15">
        <f t="shared" si="3"/>
        <v>0</v>
      </c>
      <c r="H30" s="33">
        <f t="shared" si="14"/>
        <v>253779</v>
      </c>
      <c r="I30" s="15">
        <f t="shared" si="4"/>
        <v>0</v>
      </c>
      <c r="J30" s="33">
        <f t="shared" si="15"/>
        <v>303517</v>
      </c>
      <c r="K30" s="15">
        <v>0</v>
      </c>
      <c r="L30" s="33">
        <f t="shared" si="16"/>
        <v>25855</v>
      </c>
      <c r="M30" s="15">
        <f t="shared" si="5"/>
        <v>0</v>
      </c>
      <c r="N30" s="33">
        <f t="shared" si="17"/>
        <v>223652</v>
      </c>
      <c r="O30" s="15">
        <f t="shared" si="6"/>
        <v>0</v>
      </c>
      <c r="P30" s="33">
        <f t="shared" si="10"/>
        <v>139625</v>
      </c>
      <c r="Q30" s="15">
        <f t="shared" si="7"/>
        <v>0</v>
      </c>
      <c r="R30" s="1">
        <f t="shared" si="0"/>
        <v>55047</v>
      </c>
      <c r="S30" s="15">
        <f t="shared" si="8"/>
        <v>0</v>
      </c>
      <c r="T30" s="33">
        <f t="shared" si="18"/>
        <v>3931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9760</v>
      </c>
      <c r="D31" s="12"/>
      <c r="E31" s="10">
        <f>SUM(E4:E30)</f>
        <v>6560</v>
      </c>
      <c r="F31" s="12"/>
      <c r="G31" s="10">
        <f>SUM(G4:G30)</f>
        <v>940</v>
      </c>
      <c r="H31" s="12"/>
      <c r="I31" s="10">
        <f>SUM(I4:I30)</f>
        <v>193</v>
      </c>
      <c r="J31" s="12"/>
      <c r="K31" s="10">
        <f>SUM(K4:K30)</f>
        <v>0</v>
      </c>
      <c r="L31" s="12"/>
      <c r="M31" s="10">
        <f>SUM(M4:M30)</f>
        <v>6080</v>
      </c>
      <c r="N31" s="34"/>
      <c r="O31" s="10">
        <f>SUM(O4:O30)</f>
        <v>1388</v>
      </c>
      <c r="P31" s="12"/>
      <c r="Q31" s="10">
        <f>SUM(Q4:Q30)</f>
        <v>0</v>
      </c>
      <c r="R31" s="1"/>
      <c r="S31" s="10">
        <f>SUM(S4:S30)</f>
        <v>0</v>
      </c>
      <c r="T31" s="1"/>
      <c r="U31" s="10">
        <f>SUM(U4:U30)</f>
        <v>1920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zoomScaleNormal="100" zoomScaleSheetLayoutView="110" workbookViewId="0">
      <pane ySplit="1" topLeftCell="A2" activePane="bottomLeft" state="frozen"/>
      <selection pane="bottomLeft" activeCell="A16" sqref="A16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190</v>
      </c>
      <c r="C4" s="147">
        <v>19316</v>
      </c>
      <c r="D4" s="40">
        <f t="shared" ref="D4:D30" si="3">IF((C4-C3)&lt;0,"0",(C4-C3))*160</f>
        <v>0</v>
      </c>
      <c r="E4" s="148">
        <v>29688201</v>
      </c>
      <c r="F4" s="40">
        <f t="shared" ref="F4:F30" si="4">IF((E4-E3)&lt;0,"0",(E4-E3))</f>
        <v>10599</v>
      </c>
      <c r="G4" s="149">
        <v>94675349</v>
      </c>
      <c r="H4" s="40">
        <f t="shared" ref="H4:H30" si="5">IF((G4-G3)&lt;0,"0",(G4-G3))</f>
        <v>43604</v>
      </c>
      <c r="I4" s="150">
        <f t="shared" ref="I4:I30" si="6">F4+H4</f>
        <v>54203</v>
      </c>
      <c r="J4" s="148">
        <v>9395490</v>
      </c>
      <c r="K4" s="40">
        <f>(IF((J4-J3)&lt;L90,"0",(J4-J3)))*2</f>
        <v>10828</v>
      </c>
      <c r="L4" s="151">
        <v>9402982</v>
      </c>
      <c r="M4" s="40">
        <f t="shared" ref="M4:M30" si="7">IF((L4-L3)&lt;0,"0",(L4-L3))</f>
        <v>4874</v>
      </c>
      <c r="N4" s="148">
        <v>6297286</v>
      </c>
      <c r="O4" s="40">
        <f>(IF((N4-N3)&lt;P90,"0",(N4-N3)))*2</f>
        <v>5576</v>
      </c>
      <c r="P4" s="151">
        <v>5865839</v>
      </c>
      <c r="Q4" s="40">
        <f t="shared" ref="Q4:Q30" si="8">IF((P4-P3)&lt;0,"0",(P4-P3))</f>
        <v>3201</v>
      </c>
      <c r="R4" s="148">
        <v>20069112</v>
      </c>
      <c r="S4" s="40">
        <f t="shared" ref="S4:S30" si="9">IF((R4-R3)&lt;0,"0",(R4-R3))</f>
        <v>11280</v>
      </c>
      <c r="T4" s="148">
        <v>0</v>
      </c>
      <c r="U4" s="152"/>
      <c r="V4" s="148">
        <v>7962059</v>
      </c>
      <c r="W4" s="40">
        <f t="shared" ref="W4:W30" si="10">IF((V4-V3)&lt;0,"0",(V4-V3))</f>
        <v>11223</v>
      </c>
      <c r="X4" s="20">
        <f t="shared" ref="X4:X30" si="11">K4+M4+O4+Q4+S4+U4+W4</f>
        <v>46982</v>
      </c>
      <c r="Y4" s="153">
        <f t="shared" ref="Y4:Y30" si="12">I4-X4</f>
        <v>7221</v>
      </c>
      <c r="Z4" s="3">
        <f t="shared" ref="Z4:Z30" si="13">(0.93352*(W4+S4)+0.5568*(Q4+O4))*0.26</f>
        <v>6732.4488816000003</v>
      </c>
      <c r="AA4" s="3">
        <f>SUM(Z2:Z4)</f>
        <v>11700.2717104</v>
      </c>
    </row>
    <row r="5" spans="1:27" ht="16.5" thickBot="1" x14ac:dyDescent="0.3">
      <c r="A5" s="9">
        <v>44595</v>
      </c>
      <c r="B5" s="40">
        <v>182</v>
      </c>
      <c r="C5" s="147">
        <v>19316</v>
      </c>
      <c r="D5" s="40">
        <f t="shared" si="3"/>
        <v>0</v>
      </c>
      <c r="E5" s="148">
        <v>29692282</v>
      </c>
      <c r="F5" s="40">
        <f t="shared" si="4"/>
        <v>4081</v>
      </c>
      <c r="G5" s="149">
        <v>94703405</v>
      </c>
      <c r="H5" s="40">
        <f t="shared" si="5"/>
        <v>28056</v>
      </c>
      <c r="I5" s="150">
        <f t="shared" si="6"/>
        <v>32137</v>
      </c>
      <c r="J5" s="148">
        <v>9398860</v>
      </c>
      <c r="K5" s="40">
        <f t="shared" ref="K5:K30" si="14">(IF((J5-J4)&lt;0,"0",(J5-J4)))*2</f>
        <v>6740</v>
      </c>
      <c r="L5" s="151">
        <v>9406057</v>
      </c>
      <c r="M5" s="40">
        <f t="shared" si="7"/>
        <v>3075</v>
      </c>
      <c r="N5" s="148">
        <v>6297744</v>
      </c>
      <c r="O5" s="40">
        <f t="shared" ref="O5:O30" si="15">(IF((N5-N4)&lt;0,"0",(N5-N4)))*2</f>
        <v>916</v>
      </c>
      <c r="P5" s="151">
        <v>5870500</v>
      </c>
      <c r="Q5" s="40">
        <f t="shared" si="8"/>
        <v>4661</v>
      </c>
      <c r="R5" s="148">
        <v>20075540</v>
      </c>
      <c r="S5" s="40">
        <f t="shared" si="9"/>
        <v>6428</v>
      </c>
      <c r="T5" s="148">
        <v>0</v>
      </c>
      <c r="U5" s="152"/>
      <c r="V5" s="148">
        <v>7968499</v>
      </c>
      <c r="W5" s="40">
        <f t="shared" si="10"/>
        <v>6440</v>
      </c>
      <c r="X5" s="20">
        <f t="shared" si="11"/>
        <v>28260</v>
      </c>
      <c r="Y5" s="153">
        <f t="shared" si="12"/>
        <v>3877</v>
      </c>
      <c r="Z5" s="3">
        <f t="shared" si="13"/>
        <v>3930.6303296000001</v>
      </c>
      <c r="AA5" s="3">
        <f>SUM(Z3:Z5)</f>
        <v>15630.902040000001</v>
      </c>
    </row>
    <row r="6" spans="1:27" ht="16.5" thickBot="1" x14ac:dyDescent="0.3">
      <c r="A6" s="9">
        <v>44596</v>
      </c>
      <c r="B6" s="40">
        <v>178</v>
      </c>
      <c r="C6" s="147">
        <f t="shared" ref="C6:C30" si="16">C5</f>
        <v>19316</v>
      </c>
      <c r="D6" s="40">
        <f t="shared" si="3"/>
        <v>0</v>
      </c>
      <c r="E6" s="148">
        <v>29701708</v>
      </c>
      <c r="F6" s="40">
        <f t="shared" si="4"/>
        <v>9426</v>
      </c>
      <c r="G6" s="149">
        <v>94745214</v>
      </c>
      <c r="H6" s="40">
        <f t="shared" si="5"/>
        <v>41809</v>
      </c>
      <c r="I6" s="150">
        <f t="shared" si="6"/>
        <v>51235</v>
      </c>
      <c r="J6" s="148">
        <v>9403743</v>
      </c>
      <c r="K6" s="40">
        <f t="shared" si="14"/>
        <v>9766</v>
      </c>
      <c r="L6" s="151">
        <v>9410634</v>
      </c>
      <c r="M6" s="40">
        <f t="shared" si="7"/>
        <v>4577</v>
      </c>
      <c r="N6" s="148">
        <v>6300083</v>
      </c>
      <c r="O6" s="40">
        <f t="shared" si="15"/>
        <v>4678</v>
      </c>
      <c r="P6" s="151">
        <v>5874266</v>
      </c>
      <c r="Q6" s="40">
        <f t="shared" si="8"/>
        <v>3766</v>
      </c>
      <c r="R6" s="148">
        <v>20086327</v>
      </c>
      <c r="S6" s="40">
        <f t="shared" si="9"/>
        <v>10787</v>
      </c>
      <c r="T6" s="148">
        <v>0</v>
      </c>
      <c r="U6" s="152"/>
      <c r="V6" s="148">
        <v>7979871</v>
      </c>
      <c r="W6" s="40">
        <f t="shared" si="10"/>
        <v>11372</v>
      </c>
      <c r="X6" s="20">
        <f t="shared" si="11"/>
        <v>44946</v>
      </c>
      <c r="Y6" s="153">
        <f t="shared" si="12"/>
        <v>6289</v>
      </c>
      <c r="Z6" s="3">
        <f t="shared" si="13"/>
        <v>6600.7471088000002</v>
      </c>
      <c r="AA6" s="3">
        <f>SUM(Z4:Z6)</f>
        <v>17263.82632</v>
      </c>
    </row>
    <row r="7" spans="1:27" ht="16.5" thickBot="1" x14ac:dyDescent="0.3">
      <c r="A7" s="9">
        <v>44597</v>
      </c>
      <c r="B7" s="40">
        <v>211</v>
      </c>
      <c r="C7" s="147">
        <f t="shared" si="16"/>
        <v>19316</v>
      </c>
      <c r="D7" s="40">
        <f t="shared" si="3"/>
        <v>0</v>
      </c>
      <c r="E7" s="148">
        <v>29710400</v>
      </c>
      <c r="F7" s="40">
        <f t="shared" si="4"/>
        <v>8692</v>
      </c>
      <c r="G7" s="149">
        <v>94780849</v>
      </c>
      <c r="H7" s="40">
        <f t="shared" si="5"/>
        <v>35635</v>
      </c>
      <c r="I7" s="150">
        <f t="shared" si="6"/>
        <v>44327</v>
      </c>
      <c r="J7" s="148">
        <v>9407932</v>
      </c>
      <c r="K7" s="40">
        <f t="shared" si="14"/>
        <v>8378</v>
      </c>
      <c r="L7" s="151">
        <v>9414638</v>
      </c>
      <c r="M7" s="40">
        <f t="shared" si="7"/>
        <v>4004</v>
      </c>
      <c r="N7" s="148">
        <v>6302379</v>
      </c>
      <c r="O7" s="40">
        <f t="shared" si="15"/>
        <v>4592</v>
      </c>
      <c r="P7" s="151">
        <v>5876655</v>
      </c>
      <c r="Q7" s="40">
        <f t="shared" si="8"/>
        <v>2389</v>
      </c>
      <c r="R7" s="148">
        <v>20095647</v>
      </c>
      <c r="S7" s="40">
        <f t="shared" si="9"/>
        <v>9320</v>
      </c>
      <c r="T7" s="148">
        <v>0</v>
      </c>
      <c r="U7" s="152"/>
      <c r="V7" s="148">
        <v>7987225</v>
      </c>
      <c r="W7" s="40">
        <f t="shared" si="10"/>
        <v>7354</v>
      </c>
      <c r="X7" s="20">
        <f t="shared" si="11"/>
        <v>36037</v>
      </c>
      <c r="Y7" s="153">
        <f t="shared" si="12"/>
        <v>8290</v>
      </c>
      <c r="Z7" s="3">
        <f t="shared" si="13"/>
        <v>5057.6586527999998</v>
      </c>
      <c r="AA7" s="3">
        <f t="shared" ref="AA7:AA30" si="17">SUM(Z4:Z7)</f>
        <v>22321.484972800001</v>
      </c>
    </row>
    <row r="8" spans="1:27" ht="16.5" thickBot="1" x14ac:dyDescent="0.3">
      <c r="A8" s="9">
        <v>44598</v>
      </c>
      <c r="B8" s="40">
        <v>216</v>
      </c>
      <c r="C8" s="147">
        <v>19316</v>
      </c>
      <c r="D8" s="40">
        <f t="shared" si="3"/>
        <v>0</v>
      </c>
      <c r="E8" s="148">
        <v>29721121</v>
      </c>
      <c r="F8" s="40">
        <f t="shared" si="4"/>
        <v>10721</v>
      </c>
      <c r="G8" s="149">
        <v>94826537</v>
      </c>
      <c r="H8" s="40">
        <f t="shared" si="5"/>
        <v>45688</v>
      </c>
      <c r="I8" s="150">
        <f t="shared" si="6"/>
        <v>56409</v>
      </c>
      <c r="J8" s="148">
        <v>9413533</v>
      </c>
      <c r="K8" s="40">
        <f t="shared" si="14"/>
        <v>11202</v>
      </c>
      <c r="L8" s="151">
        <v>9419965</v>
      </c>
      <c r="M8" s="40">
        <f t="shared" si="7"/>
        <v>5327</v>
      </c>
      <c r="N8" s="148">
        <v>6305242</v>
      </c>
      <c r="O8" s="40">
        <f t="shared" si="15"/>
        <v>5726</v>
      </c>
      <c r="P8" s="151">
        <v>5879599</v>
      </c>
      <c r="Q8" s="40">
        <f t="shared" si="8"/>
        <v>2944</v>
      </c>
      <c r="R8" s="148">
        <v>20107901</v>
      </c>
      <c r="S8" s="40">
        <f t="shared" si="9"/>
        <v>12254</v>
      </c>
      <c r="T8" s="148">
        <v>0</v>
      </c>
      <c r="U8" s="152"/>
      <c r="V8" s="148">
        <v>8000480</v>
      </c>
      <c r="W8" s="40">
        <f t="shared" si="10"/>
        <v>13255</v>
      </c>
      <c r="X8" s="20">
        <f t="shared" si="11"/>
        <v>50708</v>
      </c>
      <c r="Y8" s="153">
        <f t="shared" si="12"/>
        <v>5701</v>
      </c>
      <c r="Z8" s="3">
        <f t="shared" si="13"/>
        <v>7446.5605968</v>
      </c>
      <c r="AA8" s="3">
        <f t="shared" si="17"/>
        <v>23035.596687999998</v>
      </c>
    </row>
    <row r="9" spans="1:27" ht="16.5" thickBot="1" x14ac:dyDescent="0.3">
      <c r="A9" s="9">
        <v>44599</v>
      </c>
      <c r="B9" s="40">
        <v>264</v>
      </c>
      <c r="C9" s="147">
        <f t="shared" si="16"/>
        <v>19316</v>
      </c>
      <c r="D9" s="40">
        <f t="shared" si="3"/>
        <v>0</v>
      </c>
      <c r="E9" s="148">
        <v>29728649</v>
      </c>
      <c r="F9" s="40">
        <f t="shared" si="4"/>
        <v>7528</v>
      </c>
      <c r="G9" s="149">
        <v>94854439</v>
      </c>
      <c r="H9" s="40">
        <f t="shared" si="5"/>
        <v>27902</v>
      </c>
      <c r="I9" s="150">
        <f t="shared" si="6"/>
        <v>35430</v>
      </c>
      <c r="J9" s="148">
        <v>9417059</v>
      </c>
      <c r="K9" s="40">
        <f t="shared" si="14"/>
        <v>7052</v>
      </c>
      <c r="L9" s="151">
        <v>9422671</v>
      </c>
      <c r="M9" s="40">
        <f t="shared" si="7"/>
        <v>2706</v>
      </c>
      <c r="N9" s="148">
        <v>6307350</v>
      </c>
      <c r="O9" s="40">
        <f t="shared" si="15"/>
        <v>4216</v>
      </c>
      <c r="P9" s="151">
        <v>5881494</v>
      </c>
      <c r="Q9" s="40">
        <f t="shared" si="8"/>
        <v>1895</v>
      </c>
      <c r="R9" s="148">
        <v>20114468</v>
      </c>
      <c r="S9" s="40">
        <f t="shared" si="9"/>
        <v>6567</v>
      </c>
      <c r="T9" s="148">
        <v>0</v>
      </c>
      <c r="U9" s="152"/>
      <c r="V9" s="148">
        <v>8004825</v>
      </c>
      <c r="W9" s="40">
        <f t="shared" si="10"/>
        <v>4345</v>
      </c>
      <c r="X9" s="20">
        <f t="shared" si="11"/>
        <v>26781</v>
      </c>
      <c r="Y9" s="153">
        <f t="shared" si="12"/>
        <v>8649</v>
      </c>
      <c r="Z9" s="3">
        <f t="shared" si="13"/>
        <v>3533.1855104000001</v>
      </c>
      <c r="AA9" s="3">
        <f t="shared" si="17"/>
        <v>22638.1518688</v>
      </c>
    </row>
    <row r="10" spans="1:27" ht="16.5" thickBot="1" x14ac:dyDescent="0.3">
      <c r="A10" s="9">
        <v>44600</v>
      </c>
      <c r="B10" s="40">
        <v>242</v>
      </c>
      <c r="C10" s="147">
        <v>19318</v>
      </c>
      <c r="D10" s="40">
        <f t="shared" si="3"/>
        <v>320</v>
      </c>
      <c r="E10" s="148">
        <v>29741110</v>
      </c>
      <c r="F10" s="40">
        <f t="shared" si="4"/>
        <v>12461</v>
      </c>
      <c r="G10" s="149">
        <v>94898627</v>
      </c>
      <c r="H10" s="40">
        <f t="shared" si="5"/>
        <v>44188</v>
      </c>
      <c r="I10" s="150">
        <f t="shared" si="6"/>
        <v>56649</v>
      </c>
      <c r="J10" s="148">
        <v>9422641</v>
      </c>
      <c r="K10" s="40">
        <f t="shared" si="14"/>
        <v>11164</v>
      </c>
      <c r="L10" s="151">
        <v>9428489</v>
      </c>
      <c r="M10" s="40">
        <f t="shared" si="7"/>
        <v>5818</v>
      </c>
      <c r="N10" s="148">
        <v>6310592</v>
      </c>
      <c r="O10" s="40">
        <f t="shared" si="15"/>
        <v>6484</v>
      </c>
      <c r="P10" s="151">
        <v>5884574</v>
      </c>
      <c r="Q10" s="40">
        <f t="shared" si="8"/>
        <v>3080</v>
      </c>
      <c r="R10" s="148">
        <v>20125650</v>
      </c>
      <c r="S10" s="40">
        <f t="shared" si="9"/>
        <v>11182</v>
      </c>
      <c r="T10" s="148">
        <v>0</v>
      </c>
      <c r="U10" s="152"/>
      <c r="V10" s="148">
        <v>8019358</v>
      </c>
      <c r="W10" s="40">
        <f t="shared" si="10"/>
        <v>14533</v>
      </c>
      <c r="X10" s="20">
        <f t="shared" si="11"/>
        <v>52261</v>
      </c>
      <c r="Y10" s="153">
        <f t="shared" si="12"/>
        <v>4388</v>
      </c>
      <c r="Z10" s="3">
        <f t="shared" si="13"/>
        <v>7625.9825200000005</v>
      </c>
      <c r="AA10" s="3">
        <f t="shared" si="17"/>
        <v>23663.387279999999</v>
      </c>
    </row>
    <row r="11" spans="1:27" ht="15.75" customHeight="1" thickBot="1" x14ac:dyDescent="0.3">
      <c r="A11" s="9">
        <v>44601</v>
      </c>
      <c r="B11" s="40">
        <v>157</v>
      </c>
      <c r="C11" s="147">
        <v>19321</v>
      </c>
      <c r="D11" s="40">
        <f t="shared" si="3"/>
        <v>480</v>
      </c>
      <c r="E11" s="148">
        <v>29750438</v>
      </c>
      <c r="F11" s="40">
        <f t="shared" si="4"/>
        <v>9328</v>
      </c>
      <c r="G11" s="149">
        <v>94930449</v>
      </c>
      <c r="H11" s="40">
        <f t="shared" si="5"/>
        <v>31822</v>
      </c>
      <c r="I11" s="150">
        <f t="shared" si="6"/>
        <v>41150</v>
      </c>
      <c r="J11" s="148">
        <v>9426568</v>
      </c>
      <c r="K11" s="40">
        <f t="shared" si="14"/>
        <v>7854</v>
      </c>
      <c r="L11" s="151">
        <v>9433246</v>
      </c>
      <c r="M11" s="40">
        <f t="shared" si="7"/>
        <v>4757</v>
      </c>
      <c r="N11" s="148">
        <v>6312810</v>
      </c>
      <c r="O11" s="40">
        <f t="shared" si="15"/>
        <v>4436</v>
      </c>
      <c r="P11" s="151">
        <v>5886651</v>
      </c>
      <c r="Q11" s="40">
        <f t="shared" si="8"/>
        <v>2077</v>
      </c>
      <c r="R11" s="148">
        <v>20134035</v>
      </c>
      <c r="S11" s="40">
        <f t="shared" si="9"/>
        <v>8385</v>
      </c>
      <c r="T11" s="148">
        <v>0</v>
      </c>
      <c r="U11" s="152"/>
      <c r="V11" s="148">
        <v>8027606</v>
      </c>
      <c r="W11" s="40">
        <f t="shared" si="10"/>
        <v>8248</v>
      </c>
      <c r="X11" s="20">
        <f t="shared" si="11"/>
        <v>35757</v>
      </c>
      <c r="Y11" s="153">
        <f t="shared" si="12"/>
        <v>5393</v>
      </c>
      <c r="Z11" s="3">
        <f t="shared" si="13"/>
        <v>4979.9559055999998</v>
      </c>
      <c r="AA11" s="3">
        <f t="shared" si="17"/>
        <v>23585.684532800002</v>
      </c>
    </row>
    <row r="12" spans="1:27" ht="16.5" thickBot="1" x14ac:dyDescent="0.3">
      <c r="A12" s="9">
        <v>44602</v>
      </c>
      <c r="B12" s="40">
        <v>157</v>
      </c>
      <c r="C12" s="147">
        <v>19323</v>
      </c>
      <c r="D12" s="40">
        <f t="shared" si="3"/>
        <v>320</v>
      </c>
      <c r="E12" s="148">
        <v>29760132</v>
      </c>
      <c r="F12" s="40">
        <f t="shared" si="4"/>
        <v>9694</v>
      </c>
      <c r="G12" s="149">
        <v>94964322</v>
      </c>
      <c r="H12" s="40">
        <f t="shared" si="5"/>
        <v>33873</v>
      </c>
      <c r="I12" s="150">
        <f t="shared" si="6"/>
        <v>43567</v>
      </c>
      <c r="J12" s="148">
        <v>9430704</v>
      </c>
      <c r="K12" s="40">
        <f t="shared" si="14"/>
        <v>8272</v>
      </c>
      <c r="L12" s="151">
        <v>9438080</v>
      </c>
      <c r="M12" s="40">
        <f t="shared" si="7"/>
        <v>4834</v>
      </c>
      <c r="N12" s="148">
        <v>6315173</v>
      </c>
      <c r="O12" s="40">
        <f t="shared" si="15"/>
        <v>4726</v>
      </c>
      <c r="P12" s="151">
        <v>5888876</v>
      </c>
      <c r="Q12" s="40">
        <f t="shared" si="8"/>
        <v>2225</v>
      </c>
      <c r="R12" s="148">
        <v>20143133</v>
      </c>
      <c r="S12" s="40">
        <f t="shared" si="9"/>
        <v>9098</v>
      </c>
      <c r="T12" s="148">
        <v>0</v>
      </c>
      <c r="U12" s="152"/>
      <c r="V12" s="148">
        <v>8036330</v>
      </c>
      <c r="W12" s="40">
        <f t="shared" si="10"/>
        <v>8724</v>
      </c>
      <c r="X12" s="20">
        <f t="shared" si="11"/>
        <v>37879</v>
      </c>
      <c r="Y12" s="153">
        <f t="shared" si="12"/>
        <v>5688</v>
      </c>
      <c r="Z12" s="3">
        <f t="shared" si="13"/>
        <v>5331.9526624</v>
      </c>
      <c r="AA12" s="3">
        <f t="shared" si="17"/>
        <v>21471.076598399999</v>
      </c>
    </row>
    <row r="13" spans="1:27" ht="16.5" thickBot="1" x14ac:dyDescent="0.3">
      <c r="A13" s="9">
        <v>44603</v>
      </c>
      <c r="B13" s="40">
        <v>179</v>
      </c>
      <c r="C13" s="147">
        <v>19325</v>
      </c>
      <c r="D13" s="40">
        <f t="shared" ref="D13" si="18">IF((C13-C12)&lt;0,"0",(C13-C12))*160</f>
        <v>320</v>
      </c>
      <c r="E13" s="148">
        <v>29773072</v>
      </c>
      <c r="F13" s="40">
        <f t="shared" ref="F13" si="19">IF((E13-E12)&lt;0,"0",(E13-E12))</f>
        <v>12940</v>
      </c>
      <c r="G13" s="149">
        <v>95011735</v>
      </c>
      <c r="H13" s="40">
        <f t="shared" ref="H13" si="20">IF((G13-G12)&lt;0,"0",(G13-G12))</f>
        <v>47413</v>
      </c>
      <c r="I13" s="150">
        <f t="shared" ref="I13" si="21">F13+H13</f>
        <v>60353</v>
      </c>
      <c r="J13" s="148">
        <v>9435047</v>
      </c>
      <c r="K13" s="40">
        <f t="shared" ref="K13" si="22">(IF((J13-J12)&lt;0,"0",(J13-J12)))*2</f>
        <v>8686</v>
      </c>
      <c r="L13" s="151">
        <v>9444343</v>
      </c>
      <c r="M13" s="40">
        <f t="shared" ref="M13" si="23">IF((L13-L12)&lt;0,"0",(L13-L12))</f>
        <v>6263</v>
      </c>
      <c r="N13" s="148">
        <v>6318428</v>
      </c>
      <c r="O13" s="40">
        <f t="shared" ref="O13" si="24">(IF((N13-N12)&lt;0,"0",(N13-N12)))*2</f>
        <v>6510</v>
      </c>
      <c r="P13" s="151">
        <v>5892064</v>
      </c>
      <c r="Q13" s="40">
        <f t="shared" ref="Q13" si="25">IF((P13-P12)&lt;0,"0",(P13-P12))</f>
        <v>3188</v>
      </c>
      <c r="R13" s="148">
        <v>20156006</v>
      </c>
      <c r="S13" s="40">
        <f t="shared" ref="S13" si="26">IF((R13-R12)&lt;0,"0",(R13-R12))</f>
        <v>12873</v>
      </c>
      <c r="T13" s="148">
        <v>0</v>
      </c>
      <c r="U13" s="152"/>
      <c r="V13" s="148">
        <v>8048753</v>
      </c>
      <c r="W13" s="40">
        <f t="shared" ref="W13" si="27">IF((V13-V12)&lt;0,"0",(V13-V12))</f>
        <v>12423</v>
      </c>
      <c r="X13" s="20">
        <f t="shared" ref="X13" si="28">K13+M13+O13+Q13+S13+U13+W13</f>
        <v>49943</v>
      </c>
      <c r="Y13" s="153">
        <f t="shared" ref="Y13" si="29">I13-X13</f>
        <v>10410</v>
      </c>
      <c r="Z13" s="3">
        <f t="shared" ref="Z13" si="30">(0.93352*(W13+S13)+0.5568*(Q13+O13))*0.26</f>
        <v>7543.6837632000006</v>
      </c>
      <c r="AA13" s="3">
        <f t="shared" si="17"/>
        <v>25481.574851199999</v>
      </c>
    </row>
    <row r="14" spans="1:27" ht="16.5" thickBot="1" x14ac:dyDescent="0.3">
      <c r="A14" s="9">
        <v>44604</v>
      </c>
      <c r="B14" s="40">
        <v>157</v>
      </c>
      <c r="C14" s="147">
        <v>19327</v>
      </c>
      <c r="D14" s="40">
        <f t="shared" si="3"/>
        <v>320</v>
      </c>
      <c r="E14" s="148">
        <v>29782279</v>
      </c>
      <c r="F14" s="40">
        <f t="shared" si="4"/>
        <v>9207</v>
      </c>
      <c r="G14" s="149">
        <v>95041484</v>
      </c>
      <c r="H14" s="40">
        <f t="shared" si="5"/>
        <v>29749</v>
      </c>
      <c r="I14" s="150">
        <f t="shared" si="6"/>
        <v>38956</v>
      </c>
      <c r="J14" s="148">
        <v>9439292</v>
      </c>
      <c r="K14" s="40">
        <f t="shared" si="14"/>
        <v>8490</v>
      </c>
      <c r="L14" s="151">
        <v>9448599</v>
      </c>
      <c r="M14" s="40">
        <f t="shared" si="7"/>
        <v>4256</v>
      </c>
      <c r="N14" s="148">
        <v>6320844</v>
      </c>
      <c r="O14" s="40">
        <f t="shared" si="15"/>
        <v>4832</v>
      </c>
      <c r="P14" s="151">
        <v>5894116</v>
      </c>
      <c r="Q14" s="40">
        <f t="shared" si="8"/>
        <v>2052</v>
      </c>
      <c r="R14" s="148">
        <v>20164201</v>
      </c>
      <c r="S14" s="40">
        <f>IF((R14-R13)&lt;0,"0",(R14-R13))</f>
        <v>8195</v>
      </c>
      <c r="T14" s="148">
        <v>0</v>
      </c>
      <c r="U14" s="152"/>
      <c r="V14" s="148">
        <v>8056418</v>
      </c>
      <c r="W14" s="40">
        <f t="shared" si="10"/>
        <v>7665</v>
      </c>
      <c r="X14" s="20">
        <f t="shared" si="11"/>
        <v>35490</v>
      </c>
      <c r="Y14" s="153">
        <f t="shared" si="12"/>
        <v>3466</v>
      </c>
      <c r="Z14" s="3">
        <f t="shared" si="13"/>
        <v>4846.0459840000003</v>
      </c>
      <c r="AA14" s="3">
        <f t="shared" si="17"/>
        <v>22701.638315200002</v>
      </c>
    </row>
    <row r="15" spans="1:27" ht="16.5" thickBot="1" x14ac:dyDescent="0.3">
      <c r="A15" s="9">
        <v>44605</v>
      </c>
      <c r="B15" s="40">
        <v>216</v>
      </c>
      <c r="C15" s="147">
        <v>19330</v>
      </c>
      <c r="D15" s="40">
        <f t="shared" si="3"/>
        <v>480</v>
      </c>
      <c r="E15" s="148">
        <v>29791318</v>
      </c>
      <c r="F15" s="40">
        <f t="shared" si="4"/>
        <v>9039</v>
      </c>
      <c r="G15" s="149">
        <v>95087780</v>
      </c>
      <c r="H15" s="40">
        <f t="shared" si="5"/>
        <v>46296</v>
      </c>
      <c r="I15" s="150">
        <f t="shared" si="6"/>
        <v>55335</v>
      </c>
      <c r="J15" s="148">
        <v>9444530</v>
      </c>
      <c r="K15" s="40">
        <f t="shared" si="14"/>
        <v>10476</v>
      </c>
      <c r="L15" s="151">
        <v>9454242</v>
      </c>
      <c r="M15" s="40">
        <f t="shared" si="7"/>
        <v>5643</v>
      </c>
      <c r="N15" s="148">
        <v>6322476</v>
      </c>
      <c r="O15" s="40">
        <f t="shared" si="15"/>
        <v>3264</v>
      </c>
      <c r="P15" s="151">
        <v>5899286</v>
      </c>
      <c r="Q15" s="40">
        <f t="shared" si="8"/>
        <v>5170</v>
      </c>
      <c r="R15" s="148">
        <v>20175654</v>
      </c>
      <c r="S15" s="40">
        <f>IF((R15-R14)&lt;0,"0",(R15-R14))</f>
        <v>11453</v>
      </c>
      <c r="T15" s="148">
        <v>0</v>
      </c>
      <c r="U15" s="152"/>
      <c r="V15" s="148">
        <v>8068024</v>
      </c>
      <c r="W15" s="40">
        <f t="shared" si="10"/>
        <v>11606</v>
      </c>
      <c r="X15" s="20">
        <f t="shared" si="11"/>
        <v>47612</v>
      </c>
      <c r="Y15" s="153">
        <f t="shared" si="12"/>
        <v>7723</v>
      </c>
      <c r="Z15" s="3">
        <f t="shared" si="13"/>
        <v>6817.7431088000012</v>
      </c>
      <c r="AA15" s="3">
        <f t="shared" si="17"/>
        <v>24539.425518400003</v>
      </c>
    </row>
    <row r="16" spans="1:27" ht="16.5" thickBot="1" x14ac:dyDescent="0.3">
      <c r="A16" s="9">
        <v>44606</v>
      </c>
      <c r="B16" s="40">
        <v>240</v>
      </c>
      <c r="C16" s="147">
        <v>19333</v>
      </c>
      <c r="D16" s="40">
        <f t="shared" si="3"/>
        <v>480</v>
      </c>
      <c r="E16" s="148">
        <v>29803604</v>
      </c>
      <c r="F16" s="40">
        <f t="shared" si="4"/>
        <v>12286</v>
      </c>
      <c r="G16" s="149">
        <v>95121676</v>
      </c>
      <c r="H16" s="40">
        <f t="shared" si="5"/>
        <v>33896</v>
      </c>
      <c r="I16" s="150">
        <f t="shared" si="6"/>
        <v>46182</v>
      </c>
      <c r="J16" s="148">
        <v>9460200</v>
      </c>
      <c r="K16" s="40">
        <f t="shared" si="14"/>
        <v>31340</v>
      </c>
      <c r="L16" s="151">
        <v>9460200</v>
      </c>
      <c r="M16" s="40">
        <f t="shared" si="7"/>
        <v>5958</v>
      </c>
      <c r="N16" s="148">
        <v>6325514</v>
      </c>
      <c r="O16" s="40">
        <f t="shared" si="15"/>
        <v>6076</v>
      </c>
      <c r="P16" s="151">
        <v>5903292</v>
      </c>
      <c r="Q16" s="40">
        <f t="shared" si="8"/>
        <v>4006</v>
      </c>
      <c r="R16" s="148">
        <v>20184086</v>
      </c>
      <c r="S16" s="40">
        <f t="shared" si="9"/>
        <v>8432</v>
      </c>
      <c r="T16" s="148">
        <v>0</v>
      </c>
      <c r="U16" s="152"/>
      <c r="V16" s="148">
        <v>8076417</v>
      </c>
      <c r="W16" s="40">
        <f t="shared" si="10"/>
        <v>8393</v>
      </c>
      <c r="X16" s="20">
        <f t="shared" si="11"/>
        <v>64205</v>
      </c>
      <c r="Y16" s="153">
        <f t="shared" si="12"/>
        <v>-18023</v>
      </c>
      <c r="Z16" s="3">
        <f t="shared" si="13"/>
        <v>5543.2342160000007</v>
      </c>
      <c r="AA16" s="3">
        <f t="shared" si="17"/>
        <v>24750.707072000001</v>
      </c>
    </row>
    <row r="17" spans="1:27" s="132" customFormat="1" ht="16.5" thickBot="1" x14ac:dyDescent="0.3">
      <c r="A17" s="9">
        <v>44607</v>
      </c>
      <c r="B17" s="40">
        <v>0</v>
      </c>
      <c r="C17" s="147">
        <f t="shared" si="16"/>
        <v>19333</v>
      </c>
      <c r="D17" s="40">
        <f t="shared" si="3"/>
        <v>0</v>
      </c>
      <c r="E17" s="148">
        <f t="shared" ref="E16:E30" si="31">E16</f>
        <v>29803604</v>
      </c>
      <c r="F17" s="40">
        <f t="shared" si="4"/>
        <v>0</v>
      </c>
      <c r="G17" s="149">
        <f t="shared" ref="G16:G30" si="32">G16</f>
        <v>95121676</v>
      </c>
      <c r="H17" s="40">
        <f t="shared" si="5"/>
        <v>0</v>
      </c>
      <c r="I17" s="154">
        <f t="shared" si="6"/>
        <v>0</v>
      </c>
      <c r="J17" s="148">
        <f t="shared" ref="J16:J30" si="33">J16</f>
        <v>9460200</v>
      </c>
      <c r="K17" s="131">
        <f t="shared" si="14"/>
        <v>0</v>
      </c>
      <c r="L17" s="151">
        <f t="shared" ref="L16:L30" si="34">L16</f>
        <v>9460200</v>
      </c>
      <c r="M17" s="131">
        <f t="shared" si="7"/>
        <v>0</v>
      </c>
      <c r="N17" s="148">
        <f t="shared" ref="N16:N30" si="35">N16</f>
        <v>6325514</v>
      </c>
      <c r="O17" s="131">
        <f t="shared" si="15"/>
        <v>0</v>
      </c>
      <c r="P17" s="151">
        <f t="shared" ref="P16:P30" si="36">P16</f>
        <v>5903292</v>
      </c>
      <c r="Q17" s="131">
        <f t="shared" si="8"/>
        <v>0</v>
      </c>
      <c r="R17" s="148">
        <f t="shared" ref="R16:R30" si="37">R16</f>
        <v>20184086</v>
      </c>
      <c r="S17" s="131">
        <f t="shared" si="9"/>
        <v>0</v>
      </c>
      <c r="T17" s="155">
        <v>0</v>
      </c>
      <c r="U17" s="152"/>
      <c r="V17" s="148">
        <f t="shared" ref="V16:V30" si="38">V16</f>
        <v>8076417</v>
      </c>
      <c r="W17" s="131">
        <f t="shared" si="10"/>
        <v>0</v>
      </c>
      <c r="X17" s="20">
        <f t="shared" si="11"/>
        <v>0</v>
      </c>
      <c r="Y17" s="156">
        <f t="shared" si="12"/>
        <v>0</v>
      </c>
      <c r="Z17" s="157">
        <f t="shared" si="13"/>
        <v>0</v>
      </c>
      <c r="AA17" s="3">
        <f t="shared" si="17"/>
        <v>17207.023308800002</v>
      </c>
    </row>
    <row r="18" spans="1:27" s="132" customFormat="1" ht="16.5" thickBot="1" x14ac:dyDescent="0.3">
      <c r="A18" s="9">
        <v>44608</v>
      </c>
      <c r="B18" s="40">
        <v>0</v>
      </c>
      <c r="C18" s="147">
        <f t="shared" si="16"/>
        <v>19333</v>
      </c>
      <c r="D18" s="40">
        <f t="shared" si="3"/>
        <v>0</v>
      </c>
      <c r="E18" s="148">
        <f t="shared" si="31"/>
        <v>29803604</v>
      </c>
      <c r="F18" s="40">
        <f t="shared" si="4"/>
        <v>0</v>
      </c>
      <c r="G18" s="149">
        <f t="shared" si="32"/>
        <v>95121676</v>
      </c>
      <c r="H18" s="40">
        <f t="shared" si="5"/>
        <v>0</v>
      </c>
      <c r="I18" s="154">
        <f t="shared" si="6"/>
        <v>0</v>
      </c>
      <c r="J18" s="148">
        <f t="shared" si="33"/>
        <v>9460200</v>
      </c>
      <c r="K18" s="131">
        <f t="shared" si="14"/>
        <v>0</v>
      </c>
      <c r="L18" s="151">
        <f t="shared" si="34"/>
        <v>9460200</v>
      </c>
      <c r="M18" s="131">
        <f t="shared" si="7"/>
        <v>0</v>
      </c>
      <c r="N18" s="148">
        <f t="shared" si="35"/>
        <v>6325514</v>
      </c>
      <c r="O18" s="131">
        <f t="shared" si="15"/>
        <v>0</v>
      </c>
      <c r="P18" s="151">
        <f t="shared" si="36"/>
        <v>5903292</v>
      </c>
      <c r="Q18" s="131">
        <f t="shared" si="8"/>
        <v>0</v>
      </c>
      <c r="R18" s="148">
        <f t="shared" si="37"/>
        <v>20184086</v>
      </c>
      <c r="S18" s="131">
        <f t="shared" si="9"/>
        <v>0</v>
      </c>
      <c r="T18" s="155">
        <v>0</v>
      </c>
      <c r="U18" s="152"/>
      <c r="V18" s="148">
        <f t="shared" si="38"/>
        <v>8076417</v>
      </c>
      <c r="W18" s="131">
        <f t="shared" si="10"/>
        <v>0</v>
      </c>
      <c r="X18" s="20">
        <f t="shared" si="11"/>
        <v>0</v>
      </c>
      <c r="Y18" s="156">
        <f t="shared" si="12"/>
        <v>0</v>
      </c>
      <c r="Z18" s="157">
        <f t="shared" si="13"/>
        <v>0</v>
      </c>
      <c r="AA18" s="3">
        <f t="shared" si="17"/>
        <v>12360.977324800002</v>
      </c>
    </row>
    <row r="19" spans="1:27" s="132" customFormat="1" ht="16.5" thickBot="1" x14ac:dyDescent="0.3">
      <c r="A19" s="9">
        <v>44609</v>
      </c>
      <c r="B19" s="40">
        <v>0</v>
      </c>
      <c r="C19" s="147">
        <f t="shared" si="16"/>
        <v>19333</v>
      </c>
      <c r="D19" s="40">
        <f t="shared" si="3"/>
        <v>0</v>
      </c>
      <c r="E19" s="148">
        <f t="shared" si="31"/>
        <v>29803604</v>
      </c>
      <c r="F19" s="40">
        <f t="shared" si="4"/>
        <v>0</v>
      </c>
      <c r="G19" s="149">
        <f t="shared" si="32"/>
        <v>95121676</v>
      </c>
      <c r="H19" s="40">
        <f t="shared" si="5"/>
        <v>0</v>
      </c>
      <c r="I19" s="154">
        <f t="shared" si="6"/>
        <v>0</v>
      </c>
      <c r="J19" s="148">
        <f t="shared" si="33"/>
        <v>9460200</v>
      </c>
      <c r="K19" s="131">
        <f t="shared" si="14"/>
        <v>0</v>
      </c>
      <c r="L19" s="151">
        <f t="shared" si="34"/>
        <v>9460200</v>
      </c>
      <c r="M19" s="131">
        <f t="shared" si="7"/>
        <v>0</v>
      </c>
      <c r="N19" s="148">
        <f t="shared" si="35"/>
        <v>6325514</v>
      </c>
      <c r="O19" s="131">
        <f t="shared" si="15"/>
        <v>0</v>
      </c>
      <c r="P19" s="151">
        <f t="shared" si="36"/>
        <v>5903292</v>
      </c>
      <c r="Q19" s="131">
        <f t="shared" si="8"/>
        <v>0</v>
      </c>
      <c r="R19" s="148">
        <f t="shared" si="37"/>
        <v>20184086</v>
      </c>
      <c r="S19" s="131">
        <f t="shared" si="9"/>
        <v>0</v>
      </c>
      <c r="T19" s="155">
        <v>0</v>
      </c>
      <c r="U19" s="152"/>
      <c r="V19" s="148">
        <f t="shared" si="38"/>
        <v>8076417</v>
      </c>
      <c r="W19" s="131">
        <f t="shared" si="10"/>
        <v>0</v>
      </c>
      <c r="X19" s="20">
        <f t="shared" si="11"/>
        <v>0</v>
      </c>
      <c r="Y19" s="156">
        <f t="shared" si="12"/>
        <v>0</v>
      </c>
      <c r="Z19" s="157">
        <f t="shared" si="13"/>
        <v>0</v>
      </c>
      <c r="AA19" s="3">
        <f t="shared" si="17"/>
        <v>5543.2342160000007</v>
      </c>
    </row>
    <row r="20" spans="1:27" s="132" customFormat="1" ht="16.5" thickBot="1" x14ac:dyDescent="0.3">
      <c r="A20" s="9">
        <v>44610</v>
      </c>
      <c r="B20" s="40">
        <v>0</v>
      </c>
      <c r="C20" s="147">
        <f t="shared" si="16"/>
        <v>19333</v>
      </c>
      <c r="D20" s="40">
        <f t="shared" si="3"/>
        <v>0</v>
      </c>
      <c r="E20" s="148">
        <f t="shared" si="31"/>
        <v>29803604</v>
      </c>
      <c r="F20" s="40">
        <f t="shared" si="4"/>
        <v>0</v>
      </c>
      <c r="G20" s="149">
        <f t="shared" si="32"/>
        <v>95121676</v>
      </c>
      <c r="H20" s="40">
        <f t="shared" si="5"/>
        <v>0</v>
      </c>
      <c r="I20" s="154">
        <f t="shared" si="6"/>
        <v>0</v>
      </c>
      <c r="J20" s="148">
        <f t="shared" si="33"/>
        <v>9460200</v>
      </c>
      <c r="K20" s="131">
        <f t="shared" si="14"/>
        <v>0</v>
      </c>
      <c r="L20" s="151">
        <f t="shared" si="34"/>
        <v>9460200</v>
      </c>
      <c r="M20" s="131">
        <f t="shared" si="7"/>
        <v>0</v>
      </c>
      <c r="N20" s="148">
        <f t="shared" si="35"/>
        <v>6325514</v>
      </c>
      <c r="O20" s="131">
        <f t="shared" si="15"/>
        <v>0</v>
      </c>
      <c r="P20" s="151">
        <f t="shared" si="36"/>
        <v>5903292</v>
      </c>
      <c r="Q20" s="131">
        <f t="shared" si="8"/>
        <v>0</v>
      </c>
      <c r="R20" s="148">
        <f t="shared" si="37"/>
        <v>20184086</v>
      </c>
      <c r="S20" s="131">
        <f t="shared" si="9"/>
        <v>0</v>
      </c>
      <c r="T20" s="155">
        <v>0</v>
      </c>
      <c r="U20" s="152"/>
      <c r="V20" s="148">
        <f t="shared" si="38"/>
        <v>8076417</v>
      </c>
      <c r="W20" s="131">
        <f t="shared" si="10"/>
        <v>0</v>
      </c>
      <c r="X20" s="20">
        <f t="shared" si="11"/>
        <v>0</v>
      </c>
      <c r="Y20" s="156">
        <f t="shared" si="12"/>
        <v>0</v>
      </c>
      <c r="Z20" s="157">
        <f t="shared" si="13"/>
        <v>0</v>
      </c>
      <c r="AA20" s="3">
        <f t="shared" si="17"/>
        <v>0</v>
      </c>
    </row>
    <row r="21" spans="1:27" s="132" customFormat="1" ht="16.5" thickBot="1" x14ac:dyDescent="0.3">
      <c r="A21" s="9">
        <v>44611</v>
      </c>
      <c r="B21" s="40">
        <v>0</v>
      </c>
      <c r="C21" s="147">
        <f t="shared" si="16"/>
        <v>19333</v>
      </c>
      <c r="D21" s="40">
        <f t="shared" si="3"/>
        <v>0</v>
      </c>
      <c r="E21" s="148">
        <f t="shared" si="31"/>
        <v>29803604</v>
      </c>
      <c r="F21" s="40">
        <f t="shared" si="4"/>
        <v>0</v>
      </c>
      <c r="G21" s="149">
        <f t="shared" si="32"/>
        <v>95121676</v>
      </c>
      <c r="H21" s="40">
        <f t="shared" si="5"/>
        <v>0</v>
      </c>
      <c r="I21" s="154">
        <f t="shared" si="6"/>
        <v>0</v>
      </c>
      <c r="J21" s="148">
        <f t="shared" si="33"/>
        <v>9460200</v>
      </c>
      <c r="K21" s="131">
        <f t="shared" si="14"/>
        <v>0</v>
      </c>
      <c r="L21" s="151">
        <f t="shared" si="34"/>
        <v>9460200</v>
      </c>
      <c r="M21" s="131">
        <f t="shared" si="7"/>
        <v>0</v>
      </c>
      <c r="N21" s="148">
        <f t="shared" si="35"/>
        <v>6325514</v>
      </c>
      <c r="O21" s="131">
        <f t="shared" si="15"/>
        <v>0</v>
      </c>
      <c r="P21" s="151">
        <f t="shared" si="36"/>
        <v>5903292</v>
      </c>
      <c r="Q21" s="131">
        <f t="shared" si="8"/>
        <v>0</v>
      </c>
      <c r="R21" s="148">
        <f t="shared" si="37"/>
        <v>20184086</v>
      </c>
      <c r="S21" s="131">
        <f t="shared" si="9"/>
        <v>0</v>
      </c>
      <c r="T21" s="155">
        <v>0</v>
      </c>
      <c r="U21" s="152"/>
      <c r="V21" s="148">
        <f t="shared" si="38"/>
        <v>8076417</v>
      </c>
      <c r="W21" s="131">
        <f t="shared" si="10"/>
        <v>0</v>
      </c>
      <c r="X21" s="20">
        <f t="shared" si="11"/>
        <v>0</v>
      </c>
      <c r="Y21" s="156">
        <f t="shared" si="12"/>
        <v>0</v>
      </c>
      <c r="Z21" s="157">
        <f t="shared" si="13"/>
        <v>0</v>
      </c>
      <c r="AA21" s="3">
        <f t="shared" si="17"/>
        <v>0</v>
      </c>
    </row>
    <row r="22" spans="1:27" ht="16.5" thickBot="1" x14ac:dyDescent="0.3">
      <c r="A22" s="9">
        <v>44612</v>
      </c>
      <c r="B22" s="40">
        <v>0</v>
      </c>
      <c r="C22" s="147">
        <f t="shared" si="16"/>
        <v>19333</v>
      </c>
      <c r="D22" s="40">
        <f t="shared" si="3"/>
        <v>0</v>
      </c>
      <c r="E22" s="148">
        <f t="shared" si="31"/>
        <v>29803604</v>
      </c>
      <c r="F22" s="40">
        <f t="shared" si="4"/>
        <v>0</v>
      </c>
      <c r="G22" s="149">
        <f t="shared" si="32"/>
        <v>95121676</v>
      </c>
      <c r="H22" s="40">
        <f t="shared" si="5"/>
        <v>0</v>
      </c>
      <c r="I22" s="150">
        <f t="shared" si="6"/>
        <v>0</v>
      </c>
      <c r="J22" s="148">
        <f t="shared" si="33"/>
        <v>9460200</v>
      </c>
      <c r="K22" s="40">
        <f t="shared" si="14"/>
        <v>0</v>
      </c>
      <c r="L22" s="151">
        <f t="shared" si="34"/>
        <v>9460200</v>
      </c>
      <c r="M22" s="40">
        <f t="shared" si="7"/>
        <v>0</v>
      </c>
      <c r="N22" s="148">
        <f t="shared" si="35"/>
        <v>6325514</v>
      </c>
      <c r="O22" s="40">
        <f t="shared" si="15"/>
        <v>0</v>
      </c>
      <c r="P22" s="151">
        <f t="shared" si="36"/>
        <v>5903292</v>
      </c>
      <c r="Q22" s="40">
        <f t="shared" si="8"/>
        <v>0</v>
      </c>
      <c r="R22" s="148">
        <f t="shared" si="37"/>
        <v>20184086</v>
      </c>
      <c r="S22" s="40">
        <f t="shared" si="9"/>
        <v>0</v>
      </c>
      <c r="T22" s="148">
        <v>0</v>
      </c>
      <c r="U22" s="152"/>
      <c r="V22" s="148">
        <f t="shared" si="38"/>
        <v>8076417</v>
      </c>
      <c r="W22" s="40">
        <f t="shared" si="10"/>
        <v>0</v>
      </c>
      <c r="X22" s="20">
        <f t="shared" si="11"/>
        <v>0</v>
      </c>
      <c r="Y22" s="153">
        <f t="shared" si="12"/>
        <v>0</v>
      </c>
      <c r="Z22" s="3">
        <f t="shared" si="13"/>
        <v>0</v>
      </c>
      <c r="AA22" s="3">
        <f t="shared" si="17"/>
        <v>0</v>
      </c>
    </row>
    <row r="23" spans="1:27" ht="16.5" thickBot="1" x14ac:dyDescent="0.3">
      <c r="A23" s="9">
        <v>44613</v>
      </c>
      <c r="B23" s="40">
        <v>0</v>
      </c>
      <c r="C23" s="147">
        <f t="shared" si="16"/>
        <v>19333</v>
      </c>
      <c r="D23" s="40">
        <f t="shared" si="3"/>
        <v>0</v>
      </c>
      <c r="E23" s="148">
        <f t="shared" si="31"/>
        <v>29803604</v>
      </c>
      <c r="F23" s="40">
        <f t="shared" si="4"/>
        <v>0</v>
      </c>
      <c r="G23" s="149">
        <f t="shared" si="32"/>
        <v>95121676</v>
      </c>
      <c r="H23" s="40">
        <f t="shared" si="5"/>
        <v>0</v>
      </c>
      <c r="I23" s="150">
        <f t="shared" si="6"/>
        <v>0</v>
      </c>
      <c r="J23" s="148">
        <f t="shared" si="33"/>
        <v>9460200</v>
      </c>
      <c r="K23" s="40">
        <f t="shared" si="14"/>
        <v>0</v>
      </c>
      <c r="L23" s="151">
        <f t="shared" si="34"/>
        <v>9460200</v>
      </c>
      <c r="M23" s="40">
        <f t="shared" si="7"/>
        <v>0</v>
      </c>
      <c r="N23" s="148">
        <f t="shared" si="35"/>
        <v>6325514</v>
      </c>
      <c r="O23" s="40">
        <f t="shared" si="15"/>
        <v>0</v>
      </c>
      <c r="P23" s="151">
        <f t="shared" si="36"/>
        <v>5903292</v>
      </c>
      <c r="Q23" s="40">
        <f t="shared" si="8"/>
        <v>0</v>
      </c>
      <c r="R23" s="148">
        <f t="shared" si="37"/>
        <v>20184086</v>
      </c>
      <c r="S23" s="40">
        <f t="shared" si="9"/>
        <v>0</v>
      </c>
      <c r="T23" s="148">
        <v>0</v>
      </c>
      <c r="U23" s="152"/>
      <c r="V23" s="148">
        <f t="shared" si="38"/>
        <v>8076417</v>
      </c>
      <c r="W23" s="40">
        <f t="shared" si="10"/>
        <v>0</v>
      </c>
      <c r="X23" s="20">
        <f t="shared" si="11"/>
        <v>0</v>
      </c>
      <c r="Y23" s="153">
        <f t="shared" si="12"/>
        <v>0</v>
      </c>
      <c r="Z23" s="3">
        <f t="shared" si="13"/>
        <v>0</v>
      </c>
      <c r="AA23" s="3">
        <f t="shared" si="17"/>
        <v>0</v>
      </c>
    </row>
    <row r="24" spans="1:27" ht="16.5" thickBot="1" x14ac:dyDescent="0.3">
      <c r="A24" s="9">
        <v>44614</v>
      </c>
      <c r="B24" s="40">
        <v>0</v>
      </c>
      <c r="C24" s="147">
        <f t="shared" si="16"/>
        <v>19333</v>
      </c>
      <c r="D24" s="40">
        <f t="shared" si="3"/>
        <v>0</v>
      </c>
      <c r="E24" s="148">
        <f t="shared" si="31"/>
        <v>29803604</v>
      </c>
      <c r="F24" s="40">
        <f t="shared" si="4"/>
        <v>0</v>
      </c>
      <c r="G24" s="149">
        <f t="shared" si="32"/>
        <v>95121676</v>
      </c>
      <c r="H24" s="40">
        <f t="shared" si="5"/>
        <v>0</v>
      </c>
      <c r="I24" s="150">
        <f t="shared" si="6"/>
        <v>0</v>
      </c>
      <c r="J24" s="148">
        <f t="shared" si="33"/>
        <v>9460200</v>
      </c>
      <c r="K24" s="40">
        <f t="shared" si="14"/>
        <v>0</v>
      </c>
      <c r="L24" s="151">
        <f t="shared" si="34"/>
        <v>9460200</v>
      </c>
      <c r="M24" s="40">
        <f t="shared" si="7"/>
        <v>0</v>
      </c>
      <c r="N24" s="148">
        <f t="shared" si="35"/>
        <v>6325514</v>
      </c>
      <c r="O24" s="40">
        <f t="shared" si="15"/>
        <v>0</v>
      </c>
      <c r="P24" s="151">
        <f t="shared" si="36"/>
        <v>5903292</v>
      </c>
      <c r="Q24" s="40">
        <f t="shared" si="8"/>
        <v>0</v>
      </c>
      <c r="R24" s="148">
        <f t="shared" si="37"/>
        <v>20184086</v>
      </c>
      <c r="S24" s="40">
        <f t="shared" si="9"/>
        <v>0</v>
      </c>
      <c r="T24" s="148">
        <v>0</v>
      </c>
      <c r="U24" s="152"/>
      <c r="V24" s="148">
        <f t="shared" si="38"/>
        <v>8076417</v>
      </c>
      <c r="W24" s="40">
        <f t="shared" si="10"/>
        <v>0</v>
      </c>
      <c r="X24" s="20">
        <f t="shared" si="11"/>
        <v>0</v>
      </c>
      <c r="Y24" s="153">
        <f t="shared" si="12"/>
        <v>0</v>
      </c>
      <c r="Z24" s="3">
        <f t="shared" si="13"/>
        <v>0</v>
      </c>
      <c r="AA24" s="3">
        <f t="shared" si="17"/>
        <v>0</v>
      </c>
    </row>
    <row r="25" spans="1:27" ht="16.5" thickBot="1" x14ac:dyDescent="0.3">
      <c r="A25" s="9">
        <v>44615</v>
      </c>
      <c r="B25" s="40">
        <v>0</v>
      </c>
      <c r="C25" s="147">
        <f t="shared" si="16"/>
        <v>19333</v>
      </c>
      <c r="D25" s="40">
        <f t="shared" si="3"/>
        <v>0</v>
      </c>
      <c r="E25" s="148">
        <f t="shared" si="31"/>
        <v>29803604</v>
      </c>
      <c r="F25" s="40">
        <f t="shared" si="4"/>
        <v>0</v>
      </c>
      <c r="G25" s="149">
        <f t="shared" si="32"/>
        <v>95121676</v>
      </c>
      <c r="H25" s="40">
        <f t="shared" si="5"/>
        <v>0</v>
      </c>
      <c r="I25" s="150">
        <f t="shared" si="6"/>
        <v>0</v>
      </c>
      <c r="J25" s="148">
        <f t="shared" si="33"/>
        <v>9460200</v>
      </c>
      <c r="K25" s="40">
        <f t="shared" si="14"/>
        <v>0</v>
      </c>
      <c r="L25" s="151">
        <f t="shared" si="34"/>
        <v>9460200</v>
      </c>
      <c r="M25" s="40">
        <f t="shared" si="7"/>
        <v>0</v>
      </c>
      <c r="N25" s="148">
        <f t="shared" si="35"/>
        <v>6325514</v>
      </c>
      <c r="O25" s="40">
        <f t="shared" si="15"/>
        <v>0</v>
      </c>
      <c r="P25" s="151">
        <f t="shared" si="36"/>
        <v>5903292</v>
      </c>
      <c r="Q25" s="40">
        <f t="shared" si="8"/>
        <v>0</v>
      </c>
      <c r="R25" s="148">
        <f t="shared" si="37"/>
        <v>20184086</v>
      </c>
      <c r="S25" s="40">
        <f t="shared" si="9"/>
        <v>0</v>
      </c>
      <c r="T25" s="148">
        <v>0</v>
      </c>
      <c r="U25" s="152"/>
      <c r="V25" s="148">
        <f t="shared" si="38"/>
        <v>8076417</v>
      </c>
      <c r="W25" s="40">
        <f t="shared" si="10"/>
        <v>0</v>
      </c>
      <c r="X25" s="20">
        <f t="shared" si="11"/>
        <v>0</v>
      </c>
      <c r="Y25" s="153">
        <f t="shared" si="12"/>
        <v>0</v>
      </c>
      <c r="Z25" s="3">
        <f t="shared" si="13"/>
        <v>0</v>
      </c>
      <c r="AA25" s="3">
        <f t="shared" si="17"/>
        <v>0</v>
      </c>
    </row>
    <row r="26" spans="1:27" ht="16.5" thickBot="1" x14ac:dyDescent="0.3">
      <c r="A26" s="9">
        <v>44616</v>
      </c>
      <c r="B26" s="40">
        <v>0</v>
      </c>
      <c r="C26" s="147">
        <f t="shared" si="16"/>
        <v>19333</v>
      </c>
      <c r="D26" s="40">
        <f t="shared" si="3"/>
        <v>0</v>
      </c>
      <c r="E26" s="148">
        <f t="shared" si="31"/>
        <v>29803604</v>
      </c>
      <c r="F26" s="40">
        <f t="shared" si="4"/>
        <v>0</v>
      </c>
      <c r="G26" s="149">
        <f t="shared" si="32"/>
        <v>95121676</v>
      </c>
      <c r="H26" s="40">
        <f t="shared" si="5"/>
        <v>0</v>
      </c>
      <c r="I26" s="150">
        <f t="shared" si="6"/>
        <v>0</v>
      </c>
      <c r="J26" s="148">
        <f t="shared" si="33"/>
        <v>9460200</v>
      </c>
      <c r="K26" s="40">
        <f t="shared" si="14"/>
        <v>0</v>
      </c>
      <c r="L26" s="151">
        <f t="shared" si="34"/>
        <v>9460200</v>
      </c>
      <c r="M26" s="40">
        <f t="shared" si="7"/>
        <v>0</v>
      </c>
      <c r="N26" s="148">
        <f t="shared" si="35"/>
        <v>6325514</v>
      </c>
      <c r="O26" s="40">
        <f t="shared" si="15"/>
        <v>0</v>
      </c>
      <c r="P26" s="151">
        <f t="shared" si="36"/>
        <v>5903292</v>
      </c>
      <c r="Q26" s="40">
        <f t="shared" si="8"/>
        <v>0</v>
      </c>
      <c r="R26" s="148">
        <f t="shared" si="37"/>
        <v>20184086</v>
      </c>
      <c r="S26" s="40">
        <f t="shared" si="9"/>
        <v>0</v>
      </c>
      <c r="T26" s="148">
        <v>0</v>
      </c>
      <c r="U26" s="152"/>
      <c r="V26" s="148">
        <f t="shared" si="38"/>
        <v>8076417</v>
      </c>
      <c r="W26" s="40">
        <f t="shared" si="10"/>
        <v>0</v>
      </c>
      <c r="X26" s="20">
        <f t="shared" si="11"/>
        <v>0</v>
      </c>
      <c r="Y26" s="153">
        <f t="shared" si="12"/>
        <v>0</v>
      </c>
      <c r="Z26" s="3">
        <f t="shared" si="13"/>
        <v>0</v>
      </c>
      <c r="AA26" s="3">
        <f t="shared" si="17"/>
        <v>0</v>
      </c>
    </row>
    <row r="27" spans="1:27" ht="16.5" thickBot="1" x14ac:dyDescent="0.3">
      <c r="A27" s="9">
        <v>44617</v>
      </c>
      <c r="B27" s="40">
        <v>0</v>
      </c>
      <c r="C27" s="147">
        <f t="shared" si="16"/>
        <v>19333</v>
      </c>
      <c r="D27" s="40">
        <f t="shared" si="3"/>
        <v>0</v>
      </c>
      <c r="E27" s="148">
        <f t="shared" si="31"/>
        <v>29803604</v>
      </c>
      <c r="F27" s="40">
        <f t="shared" si="4"/>
        <v>0</v>
      </c>
      <c r="G27" s="149">
        <f t="shared" si="32"/>
        <v>95121676</v>
      </c>
      <c r="H27" s="40">
        <f t="shared" si="5"/>
        <v>0</v>
      </c>
      <c r="I27" s="150">
        <f t="shared" si="6"/>
        <v>0</v>
      </c>
      <c r="J27" s="148">
        <f t="shared" si="33"/>
        <v>9460200</v>
      </c>
      <c r="K27" s="40">
        <f t="shared" si="14"/>
        <v>0</v>
      </c>
      <c r="L27" s="151">
        <f t="shared" si="34"/>
        <v>9460200</v>
      </c>
      <c r="M27" s="40">
        <f t="shared" si="7"/>
        <v>0</v>
      </c>
      <c r="N27" s="148">
        <f t="shared" si="35"/>
        <v>6325514</v>
      </c>
      <c r="O27" s="40">
        <f t="shared" si="15"/>
        <v>0</v>
      </c>
      <c r="P27" s="151">
        <f t="shared" si="36"/>
        <v>5903292</v>
      </c>
      <c r="Q27" s="40">
        <f t="shared" si="8"/>
        <v>0</v>
      </c>
      <c r="R27" s="148">
        <f t="shared" si="37"/>
        <v>20184086</v>
      </c>
      <c r="S27" s="40">
        <f t="shared" si="9"/>
        <v>0</v>
      </c>
      <c r="T27" s="148">
        <v>0</v>
      </c>
      <c r="U27" s="152"/>
      <c r="V27" s="148">
        <f t="shared" si="38"/>
        <v>8076417</v>
      </c>
      <c r="W27" s="40">
        <f t="shared" si="10"/>
        <v>0</v>
      </c>
      <c r="X27" s="20">
        <f t="shared" si="11"/>
        <v>0</v>
      </c>
      <c r="Y27" s="153">
        <f t="shared" si="12"/>
        <v>0</v>
      </c>
      <c r="Z27" s="3">
        <f t="shared" si="13"/>
        <v>0</v>
      </c>
      <c r="AA27" s="3">
        <f t="shared" si="17"/>
        <v>0</v>
      </c>
    </row>
    <row r="28" spans="1:27" ht="16.5" thickBot="1" x14ac:dyDescent="0.3">
      <c r="A28" s="9">
        <v>44618</v>
      </c>
      <c r="B28" s="40">
        <v>0</v>
      </c>
      <c r="C28" s="147">
        <f t="shared" si="16"/>
        <v>19333</v>
      </c>
      <c r="D28" s="40">
        <f t="shared" si="3"/>
        <v>0</v>
      </c>
      <c r="E28" s="148">
        <f t="shared" si="31"/>
        <v>29803604</v>
      </c>
      <c r="F28" s="40">
        <f t="shared" si="4"/>
        <v>0</v>
      </c>
      <c r="G28" s="149">
        <f t="shared" si="32"/>
        <v>95121676</v>
      </c>
      <c r="H28" s="40">
        <f t="shared" si="5"/>
        <v>0</v>
      </c>
      <c r="I28" s="150">
        <f t="shared" si="6"/>
        <v>0</v>
      </c>
      <c r="J28" s="148">
        <f t="shared" si="33"/>
        <v>9460200</v>
      </c>
      <c r="K28" s="40">
        <f t="shared" si="14"/>
        <v>0</v>
      </c>
      <c r="L28" s="151">
        <f t="shared" si="34"/>
        <v>9460200</v>
      </c>
      <c r="M28" s="40">
        <f t="shared" si="7"/>
        <v>0</v>
      </c>
      <c r="N28" s="148">
        <f t="shared" si="35"/>
        <v>6325514</v>
      </c>
      <c r="O28" s="40">
        <f t="shared" si="15"/>
        <v>0</v>
      </c>
      <c r="P28" s="151">
        <f t="shared" si="36"/>
        <v>5903292</v>
      </c>
      <c r="Q28" s="40">
        <f t="shared" si="8"/>
        <v>0</v>
      </c>
      <c r="R28" s="148">
        <f t="shared" si="37"/>
        <v>20184086</v>
      </c>
      <c r="S28" s="40">
        <f t="shared" si="9"/>
        <v>0</v>
      </c>
      <c r="T28" s="148">
        <v>0</v>
      </c>
      <c r="U28" s="152"/>
      <c r="V28" s="148">
        <f t="shared" si="38"/>
        <v>8076417</v>
      </c>
      <c r="W28" s="40">
        <f t="shared" si="10"/>
        <v>0</v>
      </c>
      <c r="X28" s="20">
        <f t="shared" si="11"/>
        <v>0</v>
      </c>
      <c r="Y28" s="153">
        <f t="shared" si="12"/>
        <v>0</v>
      </c>
      <c r="Z28" s="3">
        <f t="shared" si="13"/>
        <v>0</v>
      </c>
      <c r="AA28" s="3">
        <f t="shared" si="17"/>
        <v>0</v>
      </c>
    </row>
    <row r="29" spans="1:27" ht="16.5" thickBot="1" x14ac:dyDescent="0.3">
      <c r="A29" s="9">
        <v>44619</v>
      </c>
      <c r="B29" s="40">
        <v>0</v>
      </c>
      <c r="C29" s="147">
        <f t="shared" si="16"/>
        <v>19333</v>
      </c>
      <c r="D29" s="40">
        <f t="shared" si="3"/>
        <v>0</v>
      </c>
      <c r="E29" s="148">
        <f t="shared" si="31"/>
        <v>29803604</v>
      </c>
      <c r="F29" s="40">
        <f t="shared" si="4"/>
        <v>0</v>
      </c>
      <c r="G29" s="149">
        <f t="shared" si="32"/>
        <v>95121676</v>
      </c>
      <c r="H29" s="40">
        <f t="shared" si="5"/>
        <v>0</v>
      </c>
      <c r="I29" s="150">
        <f t="shared" si="6"/>
        <v>0</v>
      </c>
      <c r="J29" s="148">
        <f t="shared" si="33"/>
        <v>9460200</v>
      </c>
      <c r="K29" s="40">
        <f t="shared" si="14"/>
        <v>0</v>
      </c>
      <c r="L29" s="151">
        <f t="shared" si="34"/>
        <v>9460200</v>
      </c>
      <c r="M29" s="40">
        <f t="shared" si="7"/>
        <v>0</v>
      </c>
      <c r="N29" s="148">
        <f t="shared" si="35"/>
        <v>6325514</v>
      </c>
      <c r="O29" s="40">
        <f t="shared" si="15"/>
        <v>0</v>
      </c>
      <c r="P29" s="151">
        <f t="shared" si="36"/>
        <v>5903292</v>
      </c>
      <c r="Q29" s="40">
        <f t="shared" si="8"/>
        <v>0</v>
      </c>
      <c r="R29" s="148">
        <f t="shared" si="37"/>
        <v>20184086</v>
      </c>
      <c r="S29" s="40">
        <f t="shared" si="9"/>
        <v>0</v>
      </c>
      <c r="T29" s="148">
        <v>0</v>
      </c>
      <c r="U29" s="152"/>
      <c r="V29" s="148">
        <f t="shared" si="38"/>
        <v>8076417</v>
      </c>
      <c r="W29" s="40">
        <f t="shared" si="10"/>
        <v>0</v>
      </c>
      <c r="X29" s="20">
        <f t="shared" si="11"/>
        <v>0</v>
      </c>
      <c r="Y29" s="153">
        <f t="shared" si="12"/>
        <v>0</v>
      </c>
      <c r="Z29" s="3">
        <f t="shared" si="13"/>
        <v>0</v>
      </c>
      <c r="AA29" s="3">
        <f t="shared" si="17"/>
        <v>0</v>
      </c>
    </row>
    <row r="30" spans="1:27" ht="16.5" thickBot="1" x14ac:dyDescent="0.3">
      <c r="A30" s="9">
        <v>44620</v>
      </c>
      <c r="B30" s="40">
        <v>0</v>
      </c>
      <c r="C30" s="147">
        <f t="shared" si="16"/>
        <v>19333</v>
      </c>
      <c r="D30" s="40">
        <f t="shared" si="3"/>
        <v>0</v>
      </c>
      <c r="E30" s="148">
        <f t="shared" si="31"/>
        <v>29803604</v>
      </c>
      <c r="F30" s="40">
        <f t="shared" si="4"/>
        <v>0</v>
      </c>
      <c r="G30" s="149">
        <f t="shared" si="32"/>
        <v>95121676</v>
      </c>
      <c r="H30" s="40">
        <f t="shared" si="5"/>
        <v>0</v>
      </c>
      <c r="I30" s="150">
        <f t="shared" si="6"/>
        <v>0</v>
      </c>
      <c r="J30" s="148">
        <f t="shared" si="33"/>
        <v>9460200</v>
      </c>
      <c r="K30" s="40">
        <f t="shared" si="14"/>
        <v>0</v>
      </c>
      <c r="L30" s="151">
        <f t="shared" si="34"/>
        <v>9460200</v>
      </c>
      <c r="M30" s="40">
        <f t="shared" si="7"/>
        <v>0</v>
      </c>
      <c r="N30" s="148">
        <f t="shared" si="35"/>
        <v>6325514</v>
      </c>
      <c r="O30" s="40">
        <f t="shared" si="15"/>
        <v>0</v>
      </c>
      <c r="P30" s="151">
        <f t="shared" si="36"/>
        <v>5903292</v>
      </c>
      <c r="Q30" s="40">
        <f t="shared" si="8"/>
        <v>0</v>
      </c>
      <c r="R30" s="148">
        <f t="shared" si="37"/>
        <v>20184086</v>
      </c>
      <c r="S30" s="40">
        <f t="shared" si="9"/>
        <v>0</v>
      </c>
      <c r="T30" s="148">
        <v>0</v>
      </c>
      <c r="U30" s="152"/>
      <c r="V30" s="148">
        <f t="shared" si="38"/>
        <v>8076417</v>
      </c>
      <c r="W30" s="40">
        <f t="shared" si="10"/>
        <v>0</v>
      </c>
      <c r="X30" s="20">
        <f t="shared" si="11"/>
        <v>0</v>
      </c>
      <c r="Y30" s="153">
        <f t="shared" si="12"/>
        <v>0</v>
      </c>
      <c r="Z30" s="3">
        <f t="shared" si="13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9">
        <f>SUM(B3:B30)</f>
        <v>2824</v>
      </c>
      <c r="C31" s="139"/>
      <c r="D31" s="139">
        <f>SUM(D3:D30)</f>
        <v>2720</v>
      </c>
      <c r="E31" s="57">
        <v>0</v>
      </c>
      <c r="F31" s="57">
        <f>SUM(F3:F30)</f>
        <v>134273</v>
      </c>
      <c r="G31" s="57">
        <v>0</v>
      </c>
      <c r="H31" s="57">
        <f>SUM(H3:H30)</f>
        <v>522044</v>
      </c>
      <c r="I31" s="57">
        <f>SUM(I6:I30)</f>
        <v>529593</v>
      </c>
      <c r="J31" s="57">
        <v>0</v>
      </c>
      <c r="K31" s="57">
        <f>SUM(K3:K30)</f>
        <v>148396</v>
      </c>
      <c r="L31" s="57">
        <v>0</v>
      </c>
      <c r="M31" s="57">
        <f>SUM(M3:M30)</f>
        <v>65657</v>
      </c>
      <c r="N31" s="57">
        <v>0</v>
      </c>
      <c r="O31" s="57">
        <f>SUM(O3:O30)</f>
        <v>66618</v>
      </c>
      <c r="P31" s="57">
        <v>0</v>
      </c>
      <c r="Q31" s="57">
        <f>SUM(Q3:Q30)</f>
        <v>42747</v>
      </c>
      <c r="R31" s="57">
        <v>0</v>
      </c>
      <c r="S31" s="57">
        <f>SUM(S3:S30)</f>
        <v>134154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134165</v>
      </c>
      <c r="X31" s="57">
        <f>SUM(X6:X30)</f>
        <v>481619</v>
      </c>
      <c r="Y31" s="57">
        <f>SUM(Y3:Y30)</f>
        <v>64580</v>
      </c>
      <c r="Z31" s="57">
        <f>SUM(Z3:Z30)</f>
        <v>80957.652068800002</v>
      </c>
      <c r="AA31" s="57">
        <f>SUM(AA3:AA30)</f>
        <v>318862.78544639994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H17" sqref="H17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v>438551</v>
      </c>
      <c r="C4" s="40">
        <f t="shared" si="2"/>
        <v>810</v>
      </c>
      <c r="D4" s="3">
        <v>2951</v>
      </c>
      <c r="E4" s="40">
        <f t="shared" ref="E4:E30" si="3">(D4-D3)*10</f>
        <v>500</v>
      </c>
      <c r="F4" s="3">
        <v>7692700</v>
      </c>
      <c r="G4" s="40">
        <f>(IF((F4-F3)&lt;0,"0",(F4-F3)))*0.027</f>
        <v>251.1</v>
      </c>
      <c r="H4" s="3">
        <v>772251</v>
      </c>
      <c r="I4" s="45">
        <f>(IF((H4-H3)&lt;0,"0",(H4-H3)))*0.027</f>
        <v>5.67</v>
      </c>
      <c r="J4" s="20">
        <f t="shared" ref="J4:J30" si="4">C4+E4+G4+I4</f>
        <v>1566.77</v>
      </c>
      <c r="K4" s="21">
        <f t="shared" ref="K4:K30" si="5">J4*5.86</f>
        <v>9181.2722000000012</v>
      </c>
    </row>
    <row r="5" spans="1:14" ht="16.5" thickBot="1" x14ac:dyDescent="0.3">
      <c r="A5" s="9">
        <v>44595</v>
      </c>
      <c r="B5" s="3">
        <v>438632</v>
      </c>
      <c r="C5" s="40">
        <f t="shared" si="2"/>
        <v>810</v>
      </c>
      <c r="D5" s="3">
        <v>3001</v>
      </c>
      <c r="E5" s="40">
        <f t="shared" si="3"/>
        <v>500</v>
      </c>
      <c r="F5" s="3">
        <v>7702000</v>
      </c>
      <c r="G5" s="40">
        <f t="shared" ref="G5:G30" si="6">(IF((F5-F4)&lt;0,"0",(F5-F4)))*0.027</f>
        <v>251.1</v>
      </c>
      <c r="H5" s="3">
        <v>772461</v>
      </c>
      <c r="I5" s="45">
        <f t="shared" ref="I5:I30" si="7">(IF((H5-H4)&lt;0,"0",(H5-H4)))*0.027</f>
        <v>5.67</v>
      </c>
      <c r="J5" s="20">
        <f t="shared" si="4"/>
        <v>1566.77</v>
      </c>
      <c r="K5" s="21">
        <f t="shared" si="5"/>
        <v>9181.2722000000012</v>
      </c>
    </row>
    <row r="6" spans="1:14" ht="16.5" thickBot="1" x14ac:dyDescent="0.3">
      <c r="A6" s="9">
        <v>44596</v>
      </c>
      <c r="B6" s="3">
        <v>438706</v>
      </c>
      <c r="C6" s="40">
        <f t="shared" si="2"/>
        <v>740</v>
      </c>
      <c r="D6" s="3">
        <v>3047</v>
      </c>
      <c r="E6" s="40">
        <f t="shared" si="3"/>
        <v>460</v>
      </c>
      <c r="F6" s="3">
        <v>7709800</v>
      </c>
      <c r="G6" s="40">
        <f t="shared" si="6"/>
        <v>210.6</v>
      </c>
      <c r="H6" s="3">
        <v>772644</v>
      </c>
      <c r="I6" s="45">
        <f t="shared" si="7"/>
        <v>4.9409999999999998</v>
      </c>
      <c r="J6" s="20">
        <f t="shared" si="4"/>
        <v>1415.5409999999999</v>
      </c>
      <c r="K6" s="21">
        <f t="shared" si="5"/>
        <v>8295.0702600000004</v>
      </c>
    </row>
    <row r="7" spans="1:14" ht="16.5" thickBot="1" x14ac:dyDescent="0.3">
      <c r="A7" s="9">
        <v>44597</v>
      </c>
      <c r="B7" s="3">
        <v>438790</v>
      </c>
      <c r="C7" s="40">
        <f t="shared" si="2"/>
        <v>840</v>
      </c>
      <c r="D7" s="3">
        <v>3094</v>
      </c>
      <c r="E7" s="40">
        <f t="shared" si="3"/>
        <v>470</v>
      </c>
      <c r="F7" s="3">
        <v>7717300</v>
      </c>
      <c r="G7" s="40">
        <f t="shared" si="6"/>
        <v>202.5</v>
      </c>
      <c r="H7" s="3">
        <v>772851</v>
      </c>
      <c r="I7" s="45">
        <f t="shared" si="7"/>
        <v>5.5889999999999995</v>
      </c>
      <c r="J7" s="20">
        <f t="shared" si="4"/>
        <v>1518.0889999999999</v>
      </c>
      <c r="K7" s="21">
        <f t="shared" si="5"/>
        <v>8896.0015399999993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v>438874</v>
      </c>
      <c r="C8" s="40">
        <f t="shared" si="2"/>
        <v>840</v>
      </c>
      <c r="D8" s="3">
        <v>3146</v>
      </c>
      <c r="E8" s="40">
        <f t="shared" si="3"/>
        <v>520</v>
      </c>
      <c r="F8" s="3">
        <v>7725000</v>
      </c>
      <c r="G8" s="40">
        <f t="shared" si="6"/>
        <v>207.9</v>
      </c>
      <c r="H8" s="3">
        <v>773084</v>
      </c>
      <c r="I8" s="45">
        <f t="shared" si="7"/>
        <v>6.2910000000000004</v>
      </c>
      <c r="J8" s="20">
        <f t="shared" si="4"/>
        <v>1574.191</v>
      </c>
      <c r="K8" s="21">
        <f t="shared" si="5"/>
        <v>9224.7592600000007</v>
      </c>
    </row>
    <row r="9" spans="1:14" ht="16.5" thickBot="1" x14ac:dyDescent="0.3">
      <c r="A9" s="9">
        <v>44599</v>
      </c>
      <c r="B9" s="3">
        <v>438954</v>
      </c>
      <c r="C9" s="40">
        <f t="shared" ref="C9:C30" si="8">(IF((B9-B8)&lt;0,"0",(B9-B8)))*10</f>
        <v>800</v>
      </c>
      <c r="D9" s="3">
        <v>3190</v>
      </c>
      <c r="E9" s="40">
        <f t="shared" si="3"/>
        <v>440</v>
      </c>
      <c r="F9" s="3">
        <v>7734100</v>
      </c>
      <c r="G9" s="40">
        <f t="shared" si="6"/>
        <v>245.7</v>
      </c>
      <c r="H9" s="3">
        <v>773294</v>
      </c>
      <c r="I9" s="45">
        <f t="shared" si="7"/>
        <v>5.67</v>
      </c>
      <c r="J9" s="20">
        <f t="shared" si="4"/>
        <v>1491.3700000000001</v>
      </c>
      <c r="K9" s="21">
        <f t="shared" si="5"/>
        <v>8739.4282000000003</v>
      </c>
    </row>
    <row r="10" spans="1:14" ht="16.5" thickBot="1" x14ac:dyDescent="0.3">
      <c r="A10" s="9">
        <v>44600</v>
      </c>
      <c r="B10" s="3">
        <v>439043</v>
      </c>
      <c r="C10" s="40">
        <f>(IF((B10-B9)&lt;0,"0",(B10-B9)))*10</f>
        <v>890</v>
      </c>
      <c r="D10" s="3">
        <v>3237</v>
      </c>
      <c r="E10" s="40">
        <f t="shared" si="3"/>
        <v>470</v>
      </c>
      <c r="F10" s="3">
        <v>7746400</v>
      </c>
      <c r="G10" s="40">
        <f t="shared" si="6"/>
        <v>332.1</v>
      </c>
      <c r="H10" s="3">
        <v>773519</v>
      </c>
      <c r="I10" s="45">
        <f t="shared" si="7"/>
        <v>6.0750000000000002</v>
      </c>
      <c r="J10" s="20">
        <f t="shared" si="4"/>
        <v>1698.175</v>
      </c>
      <c r="K10" s="21">
        <f t="shared" si="5"/>
        <v>9951.3055000000004</v>
      </c>
    </row>
    <row r="11" spans="1:14" ht="16.5" thickBot="1" x14ac:dyDescent="0.3">
      <c r="A11" s="9">
        <v>44601</v>
      </c>
      <c r="B11" s="3">
        <v>439129</v>
      </c>
      <c r="C11" s="40">
        <f t="shared" si="8"/>
        <v>860</v>
      </c>
      <c r="D11" s="3">
        <v>3285</v>
      </c>
      <c r="E11" s="40">
        <f t="shared" si="3"/>
        <v>480</v>
      </c>
      <c r="F11" s="3">
        <v>7755500</v>
      </c>
      <c r="G11" s="40">
        <f t="shared" si="6"/>
        <v>245.7</v>
      </c>
      <c r="H11" s="3">
        <v>773763</v>
      </c>
      <c r="I11" s="45">
        <f t="shared" si="7"/>
        <v>6.5880000000000001</v>
      </c>
      <c r="J11" s="20">
        <f t="shared" si="4"/>
        <v>1592.288</v>
      </c>
      <c r="K11" s="21">
        <f t="shared" si="5"/>
        <v>9330.8076799999999</v>
      </c>
      <c r="N11" t="s">
        <v>12</v>
      </c>
    </row>
    <row r="12" spans="1:14" ht="16.5" thickBot="1" x14ac:dyDescent="0.3">
      <c r="A12" s="9">
        <v>44602</v>
      </c>
      <c r="B12" s="3">
        <v>439216</v>
      </c>
      <c r="C12" s="40">
        <f t="shared" si="8"/>
        <v>870</v>
      </c>
      <c r="D12" s="3">
        <v>3333</v>
      </c>
      <c r="E12" s="40">
        <f t="shared" si="3"/>
        <v>480</v>
      </c>
      <c r="F12" s="3">
        <v>7766500</v>
      </c>
      <c r="G12" s="40">
        <f t="shared" si="6"/>
        <v>297</v>
      </c>
      <c r="H12" s="3">
        <v>773961</v>
      </c>
      <c r="I12" s="45">
        <f t="shared" si="7"/>
        <v>5.3460000000000001</v>
      </c>
      <c r="J12" s="20">
        <f t="shared" si="4"/>
        <v>1652.346</v>
      </c>
      <c r="K12" s="21">
        <f t="shared" si="5"/>
        <v>9682.7475599999998</v>
      </c>
    </row>
    <row r="13" spans="1:14" ht="16.5" thickBot="1" x14ac:dyDescent="0.3">
      <c r="A13" s="9">
        <v>44603</v>
      </c>
      <c r="B13" s="3">
        <v>439303</v>
      </c>
      <c r="C13" s="40">
        <f t="shared" si="8"/>
        <v>870</v>
      </c>
      <c r="D13" s="3">
        <v>3381</v>
      </c>
      <c r="E13" s="40">
        <f t="shared" si="3"/>
        <v>480</v>
      </c>
      <c r="F13" s="3">
        <v>7777500</v>
      </c>
      <c r="G13" s="40">
        <f t="shared" si="6"/>
        <v>297</v>
      </c>
      <c r="H13" s="3">
        <v>774159</v>
      </c>
      <c r="I13" s="45">
        <f t="shared" si="7"/>
        <v>5.3460000000000001</v>
      </c>
      <c r="J13" s="20">
        <f t="shared" si="4"/>
        <v>1652.346</v>
      </c>
      <c r="K13" s="21">
        <f t="shared" si="5"/>
        <v>9682.7475599999998</v>
      </c>
    </row>
    <row r="14" spans="1:14" ht="16.5" thickBot="1" x14ac:dyDescent="0.3">
      <c r="A14" s="9">
        <v>44604</v>
      </c>
      <c r="B14" s="3">
        <v>439369</v>
      </c>
      <c r="C14" s="40">
        <f t="shared" si="8"/>
        <v>660</v>
      </c>
      <c r="D14" s="3">
        <f t="shared" ref="D14:D30" si="9">D13</f>
        <v>3381</v>
      </c>
      <c r="E14" s="40">
        <f t="shared" si="3"/>
        <v>0</v>
      </c>
      <c r="F14" s="3">
        <f t="shared" ref="F14:F30" si="10">F13</f>
        <v>7777500</v>
      </c>
      <c r="G14" s="40">
        <f t="shared" si="6"/>
        <v>0</v>
      </c>
      <c r="H14" s="3">
        <f t="shared" ref="H14:H30" si="11">H13</f>
        <v>774159</v>
      </c>
      <c r="I14" s="45">
        <f t="shared" si="7"/>
        <v>0</v>
      </c>
      <c r="J14" s="20">
        <f t="shared" si="4"/>
        <v>660</v>
      </c>
      <c r="K14" s="21">
        <f t="shared" si="5"/>
        <v>3867.6000000000004</v>
      </c>
    </row>
    <row r="15" spans="1:14" ht="16.5" thickBot="1" x14ac:dyDescent="0.3">
      <c r="A15" s="9">
        <v>44605</v>
      </c>
      <c r="B15" s="3">
        <v>439459</v>
      </c>
      <c r="C15" s="40">
        <f t="shared" si="8"/>
        <v>900</v>
      </c>
      <c r="D15" s="3">
        <v>3460</v>
      </c>
      <c r="E15" s="40">
        <f t="shared" si="3"/>
        <v>790</v>
      </c>
      <c r="F15" s="3">
        <v>7795800</v>
      </c>
      <c r="G15" s="40">
        <f t="shared" si="6"/>
        <v>494.1</v>
      </c>
      <c r="H15" s="3">
        <v>774536</v>
      </c>
      <c r="I15" s="45">
        <f t="shared" si="7"/>
        <v>10.179</v>
      </c>
      <c r="J15" s="20">
        <f t="shared" si="4"/>
        <v>2194.279</v>
      </c>
      <c r="K15" s="21">
        <f t="shared" si="5"/>
        <v>12858.47494</v>
      </c>
    </row>
    <row r="16" spans="1:14" ht="16.5" thickBot="1" x14ac:dyDescent="0.3">
      <c r="A16" s="9">
        <v>44606</v>
      </c>
      <c r="B16" s="3">
        <v>439542</v>
      </c>
      <c r="C16" s="40">
        <f t="shared" si="8"/>
        <v>830</v>
      </c>
      <c r="D16" s="3">
        <v>3504</v>
      </c>
      <c r="E16" s="40">
        <f t="shared" si="3"/>
        <v>440</v>
      </c>
      <c r="F16" s="3">
        <v>7806100</v>
      </c>
      <c r="G16" s="40">
        <f t="shared" si="6"/>
        <v>278.10000000000002</v>
      </c>
      <c r="H16" s="3">
        <v>774768</v>
      </c>
      <c r="I16" s="45">
        <f t="shared" si="7"/>
        <v>6.2640000000000002</v>
      </c>
      <c r="J16" s="20">
        <f t="shared" si="4"/>
        <v>1554.3639999999998</v>
      </c>
      <c r="K16" s="21">
        <f t="shared" si="5"/>
        <v>9108.5730399999993</v>
      </c>
    </row>
    <row r="17" spans="1:25" ht="16.5" thickBot="1" x14ac:dyDescent="0.3">
      <c r="A17" s="9">
        <v>44607</v>
      </c>
      <c r="B17" s="3">
        <f t="shared" ref="B16:B30" si="12">B16</f>
        <v>439542</v>
      </c>
      <c r="C17" s="40">
        <f t="shared" si="8"/>
        <v>0</v>
      </c>
      <c r="D17" s="3">
        <f t="shared" si="9"/>
        <v>3504</v>
      </c>
      <c r="E17" s="40">
        <f t="shared" si="3"/>
        <v>0</v>
      </c>
      <c r="F17" s="3">
        <f t="shared" si="10"/>
        <v>7806100</v>
      </c>
      <c r="G17" s="40">
        <f t="shared" si="6"/>
        <v>0</v>
      </c>
      <c r="H17" s="3">
        <f t="shared" si="11"/>
        <v>774768</v>
      </c>
      <c r="I17" s="45">
        <f t="shared" si="7"/>
        <v>0</v>
      </c>
      <c r="J17" s="20">
        <f t="shared" si="4"/>
        <v>0</v>
      </c>
      <c r="K17" s="21">
        <f t="shared" si="5"/>
        <v>0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f t="shared" si="12"/>
        <v>439542</v>
      </c>
      <c r="C18" s="40">
        <f t="shared" si="8"/>
        <v>0</v>
      </c>
      <c r="D18" s="3">
        <f t="shared" si="9"/>
        <v>3504</v>
      </c>
      <c r="E18" s="40">
        <f t="shared" si="3"/>
        <v>0</v>
      </c>
      <c r="F18" s="3">
        <f t="shared" si="10"/>
        <v>7806100</v>
      </c>
      <c r="G18" s="40">
        <f t="shared" si="6"/>
        <v>0</v>
      </c>
      <c r="H18" s="3">
        <f t="shared" si="11"/>
        <v>774768</v>
      </c>
      <c r="I18" s="45">
        <f t="shared" si="7"/>
        <v>0</v>
      </c>
      <c r="J18" s="20">
        <f t="shared" si="4"/>
        <v>0</v>
      </c>
      <c r="K18" s="21">
        <f t="shared" si="5"/>
        <v>0</v>
      </c>
      <c r="Q18" t="s">
        <v>43</v>
      </c>
    </row>
    <row r="19" spans="1:25" ht="16.5" thickBot="1" x14ac:dyDescent="0.3">
      <c r="A19" s="9">
        <v>44609</v>
      </c>
      <c r="B19" s="3">
        <f t="shared" si="12"/>
        <v>439542</v>
      </c>
      <c r="C19" s="40">
        <f t="shared" si="8"/>
        <v>0</v>
      </c>
      <c r="D19" s="3">
        <f t="shared" si="9"/>
        <v>3504</v>
      </c>
      <c r="E19" s="40">
        <f t="shared" si="3"/>
        <v>0</v>
      </c>
      <c r="F19" s="3">
        <f t="shared" si="10"/>
        <v>7806100</v>
      </c>
      <c r="G19" s="40">
        <f t="shared" si="6"/>
        <v>0</v>
      </c>
      <c r="H19" s="3">
        <f t="shared" si="11"/>
        <v>774768</v>
      </c>
      <c r="I19" s="45">
        <f t="shared" si="7"/>
        <v>0</v>
      </c>
      <c r="J19" s="20">
        <f t="shared" si="4"/>
        <v>0</v>
      </c>
      <c r="K19" s="21">
        <f t="shared" si="5"/>
        <v>0</v>
      </c>
      <c r="Q19" t="s">
        <v>12</v>
      </c>
    </row>
    <row r="20" spans="1:25" ht="16.5" thickBot="1" x14ac:dyDescent="0.3">
      <c r="A20" s="9">
        <v>44610</v>
      </c>
      <c r="B20" s="3">
        <f t="shared" si="12"/>
        <v>439542</v>
      </c>
      <c r="C20" s="40">
        <f t="shared" si="8"/>
        <v>0</v>
      </c>
      <c r="D20" s="3">
        <f t="shared" si="9"/>
        <v>3504</v>
      </c>
      <c r="E20" s="40">
        <f t="shared" si="3"/>
        <v>0</v>
      </c>
      <c r="F20" s="3">
        <f t="shared" si="10"/>
        <v>7806100</v>
      </c>
      <c r="G20" s="40">
        <f t="shared" si="6"/>
        <v>0</v>
      </c>
      <c r="H20" s="3">
        <f t="shared" si="11"/>
        <v>774768</v>
      </c>
      <c r="I20" s="45">
        <f t="shared" si="7"/>
        <v>0</v>
      </c>
      <c r="J20" s="20">
        <f t="shared" si="4"/>
        <v>0</v>
      </c>
      <c r="K20" s="21">
        <f t="shared" si="5"/>
        <v>0</v>
      </c>
    </row>
    <row r="21" spans="1:25" ht="16.5" thickBot="1" x14ac:dyDescent="0.3">
      <c r="A21" s="9">
        <v>44611</v>
      </c>
      <c r="B21" s="3">
        <f t="shared" si="12"/>
        <v>439542</v>
      </c>
      <c r="C21" s="40">
        <f t="shared" si="8"/>
        <v>0</v>
      </c>
      <c r="D21" s="3">
        <f t="shared" si="9"/>
        <v>3504</v>
      </c>
      <c r="E21" s="40">
        <f t="shared" si="3"/>
        <v>0</v>
      </c>
      <c r="F21" s="3">
        <f t="shared" si="10"/>
        <v>7806100</v>
      </c>
      <c r="G21" s="40">
        <f t="shared" si="6"/>
        <v>0</v>
      </c>
      <c r="H21" s="3">
        <f t="shared" si="11"/>
        <v>774768</v>
      </c>
      <c r="I21" s="45">
        <f t="shared" si="7"/>
        <v>0</v>
      </c>
      <c r="J21" s="20">
        <f t="shared" si="4"/>
        <v>0</v>
      </c>
      <c r="K21" s="21">
        <f t="shared" si="5"/>
        <v>0</v>
      </c>
    </row>
    <row r="22" spans="1:25" ht="16.5" thickBot="1" x14ac:dyDescent="0.3">
      <c r="A22" s="9">
        <v>44612</v>
      </c>
      <c r="B22" s="3">
        <f t="shared" si="12"/>
        <v>439542</v>
      </c>
      <c r="C22" s="40">
        <f t="shared" si="8"/>
        <v>0</v>
      </c>
      <c r="D22" s="3">
        <f t="shared" si="9"/>
        <v>3504</v>
      </c>
      <c r="E22" s="40">
        <f t="shared" si="3"/>
        <v>0</v>
      </c>
      <c r="F22" s="3">
        <f t="shared" si="10"/>
        <v>7806100</v>
      </c>
      <c r="G22" s="40">
        <f t="shared" si="6"/>
        <v>0</v>
      </c>
      <c r="H22" s="3">
        <f t="shared" si="11"/>
        <v>774768</v>
      </c>
      <c r="I22" s="45">
        <f t="shared" si="7"/>
        <v>0</v>
      </c>
      <c r="J22" s="20">
        <f t="shared" si="4"/>
        <v>0</v>
      </c>
      <c r="K22" s="21">
        <f t="shared" si="5"/>
        <v>0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f t="shared" si="12"/>
        <v>439542</v>
      </c>
      <c r="C23" s="40">
        <f t="shared" si="8"/>
        <v>0</v>
      </c>
      <c r="D23" s="3">
        <f t="shared" si="9"/>
        <v>3504</v>
      </c>
      <c r="E23" s="40">
        <f t="shared" si="3"/>
        <v>0</v>
      </c>
      <c r="F23" s="3">
        <f t="shared" si="10"/>
        <v>7806100</v>
      </c>
      <c r="G23" s="40">
        <f t="shared" si="6"/>
        <v>0</v>
      </c>
      <c r="H23" s="3">
        <f t="shared" si="11"/>
        <v>774768</v>
      </c>
      <c r="I23" s="45">
        <f t="shared" si="7"/>
        <v>0</v>
      </c>
      <c r="J23" s="20">
        <f t="shared" si="4"/>
        <v>0</v>
      </c>
      <c r="K23" s="21">
        <f t="shared" si="5"/>
        <v>0</v>
      </c>
      <c r="Q23" t="s">
        <v>12</v>
      </c>
    </row>
    <row r="24" spans="1:25" ht="16.5" thickBot="1" x14ac:dyDescent="0.3">
      <c r="A24" s="9">
        <v>44614</v>
      </c>
      <c r="B24" s="3">
        <f t="shared" si="12"/>
        <v>439542</v>
      </c>
      <c r="C24" s="40">
        <f t="shared" si="8"/>
        <v>0</v>
      </c>
      <c r="D24" s="3">
        <f t="shared" si="9"/>
        <v>3504</v>
      </c>
      <c r="E24" s="40">
        <f t="shared" si="3"/>
        <v>0</v>
      </c>
      <c r="F24" s="3">
        <f t="shared" si="10"/>
        <v>7806100</v>
      </c>
      <c r="G24" s="40">
        <f t="shared" si="6"/>
        <v>0</v>
      </c>
      <c r="H24" s="3">
        <f t="shared" si="11"/>
        <v>774768</v>
      </c>
      <c r="I24" s="45">
        <f t="shared" si="7"/>
        <v>0</v>
      </c>
      <c r="J24" s="20">
        <f t="shared" si="4"/>
        <v>0</v>
      </c>
      <c r="K24" s="21">
        <f t="shared" si="5"/>
        <v>0</v>
      </c>
    </row>
    <row r="25" spans="1:25" ht="17.25" customHeight="1" thickBot="1" x14ac:dyDescent="0.4">
      <c r="A25" s="9">
        <v>44615</v>
      </c>
      <c r="B25" s="3">
        <f t="shared" si="12"/>
        <v>439542</v>
      </c>
      <c r="C25" s="40">
        <f t="shared" si="8"/>
        <v>0</v>
      </c>
      <c r="D25" s="3">
        <f t="shared" si="9"/>
        <v>3504</v>
      </c>
      <c r="E25" s="40">
        <f t="shared" si="3"/>
        <v>0</v>
      </c>
      <c r="F25" s="3">
        <f t="shared" si="10"/>
        <v>7806100</v>
      </c>
      <c r="G25" s="40">
        <f t="shared" si="6"/>
        <v>0</v>
      </c>
      <c r="H25" s="3">
        <f t="shared" si="11"/>
        <v>774768</v>
      </c>
      <c r="I25" s="45">
        <f t="shared" si="7"/>
        <v>0</v>
      </c>
      <c r="J25" s="20">
        <f t="shared" si="4"/>
        <v>0</v>
      </c>
      <c r="K25" s="21">
        <f t="shared" si="5"/>
        <v>0</v>
      </c>
      <c r="Y25" s="56"/>
    </row>
    <row r="26" spans="1:25" ht="16.5" thickBot="1" x14ac:dyDescent="0.3">
      <c r="A26" s="9">
        <v>44616</v>
      </c>
      <c r="B26" s="3">
        <f t="shared" si="12"/>
        <v>439542</v>
      </c>
      <c r="C26" s="40">
        <f t="shared" si="8"/>
        <v>0</v>
      </c>
      <c r="D26" s="3">
        <f t="shared" si="9"/>
        <v>3504</v>
      </c>
      <c r="E26" s="40">
        <f t="shared" si="3"/>
        <v>0</v>
      </c>
      <c r="F26" s="3">
        <f t="shared" si="10"/>
        <v>7806100</v>
      </c>
      <c r="G26" s="40">
        <f t="shared" si="6"/>
        <v>0</v>
      </c>
      <c r="H26" s="3">
        <f t="shared" si="11"/>
        <v>774768</v>
      </c>
      <c r="I26" s="45">
        <f t="shared" si="7"/>
        <v>0</v>
      </c>
      <c r="J26" s="20">
        <f t="shared" si="4"/>
        <v>0</v>
      </c>
      <c r="K26" s="21">
        <f t="shared" si="5"/>
        <v>0</v>
      </c>
      <c r="L26" t="s">
        <v>12</v>
      </c>
    </row>
    <row r="27" spans="1:25" ht="16.5" thickBot="1" x14ac:dyDescent="0.3">
      <c r="A27" s="9">
        <v>44617</v>
      </c>
      <c r="B27" s="3">
        <f t="shared" si="12"/>
        <v>439542</v>
      </c>
      <c r="C27" s="40">
        <f t="shared" si="8"/>
        <v>0</v>
      </c>
      <c r="D27" s="3">
        <f t="shared" si="9"/>
        <v>3504</v>
      </c>
      <c r="E27" s="40">
        <f t="shared" si="3"/>
        <v>0</v>
      </c>
      <c r="F27" s="3">
        <f t="shared" si="10"/>
        <v>7806100</v>
      </c>
      <c r="G27" s="40">
        <f t="shared" si="6"/>
        <v>0</v>
      </c>
      <c r="H27" s="3">
        <f t="shared" si="11"/>
        <v>774768</v>
      </c>
      <c r="I27" s="45">
        <f t="shared" si="7"/>
        <v>0</v>
      </c>
      <c r="J27" s="20">
        <f t="shared" si="4"/>
        <v>0</v>
      </c>
      <c r="K27" s="21">
        <f t="shared" si="5"/>
        <v>0</v>
      </c>
      <c r="O27" t="s">
        <v>12</v>
      </c>
    </row>
    <row r="28" spans="1:25" ht="16.5" thickBot="1" x14ac:dyDescent="0.3">
      <c r="A28" s="9">
        <v>44618</v>
      </c>
      <c r="B28" s="3">
        <f t="shared" si="12"/>
        <v>439542</v>
      </c>
      <c r="C28" s="40">
        <f t="shared" si="8"/>
        <v>0</v>
      </c>
      <c r="D28" s="3">
        <f t="shared" si="9"/>
        <v>3504</v>
      </c>
      <c r="E28" s="40">
        <f t="shared" si="3"/>
        <v>0</v>
      </c>
      <c r="F28" s="3">
        <f t="shared" si="10"/>
        <v>7806100</v>
      </c>
      <c r="G28" s="40">
        <f t="shared" si="6"/>
        <v>0</v>
      </c>
      <c r="H28" s="3">
        <f t="shared" si="11"/>
        <v>774768</v>
      </c>
      <c r="I28" s="45">
        <f t="shared" si="7"/>
        <v>0</v>
      </c>
      <c r="J28" s="20">
        <f t="shared" si="4"/>
        <v>0</v>
      </c>
      <c r="K28" s="21">
        <f t="shared" si="5"/>
        <v>0</v>
      </c>
    </row>
    <row r="29" spans="1:25" ht="16.5" thickBot="1" x14ac:dyDescent="0.3">
      <c r="A29" s="9">
        <v>44619</v>
      </c>
      <c r="B29" s="3">
        <f t="shared" si="12"/>
        <v>439542</v>
      </c>
      <c r="C29" s="40">
        <f t="shared" si="8"/>
        <v>0</v>
      </c>
      <c r="D29" s="3">
        <f t="shared" si="9"/>
        <v>3504</v>
      </c>
      <c r="E29" s="40">
        <f t="shared" si="3"/>
        <v>0</v>
      </c>
      <c r="F29" s="3">
        <f t="shared" si="10"/>
        <v>7806100</v>
      </c>
      <c r="G29" s="40">
        <f t="shared" si="6"/>
        <v>0</v>
      </c>
      <c r="H29" s="3">
        <f t="shared" si="11"/>
        <v>774768</v>
      </c>
      <c r="I29" s="45">
        <f t="shared" si="7"/>
        <v>0</v>
      </c>
      <c r="J29" s="20">
        <f t="shared" si="4"/>
        <v>0</v>
      </c>
      <c r="K29" s="21">
        <f t="shared" si="5"/>
        <v>0</v>
      </c>
    </row>
    <row r="30" spans="1:25" ht="16.5" thickBot="1" x14ac:dyDescent="0.3">
      <c r="A30" s="9">
        <v>44620</v>
      </c>
      <c r="B30" s="3">
        <f t="shared" si="12"/>
        <v>439542</v>
      </c>
      <c r="C30" s="40">
        <f t="shared" si="8"/>
        <v>0</v>
      </c>
      <c r="D30" s="3">
        <f t="shared" si="9"/>
        <v>3504</v>
      </c>
      <c r="E30" s="40">
        <f t="shared" si="3"/>
        <v>0</v>
      </c>
      <c r="F30" s="3">
        <f t="shared" si="10"/>
        <v>7806100</v>
      </c>
      <c r="G30" s="40">
        <f t="shared" si="6"/>
        <v>0</v>
      </c>
      <c r="H30" s="3">
        <f t="shared" si="11"/>
        <v>774768</v>
      </c>
      <c r="I30" s="45">
        <f t="shared" si="7"/>
        <v>0</v>
      </c>
      <c r="J30" s="20">
        <f t="shared" si="4"/>
        <v>0</v>
      </c>
      <c r="K30" s="21">
        <f t="shared" si="5"/>
        <v>0</v>
      </c>
    </row>
    <row r="31" spans="1:25" ht="16.5" thickBot="1" x14ac:dyDescent="0.3">
      <c r="A31" s="57" t="s">
        <v>23</v>
      </c>
      <c r="B31" s="3"/>
      <c r="C31" s="57">
        <f>SUM(C4:C30)</f>
        <v>10720</v>
      </c>
      <c r="D31" s="3"/>
      <c r="E31" s="57">
        <f>SUM(E4:E30)</f>
        <v>6030</v>
      </c>
      <c r="F31" s="3"/>
      <c r="G31" s="57">
        <f>SUM(G4:G30)</f>
        <v>3312.8999999999996</v>
      </c>
      <c r="H31" s="3"/>
      <c r="I31" s="57">
        <f>SUM(I4:I30)</f>
        <v>73.629000000000005</v>
      </c>
      <c r="J31" s="57">
        <f>SUM(J4:J30)</f>
        <v>20136.528999999999</v>
      </c>
      <c r="K31" s="57">
        <f>SUM(K4:K30)</f>
        <v>118000.05994000002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B17" sqref="B17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v>17980521</v>
      </c>
      <c r="C4" s="46">
        <f t="shared" ref="C4:C30" si="0">IF((B4-B3)&lt;0,"0",(B4-B3))</f>
        <v>3445</v>
      </c>
    </row>
    <row r="5" spans="1:9" ht="24" thickBot="1" x14ac:dyDescent="0.4">
      <c r="A5" s="9">
        <v>44595</v>
      </c>
      <c r="B5" s="134">
        <v>17983896</v>
      </c>
      <c r="C5" s="46">
        <f t="shared" si="0"/>
        <v>3375</v>
      </c>
    </row>
    <row r="6" spans="1:9" ht="24" thickBot="1" x14ac:dyDescent="0.4">
      <c r="A6" s="9">
        <v>44596</v>
      </c>
      <c r="B6" s="134">
        <v>17986985</v>
      </c>
      <c r="C6" s="46">
        <f>IF((B6-B5)&lt;0,"0",(B6-B5))</f>
        <v>3089</v>
      </c>
    </row>
    <row r="7" spans="1:9" ht="24" thickBot="1" x14ac:dyDescent="0.4">
      <c r="A7" s="9">
        <v>44597</v>
      </c>
      <c r="B7" s="134">
        <v>17989955</v>
      </c>
      <c r="C7" s="46">
        <f>IF((B7-B6)&lt;0,"0",(B7-B6))</f>
        <v>2970</v>
      </c>
    </row>
    <row r="8" spans="1:9" ht="24" thickBot="1" x14ac:dyDescent="0.4">
      <c r="A8" s="9">
        <v>44598</v>
      </c>
      <c r="B8" s="134">
        <v>17992612</v>
      </c>
      <c r="C8" s="46">
        <f>IF((B8-B7)&lt;0,"0",(B8-B7))</f>
        <v>2657</v>
      </c>
    </row>
    <row r="9" spans="1:9" ht="24" thickBot="1" x14ac:dyDescent="0.4">
      <c r="A9" s="9">
        <v>44599</v>
      </c>
      <c r="B9" s="134">
        <v>17995107</v>
      </c>
      <c r="C9" s="46">
        <f>IF((B9-B8)&lt;0,"0",(B9-B8))</f>
        <v>2495</v>
      </c>
    </row>
    <row r="10" spans="1:9" ht="24" thickBot="1" x14ac:dyDescent="0.4">
      <c r="A10" s="9">
        <v>44600</v>
      </c>
      <c r="B10" s="134">
        <v>17998580</v>
      </c>
      <c r="C10" s="46">
        <f t="shared" si="0"/>
        <v>3473</v>
      </c>
    </row>
    <row r="11" spans="1:9" ht="24" thickBot="1" x14ac:dyDescent="0.4">
      <c r="A11" s="9">
        <v>44601</v>
      </c>
      <c r="B11" s="134">
        <v>18001660</v>
      </c>
      <c r="C11" s="46">
        <f>IF((B11-B10)&lt;0,"0",(B11-B10))</f>
        <v>3080</v>
      </c>
    </row>
    <row r="12" spans="1:9" ht="24" thickBot="1" x14ac:dyDescent="0.4">
      <c r="A12" s="9">
        <v>44602</v>
      </c>
      <c r="B12" s="134">
        <v>18004576</v>
      </c>
      <c r="C12" s="46">
        <f t="shared" si="0"/>
        <v>2916</v>
      </c>
    </row>
    <row r="13" spans="1:9" ht="24" thickBot="1" x14ac:dyDescent="0.4">
      <c r="A13" s="9">
        <v>44603</v>
      </c>
      <c r="B13" s="134">
        <v>18007461</v>
      </c>
      <c r="C13" s="46">
        <f t="shared" si="0"/>
        <v>2885</v>
      </c>
    </row>
    <row r="14" spans="1:9" ht="24" thickBot="1" x14ac:dyDescent="0.4">
      <c r="A14" s="9">
        <v>44604</v>
      </c>
      <c r="B14" s="134">
        <v>18011539</v>
      </c>
      <c r="C14" s="46">
        <f t="shared" si="0"/>
        <v>4078</v>
      </c>
    </row>
    <row r="15" spans="1:9" ht="24" thickBot="1" x14ac:dyDescent="0.4">
      <c r="A15" s="9">
        <v>44605</v>
      </c>
      <c r="B15" s="134">
        <v>18014356</v>
      </c>
      <c r="C15" s="46">
        <f t="shared" si="0"/>
        <v>2817</v>
      </c>
      <c r="I15" t="s">
        <v>12</v>
      </c>
    </row>
    <row r="16" spans="1:9" ht="26.25" customHeight="1" thickBot="1" x14ac:dyDescent="0.4">
      <c r="A16" s="9">
        <v>44606</v>
      </c>
      <c r="B16" s="134">
        <v>18018268</v>
      </c>
      <c r="C16" s="46">
        <f t="shared" si="0"/>
        <v>3912</v>
      </c>
      <c r="F16" s="158"/>
    </row>
    <row r="17" spans="1:9" ht="25.5" customHeight="1" thickBot="1" x14ac:dyDescent="0.4">
      <c r="A17" s="9">
        <v>44607</v>
      </c>
      <c r="B17" s="134">
        <f t="shared" ref="B16:B30" si="1">B16</f>
        <v>18018268</v>
      </c>
      <c r="C17" s="46">
        <f t="shared" si="0"/>
        <v>0</v>
      </c>
    </row>
    <row r="18" spans="1:9" ht="24" thickBot="1" x14ac:dyDescent="0.4">
      <c r="A18" s="9">
        <v>44608</v>
      </c>
      <c r="B18" s="134">
        <f t="shared" si="1"/>
        <v>18018268</v>
      </c>
      <c r="C18" s="46">
        <f t="shared" si="0"/>
        <v>0</v>
      </c>
      <c r="I18" s="36"/>
    </row>
    <row r="19" spans="1:9" ht="24" thickBot="1" x14ac:dyDescent="0.4">
      <c r="A19" s="9">
        <v>44609</v>
      </c>
      <c r="B19" s="134">
        <f t="shared" si="1"/>
        <v>18018268</v>
      </c>
      <c r="C19" s="46">
        <f t="shared" si="0"/>
        <v>0</v>
      </c>
    </row>
    <row r="20" spans="1:9" ht="24" thickBot="1" x14ac:dyDescent="0.4">
      <c r="A20" s="9">
        <v>44610</v>
      </c>
      <c r="B20" s="134">
        <f t="shared" si="1"/>
        <v>18018268</v>
      </c>
      <c r="C20" s="46">
        <f t="shared" si="0"/>
        <v>0</v>
      </c>
    </row>
    <row r="21" spans="1:9" ht="24" thickBot="1" x14ac:dyDescent="0.4">
      <c r="A21" s="9">
        <v>44611</v>
      </c>
      <c r="B21" s="134">
        <f t="shared" si="1"/>
        <v>18018268</v>
      </c>
      <c r="C21" s="46">
        <f t="shared" si="0"/>
        <v>0</v>
      </c>
    </row>
    <row r="22" spans="1:9" ht="24" thickBot="1" x14ac:dyDescent="0.4">
      <c r="A22" s="9">
        <v>44612</v>
      </c>
      <c r="B22" s="134">
        <f t="shared" si="1"/>
        <v>18018268</v>
      </c>
      <c r="C22" s="46">
        <f t="shared" si="0"/>
        <v>0</v>
      </c>
    </row>
    <row r="23" spans="1:9" ht="24" thickBot="1" x14ac:dyDescent="0.4">
      <c r="A23" s="9">
        <v>44613</v>
      </c>
      <c r="B23" s="134">
        <f t="shared" si="1"/>
        <v>18018268</v>
      </c>
      <c r="C23" s="46">
        <f t="shared" si="0"/>
        <v>0</v>
      </c>
      <c r="F23" t="s">
        <v>12</v>
      </c>
    </row>
    <row r="24" spans="1:9" ht="24" thickBot="1" x14ac:dyDescent="0.4">
      <c r="A24" s="9">
        <v>44614</v>
      </c>
      <c r="B24" s="134">
        <f t="shared" si="1"/>
        <v>18018268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18018268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18018268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18018268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18018268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18018268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18018268</v>
      </c>
      <c r="C30" s="46">
        <f t="shared" si="0"/>
        <v>0</v>
      </c>
    </row>
    <row r="31" spans="1:9" ht="24" thickBot="1" x14ac:dyDescent="0.4">
      <c r="A31" s="170" t="s">
        <v>138</v>
      </c>
      <c r="B31" s="171"/>
      <c r="C31" s="137">
        <f>SUM(C4:C30)</f>
        <v>41192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topLeftCell="M1" zoomScaleNormal="100" workbookViewId="0">
      <pane ySplit="1" topLeftCell="A2" activePane="bottomLeft" state="frozen"/>
      <selection pane="bottomLeft" activeCell="AF17" sqref="AF17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v>22850.916000000001</v>
      </c>
      <c r="C4" s="45">
        <f t="shared" ref="C4:C30" si="22">IF((B4-B3)&lt;0,"0",(B4-B3))</f>
        <v>1.8060000000004948</v>
      </c>
      <c r="D4" s="29">
        <f t="shared" ref="D4:D30" si="23">C4*1.9*1000</f>
        <v>3431.4000000009396</v>
      </c>
      <c r="E4" s="1">
        <v>4099.9129999999996</v>
      </c>
      <c r="F4" s="45">
        <f t="shared" ref="F4:F30" si="24">IF((E4-E3)&lt;0,"0",(E4-E3))</f>
        <v>0.45199999999931606</v>
      </c>
      <c r="G4" s="29">
        <f t="shared" ref="G4:G30" si="25">F4*1.9*1000</f>
        <v>858.79999999870051</v>
      </c>
      <c r="H4" s="1">
        <v>4697</v>
      </c>
      <c r="I4" s="45">
        <f t="shared" ref="I4:I30" si="26">IF((H4-H3)&lt;0,"0",(H4-H3))</f>
        <v>4</v>
      </c>
      <c r="J4" s="29">
        <f t="shared" ref="J4:J30" si="27">I4*1.9*1000</f>
        <v>7600</v>
      </c>
      <c r="K4" s="7">
        <v>13889.7</v>
      </c>
      <c r="L4" s="45">
        <f t="shared" ref="L4:L30" si="28">IF((K4-K3)&lt;0,"0",(K4-K3))</f>
        <v>0</v>
      </c>
      <c r="M4" s="29">
        <f t="shared" ref="M4:M30" si="29">L4*1.9*1000</f>
        <v>0</v>
      </c>
      <c r="N4" s="7">
        <v>3403.902</v>
      </c>
      <c r="O4" s="45">
        <f t="shared" ref="O4:O30" si="30">IF((N4-N3)&lt;0,"0",(N4-N3))</f>
        <v>0.96500000000014552</v>
      </c>
      <c r="P4" s="29">
        <f t="shared" ref="P4:P30" si="31">O4*1.9*1000</f>
        <v>1833.5000000002763</v>
      </c>
      <c r="Q4" s="7">
        <v>5291.12</v>
      </c>
      <c r="R4" s="45" t="str">
        <f t="shared" ref="R4:R30" si="32">IF((Q4-Q3)&lt;0,"0",(Q4-Q3))</f>
        <v>0</v>
      </c>
      <c r="S4" s="29">
        <f t="shared" ref="S4:S30" si="33">R4*1.9*1000</f>
        <v>0</v>
      </c>
      <c r="T4" s="8">
        <f>C4+F4+I4+L4+O4+R4</f>
        <v>7.2229999999999563</v>
      </c>
      <c r="U4" s="31">
        <f t="shared" ref="U4:U30" si="34">T4*1.9*1000</f>
        <v>13723.699999999915</v>
      </c>
      <c r="W4" s="159">
        <v>44563</v>
      </c>
      <c r="X4" s="160">
        <v>164168</v>
      </c>
      <c r="Y4" s="165">
        <f>X4-X3</f>
        <v>20</v>
      </c>
      <c r="Z4" s="160">
        <v>8379</v>
      </c>
      <c r="AA4" s="165">
        <f>Z4-Z3</f>
        <v>4</v>
      </c>
      <c r="AB4" s="160">
        <f t="shared" ref="AB4:AB30" si="35">AB3</f>
        <v>19.57</v>
      </c>
      <c r="AC4" s="166">
        <f t="shared" ref="AC4:AC8" si="36">AB4-AB3</f>
        <v>0</v>
      </c>
      <c r="AD4" s="160">
        <v>177</v>
      </c>
      <c r="AE4" s="166">
        <f t="shared" ref="AE4:AE30" si="37">AD4-AD3</f>
        <v>2</v>
      </c>
      <c r="AF4" s="160">
        <v>5531</v>
      </c>
      <c r="AG4" s="166">
        <f t="shared" ref="AG4:AG30" si="38">AF4-AF3</f>
        <v>0</v>
      </c>
    </row>
    <row r="5" spans="1:33" ht="16.5" thickBot="1" x14ac:dyDescent="0.25">
      <c r="A5" s="9">
        <v>44595</v>
      </c>
      <c r="B5" s="162">
        <v>22853.059000000001</v>
      </c>
      <c r="C5" s="45">
        <f t="shared" si="22"/>
        <v>2.1430000000000291</v>
      </c>
      <c r="D5" s="29">
        <f t="shared" si="23"/>
        <v>4071.7000000000548</v>
      </c>
      <c r="E5" s="1">
        <v>4100.4250000000002</v>
      </c>
      <c r="F5" s="45">
        <f t="shared" si="24"/>
        <v>0.51200000000062573</v>
      </c>
      <c r="G5" s="29">
        <f t="shared" si="25"/>
        <v>972.80000000118878</v>
      </c>
      <c r="H5" s="1">
        <v>4701</v>
      </c>
      <c r="I5" s="45">
        <f t="shared" si="26"/>
        <v>4</v>
      </c>
      <c r="J5" s="29">
        <f t="shared" si="27"/>
        <v>7600</v>
      </c>
      <c r="K5" s="7">
        <v>13889.7</v>
      </c>
      <c r="L5" s="45">
        <f t="shared" si="28"/>
        <v>0</v>
      </c>
      <c r="M5" s="29">
        <f t="shared" si="29"/>
        <v>0</v>
      </c>
      <c r="N5" s="7">
        <v>3404.9110000000001</v>
      </c>
      <c r="O5" s="45">
        <f t="shared" si="30"/>
        <v>1.0090000000000146</v>
      </c>
      <c r="P5" s="29">
        <f t="shared" si="31"/>
        <v>1917.1000000000276</v>
      </c>
      <c r="Q5" s="7">
        <f t="shared" ref="Q5:Q30" si="39">Q4</f>
        <v>5291.12</v>
      </c>
      <c r="R5" s="45">
        <f t="shared" si="32"/>
        <v>0</v>
      </c>
      <c r="S5" s="29">
        <f t="shared" si="33"/>
        <v>0</v>
      </c>
      <c r="T5" s="8">
        <f>C5+F5+I5+L5+O5+R5</f>
        <v>7.6640000000006694</v>
      </c>
      <c r="U5" s="31">
        <f t="shared" si="34"/>
        <v>14561.60000000127</v>
      </c>
      <c r="W5" s="159">
        <v>44564</v>
      </c>
      <c r="X5" s="160">
        <v>164202</v>
      </c>
      <c r="Y5" s="166">
        <f t="shared" ref="Y5:Y30" si="40">X5-X4</f>
        <v>34</v>
      </c>
      <c r="Z5" s="160">
        <v>8384</v>
      </c>
      <c r="AA5" s="166">
        <f>Z5-Z4</f>
        <v>5</v>
      </c>
      <c r="AB5" s="160">
        <f t="shared" si="35"/>
        <v>19.57</v>
      </c>
      <c r="AC5" s="166">
        <f t="shared" si="36"/>
        <v>0</v>
      </c>
      <c r="AD5" s="160">
        <v>180</v>
      </c>
      <c r="AE5" s="166">
        <f t="shared" si="37"/>
        <v>3</v>
      </c>
      <c r="AF5" s="160">
        <v>5531</v>
      </c>
      <c r="AG5" s="166">
        <f t="shared" si="38"/>
        <v>0</v>
      </c>
    </row>
    <row r="6" spans="1:33" ht="16.5" thickBot="1" x14ac:dyDescent="0.25">
      <c r="A6" s="9">
        <v>44596</v>
      </c>
      <c r="B6" s="162">
        <v>22854.791000000001</v>
      </c>
      <c r="C6" s="45">
        <f t="shared" si="22"/>
        <v>1.7319999999999709</v>
      </c>
      <c r="D6" s="29">
        <f t="shared" si="23"/>
        <v>3290.7999999999442</v>
      </c>
      <c r="E6" s="1">
        <v>4100.759</v>
      </c>
      <c r="F6" s="45">
        <f t="shared" si="24"/>
        <v>0.33399999999983265</v>
      </c>
      <c r="G6" s="29">
        <f t="shared" si="25"/>
        <v>634.59999999968193</v>
      </c>
      <c r="H6" s="1">
        <v>4706</v>
      </c>
      <c r="I6" s="45">
        <f t="shared" si="26"/>
        <v>5</v>
      </c>
      <c r="J6" s="29">
        <f t="shared" si="27"/>
        <v>9500</v>
      </c>
      <c r="K6" s="7">
        <v>13889.7</v>
      </c>
      <c r="L6" s="45">
        <f t="shared" si="28"/>
        <v>0</v>
      </c>
      <c r="M6" s="29">
        <f t="shared" si="29"/>
        <v>0</v>
      </c>
      <c r="N6" s="7">
        <v>3405.8829999999998</v>
      </c>
      <c r="O6" s="45">
        <f t="shared" si="30"/>
        <v>0.97199999999975262</v>
      </c>
      <c r="P6" s="29">
        <f t="shared" si="31"/>
        <v>1846.79999999953</v>
      </c>
      <c r="Q6" s="7">
        <v>5291.12</v>
      </c>
      <c r="R6" s="45">
        <f t="shared" si="32"/>
        <v>0</v>
      </c>
      <c r="S6" s="29">
        <f t="shared" si="33"/>
        <v>0</v>
      </c>
      <c r="T6" s="8">
        <f t="shared" ref="T6:T30" si="41">C6+F6+I6+L6+O6+R6</f>
        <v>8.0379999999995562</v>
      </c>
      <c r="U6" s="31">
        <f t="shared" si="34"/>
        <v>15272.199999999157</v>
      </c>
      <c r="W6" s="159">
        <v>44565</v>
      </c>
      <c r="X6" s="160">
        <v>164232</v>
      </c>
      <c r="Y6" s="166">
        <f t="shared" si="40"/>
        <v>30</v>
      </c>
      <c r="Z6" s="160">
        <v>8390</v>
      </c>
      <c r="AA6" s="166">
        <f>Z6-Z5</f>
        <v>6</v>
      </c>
      <c r="AB6" s="160">
        <f t="shared" si="35"/>
        <v>19.57</v>
      </c>
      <c r="AC6" s="166">
        <f t="shared" si="36"/>
        <v>0</v>
      </c>
      <c r="AD6" s="160">
        <v>184</v>
      </c>
      <c r="AE6" s="166">
        <f t="shared" si="37"/>
        <v>4</v>
      </c>
      <c r="AF6" s="160">
        <v>5531</v>
      </c>
      <c r="AG6" s="166">
        <f t="shared" si="38"/>
        <v>0</v>
      </c>
    </row>
    <row r="7" spans="1:33" ht="16.5" thickBot="1" x14ac:dyDescent="0.25">
      <c r="A7" s="9">
        <v>44597</v>
      </c>
      <c r="B7" s="162">
        <v>22856.703000000001</v>
      </c>
      <c r="C7" s="45">
        <f t="shared" si="22"/>
        <v>1.9120000000002619</v>
      </c>
      <c r="D7" s="29">
        <f t="shared" si="23"/>
        <v>3632.8000000004972</v>
      </c>
      <c r="E7" s="1">
        <v>4101.1379999999999</v>
      </c>
      <c r="F7" s="45">
        <f t="shared" si="24"/>
        <v>0.37899999999990541</v>
      </c>
      <c r="G7" s="29">
        <f t="shared" si="25"/>
        <v>720.09999999982017</v>
      </c>
      <c r="H7" s="1">
        <v>4710</v>
      </c>
      <c r="I7" s="45">
        <f t="shared" si="26"/>
        <v>4</v>
      </c>
      <c r="J7" s="29">
        <f t="shared" si="27"/>
        <v>7600</v>
      </c>
      <c r="K7" s="7">
        <v>13889.7</v>
      </c>
      <c r="L7" s="45">
        <f t="shared" si="28"/>
        <v>0</v>
      </c>
      <c r="M7" s="29">
        <f t="shared" si="29"/>
        <v>0</v>
      </c>
      <c r="N7" s="7">
        <v>3406.8490000000002</v>
      </c>
      <c r="O7" s="45">
        <f t="shared" si="30"/>
        <v>0.96600000000034925</v>
      </c>
      <c r="P7" s="29">
        <f t="shared" si="31"/>
        <v>1835.4000000006633</v>
      </c>
      <c r="Q7" s="7">
        <f t="shared" si="39"/>
        <v>5291.12</v>
      </c>
      <c r="R7" s="45">
        <f t="shared" si="32"/>
        <v>0</v>
      </c>
      <c r="S7" s="29">
        <f t="shared" si="33"/>
        <v>0</v>
      </c>
      <c r="T7" s="8">
        <f t="shared" si="41"/>
        <v>7.2570000000005166</v>
      </c>
      <c r="U7" s="31">
        <f t="shared" si="34"/>
        <v>13788.30000000098</v>
      </c>
      <c r="W7" s="159">
        <v>44566</v>
      </c>
      <c r="X7" s="160">
        <v>164252</v>
      </c>
      <c r="Y7" s="166">
        <f t="shared" si="40"/>
        <v>20</v>
      </c>
      <c r="Z7" s="160">
        <v>8391</v>
      </c>
      <c r="AA7" s="166">
        <f t="shared" ref="AA7:AA29" si="42">Z7-Z6</f>
        <v>1</v>
      </c>
      <c r="AB7" s="160">
        <f t="shared" si="35"/>
        <v>19.57</v>
      </c>
      <c r="AC7" s="166">
        <f t="shared" si="36"/>
        <v>0</v>
      </c>
      <c r="AD7" s="160">
        <v>186</v>
      </c>
      <c r="AE7" s="166">
        <f t="shared" si="37"/>
        <v>2</v>
      </c>
      <c r="AF7" s="160">
        <f t="shared" ref="AF7:AF30" si="43">AF6</f>
        <v>5531</v>
      </c>
      <c r="AG7" s="166">
        <f t="shared" si="38"/>
        <v>0</v>
      </c>
    </row>
    <row r="8" spans="1:33" ht="16.5" thickBot="1" x14ac:dyDescent="0.25">
      <c r="A8" s="9">
        <v>44598</v>
      </c>
      <c r="B8" s="162">
        <v>22858.879000000001</v>
      </c>
      <c r="C8" s="45">
        <f t="shared" si="22"/>
        <v>2.1759999999994761</v>
      </c>
      <c r="D8" s="29">
        <f t="shared" si="23"/>
        <v>4134.3999999990046</v>
      </c>
      <c r="E8" s="1">
        <v>4101.6279999999997</v>
      </c>
      <c r="F8" s="45">
        <f t="shared" si="24"/>
        <v>0.48999999999978172</v>
      </c>
      <c r="G8" s="29">
        <f t="shared" si="25"/>
        <v>930.99999999958527</v>
      </c>
      <c r="H8" s="1">
        <v>4714</v>
      </c>
      <c r="I8" s="45">
        <f t="shared" si="26"/>
        <v>4</v>
      </c>
      <c r="J8" s="29">
        <f t="shared" si="27"/>
        <v>7600</v>
      </c>
      <c r="K8" s="7">
        <v>13889.7</v>
      </c>
      <c r="L8" s="45">
        <f t="shared" si="28"/>
        <v>0</v>
      </c>
      <c r="M8" s="29">
        <f t="shared" si="29"/>
        <v>0</v>
      </c>
      <c r="N8" s="7">
        <v>3407.8829999999998</v>
      </c>
      <c r="O8" s="45">
        <f t="shared" si="30"/>
        <v>1.0339999999996508</v>
      </c>
      <c r="P8" s="29">
        <f t="shared" si="31"/>
        <v>1964.5999999993364</v>
      </c>
      <c r="Q8" s="7">
        <f t="shared" si="39"/>
        <v>5291.12</v>
      </c>
      <c r="R8" s="45">
        <f t="shared" si="32"/>
        <v>0</v>
      </c>
      <c r="S8" s="29">
        <f t="shared" si="33"/>
        <v>0</v>
      </c>
      <c r="T8" s="8">
        <f t="shared" si="41"/>
        <v>7.6999999999989086</v>
      </c>
      <c r="U8" s="31">
        <f t="shared" si="34"/>
        <v>14629.999999997926</v>
      </c>
      <c r="W8" s="159">
        <v>44567</v>
      </c>
      <c r="X8" s="160">
        <v>164262</v>
      </c>
      <c r="Y8" s="166">
        <f t="shared" si="40"/>
        <v>10</v>
      </c>
      <c r="Z8" s="160">
        <v>8400</v>
      </c>
      <c r="AA8" s="166">
        <f t="shared" si="42"/>
        <v>9</v>
      </c>
      <c r="AB8" s="160">
        <f t="shared" si="35"/>
        <v>19.57</v>
      </c>
      <c r="AC8" s="166">
        <f t="shared" si="36"/>
        <v>0</v>
      </c>
      <c r="AD8" s="160">
        <v>189</v>
      </c>
      <c r="AE8" s="166">
        <f t="shared" si="37"/>
        <v>3</v>
      </c>
      <c r="AF8" s="160">
        <f t="shared" si="43"/>
        <v>5531</v>
      </c>
      <c r="AG8" s="166">
        <f t="shared" si="38"/>
        <v>0</v>
      </c>
    </row>
    <row r="9" spans="1:33" ht="16.5" thickBot="1" x14ac:dyDescent="0.25">
      <c r="A9" s="9">
        <v>44599</v>
      </c>
      <c r="B9" s="162">
        <v>22861.688999999998</v>
      </c>
      <c r="C9" s="45">
        <f t="shared" si="22"/>
        <v>2.8099999999976717</v>
      </c>
      <c r="D9" s="29">
        <f t="shared" si="23"/>
        <v>5338.9999999955762</v>
      </c>
      <c r="E9" s="1">
        <v>4102.3230000000003</v>
      </c>
      <c r="F9" s="45">
        <f t="shared" si="24"/>
        <v>0.69500000000061846</v>
      </c>
      <c r="G9" s="29">
        <f t="shared" si="25"/>
        <v>1320.5000000011751</v>
      </c>
      <c r="H9" s="1">
        <v>4720</v>
      </c>
      <c r="I9" s="45">
        <f t="shared" si="26"/>
        <v>6</v>
      </c>
      <c r="J9" s="29">
        <f t="shared" si="27"/>
        <v>11399.999999999998</v>
      </c>
      <c r="K9" s="7">
        <v>13889.7</v>
      </c>
      <c r="L9" s="45">
        <f t="shared" si="28"/>
        <v>0</v>
      </c>
      <c r="M9" s="29">
        <f t="shared" si="29"/>
        <v>0</v>
      </c>
      <c r="N9" s="7">
        <v>3408.9830000000002</v>
      </c>
      <c r="O9" s="45">
        <f t="shared" si="30"/>
        <v>1.1000000000003638</v>
      </c>
      <c r="P9" s="29">
        <f t="shared" si="31"/>
        <v>2090.0000000006912</v>
      </c>
      <c r="Q9" s="7">
        <v>5291.12</v>
      </c>
      <c r="R9" s="45">
        <f t="shared" si="32"/>
        <v>0</v>
      </c>
      <c r="S9" s="29">
        <f t="shared" si="33"/>
        <v>0</v>
      </c>
      <c r="T9" s="8">
        <f t="shared" si="41"/>
        <v>10.604999999998654</v>
      </c>
      <c r="U9" s="31">
        <f t="shared" si="34"/>
        <v>20149.499999997443</v>
      </c>
      <c r="W9" s="159">
        <v>44568</v>
      </c>
      <c r="X9" s="160">
        <v>164273</v>
      </c>
      <c r="Y9" s="166">
        <f t="shared" si="40"/>
        <v>11</v>
      </c>
      <c r="Z9" s="160">
        <v>8407</v>
      </c>
      <c r="AA9" s="166">
        <f t="shared" si="42"/>
        <v>7</v>
      </c>
      <c r="AB9" s="160">
        <f t="shared" si="35"/>
        <v>19.57</v>
      </c>
      <c r="AC9" s="166">
        <f>AB9-AB8</f>
        <v>0</v>
      </c>
      <c r="AD9" s="160">
        <v>191</v>
      </c>
      <c r="AE9" s="166">
        <f t="shared" si="37"/>
        <v>2</v>
      </c>
      <c r="AF9" s="160">
        <v>5539</v>
      </c>
      <c r="AG9" s="166">
        <f t="shared" si="38"/>
        <v>8</v>
      </c>
    </row>
    <row r="10" spans="1:33" ht="16.5" thickBot="1" x14ac:dyDescent="0.25">
      <c r="A10" s="9">
        <v>44600</v>
      </c>
      <c r="B10" s="162">
        <v>22863.317999999999</v>
      </c>
      <c r="C10" s="45">
        <f t="shared" si="22"/>
        <v>1.6290000000008149</v>
      </c>
      <c r="D10" s="29">
        <f t="shared" si="23"/>
        <v>3095.1000000015479</v>
      </c>
      <c r="E10" s="1">
        <v>4102.6729999999998</v>
      </c>
      <c r="F10" s="45">
        <f t="shared" si="24"/>
        <v>0.3499999999994543</v>
      </c>
      <c r="G10" s="29">
        <f t="shared" si="25"/>
        <v>664.99999999896318</v>
      </c>
      <c r="H10" s="1">
        <v>4723</v>
      </c>
      <c r="I10" s="45">
        <f t="shared" si="26"/>
        <v>3</v>
      </c>
      <c r="J10" s="29">
        <f t="shared" si="27"/>
        <v>5699.9999999999991</v>
      </c>
      <c r="K10" s="7">
        <v>13889.7</v>
      </c>
      <c r="L10" s="45">
        <f t="shared" si="28"/>
        <v>0</v>
      </c>
      <c r="M10" s="29">
        <f t="shared" si="29"/>
        <v>0</v>
      </c>
      <c r="N10" s="7">
        <v>3409.58</v>
      </c>
      <c r="O10" s="45">
        <f>IF((N10-N9)&lt;0,"0",(N10-N9))</f>
        <v>0.59699999999975262</v>
      </c>
      <c r="P10" s="29">
        <f t="shared" si="31"/>
        <v>1134.29999999953</v>
      </c>
      <c r="Q10" s="7">
        <v>5291.12</v>
      </c>
      <c r="R10" s="45">
        <f t="shared" si="32"/>
        <v>0</v>
      </c>
      <c r="S10" s="29">
        <f t="shared" si="33"/>
        <v>0</v>
      </c>
      <c r="T10" s="8">
        <f t="shared" si="41"/>
        <v>5.5760000000000218</v>
      </c>
      <c r="U10" s="31">
        <f t="shared" si="34"/>
        <v>10594.400000000041</v>
      </c>
      <c r="W10" s="159">
        <v>44569</v>
      </c>
      <c r="X10" s="160">
        <v>164313</v>
      </c>
      <c r="Y10" s="166">
        <f t="shared" si="40"/>
        <v>40</v>
      </c>
      <c r="Z10" s="160">
        <v>8416</v>
      </c>
      <c r="AA10" s="166">
        <f t="shared" si="42"/>
        <v>9</v>
      </c>
      <c r="AB10" s="160">
        <f t="shared" si="35"/>
        <v>19.57</v>
      </c>
      <c r="AC10" s="166">
        <f t="shared" ref="AC10:AC30" si="44">AB10-AB9</f>
        <v>0</v>
      </c>
      <c r="AD10" s="160">
        <v>195</v>
      </c>
      <c r="AE10" s="166">
        <f t="shared" si="37"/>
        <v>4</v>
      </c>
      <c r="AF10" s="160">
        <v>5549</v>
      </c>
      <c r="AG10" s="166">
        <f t="shared" si="38"/>
        <v>10</v>
      </c>
    </row>
    <row r="11" spans="1:33" ht="16.5" thickBot="1" x14ac:dyDescent="0.25">
      <c r="A11" s="9">
        <v>44601</v>
      </c>
      <c r="B11" s="162">
        <v>22866.133999999998</v>
      </c>
      <c r="C11" s="45">
        <f t="shared" si="22"/>
        <v>2.8159999999988941</v>
      </c>
      <c r="D11" s="29">
        <f t="shared" si="23"/>
        <v>5350.3999999978978</v>
      </c>
      <c r="E11" s="1">
        <v>4103.393</v>
      </c>
      <c r="F11" s="45">
        <f t="shared" si="24"/>
        <v>0.72000000000025466</v>
      </c>
      <c r="G11" s="29">
        <f t="shared" si="25"/>
        <v>1368.0000000004836</v>
      </c>
      <c r="H11" s="1">
        <v>4727</v>
      </c>
      <c r="I11" s="45">
        <f t="shared" si="26"/>
        <v>4</v>
      </c>
      <c r="J11" s="29">
        <f t="shared" si="27"/>
        <v>7600</v>
      </c>
      <c r="K11" s="7">
        <v>13889.7</v>
      </c>
      <c r="L11" s="45">
        <f t="shared" si="28"/>
        <v>0</v>
      </c>
      <c r="M11" s="29">
        <f t="shared" si="29"/>
        <v>0</v>
      </c>
      <c r="N11" s="7">
        <v>3410.6260000000002</v>
      </c>
      <c r="O11" s="45">
        <f t="shared" si="30"/>
        <v>1.0460000000002765</v>
      </c>
      <c r="P11" s="29">
        <f t="shared" si="31"/>
        <v>1987.4000000005251</v>
      </c>
      <c r="Q11" s="7">
        <v>5291.13</v>
      </c>
      <c r="R11" s="45">
        <f t="shared" si="32"/>
        <v>1.0000000000218279E-2</v>
      </c>
      <c r="S11" s="29">
        <f t="shared" si="33"/>
        <v>19.00000000041473</v>
      </c>
      <c r="T11" s="8">
        <f t="shared" si="41"/>
        <v>8.5919999999996435</v>
      </c>
      <c r="U11" s="31">
        <f t="shared" si="34"/>
        <v>16324.799999999321</v>
      </c>
      <c r="W11" s="159">
        <v>44570</v>
      </c>
      <c r="X11" s="160">
        <v>164373</v>
      </c>
      <c r="Y11" s="166">
        <f t="shared" si="40"/>
        <v>60</v>
      </c>
      <c r="Z11" s="160">
        <v>8422</v>
      </c>
      <c r="AA11" s="166">
        <f t="shared" si="42"/>
        <v>6</v>
      </c>
      <c r="AB11" s="160">
        <f t="shared" si="35"/>
        <v>19.57</v>
      </c>
      <c r="AC11" s="166">
        <f t="shared" si="44"/>
        <v>0</v>
      </c>
      <c r="AD11" s="160">
        <v>197</v>
      </c>
      <c r="AE11" s="166">
        <f t="shared" si="37"/>
        <v>2</v>
      </c>
      <c r="AF11" s="160">
        <v>5553</v>
      </c>
      <c r="AG11" s="166">
        <f t="shared" si="38"/>
        <v>4</v>
      </c>
    </row>
    <row r="12" spans="1:33" ht="16.5" thickBot="1" x14ac:dyDescent="0.25">
      <c r="A12" s="9">
        <v>44602</v>
      </c>
      <c r="B12" s="162">
        <v>22868.204000000002</v>
      </c>
      <c r="C12" s="45">
        <f t="shared" si="22"/>
        <v>2.0700000000033469</v>
      </c>
      <c r="D12" s="29">
        <f t="shared" si="23"/>
        <v>3933.0000000063592</v>
      </c>
      <c r="E12" s="1">
        <v>4103.8450000000003</v>
      </c>
      <c r="F12" s="45">
        <f t="shared" si="24"/>
        <v>0.45200000000022555</v>
      </c>
      <c r="G12" s="29">
        <f t="shared" si="25"/>
        <v>858.80000000042855</v>
      </c>
      <c r="H12" s="1">
        <v>4732</v>
      </c>
      <c r="I12" s="45">
        <f t="shared" si="26"/>
        <v>5</v>
      </c>
      <c r="J12" s="29">
        <f t="shared" si="27"/>
        <v>9500</v>
      </c>
      <c r="K12" s="7">
        <v>13889.7</v>
      </c>
      <c r="L12" s="45">
        <f t="shared" si="28"/>
        <v>0</v>
      </c>
      <c r="M12" s="29">
        <f t="shared" si="29"/>
        <v>0</v>
      </c>
      <c r="N12" s="7">
        <v>3411.5839999999998</v>
      </c>
      <c r="O12" s="45">
        <f t="shared" si="30"/>
        <v>0.95799999999962893</v>
      </c>
      <c r="P12" s="29">
        <f t="shared" si="31"/>
        <v>1820.1999999992947</v>
      </c>
      <c r="Q12" s="7">
        <v>5291.13</v>
      </c>
      <c r="R12" s="45">
        <f t="shared" si="32"/>
        <v>0</v>
      </c>
      <c r="S12" s="29">
        <f t="shared" si="33"/>
        <v>0</v>
      </c>
      <c r="T12" s="8">
        <f t="shared" si="41"/>
        <v>8.4800000000032014</v>
      </c>
      <c r="U12" s="31">
        <f t="shared" si="34"/>
        <v>16112.000000006081</v>
      </c>
      <c r="W12" s="159">
        <v>44571</v>
      </c>
      <c r="X12" s="160">
        <v>164391</v>
      </c>
      <c r="Y12" s="166">
        <f t="shared" si="40"/>
        <v>18</v>
      </c>
      <c r="Z12" s="160">
        <v>8426</v>
      </c>
      <c r="AA12" s="166">
        <f t="shared" si="42"/>
        <v>4</v>
      </c>
      <c r="AB12" s="160">
        <f t="shared" si="35"/>
        <v>19.57</v>
      </c>
      <c r="AC12" s="166">
        <f t="shared" si="44"/>
        <v>0</v>
      </c>
      <c r="AD12" s="160">
        <v>200</v>
      </c>
      <c r="AE12" s="166">
        <f t="shared" si="37"/>
        <v>3</v>
      </c>
      <c r="AF12" s="160">
        <v>5561</v>
      </c>
      <c r="AG12" s="166">
        <f t="shared" si="38"/>
        <v>8</v>
      </c>
    </row>
    <row r="13" spans="1:33" ht="16.5" thickBot="1" x14ac:dyDescent="0.25">
      <c r="A13" s="9">
        <v>44603</v>
      </c>
      <c r="B13" s="162">
        <v>22870.401999999998</v>
      </c>
      <c r="C13" s="45">
        <f t="shared" si="22"/>
        <v>2.1979999999966822</v>
      </c>
      <c r="D13" s="29">
        <f t="shared" si="23"/>
        <v>4176.1999999936961</v>
      </c>
      <c r="E13" s="1">
        <v>4104.1809999999996</v>
      </c>
      <c r="F13" s="45">
        <f t="shared" si="24"/>
        <v>0.33599999999933061</v>
      </c>
      <c r="G13" s="29">
        <f t="shared" si="25"/>
        <v>638.39999999872805</v>
      </c>
      <c r="H13" s="1">
        <v>4736</v>
      </c>
      <c r="I13" s="45">
        <f t="shared" si="26"/>
        <v>4</v>
      </c>
      <c r="J13" s="29">
        <f t="shared" si="27"/>
        <v>7600</v>
      </c>
      <c r="K13" s="7">
        <v>13889.7</v>
      </c>
      <c r="L13" s="45">
        <f t="shared" si="28"/>
        <v>0</v>
      </c>
      <c r="M13" s="29">
        <f t="shared" si="29"/>
        <v>0</v>
      </c>
      <c r="N13" s="7">
        <v>3412.6</v>
      </c>
      <c r="O13" s="45">
        <f t="shared" si="30"/>
        <v>1.0160000000000764</v>
      </c>
      <c r="P13" s="29">
        <f t="shared" si="31"/>
        <v>1930.4000000001452</v>
      </c>
      <c r="Q13" s="7">
        <v>5291.13</v>
      </c>
      <c r="R13" s="45">
        <f t="shared" si="32"/>
        <v>0</v>
      </c>
      <c r="S13" s="29">
        <f t="shared" si="33"/>
        <v>0</v>
      </c>
      <c r="T13" s="8">
        <f t="shared" si="41"/>
        <v>7.5499999999960892</v>
      </c>
      <c r="U13" s="31">
        <f t="shared" si="34"/>
        <v>14344.999999992568</v>
      </c>
      <c r="W13" s="159">
        <v>44572</v>
      </c>
      <c r="X13" s="160">
        <v>164421</v>
      </c>
      <c r="Y13" s="166">
        <f t="shared" si="40"/>
        <v>30</v>
      </c>
      <c r="Z13" s="160">
        <v>8430</v>
      </c>
      <c r="AA13" s="166">
        <f t="shared" si="42"/>
        <v>4</v>
      </c>
      <c r="AB13" s="160">
        <f t="shared" si="35"/>
        <v>19.57</v>
      </c>
      <c r="AC13" s="166">
        <f t="shared" si="44"/>
        <v>0</v>
      </c>
      <c r="AD13" s="160">
        <v>202</v>
      </c>
      <c r="AE13" s="166">
        <f t="shared" si="37"/>
        <v>2</v>
      </c>
      <c r="AF13" s="160">
        <v>5572</v>
      </c>
      <c r="AG13" s="166">
        <f t="shared" si="38"/>
        <v>11</v>
      </c>
    </row>
    <row r="14" spans="1:33" ht="16.5" thickBot="1" x14ac:dyDescent="0.25">
      <c r="A14" s="9">
        <v>44604</v>
      </c>
      <c r="B14" s="162">
        <v>22872.606</v>
      </c>
      <c r="C14" s="45">
        <f t="shared" si="22"/>
        <v>2.2040000000015425</v>
      </c>
      <c r="D14" s="29">
        <f t="shared" si="23"/>
        <v>4187.6000000029308</v>
      </c>
      <c r="E14" s="1">
        <v>4104.5469999999996</v>
      </c>
      <c r="F14" s="45">
        <f t="shared" si="24"/>
        <v>0.36599999999998545</v>
      </c>
      <c r="G14" s="29">
        <f t="shared" si="25"/>
        <v>695.39999999997235</v>
      </c>
      <c r="H14" s="1">
        <v>4741</v>
      </c>
      <c r="I14" s="45">
        <f t="shared" si="26"/>
        <v>5</v>
      </c>
      <c r="J14" s="29">
        <f t="shared" si="27"/>
        <v>9500</v>
      </c>
      <c r="K14" s="7">
        <v>13889.7</v>
      </c>
      <c r="L14" s="45">
        <f t="shared" si="28"/>
        <v>0</v>
      </c>
      <c r="M14" s="29">
        <f t="shared" si="29"/>
        <v>0</v>
      </c>
      <c r="N14" s="7">
        <v>3413.6640000000002</v>
      </c>
      <c r="O14" s="45">
        <f>IF((N14-N13)&lt;0,"0",(N14-N13))</f>
        <v>1.0640000000003056</v>
      </c>
      <c r="P14" s="29">
        <f t="shared" si="31"/>
        <v>2021.6000000005806</v>
      </c>
      <c r="Q14" s="7">
        <v>5291.13</v>
      </c>
      <c r="R14" s="45">
        <f t="shared" si="32"/>
        <v>0</v>
      </c>
      <c r="S14" s="29">
        <f t="shared" si="33"/>
        <v>0</v>
      </c>
      <c r="T14" s="8">
        <f t="shared" si="41"/>
        <v>8.6340000000018335</v>
      </c>
      <c r="U14" s="31">
        <f t="shared" si="34"/>
        <v>16404.600000003484</v>
      </c>
      <c r="W14" s="159">
        <v>44573</v>
      </c>
      <c r="X14" s="160">
        <v>164444</v>
      </c>
      <c r="Y14" s="166">
        <f t="shared" si="40"/>
        <v>23</v>
      </c>
      <c r="Z14" s="160">
        <v>8434</v>
      </c>
      <c r="AA14" s="166">
        <f t="shared" si="42"/>
        <v>4</v>
      </c>
      <c r="AB14" s="160">
        <f t="shared" si="35"/>
        <v>19.57</v>
      </c>
      <c r="AC14" s="166">
        <f t="shared" si="44"/>
        <v>0</v>
      </c>
      <c r="AD14" s="160">
        <v>204</v>
      </c>
      <c r="AE14" s="166">
        <f t="shared" si="37"/>
        <v>2</v>
      </c>
      <c r="AF14" s="160">
        <v>5584</v>
      </c>
      <c r="AG14" s="166">
        <f t="shared" si="38"/>
        <v>12</v>
      </c>
    </row>
    <row r="15" spans="1:33" ht="16.5" thickBot="1" x14ac:dyDescent="0.25">
      <c r="A15" s="9">
        <v>44605</v>
      </c>
      <c r="B15" s="162">
        <v>22875.585999999999</v>
      </c>
      <c r="C15" s="45">
        <f t="shared" ref="C15" si="45">IF((B15-B14)&lt;0,"0",(B15-B14))</f>
        <v>2.9799999999995634</v>
      </c>
      <c r="D15" s="29">
        <f t="shared" ref="D15" si="46">C15*1.9*1000</f>
        <v>5661.9999999991705</v>
      </c>
      <c r="E15" s="1">
        <v>4105.2809999999999</v>
      </c>
      <c r="F15" s="45">
        <f t="shared" ref="F15" si="47">IF((E15-E14)&lt;0,"0",(E15-E14))</f>
        <v>0.73400000000037835</v>
      </c>
      <c r="G15" s="29">
        <f t="shared" ref="G15" si="48">F15*1.9*1000</f>
        <v>1394.6000000007189</v>
      </c>
      <c r="H15" s="1">
        <v>4747</v>
      </c>
      <c r="I15" s="45">
        <f t="shared" ref="I15" si="49">IF((H15-H14)&lt;0,"0",(H15-H14))</f>
        <v>6</v>
      </c>
      <c r="J15" s="29">
        <f t="shared" ref="J15" si="50">I15*1.9*1000</f>
        <v>11399.999999999998</v>
      </c>
      <c r="K15" s="7">
        <v>13889.7</v>
      </c>
      <c r="L15" s="45">
        <f t="shared" ref="L15" si="51">IF((K15-K14)&lt;0,"0",(K15-K14))</f>
        <v>0</v>
      </c>
      <c r="M15" s="29">
        <f t="shared" ref="M15" si="52">L15*1.9*1000</f>
        <v>0</v>
      </c>
      <c r="N15" s="7">
        <v>3415.1819999999998</v>
      </c>
      <c r="O15" s="45">
        <f>IF((N15-N14)&lt;0,"0",(N15-N14))</f>
        <v>1.5179999999995744</v>
      </c>
      <c r="P15" s="29">
        <f t="shared" ref="P15" si="53">O15*1.9*1000</f>
        <v>2884.1999999991913</v>
      </c>
      <c r="Q15" s="7">
        <v>5291.13</v>
      </c>
      <c r="R15" s="45">
        <f t="shared" ref="R15" si="54">IF((Q15-Q14)&lt;0,"0",(Q15-Q14))</f>
        <v>0</v>
      </c>
      <c r="S15" s="29">
        <f t="shared" ref="S15" si="55">R15*1.9*1000</f>
        <v>0</v>
      </c>
      <c r="T15" s="8">
        <f t="shared" ref="T15" si="56">C15+F15+I15+L15+O15+R15</f>
        <v>11.231999999999516</v>
      </c>
      <c r="U15" s="31">
        <f t="shared" ref="U15" si="57">T15*1.9*1000</f>
        <v>21340.799999999083</v>
      </c>
      <c r="W15" s="159">
        <v>44574</v>
      </c>
      <c r="X15" s="160">
        <v>164482</v>
      </c>
      <c r="Y15" s="166">
        <f t="shared" ref="Y15" si="58">X15-X14</f>
        <v>38</v>
      </c>
      <c r="Z15" s="160">
        <v>8441</v>
      </c>
      <c r="AA15" s="166">
        <f t="shared" ref="AA15" si="59">Z15-Z14</f>
        <v>7</v>
      </c>
      <c r="AB15" s="160">
        <v>19.57</v>
      </c>
      <c r="AC15" s="166">
        <f t="shared" ref="AC15" si="60">AB15-AB14</f>
        <v>0</v>
      </c>
      <c r="AD15" s="160">
        <v>207</v>
      </c>
      <c r="AE15" s="166">
        <f t="shared" si="37"/>
        <v>3</v>
      </c>
      <c r="AF15" s="160">
        <v>5593</v>
      </c>
      <c r="AG15" s="166">
        <f t="shared" si="38"/>
        <v>9</v>
      </c>
    </row>
    <row r="16" spans="1:33" ht="16.5" thickBot="1" x14ac:dyDescent="0.25">
      <c r="A16" s="9">
        <v>44606</v>
      </c>
      <c r="B16" s="162">
        <v>22877.233</v>
      </c>
      <c r="C16" s="45">
        <f t="shared" si="22"/>
        <v>1.647000000000844</v>
      </c>
      <c r="D16" s="29">
        <f t="shared" si="23"/>
        <v>3129.3000000016032</v>
      </c>
      <c r="E16" s="1">
        <v>4105.8289999999997</v>
      </c>
      <c r="F16" s="45">
        <f t="shared" si="24"/>
        <v>0.54799999999977445</v>
      </c>
      <c r="G16" s="29">
        <f t="shared" si="25"/>
        <v>1041.1999999995714</v>
      </c>
      <c r="H16" s="1">
        <v>4751</v>
      </c>
      <c r="I16" s="45">
        <f t="shared" si="26"/>
        <v>4</v>
      </c>
      <c r="J16" s="29">
        <f t="shared" si="27"/>
        <v>7600</v>
      </c>
      <c r="K16" s="7">
        <v>13889.7</v>
      </c>
      <c r="L16" s="45">
        <f t="shared" si="28"/>
        <v>0</v>
      </c>
      <c r="M16" s="29">
        <f t="shared" si="29"/>
        <v>0</v>
      </c>
      <c r="N16" s="7">
        <v>3415.893</v>
      </c>
      <c r="O16" s="45">
        <f t="shared" si="30"/>
        <v>0.71100000000024011</v>
      </c>
      <c r="P16" s="29">
        <f t="shared" si="31"/>
        <v>1350.900000000456</v>
      </c>
      <c r="Q16" s="7">
        <f t="shared" si="39"/>
        <v>5291.13</v>
      </c>
      <c r="R16" s="45">
        <f t="shared" si="32"/>
        <v>0</v>
      </c>
      <c r="S16" s="29">
        <f t="shared" si="33"/>
        <v>0</v>
      </c>
      <c r="T16" s="8">
        <f t="shared" si="41"/>
        <v>6.9060000000008586</v>
      </c>
      <c r="U16" s="31">
        <f t="shared" si="34"/>
        <v>13121.400000001629</v>
      </c>
      <c r="W16" s="159">
        <v>44575</v>
      </c>
      <c r="X16" s="160">
        <v>164501</v>
      </c>
      <c r="Y16" s="166">
        <f t="shared" si="40"/>
        <v>19</v>
      </c>
      <c r="Z16" s="160">
        <v>8444</v>
      </c>
      <c r="AA16" s="166">
        <f t="shared" si="42"/>
        <v>3</v>
      </c>
      <c r="AB16" s="160">
        <v>19.57</v>
      </c>
      <c r="AC16" s="166">
        <f t="shared" si="44"/>
        <v>0</v>
      </c>
      <c r="AD16" s="160">
        <v>209</v>
      </c>
      <c r="AE16" s="166">
        <f t="shared" si="37"/>
        <v>2</v>
      </c>
      <c r="AF16" s="160">
        <v>5617</v>
      </c>
      <c r="AG16" s="166">
        <f t="shared" si="38"/>
        <v>24</v>
      </c>
    </row>
    <row r="17" spans="1:33" ht="16.5" thickBot="1" x14ac:dyDescent="0.25">
      <c r="A17" s="9">
        <v>44607</v>
      </c>
      <c r="B17" s="162">
        <f t="shared" ref="B16:B30" si="61">B16</f>
        <v>22877.233</v>
      </c>
      <c r="C17" s="45">
        <f t="shared" si="22"/>
        <v>0</v>
      </c>
      <c r="D17" s="29">
        <f t="shared" si="23"/>
        <v>0</v>
      </c>
      <c r="E17" s="1">
        <f t="shared" ref="E16:E30" si="62">E16</f>
        <v>4105.8289999999997</v>
      </c>
      <c r="F17" s="45">
        <f t="shared" si="24"/>
        <v>0</v>
      </c>
      <c r="G17" s="29">
        <f t="shared" si="25"/>
        <v>0</v>
      </c>
      <c r="H17" s="1">
        <f t="shared" ref="H16:H30" si="63">H16</f>
        <v>4751</v>
      </c>
      <c r="I17" s="45">
        <f t="shared" si="26"/>
        <v>0</v>
      </c>
      <c r="J17" s="29">
        <f t="shared" si="27"/>
        <v>0</v>
      </c>
      <c r="K17" s="7">
        <v>13889.7</v>
      </c>
      <c r="L17" s="45">
        <f t="shared" si="28"/>
        <v>0</v>
      </c>
      <c r="M17" s="29">
        <f t="shared" si="29"/>
        <v>0</v>
      </c>
      <c r="N17" s="7">
        <f t="shared" ref="N16:N30" si="64">N16</f>
        <v>3415.893</v>
      </c>
      <c r="O17" s="45">
        <f t="shared" si="30"/>
        <v>0</v>
      </c>
      <c r="P17" s="29">
        <f t="shared" si="31"/>
        <v>0</v>
      </c>
      <c r="Q17" s="7">
        <f t="shared" si="39"/>
        <v>5291.13</v>
      </c>
      <c r="R17" s="45">
        <f t="shared" si="32"/>
        <v>0</v>
      </c>
      <c r="S17" s="29">
        <f t="shared" si="33"/>
        <v>0</v>
      </c>
      <c r="T17" s="8">
        <f t="shared" si="41"/>
        <v>0</v>
      </c>
      <c r="U17" s="31">
        <f t="shared" si="34"/>
        <v>0</v>
      </c>
      <c r="W17" s="159">
        <v>44576</v>
      </c>
      <c r="X17" s="160">
        <f t="shared" ref="X16:X30" si="65">X16</f>
        <v>164501</v>
      </c>
      <c r="Y17" s="166">
        <f t="shared" si="40"/>
        <v>0</v>
      </c>
      <c r="Z17" s="160">
        <f t="shared" ref="Z16:Z30" si="66">Z16</f>
        <v>8444</v>
      </c>
      <c r="AA17" s="166">
        <f t="shared" si="42"/>
        <v>0</v>
      </c>
      <c r="AB17" s="160">
        <f t="shared" si="35"/>
        <v>19.57</v>
      </c>
      <c r="AC17" s="166">
        <f t="shared" si="44"/>
        <v>0</v>
      </c>
      <c r="AD17" s="160">
        <f t="shared" ref="AD16:AD30" si="67">AD16</f>
        <v>209</v>
      </c>
      <c r="AE17" s="166">
        <f t="shared" si="37"/>
        <v>0</v>
      </c>
      <c r="AF17" s="160">
        <f t="shared" si="43"/>
        <v>5617</v>
      </c>
      <c r="AG17" s="166">
        <f t="shared" si="38"/>
        <v>0</v>
      </c>
    </row>
    <row r="18" spans="1:33" ht="16.5" thickBot="1" x14ac:dyDescent="0.25">
      <c r="A18" s="9">
        <v>44608</v>
      </c>
      <c r="B18" s="162">
        <f t="shared" si="61"/>
        <v>22877.233</v>
      </c>
      <c r="C18" s="45">
        <f t="shared" si="22"/>
        <v>0</v>
      </c>
      <c r="D18" s="29">
        <f t="shared" si="23"/>
        <v>0</v>
      </c>
      <c r="E18" s="1">
        <f t="shared" si="62"/>
        <v>4105.8289999999997</v>
      </c>
      <c r="F18" s="45">
        <f t="shared" si="24"/>
        <v>0</v>
      </c>
      <c r="G18" s="29">
        <f t="shared" si="25"/>
        <v>0</v>
      </c>
      <c r="H18" s="1">
        <f t="shared" si="63"/>
        <v>4751</v>
      </c>
      <c r="I18" s="45">
        <f t="shared" si="26"/>
        <v>0</v>
      </c>
      <c r="J18" s="29">
        <f t="shared" si="27"/>
        <v>0</v>
      </c>
      <c r="K18" s="7">
        <v>13889.7</v>
      </c>
      <c r="L18" s="45">
        <f t="shared" si="28"/>
        <v>0</v>
      </c>
      <c r="M18" s="29">
        <f t="shared" si="29"/>
        <v>0</v>
      </c>
      <c r="N18" s="7">
        <f t="shared" si="64"/>
        <v>3415.893</v>
      </c>
      <c r="O18" s="45">
        <f t="shared" si="30"/>
        <v>0</v>
      </c>
      <c r="P18" s="29">
        <f t="shared" si="31"/>
        <v>0</v>
      </c>
      <c r="Q18" s="7">
        <f t="shared" si="39"/>
        <v>5291.13</v>
      </c>
      <c r="R18" s="45">
        <f t="shared" si="32"/>
        <v>0</v>
      </c>
      <c r="S18" s="29">
        <f t="shared" si="33"/>
        <v>0</v>
      </c>
      <c r="T18" s="8">
        <f t="shared" si="41"/>
        <v>0</v>
      </c>
      <c r="U18" s="31">
        <f t="shared" si="34"/>
        <v>0</v>
      </c>
      <c r="W18" s="159">
        <v>44577</v>
      </c>
      <c r="X18" s="160">
        <f t="shared" si="65"/>
        <v>164501</v>
      </c>
      <c r="Y18" s="166">
        <f t="shared" si="40"/>
        <v>0</v>
      </c>
      <c r="Z18" s="160">
        <f t="shared" si="66"/>
        <v>8444</v>
      </c>
      <c r="AA18" s="166">
        <f t="shared" si="42"/>
        <v>0</v>
      </c>
      <c r="AB18" s="160">
        <f t="shared" si="35"/>
        <v>19.57</v>
      </c>
      <c r="AC18" s="166">
        <f t="shared" si="44"/>
        <v>0</v>
      </c>
      <c r="AD18" s="160">
        <f t="shared" si="67"/>
        <v>209</v>
      </c>
      <c r="AE18" s="166">
        <f t="shared" si="37"/>
        <v>0</v>
      </c>
      <c r="AF18" s="160">
        <f t="shared" si="43"/>
        <v>5617</v>
      </c>
      <c r="AG18" s="166">
        <f t="shared" si="38"/>
        <v>0</v>
      </c>
    </row>
    <row r="19" spans="1:33" ht="16.5" thickBot="1" x14ac:dyDescent="0.25">
      <c r="A19" s="9">
        <v>44609</v>
      </c>
      <c r="B19" s="162">
        <f t="shared" si="61"/>
        <v>22877.233</v>
      </c>
      <c r="C19" s="45">
        <f t="shared" si="22"/>
        <v>0</v>
      </c>
      <c r="D19" s="29">
        <f t="shared" si="23"/>
        <v>0</v>
      </c>
      <c r="E19" s="1">
        <f t="shared" si="62"/>
        <v>4105.8289999999997</v>
      </c>
      <c r="F19" s="45">
        <f t="shared" si="24"/>
        <v>0</v>
      </c>
      <c r="G19" s="29">
        <f t="shared" si="25"/>
        <v>0</v>
      </c>
      <c r="H19" s="1">
        <f t="shared" si="63"/>
        <v>4751</v>
      </c>
      <c r="I19" s="45">
        <f t="shared" si="26"/>
        <v>0</v>
      </c>
      <c r="J19" s="29">
        <f t="shared" si="27"/>
        <v>0</v>
      </c>
      <c r="K19" s="7">
        <v>13889.7</v>
      </c>
      <c r="L19" s="45">
        <f t="shared" si="28"/>
        <v>0</v>
      </c>
      <c r="M19" s="29">
        <f t="shared" si="29"/>
        <v>0</v>
      </c>
      <c r="N19" s="7">
        <f t="shared" si="64"/>
        <v>3415.893</v>
      </c>
      <c r="O19" s="45">
        <f t="shared" si="30"/>
        <v>0</v>
      </c>
      <c r="P19" s="29">
        <f t="shared" si="31"/>
        <v>0</v>
      </c>
      <c r="Q19" s="7">
        <f t="shared" si="39"/>
        <v>5291.13</v>
      </c>
      <c r="R19" s="45">
        <f t="shared" si="32"/>
        <v>0</v>
      </c>
      <c r="S19" s="29">
        <f t="shared" si="33"/>
        <v>0</v>
      </c>
      <c r="T19" s="8">
        <f t="shared" si="41"/>
        <v>0</v>
      </c>
      <c r="U19" s="31">
        <f t="shared" si="34"/>
        <v>0</v>
      </c>
      <c r="W19" s="159">
        <v>44578</v>
      </c>
      <c r="X19" s="160">
        <f t="shared" si="65"/>
        <v>164501</v>
      </c>
      <c r="Y19" s="166">
        <f t="shared" si="40"/>
        <v>0</v>
      </c>
      <c r="Z19" s="160">
        <f t="shared" si="66"/>
        <v>8444</v>
      </c>
      <c r="AA19" s="166">
        <f t="shared" si="42"/>
        <v>0</v>
      </c>
      <c r="AB19" s="160">
        <f t="shared" si="35"/>
        <v>19.57</v>
      </c>
      <c r="AC19" s="166">
        <f t="shared" si="44"/>
        <v>0</v>
      </c>
      <c r="AD19" s="160">
        <f t="shared" si="67"/>
        <v>209</v>
      </c>
      <c r="AE19" s="166">
        <f t="shared" si="37"/>
        <v>0</v>
      </c>
      <c r="AF19" s="160">
        <f t="shared" si="43"/>
        <v>5617</v>
      </c>
      <c r="AG19" s="166">
        <f t="shared" si="38"/>
        <v>0</v>
      </c>
    </row>
    <row r="20" spans="1:33" ht="16.5" thickBot="1" x14ac:dyDescent="0.25">
      <c r="A20" s="9">
        <v>44610</v>
      </c>
      <c r="B20" s="162">
        <f t="shared" si="61"/>
        <v>22877.233</v>
      </c>
      <c r="C20" s="45">
        <f t="shared" si="22"/>
        <v>0</v>
      </c>
      <c r="D20" s="29">
        <f t="shared" si="23"/>
        <v>0</v>
      </c>
      <c r="E20" s="1">
        <f t="shared" si="62"/>
        <v>4105.8289999999997</v>
      </c>
      <c r="F20" s="45">
        <f t="shared" si="24"/>
        <v>0</v>
      </c>
      <c r="G20" s="29">
        <f t="shared" si="25"/>
        <v>0</v>
      </c>
      <c r="H20" s="1">
        <f t="shared" si="63"/>
        <v>4751</v>
      </c>
      <c r="I20" s="45">
        <f t="shared" si="26"/>
        <v>0</v>
      </c>
      <c r="J20" s="29">
        <f t="shared" si="27"/>
        <v>0</v>
      </c>
      <c r="K20" s="7">
        <v>13889.7</v>
      </c>
      <c r="L20" s="45">
        <f t="shared" si="28"/>
        <v>0</v>
      </c>
      <c r="M20" s="29">
        <f t="shared" si="29"/>
        <v>0</v>
      </c>
      <c r="N20" s="7">
        <f t="shared" si="64"/>
        <v>3415.893</v>
      </c>
      <c r="O20" s="45">
        <f t="shared" si="30"/>
        <v>0</v>
      </c>
      <c r="P20" s="29">
        <f t="shared" si="31"/>
        <v>0</v>
      </c>
      <c r="Q20" s="7">
        <f t="shared" si="39"/>
        <v>5291.13</v>
      </c>
      <c r="R20" s="45">
        <f t="shared" si="32"/>
        <v>0</v>
      </c>
      <c r="S20" s="29">
        <f t="shared" si="33"/>
        <v>0</v>
      </c>
      <c r="T20" s="8">
        <f t="shared" si="41"/>
        <v>0</v>
      </c>
      <c r="U20" s="31">
        <f t="shared" si="34"/>
        <v>0</v>
      </c>
      <c r="W20" s="159">
        <v>44579</v>
      </c>
      <c r="X20" s="160">
        <f t="shared" si="65"/>
        <v>164501</v>
      </c>
      <c r="Y20" s="166">
        <f t="shared" si="40"/>
        <v>0</v>
      </c>
      <c r="Z20" s="160">
        <f t="shared" si="66"/>
        <v>8444</v>
      </c>
      <c r="AA20" s="166">
        <f t="shared" si="42"/>
        <v>0</v>
      </c>
      <c r="AB20" s="160">
        <f t="shared" si="35"/>
        <v>19.57</v>
      </c>
      <c r="AC20" s="166">
        <f t="shared" si="44"/>
        <v>0</v>
      </c>
      <c r="AD20" s="160">
        <f t="shared" si="67"/>
        <v>209</v>
      </c>
      <c r="AE20" s="166">
        <f t="shared" si="37"/>
        <v>0</v>
      </c>
      <c r="AF20" s="160">
        <f t="shared" si="43"/>
        <v>5617</v>
      </c>
      <c r="AG20" s="166">
        <f t="shared" si="38"/>
        <v>0</v>
      </c>
    </row>
    <row r="21" spans="1:33" ht="16.5" thickBot="1" x14ac:dyDescent="0.25">
      <c r="A21" s="9">
        <v>44611</v>
      </c>
      <c r="B21" s="162">
        <f t="shared" si="61"/>
        <v>22877.233</v>
      </c>
      <c r="C21" s="45">
        <f t="shared" si="22"/>
        <v>0</v>
      </c>
      <c r="D21" s="29">
        <f t="shared" si="23"/>
        <v>0</v>
      </c>
      <c r="E21" s="1">
        <f t="shared" si="62"/>
        <v>4105.8289999999997</v>
      </c>
      <c r="F21" s="45">
        <f t="shared" si="24"/>
        <v>0</v>
      </c>
      <c r="G21" s="29">
        <f t="shared" si="25"/>
        <v>0</v>
      </c>
      <c r="H21" s="1">
        <f t="shared" si="63"/>
        <v>4751</v>
      </c>
      <c r="I21" s="45">
        <f t="shared" si="26"/>
        <v>0</v>
      </c>
      <c r="J21" s="29">
        <f t="shared" si="27"/>
        <v>0</v>
      </c>
      <c r="K21" s="7">
        <v>13889.7</v>
      </c>
      <c r="L21" s="45">
        <f t="shared" si="28"/>
        <v>0</v>
      </c>
      <c r="M21" s="29">
        <f t="shared" si="29"/>
        <v>0</v>
      </c>
      <c r="N21" s="7">
        <f t="shared" si="64"/>
        <v>3415.893</v>
      </c>
      <c r="O21" s="45">
        <f t="shared" si="30"/>
        <v>0</v>
      </c>
      <c r="P21" s="29">
        <f t="shared" si="31"/>
        <v>0</v>
      </c>
      <c r="Q21" s="7">
        <f t="shared" si="39"/>
        <v>5291.13</v>
      </c>
      <c r="R21" s="45">
        <f t="shared" si="32"/>
        <v>0</v>
      </c>
      <c r="S21" s="29">
        <f t="shared" si="33"/>
        <v>0</v>
      </c>
      <c r="T21" s="8">
        <f t="shared" si="41"/>
        <v>0</v>
      </c>
      <c r="U21" s="31">
        <f t="shared" si="34"/>
        <v>0</v>
      </c>
      <c r="W21" s="159">
        <v>44580</v>
      </c>
      <c r="X21" s="160">
        <f t="shared" si="65"/>
        <v>164501</v>
      </c>
      <c r="Y21" s="166">
        <f t="shared" si="40"/>
        <v>0</v>
      </c>
      <c r="Z21" s="160">
        <f t="shared" si="66"/>
        <v>8444</v>
      </c>
      <c r="AA21" s="166">
        <f t="shared" si="42"/>
        <v>0</v>
      </c>
      <c r="AB21" s="160">
        <f t="shared" si="35"/>
        <v>19.57</v>
      </c>
      <c r="AC21" s="166">
        <f t="shared" si="44"/>
        <v>0</v>
      </c>
      <c r="AD21" s="160">
        <f t="shared" si="67"/>
        <v>209</v>
      </c>
      <c r="AE21" s="166">
        <f t="shared" si="37"/>
        <v>0</v>
      </c>
      <c r="AF21" s="160">
        <f t="shared" si="43"/>
        <v>5617</v>
      </c>
      <c r="AG21" s="166">
        <f t="shared" si="38"/>
        <v>0</v>
      </c>
    </row>
    <row r="22" spans="1:33" ht="16.5" thickBot="1" x14ac:dyDescent="0.25">
      <c r="A22" s="9">
        <v>44612</v>
      </c>
      <c r="B22" s="162">
        <f t="shared" si="61"/>
        <v>22877.233</v>
      </c>
      <c r="C22" s="45">
        <f t="shared" si="22"/>
        <v>0</v>
      </c>
      <c r="D22" s="29">
        <f t="shared" si="23"/>
        <v>0</v>
      </c>
      <c r="E22" s="1">
        <f t="shared" si="62"/>
        <v>4105.8289999999997</v>
      </c>
      <c r="F22" s="45">
        <f t="shared" si="24"/>
        <v>0</v>
      </c>
      <c r="G22" s="29">
        <f t="shared" si="25"/>
        <v>0</v>
      </c>
      <c r="H22" s="1">
        <f t="shared" si="63"/>
        <v>4751</v>
      </c>
      <c r="I22" s="45">
        <f t="shared" si="26"/>
        <v>0</v>
      </c>
      <c r="J22" s="29">
        <f t="shared" si="27"/>
        <v>0</v>
      </c>
      <c r="K22" s="7">
        <v>13889.7</v>
      </c>
      <c r="L22" s="45">
        <f t="shared" si="28"/>
        <v>0</v>
      </c>
      <c r="M22" s="29">
        <f t="shared" si="29"/>
        <v>0</v>
      </c>
      <c r="N22" s="7">
        <f t="shared" si="64"/>
        <v>3415.893</v>
      </c>
      <c r="O22" s="45">
        <f t="shared" si="30"/>
        <v>0</v>
      </c>
      <c r="P22" s="29">
        <f t="shared" si="31"/>
        <v>0</v>
      </c>
      <c r="Q22" s="7">
        <f t="shared" si="39"/>
        <v>5291.13</v>
      </c>
      <c r="R22" s="45">
        <f t="shared" si="32"/>
        <v>0</v>
      </c>
      <c r="S22" s="29">
        <f t="shared" si="33"/>
        <v>0</v>
      </c>
      <c r="T22" s="8">
        <f t="shared" si="41"/>
        <v>0</v>
      </c>
      <c r="U22" s="31">
        <f t="shared" si="34"/>
        <v>0</v>
      </c>
      <c r="W22" s="159">
        <v>44581</v>
      </c>
      <c r="X22" s="160">
        <f t="shared" si="65"/>
        <v>164501</v>
      </c>
      <c r="Y22" s="166">
        <f t="shared" si="40"/>
        <v>0</v>
      </c>
      <c r="Z22" s="160">
        <f t="shared" si="66"/>
        <v>8444</v>
      </c>
      <c r="AA22" s="166">
        <f t="shared" si="42"/>
        <v>0</v>
      </c>
      <c r="AB22" s="160">
        <f t="shared" si="35"/>
        <v>19.57</v>
      </c>
      <c r="AC22" s="166">
        <f t="shared" si="44"/>
        <v>0</v>
      </c>
      <c r="AD22" s="160">
        <f t="shared" si="67"/>
        <v>209</v>
      </c>
      <c r="AE22" s="166">
        <f t="shared" si="37"/>
        <v>0</v>
      </c>
      <c r="AF22" s="160">
        <f t="shared" si="43"/>
        <v>5617</v>
      </c>
      <c r="AG22" s="166">
        <f t="shared" si="38"/>
        <v>0</v>
      </c>
    </row>
    <row r="23" spans="1:33" ht="16.5" thickBot="1" x14ac:dyDescent="0.25">
      <c r="A23" s="9">
        <v>44613</v>
      </c>
      <c r="B23" s="162">
        <f t="shared" si="61"/>
        <v>22877.233</v>
      </c>
      <c r="C23" s="45">
        <f t="shared" si="22"/>
        <v>0</v>
      </c>
      <c r="D23" s="29">
        <f t="shared" si="23"/>
        <v>0</v>
      </c>
      <c r="E23" s="1">
        <f t="shared" si="62"/>
        <v>4105.8289999999997</v>
      </c>
      <c r="F23" s="45">
        <f t="shared" si="24"/>
        <v>0</v>
      </c>
      <c r="G23" s="29">
        <f t="shared" si="25"/>
        <v>0</v>
      </c>
      <c r="H23" s="1">
        <f t="shared" si="63"/>
        <v>4751</v>
      </c>
      <c r="I23" s="45">
        <f t="shared" si="26"/>
        <v>0</v>
      </c>
      <c r="J23" s="29">
        <f t="shared" si="27"/>
        <v>0</v>
      </c>
      <c r="K23" s="7">
        <v>13889.7</v>
      </c>
      <c r="L23" s="45">
        <f t="shared" si="28"/>
        <v>0</v>
      </c>
      <c r="M23" s="29">
        <f t="shared" si="29"/>
        <v>0</v>
      </c>
      <c r="N23" s="7">
        <f t="shared" si="64"/>
        <v>3415.893</v>
      </c>
      <c r="O23" s="45">
        <f t="shared" si="30"/>
        <v>0</v>
      </c>
      <c r="P23" s="29">
        <f t="shared" si="31"/>
        <v>0</v>
      </c>
      <c r="Q23" s="7">
        <f t="shared" si="39"/>
        <v>5291.13</v>
      </c>
      <c r="R23" s="45">
        <f t="shared" si="32"/>
        <v>0</v>
      </c>
      <c r="S23" s="29">
        <f t="shared" si="33"/>
        <v>0</v>
      </c>
      <c r="T23" s="8">
        <f t="shared" si="41"/>
        <v>0</v>
      </c>
      <c r="U23" s="31">
        <f t="shared" si="34"/>
        <v>0</v>
      </c>
      <c r="W23" s="159">
        <v>44582</v>
      </c>
      <c r="X23" s="160">
        <f t="shared" si="65"/>
        <v>164501</v>
      </c>
      <c r="Y23" s="166">
        <f t="shared" si="40"/>
        <v>0</v>
      </c>
      <c r="Z23" s="160">
        <f t="shared" si="66"/>
        <v>8444</v>
      </c>
      <c r="AA23" s="166">
        <f t="shared" si="42"/>
        <v>0</v>
      </c>
      <c r="AB23" s="160">
        <f t="shared" si="35"/>
        <v>19.57</v>
      </c>
      <c r="AC23" s="166">
        <f t="shared" si="44"/>
        <v>0</v>
      </c>
      <c r="AD23" s="160">
        <f t="shared" si="67"/>
        <v>209</v>
      </c>
      <c r="AE23" s="166">
        <f t="shared" si="37"/>
        <v>0</v>
      </c>
      <c r="AF23" s="160">
        <f t="shared" si="43"/>
        <v>5617</v>
      </c>
      <c r="AG23" s="166">
        <f t="shared" si="38"/>
        <v>0</v>
      </c>
    </row>
    <row r="24" spans="1:33" ht="16.5" thickBot="1" x14ac:dyDescent="0.25">
      <c r="A24" s="9">
        <v>44614</v>
      </c>
      <c r="B24" s="162">
        <f t="shared" si="61"/>
        <v>22877.233</v>
      </c>
      <c r="C24" s="45">
        <f t="shared" si="22"/>
        <v>0</v>
      </c>
      <c r="D24" s="29">
        <f t="shared" si="23"/>
        <v>0</v>
      </c>
      <c r="E24" s="1">
        <f t="shared" si="62"/>
        <v>4105.8289999999997</v>
      </c>
      <c r="F24" s="45">
        <f t="shared" si="24"/>
        <v>0</v>
      </c>
      <c r="G24" s="29">
        <f t="shared" si="25"/>
        <v>0</v>
      </c>
      <c r="H24" s="1">
        <f t="shared" si="63"/>
        <v>4751</v>
      </c>
      <c r="I24" s="45">
        <f t="shared" si="26"/>
        <v>0</v>
      </c>
      <c r="J24" s="29">
        <f t="shared" si="27"/>
        <v>0</v>
      </c>
      <c r="K24" s="7">
        <v>13889.7</v>
      </c>
      <c r="L24" s="45">
        <f t="shared" si="28"/>
        <v>0</v>
      </c>
      <c r="M24" s="29">
        <f t="shared" si="29"/>
        <v>0</v>
      </c>
      <c r="N24" s="7">
        <f t="shared" si="64"/>
        <v>3415.893</v>
      </c>
      <c r="O24" s="45">
        <f t="shared" si="30"/>
        <v>0</v>
      </c>
      <c r="P24" s="29">
        <f t="shared" si="31"/>
        <v>0</v>
      </c>
      <c r="Q24" s="7">
        <f t="shared" si="39"/>
        <v>5291.13</v>
      </c>
      <c r="R24" s="45">
        <f t="shared" si="32"/>
        <v>0</v>
      </c>
      <c r="S24" s="29">
        <f t="shared" si="33"/>
        <v>0</v>
      </c>
      <c r="T24" s="8">
        <f t="shared" si="41"/>
        <v>0</v>
      </c>
      <c r="U24" s="31">
        <f t="shared" si="34"/>
        <v>0</v>
      </c>
      <c r="W24" s="159">
        <v>44583</v>
      </c>
      <c r="X24" s="160">
        <f t="shared" si="65"/>
        <v>164501</v>
      </c>
      <c r="Y24" s="166">
        <f t="shared" si="40"/>
        <v>0</v>
      </c>
      <c r="Z24" s="160">
        <f t="shared" si="66"/>
        <v>8444</v>
      </c>
      <c r="AA24" s="166">
        <f t="shared" si="42"/>
        <v>0</v>
      </c>
      <c r="AB24" s="160">
        <f t="shared" si="35"/>
        <v>19.57</v>
      </c>
      <c r="AC24" s="166">
        <f t="shared" si="44"/>
        <v>0</v>
      </c>
      <c r="AD24" s="160">
        <f t="shared" si="67"/>
        <v>209</v>
      </c>
      <c r="AE24" s="166">
        <f t="shared" si="37"/>
        <v>0</v>
      </c>
      <c r="AF24" s="160">
        <f t="shared" si="43"/>
        <v>5617</v>
      </c>
      <c r="AG24" s="166">
        <f t="shared" si="38"/>
        <v>0</v>
      </c>
    </row>
    <row r="25" spans="1:33" ht="16.5" thickBot="1" x14ac:dyDescent="0.25">
      <c r="A25" s="9">
        <v>44615</v>
      </c>
      <c r="B25" s="162">
        <f t="shared" si="61"/>
        <v>22877.233</v>
      </c>
      <c r="C25" s="45">
        <f t="shared" si="22"/>
        <v>0</v>
      </c>
      <c r="D25" s="29">
        <f t="shared" si="23"/>
        <v>0</v>
      </c>
      <c r="E25" s="1">
        <f t="shared" si="62"/>
        <v>4105.8289999999997</v>
      </c>
      <c r="F25" s="45">
        <f t="shared" si="24"/>
        <v>0</v>
      </c>
      <c r="G25" s="29">
        <f t="shared" si="25"/>
        <v>0</v>
      </c>
      <c r="H25" s="1">
        <f t="shared" si="63"/>
        <v>4751</v>
      </c>
      <c r="I25" s="45">
        <f t="shared" si="26"/>
        <v>0</v>
      </c>
      <c r="J25" s="29">
        <f t="shared" si="27"/>
        <v>0</v>
      </c>
      <c r="K25" s="7">
        <v>13889.7</v>
      </c>
      <c r="L25" s="45">
        <f t="shared" si="28"/>
        <v>0</v>
      </c>
      <c r="M25" s="29">
        <f t="shared" si="29"/>
        <v>0</v>
      </c>
      <c r="N25" s="7">
        <f t="shared" si="64"/>
        <v>3415.893</v>
      </c>
      <c r="O25" s="45">
        <f t="shared" si="30"/>
        <v>0</v>
      </c>
      <c r="P25" s="29">
        <f t="shared" si="31"/>
        <v>0</v>
      </c>
      <c r="Q25" s="7">
        <f t="shared" si="39"/>
        <v>5291.13</v>
      </c>
      <c r="R25" s="45">
        <f t="shared" si="32"/>
        <v>0</v>
      </c>
      <c r="S25" s="29">
        <f t="shared" si="33"/>
        <v>0</v>
      </c>
      <c r="T25" s="8">
        <f t="shared" si="41"/>
        <v>0</v>
      </c>
      <c r="U25" s="31">
        <f t="shared" si="34"/>
        <v>0</v>
      </c>
      <c r="W25" s="159">
        <v>44584</v>
      </c>
      <c r="X25" s="160">
        <f t="shared" si="65"/>
        <v>164501</v>
      </c>
      <c r="Y25" s="166">
        <f t="shared" si="40"/>
        <v>0</v>
      </c>
      <c r="Z25" s="160">
        <f t="shared" si="66"/>
        <v>8444</v>
      </c>
      <c r="AA25" s="166">
        <f t="shared" si="42"/>
        <v>0</v>
      </c>
      <c r="AB25" s="160">
        <f t="shared" si="35"/>
        <v>19.57</v>
      </c>
      <c r="AC25" s="166">
        <f t="shared" si="44"/>
        <v>0</v>
      </c>
      <c r="AD25" s="160">
        <f t="shared" si="67"/>
        <v>209</v>
      </c>
      <c r="AE25" s="166">
        <f t="shared" si="37"/>
        <v>0</v>
      </c>
      <c r="AF25" s="160">
        <f t="shared" si="43"/>
        <v>5617</v>
      </c>
      <c r="AG25" s="166">
        <f t="shared" si="38"/>
        <v>0</v>
      </c>
    </row>
    <row r="26" spans="1:33" ht="16.5" thickBot="1" x14ac:dyDescent="0.25">
      <c r="A26" s="9">
        <v>44616</v>
      </c>
      <c r="B26" s="162">
        <f t="shared" si="61"/>
        <v>22877.233</v>
      </c>
      <c r="C26" s="45">
        <f t="shared" si="22"/>
        <v>0</v>
      </c>
      <c r="D26" s="29">
        <f t="shared" si="23"/>
        <v>0</v>
      </c>
      <c r="E26" s="1">
        <f t="shared" si="62"/>
        <v>4105.8289999999997</v>
      </c>
      <c r="F26" s="45">
        <f t="shared" si="24"/>
        <v>0</v>
      </c>
      <c r="G26" s="29">
        <f t="shared" si="25"/>
        <v>0</v>
      </c>
      <c r="H26" s="1">
        <f t="shared" si="63"/>
        <v>4751</v>
      </c>
      <c r="I26" s="45">
        <f t="shared" si="26"/>
        <v>0</v>
      </c>
      <c r="J26" s="29">
        <f t="shared" si="27"/>
        <v>0</v>
      </c>
      <c r="K26" s="7">
        <v>13889.7</v>
      </c>
      <c r="L26" s="45">
        <f>IF((K26-K25)&lt;0,"0",(K26-K25))</f>
        <v>0</v>
      </c>
      <c r="M26" s="29">
        <f t="shared" si="29"/>
        <v>0</v>
      </c>
      <c r="N26" s="7">
        <f t="shared" si="64"/>
        <v>3415.893</v>
      </c>
      <c r="O26" s="45">
        <f t="shared" si="30"/>
        <v>0</v>
      </c>
      <c r="P26" s="29">
        <f t="shared" si="31"/>
        <v>0</v>
      </c>
      <c r="Q26" s="7">
        <f t="shared" si="39"/>
        <v>5291.13</v>
      </c>
      <c r="R26" s="45">
        <f t="shared" si="32"/>
        <v>0</v>
      </c>
      <c r="S26" s="29">
        <f t="shared" si="33"/>
        <v>0</v>
      </c>
      <c r="T26" s="8">
        <f t="shared" si="41"/>
        <v>0</v>
      </c>
      <c r="U26" s="31">
        <f t="shared" si="34"/>
        <v>0</v>
      </c>
      <c r="V26" t="s">
        <v>12</v>
      </c>
      <c r="W26" s="159">
        <v>44585</v>
      </c>
      <c r="X26" s="160">
        <f t="shared" si="65"/>
        <v>164501</v>
      </c>
      <c r="Y26" s="166">
        <f t="shared" si="40"/>
        <v>0</v>
      </c>
      <c r="Z26" s="160">
        <f t="shared" si="66"/>
        <v>8444</v>
      </c>
      <c r="AA26" s="166">
        <f t="shared" si="42"/>
        <v>0</v>
      </c>
      <c r="AB26" s="160">
        <f t="shared" si="35"/>
        <v>19.57</v>
      </c>
      <c r="AC26" s="166">
        <f t="shared" si="44"/>
        <v>0</v>
      </c>
      <c r="AD26" s="160">
        <f t="shared" si="67"/>
        <v>209</v>
      </c>
      <c r="AE26" s="166">
        <f t="shared" si="37"/>
        <v>0</v>
      </c>
      <c r="AF26" s="160">
        <f t="shared" si="43"/>
        <v>5617</v>
      </c>
      <c r="AG26" s="166">
        <f t="shared" si="38"/>
        <v>0</v>
      </c>
    </row>
    <row r="27" spans="1:33" ht="16.5" thickBot="1" x14ac:dyDescent="0.25">
      <c r="A27" s="9">
        <v>44617</v>
      </c>
      <c r="B27" s="162">
        <f t="shared" si="61"/>
        <v>22877.233</v>
      </c>
      <c r="C27" s="45">
        <f t="shared" si="22"/>
        <v>0</v>
      </c>
      <c r="D27" s="29">
        <f t="shared" si="23"/>
        <v>0</v>
      </c>
      <c r="E27" s="1">
        <f t="shared" si="62"/>
        <v>4105.8289999999997</v>
      </c>
      <c r="F27" s="45">
        <f t="shared" si="24"/>
        <v>0</v>
      </c>
      <c r="G27" s="29">
        <f t="shared" si="25"/>
        <v>0</v>
      </c>
      <c r="H27" s="1">
        <f t="shared" si="63"/>
        <v>4751</v>
      </c>
      <c r="I27" s="45">
        <f t="shared" si="26"/>
        <v>0</v>
      </c>
      <c r="J27" s="29">
        <f t="shared" si="27"/>
        <v>0</v>
      </c>
      <c r="K27" s="7">
        <v>13889.7</v>
      </c>
      <c r="L27" s="45">
        <f t="shared" si="28"/>
        <v>0</v>
      </c>
      <c r="M27" s="29">
        <f t="shared" si="29"/>
        <v>0</v>
      </c>
      <c r="N27" s="7">
        <f t="shared" si="64"/>
        <v>3415.893</v>
      </c>
      <c r="O27" s="45">
        <f t="shared" si="30"/>
        <v>0</v>
      </c>
      <c r="P27" s="29">
        <f t="shared" si="31"/>
        <v>0</v>
      </c>
      <c r="Q27" s="7">
        <f t="shared" si="39"/>
        <v>5291.13</v>
      </c>
      <c r="R27" s="45">
        <f t="shared" si="32"/>
        <v>0</v>
      </c>
      <c r="S27" s="29">
        <f t="shared" si="33"/>
        <v>0</v>
      </c>
      <c r="T27" s="8">
        <f t="shared" si="41"/>
        <v>0</v>
      </c>
      <c r="U27" s="31">
        <f t="shared" si="34"/>
        <v>0</v>
      </c>
      <c r="V27" t="s">
        <v>12</v>
      </c>
      <c r="W27" s="159">
        <v>44586</v>
      </c>
      <c r="X27" s="160">
        <f t="shared" si="65"/>
        <v>164501</v>
      </c>
      <c r="Y27" s="166">
        <f t="shared" si="40"/>
        <v>0</v>
      </c>
      <c r="Z27" s="160">
        <f t="shared" si="66"/>
        <v>8444</v>
      </c>
      <c r="AA27" s="166">
        <f t="shared" si="42"/>
        <v>0</v>
      </c>
      <c r="AB27" s="160">
        <f t="shared" si="35"/>
        <v>19.57</v>
      </c>
      <c r="AC27" s="166">
        <f t="shared" si="44"/>
        <v>0</v>
      </c>
      <c r="AD27" s="160">
        <f t="shared" si="67"/>
        <v>209</v>
      </c>
      <c r="AE27" s="166">
        <f t="shared" si="37"/>
        <v>0</v>
      </c>
      <c r="AF27" s="160">
        <f t="shared" si="43"/>
        <v>5617</v>
      </c>
      <c r="AG27" s="166">
        <f t="shared" si="38"/>
        <v>0</v>
      </c>
    </row>
    <row r="28" spans="1:33" ht="16.5" thickBot="1" x14ac:dyDescent="0.25">
      <c r="A28" s="9">
        <v>44618</v>
      </c>
      <c r="B28" s="162">
        <f t="shared" si="61"/>
        <v>22877.233</v>
      </c>
      <c r="C28" s="45">
        <f t="shared" si="22"/>
        <v>0</v>
      </c>
      <c r="D28" s="29">
        <f t="shared" si="23"/>
        <v>0</v>
      </c>
      <c r="E28" s="1">
        <f t="shared" si="62"/>
        <v>4105.8289999999997</v>
      </c>
      <c r="F28" s="45">
        <f t="shared" si="24"/>
        <v>0</v>
      </c>
      <c r="G28" s="29">
        <f t="shared" si="25"/>
        <v>0</v>
      </c>
      <c r="H28" s="1">
        <f t="shared" si="63"/>
        <v>4751</v>
      </c>
      <c r="I28" s="45">
        <f t="shared" si="26"/>
        <v>0</v>
      </c>
      <c r="J28" s="29">
        <f t="shared" si="27"/>
        <v>0</v>
      </c>
      <c r="K28" s="7">
        <v>13889.7</v>
      </c>
      <c r="L28" s="45">
        <f t="shared" si="28"/>
        <v>0</v>
      </c>
      <c r="M28" s="29">
        <f t="shared" si="29"/>
        <v>0</v>
      </c>
      <c r="N28" s="7">
        <f t="shared" si="64"/>
        <v>3415.893</v>
      </c>
      <c r="O28" s="45">
        <f t="shared" si="30"/>
        <v>0</v>
      </c>
      <c r="P28" s="29">
        <f t="shared" si="31"/>
        <v>0</v>
      </c>
      <c r="Q28" s="7">
        <f t="shared" si="39"/>
        <v>5291.13</v>
      </c>
      <c r="R28" s="45">
        <f t="shared" si="32"/>
        <v>0</v>
      </c>
      <c r="S28" s="29">
        <f t="shared" si="33"/>
        <v>0</v>
      </c>
      <c r="T28" s="8">
        <f t="shared" si="41"/>
        <v>0</v>
      </c>
      <c r="U28" s="31">
        <f t="shared" si="34"/>
        <v>0</v>
      </c>
      <c r="W28" s="159">
        <v>44587</v>
      </c>
      <c r="X28" s="160">
        <f t="shared" si="65"/>
        <v>164501</v>
      </c>
      <c r="Y28" s="166">
        <f t="shared" si="40"/>
        <v>0</v>
      </c>
      <c r="Z28" s="160">
        <f t="shared" si="66"/>
        <v>8444</v>
      </c>
      <c r="AA28" s="166">
        <f t="shared" si="42"/>
        <v>0</v>
      </c>
      <c r="AB28" s="160">
        <f t="shared" si="35"/>
        <v>19.57</v>
      </c>
      <c r="AC28" s="166">
        <f t="shared" si="44"/>
        <v>0</v>
      </c>
      <c r="AD28" s="160">
        <f t="shared" si="67"/>
        <v>209</v>
      </c>
      <c r="AE28" s="166">
        <f t="shared" si="37"/>
        <v>0</v>
      </c>
      <c r="AF28" s="160">
        <f t="shared" si="43"/>
        <v>5617</v>
      </c>
      <c r="AG28" s="166">
        <f t="shared" si="38"/>
        <v>0</v>
      </c>
    </row>
    <row r="29" spans="1:33" ht="16.5" thickBot="1" x14ac:dyDescent="0.25">
      <c r="A29" s="9">
        <v>44619</v>
      </c>
      <c r="B29" s="162">
        <f t="shared" si="61"/>
        <v>22877.233</v>
      </c>
      <c r="C29" s="45">
        <f t="shared" si="22"/>
        <v>0</v>
      </c>
      <c r="D29" s="29">
        <f t="shared" si="23"/>
        <v>0</v>
      </c>
      <c r="E29" s="1">
        <f t="shared" si="62"/>
        <v>4105.8289999999997</v>
      </c>
      <c r="F29" s="45">
        <f t="shared" si="24"/>
        <v>0</v>
      </c>
      <c r="G29" s="29">
        <f t="shared" si="25"/>
        <v>0</v>
      </c>
      <c r="H29" s="1">
        <f t="shared" si="63"/>
        <v>4751</v>
      </c>
      <c r="I29" s="45">
        <f t="shared" si="26"/>
        <v>0</v>
      </c>
      <c r="J29" s="29">
        <f t="shared" si="27"/>
        <v>0</v>
      </c>
      <c r="K29" s="7">
        <v>13889.7</v>
      </c>
      <c r="L29" s="45">
        <f t="shared" si="28"/>
        <v>0</v>
      </c>
      <c r="M29" s="29">
        <f t="shared" si="29"/>
        <v>0</v>
      </c>
      <c r="N29" s="7">
        <f t="shared" si="64"/>
        <v>3415.893</v>
      </c>
      <c r="O29" s="45">
        <f t="shared" si="30"/>
        <v>0</v>
      </c>
      <c r="P29" s="29">
        <f t="shared" si="31"/>
        <v>0</v>
      </c>
      <c r="Q29" s="7">
        <f t="shared" si="39"/>
        <v>5291.13</v>
      </c>
      <c r="R29" s="45">
        <f t="shared" si="32"/>
        <v>0</v>
      </c>
      <c r="S29" s="29">
        <f t="shared" si="33"/>
        <v>0</v>
      </c>
      <c r="T29" s="8">
        <f t="shared" si="41"/>
        <v>0</v>
      </c>
      <c r="U29" s="31">
        <f t="shared" si="34"/>
        <v>0</v>
      </c>
      <c r="W29" s="159">
        <v>44588</v>
      </c>
      <c r="X29" s="160">
        <f t="shared" si="65"/>
        <v>164501</v>
      </c>
      <c r="Y29" s="166">
        <f t="shared" si="40"/>
        <v>0</v>
      </c>
      <c r="Z29" s="160">
        <f t="shared" si="66"/>
        <v>8444</v>
      </c>
      <c r="AA29" s="166">
        <f t="shared" si="42"/>
        <v>0</v>
      </c>
      <c r="AB29" s="160">
        <f t="shared" si="35"/>
        <v>19.57</v>
      </c>
      <c r="AC29" s="166">
        <f t="shared" si="44"/>
        <v>0</v>
      </c>
      <c r="AD29" s="160">
        <f t="shared" si="67"/>
        <v>209</v>
      </c>
      <c r="AE29" s="166">
        <f t="shared" si="37"/>
        <v>0</v>
      </c>
      <c r="AF29" s="160">
        <f t="shared" si="43"/>
        <v>5617</v>
      </c>
      <c r="AG29" s="166">
        <f t="shared" si="38"/>
        <v>0</v>
      </c>
    </row>
    <row r="30" spans="1:33" ht="16.5" thickBot="1" x14ac:dyDescent="0.25">
      <c r="A30" s="9">
        <v>44620</v>
      </c>
      <c r="B30" s="162">
        <f t="shared" si="61"/>
        <v>22877.233</v>
      </c>
      <c r="C30" s="45">
        <f t="shared" si="22"/>
        <v>0</v>
      </c>
      <c r="D30" s="29">
        <f t="shared" si="23"/>
        <v>0</v>
      </c>
      <c r="E30" s="1">
        <f t="shared" si="62"/>
        <v>4105.8289999999997</v>
      </c>
      <c r="F30" s="45">
        <f t="shared" si="24"/>
        <v>0</v>
      </c>
      <c r="G30" s="29">
        <f t="shared" si="25"/>
        <v>0</v>
      </c>
      <c r="H30" s="1">
        <f t="shared" si="63"/>
        <v>4751</v>
      </c>
      <c r="I30" s="45">
        <f t="shared" si="26"/>
        <v>0</v>
      </c>
      <c r="J30" s="29">
        <f t="shared" si="27"/>
        <v>0</v>
      </c>
      <c r="K30" s="7">
        <v>13889.7</v>
      </c>
      <c r="L30" s="45">
        <f t="shared" si="28"/>
        <v>0</v>
      </c>
      <c r="M30" s="29">
        <f t="shared" si="29"/>
        <v>0</v>
      </c>
      <c r="N30" s="7">
        <f t="shared" si="64"/>
        <v>3415.893</v>
      </c>
      <c r="O30" s="45">
        <f t="shared" si="30"/>
        <v>0</v>
      </c>
      <c r="P30" s="29">
        <f t="shared" si="31"/>
        <v>0</v>
      </c>
      <c r="Q30" s="7">
        <f t="shared" si="39"/>
        <v>5291.13</v>
      </c>
      <c r="R30" s="45">
        <f t="shared" si="32"/>
        <v>0</v>
      </c>
      <c r="S30" s="29">
        <f t="shared" si="33"/>
        <v>0</v>
      </c>
      <c r="T30" s="8">
        <f t="shared" si="41"/>
        <v>0</v>
      </c>
      <c r="U30" s="31">
        <f t="shared" si="34"/>
        <v>0</v>
      </c>
      <c r="W30" s="159">
        <v>44589</v>
      </c>
      <c r="X30" s="160">
        <f t="shared" si="65"/>
        <v>164501</v>
      </c>
      <c r="Y30" s="166">
        <f t="shared" si="40"/>
        <v>0</v>
      </c>
      <c r="Z30" s="160">
        <f t="shared" si="66"/>
        <v>8444</v>
      </c>
      <c r="AA30" s="166">
        <f>Z30-Z29</f>
        <v>0</v>
      </c>
      <c r="AB30" s="160">
        <f t="shared" si="35"/>
        <v>19.57</v>
      </c>
      <c r="AC30" s="166">
        <f t="shared" si="44"/>
        <v>0</v>
      </c>
      <c r="AD30" s="160">
        <f t="shared" si="67"/>
        <v>209</v>
      </c>
      <c r="AE30" s="166">
        <f t="shared" si="37"/>
        <v>0</v>
      </c>
      <c r="AF30" s="160">
        <f t="shared" si="43"/>
        <v>5617</v>
      </c>
      <c r="AG30" s="166">
        <f t="shared" si="38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28.122999999999593</v>
      </c>
      <c r="D31" s="139">
        <f>SUM(D3:D30)</f>
        <v>57262.199999998113</v>
      </c>
      <c r="E31" s="139">
        <v>0</v>
      </c>
      <c r="F31" s="45">
        <f>SUM(F3:F30)</f>
        <v>6.831000000000131</v>
      </c>
      <c r="G31" s="139">
        <f>SUM(G3:G30)</f>
        <v>12978.900000000249</v>
      </c>
      <c r="H31" s="139"/>
      <c r="I31" s="45">
        <f>SUM(I3:I30)</f>
        <v>63</v>
      </c>
      <c r="J31" s="139">
        <f>SUM(J3:J30)</f>
        <v>119700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26721.599999999711</v>
      </c>
      <c r="Q31" s="139"/>
      <c r="R31" s="45">
        <f>SUM(R3:R30)</f>
        <v>1.0000000000218279E-2</v>
      </c>
      <c r="S31" s="139">
        <f>SUM(S3:S30)</f>
        <v>19.00000000041473</v>
      </c>
      <c r="T31" s="139">
        <f>SUM(T3:T30)</f>
        <v>114.04299999999921</v>
      </c>
      <c r="U31" s="139">
        <f>SUM(U3:U30)</f>
        <v>216681.6999999985</v>
      </c>
      <c r="V31"/>
      <c r="W31" s="139" t="s">
        <v>143</v>
      </c>
      <c r="X31" s="139"/>
      <c r="Y31" s="139">
        <f>SUM(Y5:Y30)</f>
        <v>333</v>
      </c>
      <c r="Z31" s="139"/>
      <c r="AA31" s="139">
        <f>SUM(AA5:AA30)</f>
        <v>65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7" t="s">
        <v>116</v>
      </c>
      <c r="F19" s="178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79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79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81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81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0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0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79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79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81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81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0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0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79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79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81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81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0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0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79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79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81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81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0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0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79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79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81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81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0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0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79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79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81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81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0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0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79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79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81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81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0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0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79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79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81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81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0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0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79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79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81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81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0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0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79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79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81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81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0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0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79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79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81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81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0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0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79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79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81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81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0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0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79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79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81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81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0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0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9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79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81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81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0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0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9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79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81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81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79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79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81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81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79">
        <v>23</v>
      </c>
      <c r="D49" s="62" t="s">
        <v>83</v>
      </c>
      <c r="E49" s="77"/>
      <c r="F49" s="77"/>
      <c r="G49" s="64">
        <f t="shared" si="2"/>
        <v>0</v>
      </c>
      <c r="H49" s="65"/>
      <c r="J49" s="179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81"/>
      <c r="D50" s="62" t="s">
        <v>82</v>
      </c>
      <c r="E50" s="77"/>
      <c r="F50" s="77"/>
      <c r="G50" s="64">
        <f t="shared" si="2"/>
        <v>0</v>
      </c>
      <c r="H50" s="65"/>
      <c r="J50" s="181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82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82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83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83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84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84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79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79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0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0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9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79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0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0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79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79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0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0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9">
        <v>28</v>
      </c>
      <c r="D62" s="188" t="s">
        <v>86</v>
      </c>
      <c r="E62" s="63"/>
      <c r="F62" s="63"/>
      <c r="G62" s="64"/>
      <c r="H62" s="190" t="s">
        <v>87</v>
      </c>
      <c r="I62" s="68"/>
      <c r="J62" s="179">
        <v>28</v>
      </c>
      <c r="K62" s="188" t="s">
        <v>86</v>
      </c>
      <c r="L62" s="63"/>
      <c r="M62" s="63"/>
      <c r="N62" s="64"/>
      <c r="O62" s="190" t="s">
        <v>87</v>
      </c>
    </row>
    <row r="63" spans="1:15" ht="15" x14ac:dyDescent="0.2">
      <c r="A63" s="68"/>
      <c r="B63" s="58"/>
      <c r="C63" s="180"/>
      <c r="D63" s="189"/>
      <c r="E63" s="63"/>
      <c r="F63" s="63"/>
      <c r="G63" s="64"/>
      <c r="H63" s="191"/>
      <c r="I63" s="68"/>
      <c r="J63" s="180"/>
      <c r="K63" s="189"/>
      <c r="L63" s="63"/>
      <c r="M63" s="63"/>
      <c r="N63" s="64"/>
      <c r="O63" s="191"/>
    </row>
    <row r="64" spans="1:15" x14ac:dyDescent="0.2">
      <c r="A64" s="68"/>
      <c r="B64" s="58"/>
      <c r="C64" s="192" t="s">
        <v>88</v>
      </c>
      <c r="D64" s="192"/>
      <c r="E64" s="192"/>
      <c r="F64" s="192"/>
      <c r="G64" s="82">
        <f>SUM(G2:G63)</f>
        <v>28925</v>
      </c>
      <c r="H64" s="83"/>
      <c r="I64" s="68"/>
      <c r="J64" s="192" t="s">
        <v>88</v>
      </c>
      <c r="K64" s="192"/>
      <c r="L64" s="192"/>
      <c r="M64" s="192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3">
        <v>44409</v>
      </c>
      <c r="C69" s="194"/>
      <c r="D69" s="194"/>
      <c r="E69" s="195"/>
      <c r="F69" s="86"/>
      <c r="G69" s="193">
        <v>44470</v>
      </c>
      <c r="H69" s="194"/>
      <c r="I69" s="194"/>
      <c r="J69" s="195"/>
      <c r="K69" s="86"/>
      <c r="L69" s="185" t="s">
        <v>25</v>
      </c>
      <c r="M69" s="186"/>
      <c r="N69" s="186"/>
      <c r="O69" s="187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2022-02-15T01:11:07Z</dcterms:modified>
</cp:coreProperties>
</file>