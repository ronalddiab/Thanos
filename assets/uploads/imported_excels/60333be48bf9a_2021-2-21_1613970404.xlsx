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7032E350-FC14-4107-865C-40ECB7E693A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4" l="1"/>
  <c r="B3" i="4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15" i="8" l="1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<sst xmlns="http://schemas.openxmlformats.org/spreadsheetml/2006/main" count="201" uniqueCount="128">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</sst>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-57629</c:v>
                </c:pt>
                <c:pt idx="7">
                  <c:v>0.24007481899302632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5193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20" sqref="A20:XFD20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0</v>
      </c>
      <c r="L14" s="76">
        <v>1.5287027707808565</v>
      </c>
      <c r="M14" s="72">
        <v>46</v>
      </c>
      <c r="N14" s="72">
        <v>126</v>
      </c>
      <c r="O14" s="72">
        <v>365</v>
      </c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>
        <v>44</v>
      </c>
      <c r="N15" s="72">
        <v>121</v>
      </c>
      <c r="O15" s="72">
        <v>371</v>
      </c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22340.000000000146</v>
      </c>
      <c r="F16" s="48">
        <v>0.14000000000000001</v>
      </c>
      <c r="G16" s="107">
        <v>5945</v>
      </c>
      <c r="H16" s="48">
        <v>0.4453480216384178</v>
      </c>
      <c r="I16" s="65">
        <v>317</v>
      </c>
      <c r="J16" s="76">
        <v>0.4</v>
      </c>
      <c r="K16" s="108">
        <v>0</v>
      </c>
      <c r="L16" s="76">
        <v>1.5287027707808565</v>
      </c>
      <c r="M16" s="72">
        <v>36</v>
      </c>
      <c r="N16" s="72">
        <v>103</v>
      </c>
      <c r="O16" s="72">
        <v>303</v>
      </c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22669.999999999163</v>
      </c>
      <c r="F17" s="48">
        <v>0.14000000000000001</v>
      </c>
      <c r="G17" s="107">
        <v>6483</v>
      </c>
      <c r="H17" s="48">
        <v>0.4453480216384178</v>
      </c>
      <c r="I17" s="65">
        <v>192</v>
      </c>
      <c r="J17" s="76">
        <v>0.4</v>
      </c>
      <c r="K17" s="108">
        <v>0</v>
      </c>
      <c r="L17" s="76">
        <v>1.5287027707808565</v>
      </c>
      <c r="M17" s="72">
        <v>33</v>
      </c>
      <c r="N17" s="72">
        <v>96</v>
      </c>
      <c r="O17" s="72">
        <v>296</v>
      </c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22640.000000000327</v>
      </c>
      <c r="F18" s="48">
        <v>0.14000000000000001</v>
      </c>
      <c r="G18" s="107">
        <v>5991</v>
      </c>
      <c r="H18" s="48">
        <v>0.4453480216384178</v>
      </c>
      <c r="I18" s="65">
        <v>213</v>
      </c>
      <c r="J18" s="76">
        <v>0.4</v>
      </c>
      <c r="K18" s="108">
        <v>0</v>
      </c>
      <c r="L18" s="76">
        <v>1.5287027707808565</v>
      </c>
      <c r="M18" s="72">
        <v>31</v>
      </c>
      <c r="N18" s="72">
        <v>91</v>
      </c>
      <c r="O18" s="72">
        <v>282</v>
      </c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23229.999999999789</v>
      </c>
      <c r="F19" s="48">
        <v>0.14000000000000001</v>
      </c>
      <c r="G19" s="107">
        <v>6224</v>
      </c>
      <c r="H19" s="48">
        <v>0.4453480216384178</v>
      </c>
      <c r="I19" s="65">
        <v>277</v>
      </c>
      <c r="J19" s="76">
        <v>0.4</v>
      </c>
      <c r="K19" s="108">
        <v>0</v>
      </c>
      <c r="L19" s="76">
        <v>1.5287027707808565</v>
      </c>
      <c r="M19" s="72">
        <v>37</v>
      </c>
      <c r="N19" s="72">
        <v>111</v>
      </c>
      <c r="O19" s="72">
        <v>302</v>
      </c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21789.999999999964</v>
      </c>
      <c r="F20" s="48">
        <v>0.14000000000000001</v>
      </c>
      <c r="G20" s="107">
        <v>6070</v>
      </c>
      <c r="H20" s="48">
        <v>0.4453480216384178</v>
      </c>
      <c r="I20" s="65">
        <v>231</v>
      </c>
      <c r="J20" s="76">
        <v>0.4</v>
      </c>
      <c r="K20" s="108">
        <v>0</v>
      </c>
      <c r="L20" s="76">
        <v>1.5287027707808565</v>
      </c>
      <c r="M20" s="72">
        <v>43</v>
      </c>
      <c r="N20" s="72">
        <v>121</v>
      </c>
      <c r="O20" s="72">
        <v>356</v>
      </c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22769.999999999982</v>
      </c>
      <c r="F21" s="48">
        <v>0.14000000000000001</v>
      </c>
      <c r="G21" s="107">
        <v>6598</v>
      </c>
      <c r="H21" s="48">
        <v>0.4453480216384178</v>
      </c>
      <c r="I21" s="65">
        <v>262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21040.000000000648</v>
      </c>
      <c r="F22" s="48">
        <v>0.14000000000000001</v>
      </c>
      <c r="G22" s="107">
        <v>8056</v>
      </c>
      <c r="H22" s="48">
        <v>0.4453480216384178</v>
      </c>
      <c r="I22" s="65">
        <v>255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455819.99999999965</v>
      </c>
      <c r="F33" s="104">
        <v>0</v>
      </c>
      <c r="G33" s="101">
        <f>SUM(G2:G32)</f>
        <v>126793</v>
      </c>
      <c r="H33" s="102">
        <v>0</v>
      </c>
      <c r="I33" s="103">
        <f>SUM(I2:I32)</f>
        <v>5193</v>
      </c>
      <c r="J33" s="104">
        <v>0</v>
      </c>
      <c r="K33" s="105">
        <v>0</v>
      </c>
      <c r="L33" s="102">
        <v>0</v>
      </c>
      <c r="M33" s="106">
        <f t="shared" ref="M33:O33" si="1">SUM(M2:M32)</f>
        <v>583</v>
      </c>
      <c r="N33" s="106">
        <f t="shared" si="1"/>
        <v>1560</v>
      </c>
      <c r="O33" s="106">
        <f t="shared" si="1"/>
        <v>4545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7" zoomScale="78" zoomScaleNormal="78" workbookViewId="0">
      <selection activeCell="T25" sqref="T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120.16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>
        <v>46</v>
      </c>
      <c r="W16" s="71">
        <v>126</v>
      </c>
      <c r="X16" s="71">
        <v>365</v>
      </c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>
        <v>44</v>
      </c>
      <c r="W17" s="71">
        <v>121</v>
      </c>
      <c r="X17" s="71">
        <v>371</v>
      </c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192.79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>
        <v>36</v>
      </c>
      <c r="W18" s="71">
        <v>103</v>
      </c>
      <c r="X18" s="71">
        <v>303</v>
      </c>
      <c r="Y18" s="17"/>
    </row>
    <row r="19" spans="1:25" ht="21" customHeight="1" x14ac:dyDescent="0.25">
      <c r="A19" s="8">
        <v>44243</v>
      </c>
      <c r="B19" s="1">
        <v>806.82</v>
      </c>
      <c r="C19" s="1">
        <v>199.01</v>
      </c>
      <c r="D19" s="1">
        <v>7159773.54</v>
      </c>
      <c r="E19" s="1">
        <v>7773025.4800000004</v>
      </c>
      <c r="F19" s="1">
        <v>2.0506000000000002</v>
      </c>
      <c r="G19" s="1">
        <v>622.03</v>
      </c>
      <c r="H19" s="1">
        <v>520.82000000000005</v>
      </c>
      <c r="I19" s="1">
        <v>193.29</v>
      </c>
      <c r="J19" s="1">
        <v>286.14999999999998</v>
      </c>
      <c r="K19" s="1">
        <v>300.33</v>
      </c>
      <c r="L19" s="1">
        <v>205.93</v>
      </c>
      <c r="M19" s="1">
        <v>417.82</v>
      </c>
      <c r="N19" s="1">
        <v>365.22</v>
      </c>
      <c r="O19" s="1">
        <v>117.98</v>
      </c>
      <c r="P19" s="1">
        <v>484.15</v>
      </c>
      <c r="Q19" s="1">
        <v>360.91</v>
      </c>
      <c r="R19" s="1">
        <v>121.83</v>
      </c>
      <c r="S19" s="1">
        <v>97.546999999999997</v>
      </c>
      <c r="T19" s="1">
        <v>357.74</v>
      </c>
      <c r="V19" s="71">
        <v>33</v>
      </c>
      <c r="W19" s="71">
        <v>96</v>
      </c>
      <c r="X19" s="71">
        <v>296</v>
      </c>
      <c r="Y19" s="17"/>
    </row>
    <row r="20" spans="1:25" ht="21" customHeight="1" x14ac:dyDescent="0.25">
      <c r="A20" s="8">
        <v>44244</v>
      </c>
      <c r="B20" s="1">
        <v>808.09</v>
      </c>
      <c r="C20" s="1">
        <v>199.29</v>
      </c>
      <c r="D20" s="1">
        <v>7162037.3799999999</v>
      </c>
      <c r="E20" s="1">
        <v>7776266.6100000003</v>
      </c>
      <c r="F20" s="1">
        <v>2.0533999999999999</v>
      </c>
      <c r="G20" s="1">
        <v>623.04</v>
      </c>
      <c r="H20" s="1">
        <v>521.84</v>
      </c>
      <c r="I20" s="1">
        <v>193.57</v>
      </c>
      <c r="J20" s="1">
        <v>286.39999999999998</v>
      </c>
      <c r="K20" s="1">
        <v>300.7</v>
      </c>
      <c r="L20" s="1">
        <v>206.17</v>
      </c>
      <c r="M20" s="1">
        <v>418.51</v>
      </c>
      <c r="N20" s="1">
        <v>366.17</v>
      </c>
      <c r="O20" s="1">
        <v>118.22</v>
      </c>
      <c r="P20" s="1">
        <v>485.09</v>
      </c>
      <c r="Q20" s="1">
        <v>361.72</v>
      </c>
      <c r="R20" s="1">
        <v>122.01</v>
      </c>
      <c r="S20" s="1">
        <v>97.685000000000002</v>
      </c>
      <c r="T20" s="1">
        <v>358.31</v>
      </c>
      <c r="V20" s="71">
        <v>31</v>
      </c>
      <c r="W20" s="71">
        <v>91</v>
      </c>
      <c r="X20" s="71">
        <v>282</v>
      </c>
      <c r="Y20" s="17"/>
    </row>
    <row r="21" spans="1:25" ht="21" customHeight="1" x14ac:dyDescent="0.25">
      <c r="A21" s="8">
        <v>44245</v>
      </c>
      <c r="B21" s="1">
        <v>809.28</v>
      </c>
      <c r="C21" s="1">
        <v>199.52</v>
      </c>
      <c r="D21" s="1">
        <v>7164215.1900000004</v>
      </c>
      <c r="E21" s="1">
        <v>7779399.2800000003</v>
      </c>
      <c r="F21" s="1">
        <v>2.0558999999999998</v>
      </c>
      <c r="G21" s="1">
        <v>623.94000000000005</v>
      </c>
      <c r="H21" s="1">
        <v>522.82000000000005</v>
      </c>
      <c r="I21" s="1">
        <v>193.85</v>
      </c>
      <c r="J21" s="1">
        <v>286.73</v>
      </c>
      <c r="K21" s="1">
        <v>301.05</v>
      </c>
      <c r="L21" s="1">
        <v>206.4</v>
      </c>
      <c r="M21" s="1">
        <v>419.31</v>
      </c>
      <c r="N21" s="1">
        <v>367.06</v>
      </c>
      <c r="O21" s="1">
        <v>118.49</v>
      </c>
      <c r="P21" s="1">
        <v>486</v>
      </c>
      <c r="Q21" s="1">
        <v>362.44</v>
      </c>
      <c r="R21" s="1">
        <v>122.18</v>
      </c>
      <c r="S21" s="1">
        <v>97.83</v>
      </c>
      <c r="T21" s="1">
        <v>358.89</v>
      </c>
      <c r="V21" s="71">
        <v>37</v>
      </c>
      <c r="W21" s="71">
        <v>111</v>
      </c>
      <c r="X21" s="71">
        <v>302</v>
      </c>
      <c r="Y21" s="17"/>
    </row>
    <row r="22" spans="1:25" ht="21" customHeight="1" x14ac:dyDescent="0.25">
      <c r="A22" s="8">
        <v>44246</v>
      </c>
      <c r="B22" s="1">
        <v>810.41</v>
      </c>
      <c r="C22" s="1">
        <v>199.76</v>
      </c>
      <c r="D22" s="1">
        <v>7166439.8200000003</v>
      </c>
      <c r="E22" s="1">
        <v>7782469.8700000001</v>
      </c>
      <c r="F22" s="1">
        <v>2.0583999999999998</v>
      </c>
      <c r="G22" s="1">
        <v>624.79</v>
      </c>
      <c r="H22" s="1">
        <v>523.80999999999995</v>
      </c>
      <c r="I22" s="1">
        <v>194.12</v>
      </c>
      <c r="J22" s="1">
        <v>286.98</v>
      </c>
      <c r="K22" s="1">
        <v>301.38</v>
      </c>
      <c r="L22" s="1">
        <v>206.63</v>
      </c>
      <c r="M22" s="1">
        <v>420.07</v>
      </c>
      <c r="N22" s="1">
        <v>367.87</v>
      </c>
      <c r="O22" s="1">
        <v>118.76</v>
      </c>
      <c r="P22" s="1">
        <v>486.87</v>
      </c>
      <c r="Q22" s="1">
        <v>363.08</v>
      </c>
      <c r="R22" s="28">
        <v>122.35</v>
      </c>
      <c r="S22" s="28">
        <v>97.962000000000003</v>
      </c>
      <c r="T22" s="1">
        <v>359.39</v>
      </c>
      <c r="V22" s="71">
        <v>43</v>
      </c>
      <c r="W22" s="71">
        <v>121</v>
      </c>
      <c r="X22" s="71">
        <v>356</v>
      </c>
      <c r="Y22" s="17"/>
    </row>
    <row r="23" spans="1:25" ht="21" customHeight="1" x14ac:dyDescent="0.25">
      <c r="A23" s="8">
        <v>44247</v>
      </c>
      <c r="B23" s="1">
        <v>811.56</v>
      </c>
      <c r="C23" s="1">
        <v>200</v>
      </c>
      <c r="D23" s="1">
        <v>7168710.0999999996</v>
      </c>
      <c r="E23" s="1">
        <v>7785151.3600000003</v>
      </c>
      <c r="F23" s="1">
        <v>2.0611000000000002</v>
      </c>
      <c r="G23" s="1">
        <v>625.67999999999995</v>
      </c>
      <c r="H23" s="1">
        <v>524.84</v>
      </c>
      <c r="I23" s="1">
        <v>194.29</v>
      </c>
      <c r="J23" s="1">
        <v>287.39</v>
      </c>
      <c r="K23" s="1">
        <v>301.75</v>
      </c>
      <c r="L23" s="1">
        <v>206.85</v>
      </c>
      <c r="M23" s="1">
        <v>420.86</v>
      </c>
      <c r="N23" s="1">
        <v>368.67</v>
      </c>
      <c r="O23" s="1">
        <v>119.02</v>
      </c>
      <c r="P23" s="1">
        <v>487.71</v>
      </c>
      <c r="Q23" s="1">
        <v>363.82</v>
      </c>
      <c r="R23" s="1">
        <v>122.55</v>
      </c>
      <c r="S23" s="1">
        <v>98.114000000000004</v>
      </c>
      <c r="T23" s="1">
        <v>359.68</v>
      </c>
      <c r="V23" s="71"/>
      <c r="W23" s="71"/>
      <c r="X23" s="71"/>
      <c r="Y23" s="17"/>
    </row>
    <row r="24" spans="1:25" ht="21" customHeight="1" x14ac:dyDescent="0.25">
      <c r="A24" s="8">
        <v>44248</v>
      </c>
      <c r="B24" s="1">
        <v>812.8</v>
      </c>
      <c r="C24" s="1">
        <v>200.26</v>
      </c>
      <c r="D24" s="1">
        <v>7170912.7699999996</v>
      </c>
      <c r="E24" s="1">
        <v>7788163.9100000001</v>
      </c>
      <c r="F24" s="1">
        <v>2.0638999999999998</v>
      </c>
      <c r="G24" s="1">
        <v>626.64</v>
      </c>
      <c r="H24" s="1">
        <v>525.85</v>
      </c>
      <c r="I24" s="1">
        <v>194.69</v>
      </c>
      <c r="J24" s="1">
        <v>287.83999999999997</v>
      </c>
      <c r="K24" s="1">
        <v>302.19</v>
      </c>
      <c r="L24" s="1">
        <v>207.11</v>
      </c>
      <c r="M24" s="1">
        <v>421.66</v>
      </c>
      <c r="N24" s="1">
        <v>369.58</v>
      </c>
      <c r="O24" s="1">
        <v>119.31</v>
      </c>
      <c r="P24" s="1">
        <v>488.51</v>
      </c>
      <c r="Q24" s="1">
        <v>364.52</v>
      </c>
      <c r="R24" s="1">
        <v>122.75</v>
      </c>
      <c r="S24" s="1">
        <v>98.256</v>
      </c>
      <c r="T24" s="1">
        <v>360.19</v>
      </c>
      <c r="V24" s="71"/>
      <c r="W24" s="71"/>
      <c r="X24" s="71"/>
      <c r="Y24" s="17"/>
    </row>
    <row r="25" spans="1:25" ht="21" customHeight="1" x14ac:dyDescent="0.25">
      <c r="A25" s="8">
        <v>44249</v>
      </c>
      <c r="B25" s="1">
        <v>813.96</v>
      </c>
      <c r="C25" s="1">
        <v>200.46</v>
      </c>
      <c r="D25" s="1">
        <v>7172828.7300000004</v>
      </c>
      <c r="E25" s="1">
        <v>7790909.5800000001</v>
      </c>
      <c r="F25" s="1">
        <v>2.0663</v>
      </c>
      <c r="G25" s="1">
        <v>627.6</v>
      </c>
      <c r="H25" s="1">
        <v>526.58000000000004</v>
      </c>
      <c r="I25" s="1">
        <v>194.95</v>
      </c>
      <c r="J25" s="1">
        <v>288.11</v>
      </c>
      <c r="K25" s="1">
        <v>302.54000000000002</v>
      </c>
      <c r="L25" s="1">
        <v>207.34</v>
      </c>
      <c r="M25" s="1">
        <v>422.41</v>
      </c>
      <c r="N25" s="1">
        <v>370.37</v>
      </c>
      <c r="O25" s="1">
        <v>119.54</v>
      </c>
      <c r="P25" s="1">
        <v>489.3</v>
      </c>
      <c r="Q25" s="1">
        <v>365.25</v>
      </c>
      <c r="R25" s="1">
        <v>122.94</v>
      </c>
      <c r="S25" s="1">
        <v>98.402000000000001</v>
      </c>
      <c r="T25" s="1">
        <v>360.7</v>
      </c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583</v>
      </c>
      <c r="W35" s="78">
        <f>SUM(W4:W34)</f>
        <v>1560</v>
      </c>
      <c r="X35" s="78">
        <f>SUM(X4:X34)</f>
        <v>4545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F22" sqref="F2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179.99999999999261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7444.7300000007326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210.00000000000796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4115.1899999982816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79.999999999984084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7996.1500000008109</v>
      </c>
    </row>
    <row r="18" spans="1:22" x14ac:dyDescent="0.25">
      <c r="A18" s="3">
        <f>'Kwh Reading'!A18</f>
        <v>44242</v>
      </c>
      <c r="B18" s="26">
        <f>TOTAL!E16</f>
        <v>22340.000000000146</v>
      </c>
      <c r="C18" s="4">
        <f>('Kwh Reading'!T19-'Kwh Reading'!T18)*1000</f>
        <v>540.00000000002046</v>
      </c>
      <c r="D18" s="2">
        <f>('Kwh Reading'!F19-'Kwh Reading'!F18)*1000000</f>
        <v>2500.0000000003906</v>
      </c>
      <c r="E18" s="2">
        <f>('Kwh Reading'!C19-'Kwh Reading'!C18)*1000</f>
        <v>219.99999999999886</v>
      </c>
      <c r="F18" s="2">
        <f>('Kwh Reading'!J19-'Kwh Reading'!J18)*1000</f>
        <v>169.99999999995907</v>
      </c>
      <c r="G18" s="2">
        <f>('Kwh Reading'!K19-'Kwh Reading'!K18)*1000</f>
        <v>329.99999999998408</v>
      </c>
      <c r="H18" s="2">
        <f>('Kwh Reading'!L19-'Kwh Reading'!L18)*1000</f>
        <v>189.99999999999773</v>
      </c>
      <c r="I18" s="2">
        <f>('Kwh Reading'!R19-'Kwh Reading'!R18)*1000</f>
        <v>129.99999999999545</v>
      </c>
      <c r="J18" s="2">
        <f>('Kwh Reading'!S19-'Kwh Reading'!S18)*1000</f>
        <v>144.99999999999602</v>
      </c>
      <c r="K18" s="2">
        <f>('Kwh Reading'!I19-'Kwh Reading'!I18)*1000</f>
        <v>500</v>
      </c>
      <c r="L18" s="2">
        <f>('Kwh Reading'!B19-'Kwh Reading'!B18)*1000</f>
        <v>1090.0000000000318</v>
      </c>
      <c r="M18" s="2">
        <f>('Kwh Reading'!M19-'Kwh Reading'!M18)*1000</f>
        <v>569.99999999999318</v>
      </c>
      <c r="N18" s="2">
        <f>('Kwh Reading'!H19-'Kwh Reading'!H18)*1000</f>
        <v>930.00000000006366</v>
      </c>
      <c r="O18" s="2">
        <f>('Kwh Reading'!P19-'Kwh Reading'!P18)*1000</f>
        <v>849.99999999996589</v>
      </c>
      <c r="P18" s="2">
        <f>('Kwh Reading'!G19-'Kwh Reading'!G18)*1000</f>
        <v>919.99999999995907</v>
      </c>
      <c r="Q18" s="2">
        <f>('Kwh Reading'!Q19-'Kwh Reading'!Q18)*1000</f>
        <v>660.00000000002501</v>
      </c>
      <c r="R18" s="2">
        <f>('Kwh Reading'!N19-'Kwh Reading'!N18)*1000</f>
        <v>810.00000000000227</v>
      </c>
      <c r="S18" s="34">
        <f>'Kwh Reading'!E19-'Kwh Reading'!E18</f>
        <v>2815.730000000447</v>
      </c>
      <c r="T18" s="34">
        <f>'Kwh Reading'!D19-'Kwh Reading'!D18</f>
        <v>2035.4400000004098</v>
      </c>
      <c r="U18" s="27">
        <f>('Kwh Reading'!O19-'Kwh Reading'!O18)*1000</f>
        <v>260.00000000000512</v>
      </c>
      <c r="V18" s="16">
        <f t="shared" si="0"/>
        <v>6673.8299999988994</v>
      </c>
    </row>
    <row r="19" spans="1:22" x14ac:dyDescent="0.25">
      <c r="A19" s="3">
        <f>'Kwh Reading'!A19</f>
        <v>44243</v>
      </c>
      <c r="B19" s="26">
        <f>TOTAL!E17</f>
        <v>22669.999999999163</v>
      </c>
      <c r="C19" s="4">
        <f>('Kwh Reading'!T20-'Kwh Reading'!T19)*1000</f>
        <v>569.99999999999318</v>
      </c>
      <c r="D19" s="2">
        <f>('Kwh Reading'!F20-'Kwh Reading'!F19)*1000000</f>
        <v>2799.9999999996917</v>
      </c>
      <c r="E19" s="2">
        <f>('Kwh Reading'!C20-'Kwh Reading'!C19)*1000</f>
        <v>280.00000000000114</v>
      </c>
      <c r="F19" s="2">
        <f>('Kwh Reading'!J20-'Kwh Reading'!J19)*1000</f>
        <v>250</v>
      </c>
      <c r="G19" s="2">
        <f>('Kwh Reading'!K20-'Kwh Reading'!K19)*1000</f>
        <v>370.00000000000455</v>
      </c>
      <c r="H19" s="2">
        <f>('Kwh Reading'!L20-'Kwh Reading'!L19)*1000</f>
        <v>239.99999999998067</v>
      </c>
      <c r="I19" s="2">
        <f>('Kwh Reading'!R20-'Kwh Reading'!R19)*1000</f>
        <v>180.00000000000682</v>
      </c>
      <c r="J19" s="2">
        <f>('Kwh Reading'!S20-'Kwh Reading'!S19)*1000</f>
        <v>138.00000000000523</v>
      </c>
      <c r="K19" s="2">
        <f>('Kwh Reading'!I20-'Kwh Reading'!I19)*1000</f>
        <v>280.00000000000114</v>
      </c>
      <c r="L19" s="2">
        <f>('Kwh Reading'!B20-'Kwh Reading'!B19)*1000</f>
        <v>1269.9999999999818</v>
      </c>
      <c r="M19" s="2">
        <f>('Kwh Reading'!M20-'Kwh Reading'!M19)*1000</f>
        <v>689.99999999999773</v>
      </c>
      <c r="N19" s="2">
        <f>('Kwh Reading'!H20-'Kwh Reading'!H19)*1000</f>
        <v>1019.9999999999818</v>
      </c>
      <c r="O19" s="2">
        <f>('Kwh Reading'!P20-'Kwh Reading'!P19)*1000</f>
        <v>939.99999999999773</v>
      </c>
      <c r="P19" s="2">
        <f>('Kwh Reading'!G20-'Kwh Reading'!G19)*1000</f>
        <v>1009.9999999999909</v>
      </c>
      <c r="Q19" s="2">
        <f>('Kwh Reading'!Q20-'Kwh Reading'!Q19)*1000</f>
        <v>810.00000000000227</v>
      </c>
      <c r="R19" s="2">
        <f>('Kwh Reading'!N20-'Kwh Reading'!N19)*1000</f>
        <v>949.99999999998863</v>
      </c>
      <c r="S19" s="34">
        <f>'Kwh Reading'!E20-'Kwh Reading'!E19</f>
        <v>3241.1299999998882</v>
      </c>
      <c r="T19" s="34">
        <f>'Kwh Reading'!D20-'Kwh Reading'!D19</f>
        <v>2263.839999999851</v>
      </c>
      <c r="U19" s="27">
        <f>('Kwh Reading'!O20-'Kwh Reading'!O19)*1000</f>
        <v>239.99999999999488</v>
      </c>
      <c r="V19" s="16">
        <f t="shared" si="0"/>
        <v>5127.0299999998024</v>
      </c>
    </row>
    <row r="20" spans="1:22" x14ac:dyDescent="0.25">
      <c r="A20" s="3">
        <f>'Kwh Reading'!A20</f>
        <v>44244</v>
      </c>
      <c r="B20" s="26">
        <f>TOTAL!E18</f>
        <v>22640.000000000327</v>
      </c>
      <c r="C20" s="4">
        <f>('Kwh Reading'!T21-'Kwh Reading'!T20)*1000</f>
        <v>579.99999999998408</v>
      </c>
      <c r="D20" s="2">
        <f>('Kwh Reading'!F21-'Kwh Reading'!F20)*1000000</f>
        <v>2499.9999999999468</v>
      </c>
      <c r="E20" s="2">
        <f>('Kwh Reading'!C21-'Kwh Reading'!C20)*1000</f>
        <v>230.00000000001819</v>
      </c>
      <c r="F20" s="2">
        <f>('Kwh Reading'!J21-'Kwh Reading'!J20)*1000</f>
        <v>330.00000000004093</v>
      </c>
      <c r="G20" s="2">
        <f>('Kwh Reading'!K21-'Kwh Reading'!K20)*1000</f>
        <v>350.00000000002274</v>
      </c>
      <c r="H20" s="2">
        <f>('Kwh Reading'!L21-'Kwh Reading'!L20)*1000</f>
        <v>230.00000000001819</v>
      </c>
      <c r="I20" s="2">
        <f>('Kwh Reading'!R21-'Kwh Reading'!R20)*1000</f>
        <v>170.00000000000171</v>
      </c>
      <c r="J20" s="2">
        <f>('Kwh Reading'!S21-'Kwh Reading'!S20)*1000</f>
        <v>144.99999999999602</v>
      </c>
      <c r="K20" s="2">
        <f>('Kwh Reading'!I21-'Kwh Reading'!I20)*1000</f>
        <v>280.00000000000114</v>
      </c>
      <c r="L20" s="2">
        <f>('Kwh Reading'!B21-'Kwh Reading'!B20)*1000</f>
        <v>1189.9999999999409</v>
      </c>
      <c r="M20" s="2">
        <f>('Kwh Reading'!M21-'Kwh Reading'!M20)*1000</f>
        <v>800.00000000001137</v>
      </c>
      <c r="N20" s="2">
        <f>('Kwh Reading'!H21-'Kwh Reading'!H20)*1000</f>
        <v>980.00000000001819</v>
      </c>
      <c r="O20" s="2">
        <f>('Kwh Reading'!P21-'Kwh Reading'!P20)*1000</f>
        <v>910.00000000002501</v>
      </c>
      <c r="P20" s="2">
        <f>('Kwh Reading'!G21-'Kwh Reading'!G20)*1000</f>
        <v>900.00000000009095</v>
      </c>
      <c r="Q20" s="2">
        <f>('Kwh Reading'!Q21-'Kwh Reading'!Q20)*1000</f>
        <v>719.99999999997044</v>
      </c>
      <c r="R20" s="2">
        <f>('Kwh Reading'!N21-'Kwh Reading'!N20)*1000</f>
        <v>889.99999999998636</v>
      </c>
      <c r="S20" s="34">
        <f>'Kwh Reading'!E21-'Kwh Reading'!E20</f>
        <v>3132.6699999999255</v>
      </c>
      <c r="T20" s="34">
        <f>'Kwh Reading'!D21-'Kwh Reading'!D20</f>
        <v>2177.8100000005215</v>
      </c>
      <c r="U20" s="27">
        <f>('Kwh Reading'!O21-'Kwh Reading'!O20)*1000</f>
        <v>269.99999999999602</v>
      </c>
      <c r="V20" s="16">
        <f t="shared" si="0"/>
        <v>5854.5199999998113</v>
      </c>
    </row>
    <row r="21" spans="1:22" ht="16.5" customHeight="1" x14ac:dyDescent="0.25">
      <c r="A21" s="3">
        <f>'Kwh Reading'!A21</f>
        <v>44245</v>
      </c>
      <c r="B21" s="26">
        <f>TOTAL!E19</f>
        <v>23229.999999999789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239.99999999998067</v>
      </c>
      <c r="F21" s="2">
        <f>('Kwh Reading'!J22-'Kwh Reading'!J21)*1000</f>
        <v>250</v>
      </c>
      <c r="G21" s="2">
        <f>('Kwh Reading'!K22-'Kwh Reading'!K21)*1000</f>
        <v>329.99999999998408</v>
      </c>
      <c r="H21" s="2">
        <f>('Kwh Reading'!L22-'Kwh Reading'!L21)*1000</f>
        <v>229.99999999998977</v>
      </c>
      <c r="I21" s="2">
        <f>('Kwh Reading'!R22-'Kwh Reading'!R21)*1000</f>
        <v>169.99999999998749</v>
      </c>
      <c r="J21" s="2">
        <f>('Kwh Reading'!S22-'Kwh Reading'!S21)*1000</f>
        <v>132.000000000005</v>
      </c>
      <c r="K21" s="2">
        <f>('Kwh Reading'!I22-'Kwh Reading'!I21)*1000</f>
        <v>270.00000000001023</v>
      </c>
      <c r="L21" s="2">
        <f>('Kwh Reading'!B22-'Kwh Reading'!B21)*1000</f>
        <v>1129.9999999999955</v>
      </c>
      <c r="M21" s="2">
        <f>('Kwh Reading'!M22-'Kwh Reading'!M21)*1000</f>
        <v>759.99999999999091</v>
      </c>
      <c r="N21" s="2">
        <f>('Kwh Reading'!H22-'Kwh Reading'!H21)*1000</f>
        <v>989.99999999989541</v>
      </c>
      <c r="O21" s="2">
        <f>('Kwh Reading'!P22-'Kwh Reading'!P21)*1000</f>
        <v>870.00000000000455</v>
      </c>
      <c r="P21" s="2">
        <f>('Kwh Reading'!G22-'Kwh Reading'!G21)*1000</f>
        <v>849.99999999990905</v>
      </c>
      <c r="Q21" s="2">
        <f>('Kwh Reading'!Q22-'Kwh Reading'!Q21)*1000</f>
        <v>639.99999999998636</v>
      </c>
      <c r="R21" s="2">
        <f>('Kwh Reading'!N22-'Kwh Reading'!N21)*1000</f>
        <v>810.00000000000227</v>
      </c>
      <c r="S21" s="34">
        <f>'Kwh Reading'!E22-'Kwh Reading'!E21</f>
        <v>3070.589999999851</v>
      </c>
      <c r="T21" s="34">
        <f>'Kwh Reading'!D22-'Kwh Reading'!D21</f>
        <v>2224.6299999998882</v>
      </c>
      <c r="U21" s="27">
        <f>('Kwh Reading'!O22-'Kwh Reading'!O21)*1000</f>
        <v>270.00000000001023</v>
      </c>
      <c r="V21" s="16">
        <f t="shared" si="0"/>
        <v>6992.7800000003535</v>
      </c>
    </row>
    <row r="22" spans="1:22" x14ac:dyDescent="0.25">
      <c r="A22" s="3">
        <f>'Kwh Reading'!A22</f>
        <v>44246</v>
      </c>
      <c r="B22" s="26">
        <f>TOTAL!E20</f>
        <v>21789.999999999964</v>
      </c>
      <c r="C22" s="4">
        <f>('Kwh Reading'!T23-'Kwh Reading'!T22)*1000</f>
        <v>290.00000000002046</v>
      </c>
      <c r="D22" s="2">
        <f>('Kwh Reading'!F23-'Kwh Reading'!F22)*1000000</f>
        <v>2700.0000000003688</v>
      </c>
      <c r="E22" s="2">
        <f>('Kwh Reading'!C23-'Kwh Reading'!C22)*1000</f>
        <v>240.00000000000909</v>
      </c>
      <c r="F22" s="2">
        <f>('Kwh Reading'!J23-'Kwh Reading'!J22)*1000</f>
        <v>409.99999999996817</v>
      </c>
      <c r="G22" s="2">
        <f>('Kwh Reading'!K23-'Kwh Reading'!K22)*1000</f>
        <v>370.00000000000455</v>
      </c>
      <c r="H22" s="2">
        <f>('Kwh Reading'!L23-'Kwh Reading'!L22)*1000</f>
        <v>219.99999999999886</v>
      </c>
      <c r="I22" s="2">
        <f>('Kwh Reading'!R23-'Kwh Reading'!R22)*1000</f>
        <v>200.00000000000284</v>
      </c>
      <c r="J22" s="2">
        <f>('Kwh Reading'!S23-'Kwh Reading'!S22)*1000</f>
        <v>152.00000000000102</v>
      </c>
      <c r="K22" s="2">
        <f>('Kwh Reading'!I23-'Kwh Reading'!I22)*1000</f>
        <v>169.99999999998749</v>
      </c>
      <c r="L22" s="2">
        <f>('Kwh Reading'!B23-'Kwh Reading'!B22)*1000</f>
        <v>1149.9999999999773</v>
      </c>
      <c r="M22" s="2">
        <f>('Kwh Reading'!M23-'Kwh Reading'!M22)*1000</f>
        <v>790.00000000002046</v>
      </c>
      <c r="N22" s="2">
        <f>('Kwh Reading'!H23-'Kwh Reading'!H22)*1000</f>
        <v>1030.0000000000864</v>
      </c>
      <c r="O22" s="2">
        <f>('Kwh Reading'!P23-'Kwh Reading'!P22)*1000</f>
        <v>839.99999999997499</v>
      </c>
      <c r="P22" s="2">
        <f>('Kwh Reading'!G23-'Kwh Reading'!G22)*1000</f>
        <v>889.99999999998636</v>
      </c>
      <c r="Q22" s="2">
        <f>('Kwh Reading'!Q23-'Kwh Reading'!Q22)*1000</f>
        <v>740.00000000000909</v>
      </c>
      <c r="R22" s="2">
        <f>('Kwh Reading'!N23-'Kwh Reading'!N22)*1000</f>
        <v>800.00000000001137</v>
      </c>
      <c r="S22" s="34">
        <f>'Kwh Reading'!E23-'Kwh Reading'!E22</f>
        <v>2681.4900000002235</v>
      </c>
      <c r="T22" s="34">
        <f>'Kwh Reading'!D23-'Kwh Reading'!D22</f>
        <v>2270.2799999993294</v>
      </c>
      <c r="U22" s="27">
        <f>('Kwh Reading'!O23-'Kwh Reading'!O22)*1000</f>
        <v>259.99999999999091</v>
      </c>
      <c r="V22" s="16">
        <f t="shared" si="0"/>
        <v>5586.2299999999923</v>
      </c>
    </row>
    <row r="23" spans="1:22" x14ac:dyDescent="0.25">
      <c r="A23" s="3">
        <f>'Kwh Reading'!A23</f>
        <v>44247</v>
      </c>
      <c r="B23" s="26">
        <f>TOTAL!E21</f>
        <v>22769.999999999982</v>
      </c>
      <c r="C23" s="4">
        <f>('Kwh Reading'!T24-'Kwh Reading'!T23)*1000</f>
        <v>509.99999999999091</v>
      </c>
      <c r="D23" s="2">
        <f>('Kwh Reading'!F24-'Kwh Reading'!F23)*1000000</f>
        <v>2799.9999999996917</v>
      </c>
      <c r="E23" s="2">
        <f>('Kwh Reading'!C24-'Kwh Reading'!C23)*1000</f>
        <v>259.99999999999091</v>
      </c>
      <c r="F23" s="2">
        <f>('Kwh Reading'!J24-'Kwh Reading'!J23)*1000</f>
        <v>449.99999999998863</v>
      </c>
      <c r="G23" s="2">
        <f>('Kwh Reading'!K24-'Kwh Reading'!K23)*1000</f>
        <v>439.99999999999773</v>
      </c>
      <c r="H23" s="2">
        <f>('Kwh Reading'!L24-'Kwh Reading'!L23)*1000</f>
        <v>260.00000000001933</v>
      </c>
      <c r="I23" s="2">
        <f>('Kwh Reading'!R24-'Kwh Reading'!R23)*1000</f>
        <v>200.00000000000284</v>
      </c>
      <c r="J23" s="2">
        <f>('Kwh Reading'!S24-'Kwh Reading'!S23)*1000</f>
        <v>141.99999999999591</v>
      </c>
      <c r="K23" s="2">
        <f>('Kwh Reading'!I24-'Kwh Reading'!I23)*1000</f>
        <v>400.00000000000568</v>
      </c>
      <c r="L23" s="2">
        <f>('Kwh Reading'!B24-'Kwh Reading'!B23)*1000</f>
        <v>1240.0000000000091</v>
      </c>
      <c r="M23" s="2">
        <f>('Kwh Reading'!M24-'Kwh Reading'!M23)*1000</f>
        <v>800.00000000001137</v>
      </c>
      <c r="N23" s="2">
        <f>('Kwh Reading'!H24-'Kwh Reading'!H23)*1000</f>
        <v>1009.9999999999909</v>
      </c>
      <c r="O23" s="2">
        <f>('Kwh Reading'!P24-'Kwh Reading'!P23)*1000</f>
        <v>800.00000000001137</v>
      </c>
      <c r="P23" s="2">
        <f>('Kwh Reading'!G24-'Kwh Reading'!G23)*1000</f>
        <v>960.00000000003638</v>
      </c>
      <c r="Q23" s="2">
        <f>('Kwh Reading'!Q24-'Kwh Reading'!Q23)*1000</f>
        <v>699.99999999998863</v>
      </c>
      <c r="R23" s="2">
        <f>('Kwh Reading'!N24-'Kwh Reading'!N23)*1000</f>
        <v>909.99999999996817</v>
      </c>
      <c r="S23" s="34">
        <f>'Kwh Reading'!E24-'Kwh Reading'!E23</f>
        <v>3012.5499999998137</v>
      </c>
      <c r="T23" s="34">
        <f>'Kwh Reading'!D24-'Kwh Reading'!D23</f>
        <v>2202.6699999999255</v>
      </c>
      <c r="U23" s="27">
        <f>('Kwh Reading'!O24-'Kwh Reading'!O23)*1000</f>
        <v>290.00000000000625</v>
      </c>
      <c r="V23" s="16">
        <f t="shared" si="0"/>
        <v>5382.7800000005373</v>
      </c>
    </row>
    <row r="24" spans="1:22" x14ac:dyDescent="0.25">
      <c r="A24" s="3">
        <f>'Kwh Reading'!A24</f>
        <v>44248</v>
      </c>
      <c r="B24" s="26">
        <f>TOTAL!E22</f>
        <v>21040.000000000648</v>
      </c>
      <c r="C24" s="4">
        <f>('Kwh Reading'!T25-'Kwh Reading'!T24)*1000</f>
        <v>509.99999999999091</v>
      </c>
      <c r="D24" s="2">
        <f>('Kwh Reading'!F25-'Kwh Reading'!F24)*1000000</f>
        <v>2400.0000000001796</v>
      </c>
      <c r="E24" s="2">
        <f>('Kwh Reading'!C25-'Kwh Reading'!C24)*1000</f>
        <v>200.00000000001705</v>
      </c>
      <c r="F24" s="2">
        <f>('Kwh Reading'!J25-'Kwh Reading'!J24)*1000</f>
        <v>270.00000000003865</v>
      </c>
      <c r="G24" s="2">
        <f>('Kwh Reading'!K25-'Kwh Reading'!K24)*1000</f>
        <v>350.00000000002274</v>
      </c>
      <c r="H24" s="2">
        <f>('Kwh Reading'!L25-'Kwh Reading'!L24)*1000</f>
        <v>229.99999999998977</v>
      </c>
      <c r="I24" s="2">
        <f>('Kwh Reading'!R25-'Kwh Reading'!R24)*1000</f>
        <v>189.99999999999773</v>
      </c>
      <c r="J24" s="2">
        <f>('Kwh Reading'!S25-'Kwh Reading'!S24)*1000</f>
        <v>146.0000000000008</v>
      </c>
      <c r="K24" s="2">
        <f>('Kwh Reading'!I25-'Kwh Reading'!I24)*1000</f>
        <v>259.99999999999091</v>
      </c>
      <c r="L24" s="2">
        <f>('Kwh Reading'!B25-'Kwh Reading'!B24)*1000</f>
        <v>1160.0000000000819</v>
      </c>
      <c r="M24" s="2">
        <f>('Kwh Reading'!M25-'Kwh Reading'!M24)*1000</f>
        <v>750</v>
      </c>
      <c r="N24" s="2">
        <f>('Kwh Reading'!H25-'Kwh Reading'!H24)*1000</f>
        <v>730.00000000001819</v>
      </c>
      <c r="O24" s="2">
        <f>('Kwh Reading'!P25-'Kwh Reading'!P24)*1000</f>
        <v>790.00000000002046</v>
      </c>
      <c r="P24" s="2">
        <f>('Kwh Reading'!G25-'Kwh Reading'!G24)*1000</f>
        <v>960.00000000003638</v>
      </c>
      <c r="Q24" s="2">
        <f>('Kwh Reading'!Q25-'Kwh Reading'!Q24)*1000</f>
        <v>730.00000000001819</v>
      </c>
      <c r="R24" s="2">
        <f>('Kwh Reading'!N25-'Kwh Reading'!N24)*1000</f>
        <v>790.00000000002046</v>
      </c>
      <c r="S24" s="2">
        <f>'Kwh Reading'!E25-'Kwh Reading'!E24</f>
        <v>2745.6699999999255</v>
      </c>
      <c r="T24" s="2">
        <f>'Kwh Reading'!D25-'Kwh Reading'!D24</f>
        <v>1915.9600000008941</v>
      </c>
      <c r="U24" s="27">
        <f>('Kwh Reading'!O25-'Kwh Reading'!O24)*1000</f>
        <v>230.00000000000398</v>
      </c>
      <c r="V24" s="16">
        <f t="shared" si="0"/>
        <v>5682.3699999994005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-360700</v>
      </c>
      <c r="D25" s="2">
        <f>('Kwh Reading'!F26-'Kwh Reading'!F25)*1000000</f>
        <v>-2066300</v>
      </c>
      <c r="E25" s="2">
        <f>('Kwh Reading'!C26-'Kwh Reading'!C25)*1000</f>
        <v>-200460</v>
      </c>
      <c r="F25" s="2">
        <f>('Kwh Reading'!J26-'Kwh Reading'!J25)*1000</f>
        <v>-288110</v>
      </c>
      <c r="G25" s="2">
        <f>('Kwh Reading'!K26-'Kwh Reading'!K25)*1000</f>
        <v>-302540</v>
      </c>
      <c r="H25" s="2">
        <f>('Kwh Reading'!L26-'Kwh Reading'!L25)*1000</f>
        <v>-207340</v>
      </c>
      <c r="I25" s="2">
        <f>('Kwh Reading'!R26-'Kwh Reading'!R25)*1000</f>
        <v>-122940</v>
      </c>
      <c r="J25" s="2">
        <f>('Kwh Reading'!S26-'Kwh Reading'!S25)*1000</f>
        <v>-98402</v>
      </c>
      <c r="K25" s="2">
        <f>('Kwh Reading'!I26-'Kwh Reading'!I25)*1000</f>
        <v>-194950</v>
      </c>
      <c r="L25" s="2">
        <f>('Kwh Reading'!B26-'Kwh Reading'!B25)*1000</f>
        <v>-813960</v>
      </c>
      <c r="M25" s="2">
        <f>('Kwh Reading'!M26-'Kwh Reading'!M25)*1000</f>
        <v>-422410</v>
      </c>
      <c r="N25" s="2">
        <f>('Kwh Reading'!H26-'Kwh Reading'!H25)*1000</f>
        <v>-526580</v>
      </c>
      <c r="O25" s="2">
        <f>('Kwh Reading'!P26-'Kwh Reading'!P25)*1000</f>
        <v>-489300</v>
      </c>
      <c r="P25" s="2">
        <f>('Kwh Reading'!G26-'Kwh Reading'!G25)*1000</f>
        <v>-627600</v>
      </c>
      <c r="Q25" s="2">
        <f>('Kwh Reading'!Q26-'Kwh Reading'!Q25)*1000</f>
        <v>-365250</v>
      </c>
      <c r="R25" s="2">
        <f>('Kwh Reading'!N26-'Kwh Reading'!N25)*1000</f>
        <v>-370370</v>
      </c>
      <c r="S25" s="2">
        <f>'Kwh Reading'!E26-'Kwh Reading'!E25</f>
        <v>-7790909.5800000001</v>
      </c>
      <c r="T25" s="2">
        <f>'Kwh Reading'!D26-'Kwh Reading'!D25</f>
        <v>-7172828.7300000004</v>
      </c>
      <c r="U25" s="27">
        <f>('Kwh Reading'!O26-'Kwh Reading'!O25)*1000</f>
        <v>-119540</v>
      </c>
      <c r="V25" s="16">
        <f t="shared" si="0"/>
        <v>22540490.310000002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455820.00000000023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-189120.00000000003</v>
      </c>
      <c r="L35" s="75">
        <f t="shared" si="5"/>
        <v>-789940</v>
      </c>
      <c r="M35" s="75">
        <f t="shared" si="5"/>
        <v>-407779.99999999994</v>
      </c>
      <c r="N35" s="75">
        <f t="shared" si="5"/>
        <v>-507249.99999999994</v>
      </c>
      <c r="O35" s="75">
        <f t="shared" si="5"/>
        <v>-471720</v>
      </c>
      <c r="P35" s="75">
        <f t="shared" si="5"/>
        <v>-609179.99999999988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-114829.99999999999</v>
      </c>
      <c r="V35" s="75">
        <f>SUM(V4:V34)</f>
        <v>22662210.680000003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12" activePane="bottomRight" state="frozen"/>
      <selection pane="topRight" activeCell="C1" sqref="C1"/>
      <selection pane="bottomLeft" activeCell="A3" sqref="A3"/>
      <selection pane="bottomRight" activeCell="B22" sqref="B22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317.99999999998363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7444.730000000739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352.00000000000387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4115.1899999982807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1170.0000000000159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7996.1500000008127</v>
      </c>
    </row>
    <row r="17" spans="1:12" x14ac:dyDescent="0.25">
      <c r="A17" s="14">
        <f>'Kwh Reading'!A18</f>
        <v>44242</v>
      </c>
      <c r="B17" s="83">
        <f>TOTAL!E16</f>
        <v>22340.000000000146</v>
      </c>
      <c r="C17" s="1">
        <f>'Kwh Consumption'!C18</f>
        <v>540.00000000002046</v>
      </c>
      <c r="D17" s="1">
        <f>'Kwh Consumption'!D18</f>
        <v>2500.0000000003906</v>
      </c>
      <c r="E17" s="1">
        <f>'Kwh Consumption'!E18</f>
        <v>219.99999999999886</v>
      </c>
      <c r="F17" s="1">
        <f>('Kwh Consumption'!F18+'Kwh Consumption'!G18+'Kwh Consumption'!H18)</f>
        <v>689.99999999994088</v>
      </c>
      <c r="G17" s="16">
        <f>('Kwh Consumption'!I18+'Kwh Consumption'!J18)</f>
        <v>274.99999999999147</v>
      </c>
      <c r="H17" s="1">
        <f>('Kwh Consumption'!K18+'Kwh Consumption'!L18)</f>
        <v>1590.0000000000318</v>
      </c>
      <c r="I17" s="1">
        <f>('Kwh Consumption'!M18+'Kwh Consumption'!N18+'Kwh Consumption'!O18+'Kwh Consumption'!P18+'Kwh Consumption'!Q18+'Kwh Consumption'!R18)</f>
        <v>4740.0000000000091</v>
      </c>
      <c r="J17" s="1">
        <f>('Kwh Consumption'!S18+'Kwh Consumption'!T18)</f>
        <v>4851.1700000008568</v>
      </c>
      <c r="K17" s="31">
        <f>'Kwh Consumption'!U18</f>
        <v>260.00000000000512</v>
      </c>
      <c r="L17" s="32">
        <f t="shared" si="0"/>
        <v>6673.8299999988958</v>
      </c>
    </row>
    <row r="18" spans="1:12" x14ac:dyDescent="0.25">
      <c r="A18" s="14">
        <f>'Kwh Reading'!A19</f>
        <v>44243</v>
      </c>
      <c r="B18" s="83">
        <f>TOTAL!E17</f>
        <v>22669.999999999163</v>
      </c>
      <c r="C18" s="1">
        <f>'Kwh Consumption'!C19</f>
        <v>569.99999999999318</v>
      </c>
      <c r="D18" s="1">
        <f>'Kwh Consumption'!D19</f>
        <v>2799.9999999996917</v>
      </c>
      <c r="E18" s="1">
        <f>'Kwh Consumption'!E19</f>
        <v>280.00000000000114</v>
      </c>
      <c r="F18" s="1">
        <f>('Kwh Consumption'!F19+'Kwh Consumption'!G19+'Kwh Consumption'!H19)</f>
        <v>859.99999999998522</v>
      </c>
      <c r="G18" s="16">
        <f>('Kwh Consumption'!I19+'Kwh Consumption'!J19)</f>
        <v>318.00000000001205</v>
      </c>
      <c r="H18" s="1">
        <f>('Kwh Consumption'!K19+'Kwh Consumption'!L19)</f>
        <v>1549.9999999999829</v>
      </c>
      <c r="I18" s="1">
        <f>('Kwh Consumption'!M19+'Kwh Consumption'!N19+'Kwh Consumption'!O19+'Kwh Consumption'!P19+'Kwh Consumption'!Q19+'Kwh Consumption'!R19)</f>
        <v>5419.99999999996</v>
      </c>
      <c r="J18" s="1">
        <f>('Kwh Consumption'!S19+'Kwh Consumption'!T19)</f>
        <v>5504.9699999997392</v>
      </c>
      <c r="K18" s="31">
        <f>'Kwh Consumption'!U19</f>
        <v>239.99999999999488</v>
      </c>
      <c r="L18" s="32">
        <f t="shared" si="0"/>
        <v>5127.029999999806</v>
      </c>
    </row>
    <row r="19" spans="1:12" x14ac:dyDescent="0.25">
      <c r="A19" s="14">
        <f>'Kwh Reading'!A20</f>
        <v>44244</v>
      </c>
      <c r="B19" s="83">
        <f>TOTAL!E18</f>
        <v>22640.000000000327</v>
      </c>
      <c r="C19" s="1">
        <f>'Kwh Consumption'!C20</f>
        <v>579.99999999998408</v>
      </c>
      <c r="D19" s="1">
        <f>'Kwh Consumption'!D20</f>
        <v>2499.9999999999468</v>
      </c>
      <c r="E19" s="1">
        <f>'Kwh Consumption'!E20</f>
        <v>230.00000000001819</v>
      </c>
      <c r="F19" s="1">
        <f>('Kwh Consumption'!F20+'Kwh Consumption'!G20+'Kwh Consumption'!H20)</f>
        <v>910.00000000008185</v>
      </c>
      <c r="G19" s="16">
        <f>('Kwh Consumption'!I20+'Kwh Consumption'!J20)</f>
        <v>314.99999999999773</v>
      </c>
      <c r="H19" s="1">
        <f>('Kwh Consumption'!K20+'Kwh Consumption'!L20)</f>
        <v>1469.999999999942</v>
      </c>
      <c r="I19" s="1">
        <f>('Kwh Consumption'!M20+'Kwh Consumption'!N20+'Kwh Consumption'!O20+'Kwh Consumption'!P20+'Kwh Consumption'!Q20+'Kwh Consumption'!R20)</f>
        <v>5200.0000000001028</v>
      </c>
      <c r="J19" s="1">
        <f>('Kwh Consumption'!S20+'Kwh Consumption'!T20)</f>
        <v>5310.480000000447</v>
      </c>
      <c r="K19" s="1">
        <f>'Kwh Consumption'!U20</f>
        <v>269.99999999999602</v>
      </c>
      <c r="L19" s="32">
        <f t="shared" si="0"/>
        <v>5854.5199999998149</v>
      </c>
    </row>
    <row r="20" spans="1:12" x14ac:dyDescent="0.25">
      <c r="A20" s="14">
        <f>'Kwh Reading'!A21</f>
        <v>44245</v>
      </c>
      <c r="B20" s="83">
        <f>TOTAL!E19</f>
        <v>23229.999999999789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239.99999999998067</v>
      </c>
      <c r="F20" s="1">
        <f>('Kwh Consumption'!F21+'Kwh Consumption'!G21+'Kwh Consumption'!H21)</f>
        <v>809.99999999997385</v>
      </c>
      <c r="G20" s="16">
        <f>('Kwh Consumption'!I21+'Kwh Consumption'!J21)</f>
        <v>301.9999999999925</v>
      </c>
      <c r="H20" s="1">
        <f>('Kwh Consumption'!K21+'Kwh Consumption'!L21)</f>
        <v>1400.0000000000057</v>
      </c>
      <c r="I20" s="1">
        <f>('Kwh Consumption'!M21+'Kwh Consumption'!N21+'Kwh Consumption'!O21+'Kwh Consumption'!P21+'Kwh Consumption'!Q21+'Kwh Consumption'!R21)</f>
        <v>4919.999999999789</v>
      </c>
      <c r="J20" s="1">
        <f>('Kwh Consumption'!S21+'Kwh Consumption'!T21)</f>
        <v>5295.2199999997392</v>
      </c>
      <c r="K20" s="1">
        <f>'Kwh Consumption'!U21</f>
        <v>270.00000000001023</v>
      </c>
      <c r="L20" s="32">
        <f t="shared" si="0"/>
        <v>6992.780000000349</v>
      </c>
    </row>
    <row r="21" spans="1:12" x14ac:dyDescent="0.25">
      <c r="A21" s="14">
        <f>'Kwh Reading'!A22</f>
        <v>44246</v>
      </c>
      <c r="B21" s="83">
        <f>TOTAL!E20</f>
        <v>21789.999999999964</v>
      </c>
      <c r="C21" s="1">
        <f>'Kwh Consumption'!C22</f>
        <v>290.00000000002046</v>
      </c>
      <c r="D21" s="1">
        <f>'Kwh Consumption'!D22</f>
        <v>2700.0000000003688</v>
      </c>
      <c r="E21" s="1">
        <f>'Kwh Consumption'!E22</f>
        <v>240.00000000000909</v>
      </c>
      <c r="F21" s="1">
        <f>('Kwh Consumption'!F22+'Kwh Consumption'!G22+'Kwh Consumption'!H22)</f>
        <v>999.99999999997158</v>
      </c>
      <c r="G21" s="16">
        <f>('Kwh Consumption'!I22+'Kwh Consumption'!J22)</f>
        <v>352.00000000000387</v>
      </c>
      <c r="H21" s="1">
        <f>('Kwh Consumption'!K22+'Kwh Consumption'!L22)</f>
        <v>1319.9999999999648</v>
      </c>
      <c r="I21" s="1">
        <f>('Kwh Consumption'!M22+'Kwh Consumption'!N22+'Kwh Consumption'!O22+'Kwh Consumption'!P22+'Kwh Consumption'!Q22+'Kwh Consumption'!R22)</f>
        <v>5090.0000000000891</v>
      </c>
      <c r="J21" s="1">
        <f>('Kwh Consumption'!S22+'Kwh Consumption'!T22)</f>
        <v>4951.769999999553</v>
      </c>
      <c r="K21" s="1">
        <f>'Kwh Consumption'!U22</f>
        <v>259.99999999999091</v>
      </c>
      <c r="L21" s="32">
        <f t="shared" si="0"/>
        <v>5586.2299999999905</v>
      </c>
    </row>
    <row r="22" spans="1:12" x14ac:dyDescent="0.25">
      <c r="A22" s="14">
        <f>'Kwh Reading'!A23</f>
        <v>44247</v>
      </c>
      <c r="B22" s="83">
        <f>TOTAL!E21</f>
        <v>22769.999999999982</v>
      </c>
      <c r="C22" s="1">
        <f>'Kwh Consumption'!C23</f>
        <v>509.99999999999091</v>
      </c>
      <c r="D22" s="1">
        <f>'Kwh Consumption'!D23</f>
        <v>2799.9999999996917</v>
      </c>
      <c r="E22" s="1">
        <f>'Kwh Consumption'!E23</f>
        <v>259.99999999999091</v>
      </c>
      <c r="F22" s="1">
        <f>('Kwh Consumption'!F23+'Kwh Consumption'!G23+'Kwh Consumption'!H23)</f>
        <v>1150.0000000000057</v>
      </c>
      <c r="G22" s="16">
        <f>('Kwh Consumption'!I23+'Kwh Consumption'!J23)</f>
        <v>341.99999999999875</v>
      </c>
      <c r="H22" s="1">
        <f>('Kwh Consumption'!K23+'Kwh Consumption'!L23)</f>
        <v>1640.0000000000148</v>
      </c>
      <c r="I22" s="1">
        <f>('Kwh Consumption'!M23+'Kwh Consumption'!N23+'Kwh Consumption'!O23+'Kwh Consumption'!P23+'Kwh Consumption'!Q23+'Kwh Consumption'!R23)</f>
        <v>5180.0000000000064</v>
      </c>
      <c r="J22" s="1">
        <f>('Kwh Consumption'!S23+'Kwh Consumption'!T23)</f>
        <v>5215.2199999997392</v>
      </c>
      <c r="K22" s="1">
        <f>'Kwh Consumption'!U23</f>
        <v>290.00000000000625</v>
      </c>
      <c r="L22" s="32">
        <f t="shared" si="0"/>
        <v>5382.7800000005382</v>
      </c>
    </row>
    <row r="23" spans="1:12" x14ac:dyDescent="0.25">
      <c r="A23" s="14">
        <f>'Kwh Reading'!A24</f>
        <v>44248</v>
      </c>
      <c r="B23" s="83">
        <f>TOTAL!E22</f>
        <v>21040.000000000648</v>
      </c>
      <c r="C23" s="1">
        <f>'Kwh Consumption'!C24</f>
        <v>509.99999999999091</v>
      </c>
      <c r="D23" s="1">
        <f>'Kwh Consumption'!D24</f>
        <v>2400.0000000001796</v>
      </c>
      <c r="E23" s="1">
        <f>'Kwh Consumption'!E24</f>
        <v>200.00000000001705</v>
      </c>
      <c r="F23" s="1">
        <f>('Kwh Consumption'!F24+'Kwh Consumption'!G24+'Kwh Consumption'!H24)</f>
        <v>850.00000000005116</v>
      </c>
      <c r="G23" s="16">
        <f>('Kwh Consumption'!I24+'Kwh Consumption'!J24)</f>
        <v>335.99999999999852</v>
      </c>
      <c r="H23" s="1">
        <f>('Kwh Consumption'!K24+'Kwh Consumption'!L24)</f>
        <v>1420.0000000000728</v>
      </c>
      <c r="I23" s="1">
        <f>('Kwh Consumption'!M24+'Kwh Consumption'!N24+'Kwh Consumption'!O24+'Kwh Consumption'!P24+'Kwh Consumption'!Q24+'Kwh Consumption'!R24)</f>
        <v>4750.0000000001137</v>
      </c>
      <c r="J23" s="1">
        <f>('Kwh Consumption'!S24+'Kwh Consumption'!T24)</f>
        <v>4661.6300000008196</v>
      </c>
      <c r="K23" s="1">
        <f>'Kwh Consumption'!U24</f>
        <v>230.00000000000398</v>
      </c>
      <c r="L23" s="32">
        <f t="shared" si="0"/>
        <v>5682.3699999993987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-360700</v>
      </c>
      <c r="D24" s="1">
        <f>'Kwh Consumption'!D25</f>
        <v>-2066300</v>
      </c>
      <c r="E24" s="1">
        <f>'Kwh Consumption'!E25</f>
        <v>-200460</v>
      </c>
      <c r="F24" s="1">
        <f>('Kwh Consumption'!F25+'Kwh Consumption'!G25+'Kwh Consumption'!H25)</f>
        <v>-797990</v>
      </c>
      <c r="G24" s="16">
        <f>('Kwh Consumption'!I25+'Kwh Consumption'!J25)</f>
        <v>-221342</v>
      </c>
      <c r="H24" s="1">
        <f>('Kwh Consumption'!K25+'Kwh Consumption'!L25)</f>
        <v>-1008910</v>
      </c>
      <c r="I24" s="1">
        <f>('Kwh Consumption'!M25+'Kwh Consumption'!N25+'Kwh Consumption'!O25+'Kwh Consumption'!P25+'Kwh Consumption'!Q25+'Kwh Consumption'!R25)</f>
        <v>-2801510</v>
      </c>
      <c r="J24" s="1">
        <f>('Kwh Consumption'!S25+'Kwh Consumption'!T25)</f>
        <v>-14963738.310000001</v>
      </c>
      <c r="K24" s="1">
        <f>'Kwh Consumption'!U25</f>
        <v>-119540</v>
      </c>
      <c r="L24" s="32">
        <f t="shared" si="0"/>
        <v>22540490.310000002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455819.99999999965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-114829.99999999999</v>
      </c>
      <c r="L34" s="75">
        <f t="shared" si="1"/>
        <v>22662210.680000003</v>
      </c>
      <c r="M34" s="84">
        <f>C34+D34+E34+F34+G34+H34+I34+J34+K34+L34</f>
        <v>455820.00000000373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-16076.199999999999</v>
      </c>
      <c r="L36" s="75">
        <f>L34*B36</f>
        <v>3172709.4952000007</v>
      </c>
      <c r="M36" s="84">
        <f>C36+D36+E36+F36+G36+H36+I36+J36+K36+L36</f>
        <v>63814.800000000279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12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44.519999999997715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1042.2622000001027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49.280000000000548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576.12659999975949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163.80000000000226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1119.4610000001137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3127.6000000000208</v>
      </c>
      <c r="D17" s="1">
        <f>'Kwh Consumption'!C18*' Kwh area wise $ '!B17</f>
        <v>75.600000000002879</v>
      </c>
      <c r="E17" s="1">
        <f>'Kwh Consumption'!D18*' Kwh area wise $ '!B17</f>
        <v>350.00000000005474</v>
      </c>
      <c r="F17" s="1">
        <f>'Kwh Consumption'!E18*' Kwh area wise $ '!B17</f>
        <v>30.799999999999844</v>
      </c>
      <c r="G17" s="1">
        <f>('Kwh Consumption'!F18+'Kwh Consumption'!G18+'Kwh Consumption'!H18)*' Kwh area wise $ '!B17</f>
        <v>96.599999999991738</v>
      </c>
      <c r="H17" s="16">
        <f>('Kwh Consumption'!I18+'Kwh Consumption'!J18)*' Kwh area wise $ '!B17</f>
        <v>38.499999999998813</v>
      </c>
      <c r="I17" s="1">
        <f>('Kwh Consumption'!K18+'Kwh Consumption'!L18)*' Kwh area wise $ '!B17</f>
        <v>222.60000000000448</v>
      </c>
      <c r="J17" s="1">
        <f>('Kwh Consumption'!M18+'Kwh Consumption'!N18+'Kwh Consumption'!O18+'Kwh Consumption'!P18+'Kwh Consumption'!Q18+'Kwh Consumption'!R18)*' Kwh area wise $ '!B17</f>
        <v>663.60000000000139</v>
      </c>
      <c r="K17" s="1">
        <f>('Kwh Consumption'!S18+'Kwh Consumption'!T18)*' Kwh area wise $ '!B17</f>
        <v>679.16380000011998</v>
      </c>
      <c r="L17" s="1">
        <f>'Kwh Consumption'!U18*' Kwh area wise $ '!B17</f>
        <v>36.400000000000716</v>
      </c>
      <c r="M17" s="1">
        <f>'Kwh Consumption'!V18*' Kwh area wise $ '!B17</f>
        <v>934.33619999984603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3173.7999999998833</v>
      </c>
      <c r="D18" s="1">
        <f>'Kwh Consumption'!C19*' Kwh area wise $ '!B18</f>
        <v>79.799999999999059</v>
      </c>
      <c r="E18" s="1">
        <f>'Kwh Consumption'!D19*' Kwh area wise $ '!B18</f>
        <v>391.99999999995686</v>
      </c>
      <c r="F18" s="1">
        <f>'Kwh Consumption'!E19*' Kwh area wise $ '!B18</f>
        <v>39.200000000000166</v>
      </c>
      <c r="G18" s="1">
        <f>('Kwh Consumption'!F19+'Kwh Consumption'!G19+'Kwh Consumption'!H19)*' Kwh area wise $ '!B18</f>
        <v>120.39999999999795</v>
      </c>
      <c r="H18" s="16">
        <f>('Kwh Consumption'!I19+'Kwh Consumption'!J19)*' Kwh area wise $ '!B18</f>
        <v>44.520000000001694</v>
      </c>
      <c r="I18" s="1">
        <f>('Kwh Consumption'!K19+'Kwh Consumption'!L19)*' Kwh area wise $ '!B18</f>
        <v>216.99999999999764</v>
      </c>
      <c r="J18" s="1">
        <f>('Kwh Consumption'!M19+'Kwh Consumption'!N19+'Kwh Consumption'!O19+'Kwh Consumption'!P19+'Kwh Consumption'!Q19+'Kwh Consumption'!R19)*' Kwh area wise $ '!B18</f>
        <v>758.7999999999945</v>
      </c>
      <c r="K18" s="1">
        <f>('Kwh Consumption'!S19+'Kwh Consumption'!T19)*' Kwh area wise $ '!B18</f>
        <v>770.69579999996358</v>
      </c>
      <c r="L18" s="1">
        <f>'Kwh Consumption'!U19*' Kwh area wise $ '!B18</f>
        <v>33.599999999999284</v>
      </c>
      <c r="M18" s="1">
        <f>'Kwh Consumption'!V19*' Kwh area wise $ '!B18</f>
        <v>717.78419999997243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3169.6000000000463</v>
      </c>
      <c r="D19" s="1">
        <f>'Kwh Consumption'!C20*' Kwh area wise $ '!B19</f>
        <v>81.199999999997786</v>
      </c>
      <c r="E19" s="1">
        <f>'Kwh Consumption'!D20*' Kwh area wise $ '!B19</f>
        <v>349.99999999999261</v>
      </c>
      <c r="F19" s="1">
        <f>'Kwh Consumption'!E20*' Kwh area wise $ '!B19</f>
        <v>32.200000000002547</v>
      </c>
      <c r="G19" s="1">
        <f>('Kwh Consumption'!F20+'Kwh Consumption'!G20+'Kwh Consumption'!H20)*' Kwh area wise $ '!B19</f>
        <v>127.40000000001147</v>
      </c>
      <c r="H19" s="16">
        <f>('Kwh Consumption'!I20+'Kwh Consumption'!J20)*' Kwh area wise $ '!B19</f>
        <v>44.099999999999689</v>
      </c>
      <c r="I19" s="1">
        <f>('Kwh Consumption'!K20+'Kwh Consumption'!L20)*' Kwh area wise $ '!B19</f>
        <v>205.79999999999191</v>
      </c>
      <c r="J19" s="1">
        <f>('Kwh Consumption'!M20+'Kwh Consumption'!N20+'Kwh Consumption'!O20+'Kwh Consumption'!P20+'Kwh Consumption'!Q20+'Kwh Consumption'!R20)*' Kwh area wise $ '!B19</f>
        <v>728.00000000001444</v>
      </c>
      <c r="K19" s="1">
        <f>('Kwh Consumption'!S20+'Kwh Consumption'!T20)*' Kwh area wise $ '!B19</f>
        <v>743.46720000006269</v>
      </c>
      <c r="L19" s="1">
        <f>'Kwh Consumption'!U20*' Kwh area wise $ '!B19</f>
        <v>37.79999999999945</v>
      </c>
      <c r="M19" s="1">
        <f>'Kwh Consumption'!V20*' Kwh area wise $ '!B19</f>
        <v>819.6327999999736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3252.1999999999707</v>
      </c>
      <c r="D20" s="1">
        <f>'Kwh Consumption'!C21*' Kwh area wise $ '!B20</f>
        <v>70</v>
      </c>
      <c r="E20" s="1">
        <f>'Kwh Consumption'!D21*' Kwh area wise $ '!B20</f>
        <v>349.99999999999261</v>
      </c>
      <c r="F20" s="1">
        <f>'Kwh Consumption'!E21*' Kwh area wise $ '!B20</f>
        <v>33.599999999997294</v>
      </c>
      <c r="G20" s="1">
        <f>('Kwh Consumption'!F21+'Kwh Consumption'!G21+'Kwh Consumption'!H21)*' Kwh area wise $ '!B20</f>
        <v>113.39999999999635</v>
      </c>
      <c r="H20" s="16">
        <f>('Kwh Consumption'!I21+'Kwh Consumption'!J21)*' Kwh area wise $ '!B20</f>
        <v>42.279999999998957</v>
      </c>
      <c r="I20" s="1">
        <f>('Kwh Consumption'!K21+'Kwh Consumption'!L21)*' Kwh area wise $ '!B20</f>
        <v>196.00000000000082</v>
      </c>
      <c r="J20" s="1">
        <f>('Kwh Consumption'!M21+'Kwh Consumption'!N21+'Kwh Consumption'!O21+'Kwh Consumption'!P21+'Kwh Consumption'!Q21+'Kwh Consumption'!R21)*' Kwh area wise $ '!B20</f>
        <v>688.79999999997051</v>
      </c>
      <c r="K20" s="1">
        <f>('Kwh Consumption'!S21+'Kwh Consumption'!T21)*' Kwh area wise $ '!B20</f>
        <v>741.33079999996357</v>
      </c>
      <c r="L20" s="1">
        <f>'Kwh Consumption'!U21*' Kwh area wise $ '!B20</f>
        <v>37.80000000000144</v>
      </c>
      <c r="M20" s="1">
        <f>'Kwh Consumption'!V21*' Kwh area wise $ '!B20</f>
        <v>978.98920000004955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3050.5999999999954</v>
      </c>
      <c r="D21" s="1">
        <f>'Kwh Consumption'!C22*' Kwh area wise $ '!B21</f>
        <v>40.600000000002872</v>
      </c>
      <c r="E21" s="1">
        <f>'Kwh Consumption'!D22*' Kwh area wise $ '!B21</f>
        <v>378.00000000005167</v>
      </c>
      <c r="F21" s="1">
        <f>'Kwh Consumption'!E22*' Kwh area wise $ '!B21</f>
        <v>33.600000000001273</v>
      </c>
      <c r="G21" s="1">
        <f>('Kwh Consumption'!F22+'Kwh Consumption'!G22+'Kwh Consumption'!H22)*' Kwh area wise $ '!B21</f>
        <v>139.99999999999602</v>
      </c>
      <c r="H21" s="16">
        <f>('Kwh Consumption'!I22+'Kwh Consumption'!J22)*' Kwh area wise $ '!B21</f>
        <v>49.280000000000548</v>
      </c>
      <c r="I21" s="1">
        <f>('Kwh Consumption'!K22+'Kwh Consumption'!L22)*' Kwh area wise $ '!B21</f>
        <v>184.79999999999509</v>
      </c>
      <c r="J21" s="1">
        <f>('Kwh Consumption'!M22+'Kwh Consumption'!N22+'Kwh Consumption'!O22+'Kwh Consumption'!P22+'Kwh Consumption'!Q22+'Kwh Consumption'!R22)*' Kwh area wise $ '!B21</f>
        <v>712.60000000001253</v>
      </c>
      <c r="K21" s="1">
        <f>('Kwh Consumption'!S22+'Kwh Consumption'!T22)*' Kwh area wise $ '!B21</f>
        <v>693.24779999993746</v>
      </c>
      <c r="L21" s="1">
        <f>'Kwh Consumption'!U22*' Kwh area wise $ '!B21</f>
        <v>36.399999999998727</v>
      </c>
      <c r="M21" s="1">
        <f>'Kwh Consumption'!V22*' Kwh area wise $ '!B21</f>
        <v>782.07219999999904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3187.7999999999979</v>
      </c>
      <c r="D22" s="1">
        <f>'Kwh Consumption'!C23*' Kwh area wise $ '!B22</f>
        <v>71.399999999998727</v>
      </c>
      <c r="E22" s="1">
        <f>'Kwh Consumption'!D23*' Kwh area wise $ '!B22</f>
        <v>391.99999999995686</v>
      </c>
      <c r="F22" s="1">
        <f>'Kwh Consumption'!E23*' Kwh area wise $ '!B22</f>
        <v>36.399999999998727</v>
      </c>
      <c r="G22" s="1">
        <f>('Kwh Consumption'!F23+'Kwh Consumption'!G23+'Kwh Consumption'!H23)*' Kwh area wise $ '!B22</f>
        <v>161.00000000000082</v>
      </c>
      <c r="H22" s="16">
        <f>('Kwh Consumption'!I23+'Kwh Consumption'!J23)*' Kwh area wise $ '!B22</f>
        <v>47.879999999999832</v>
      </c>
      <c r="I22" s="1">
        <f>('Kwh Consumption'!K23+'Kwh Consumption'!L23)*' Kwh area wise $ '!B22</f>
        <v>229.6000000000021</v>
      </c>
      <c r="J22" s="1">
        <f>('Kwh Consumption'!M23+'Kwh Consumption'!N23+'Kwh Consumption'!O23+'Kwh Consumption'!P23+'Kwh Consumption'!Q23+'Kwh Consumption'!R23)*' Kwh area wise $ '!B22</f>
        <v>725.20000000000095</v>
      </c>
      <c r="K22" s="1">
        <f>('Kwh Consumption'!S23+'Kwh Consumption'!T23)*' Kwh area wise $ '!B22</f>
        <v>730.13079999996353</v>
      </c>
      <c r="L22" s="1">
        <f>'Kwh Consumption'!U23*' Kwh area wise $ '!B22</f>
        <v>40.600000000000882</v>
      </c>
      <c r="M22" s="1">
        <f>'Kwh Consumption'!V23*' Kwh area wise $ '!B22</f>
        <v>753.58920000007527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2945.6000000000909</v>
      </c>
      <c r="D23" s="1">
        <f>'Kwh Consumption'!C24*' Kwh area wise $ '!B23</f>
        <v>71.399999999998727</v>
      </c>
      <c r="E23" s="1">
        <f>'Kwh Consumption'!D24*' Kwh area wise $ '!B23</f>
        <v>336.00000000002518</v>
      </c>
      <c r="F23" s="1">
        <f>'Kwh Consumption'!E24*' Kwh area wise $ '!B23</f>
        <v>28.000000000002391</v>
      </c>
      <c r="G23" s="1">
        <f>('Kwh Consumption'!F24+'Kwh Consumption'!G24+'Kwh Consumption'!H24)*' Kwh area wise $ '!B23</f>
        <v>119.00000000000718</v>
      </c>
      <c r="H23" s="16">
        <f>('Kwh Consumption'!I24+'Kwh Consumption'!J24)*' Kwh area wise $ '!B23</f>
        <v>47.0399999999998</v>
      </c>
      <c r="I23" s="1">
        <f>('Kwh Consumption'!K24+'Kwh Consumption'!L24)*' Kwh area wise $ '!B23</f>
        <v>198.80000000001021</v>
      </c>
      <c r="J23" s="1">
        <f>('Kwh Consumption'!M24+'Kwh Consumption'!N24+'Kwh Consumption'!O24+'Kwh Consumption'!P24+'Kwh Consumption'!Q24+'Kwh Consumption'!R24)*' Kwh area wise $ '!B23</f>
        <v>665.00000000001603</v>
      </c>
      <c r="K23" s="1">
        <f>('Kwh Consumption'!S24+'Kwh Consumption'!T24)*' Kwh area wise $ '!B23</f>
        <v>652.62820000011482</v>
      </c>
      <c r="L23" s="1">
        <f>'Kwh Consumption'!U24*' Kwh area wise $ '!B23</f>
        <v>32.200000000000557</v>
      </c>
      <c r="M23" s="1">
        <f>'Kwh Consumption'!V24*' Kwh area wise $ '!B23</f>
        <v>795.53179999991619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-50498.000000000007</v>
      </c>
      <c r="E24" s="1">
        <f>'Kwh Consumption'!D25*' Kwh area wise $ '!B24</f>
        <v>-289282</v>
      </c>
      <c r="F24" s="1">
        <f>'Kwh Consumption'!E25*' Kwh area wise $ '!B24</f>
        <v>-28064.400000000001</v>
      </c>
      <c r="G24" s="1">
        <f>('Kwh Consumption'!F25+'Kwh Consumption'!G25+'Kwh Consumption'!H25)*' Kwh area wise $ '!B24</f>
        <v>-111718.6</v>
      </c>
      <c r="H24" s="16">
        <f>('Kwh Consumption'!I25+'Kwh Consumption'!J25)*' Kwh area wise $ '!B24</f>
        <v>-30987.880000000005</v>
      </c>
      <c r="I24" s="1">
        <f>('Kwh Consumption'!K25+'Kwh Consumption'!L25)*' Kwh area wise $ '!B24</f>
        <v>-141247.40000000002</v>
      </c>
      <c r="J24" s="1">
        <f>('Kwh Consumption'!M25+'Kwh Consumption'!N25+'Kwh Consumption'!O25+'Kwh Consumption'!P25+'Kwh Consumption'!Q25+'Kwh Consumption'!R25)*' Kwh area wise $ '!B24</f>
        <v>-392211.4</v>
      </c>
      <c r="K24" s="1">
        <f>('Kwh Consumption'!S25+'Kwh Consumption'!T25)*' Kwh area wise $ '!B24</f>
        <v>-2094923.3634000004</v>
      </c>
      <c r="L24" s="1">
        <f>'Kwh Consumption'!U25*' Kwh area wise $ '!B24</f>
        <v>-16735.600000000002</v>
      </c>
      <c r="M24" s="1">
        <f>'Kwh Consumption'!V25*' Kwh area wise $ '!B24</f>
        <v>3155668.6434000004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63814.800000000047</v>
      </c>
      <c r="D34" s="75">
        <f t="shared" si="0"/>
        <v>-49061.600000000006</v>
      </c>
      <c r="E34" s="75">
        <f t="shared" si="0"/>
        <v>-281918</v>
      </c>
      <c r="F34" s="75">
        <f t="shared" si="0"/>
        <v>-27346.2</v>
      </c>
      <c r="G34" s="75">
        <f t="shared" si="0"/>
        <v>-109239.2</v>
      </c>
      <c r="H34" s="75">
        <f t="shared" si="0"/>
        <v>-30072.840000000004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</v>
      </c>
      <c r="M34" s="75">
        <f>SUM(M3:M33)</f>
        <v>3172709.4952000002</v>
      </c>
      <c r="N34" s="84">
        <f>D34+E34+F34+G34+H34+I34+J34+K34+L34+M34</f>
        <v>63814.799999999814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9" activePane="bottomRight" state="frozen"/>
      <selection pane="topRight" activeCell="C25" sqref="C25"/>
      <selection pane="bottomLeft" activeCell="C25" sqref="C25"/>
      <selection pane="bottomRight" activeCell="R24" sqref="R24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>
        <v>143881</v>
      </c>
      <c r="C18" s="56">
        <v>100639</v>
      </c>
      <c r="D18" s="55">
        <v>189860</v>
      </c>
      <c r="E18" s="55">
        <v>239823</v>
      </c>
      <c r="F18" s="55">
        <v>66848</v>
      </c>
      <c r="G18" s="55">
        <v>109078</v>
      </c>
      <c r="H18" s="33">
        <v>46092</v>
      </c>
      <c r="I18" s="55">
        <v>57912</v>
      </c>
      <c r="J18" s="33">
        <v>18502</v>
      </c>
      <c r="K18" s="55">
        <v>1024</v>
      </c>
      <c r="L18" s="55">
        <v>16340</v>
      </c>
      <c r="M18" s="55">
        <v>22238</v>
      </c>
      <c r="N18" s="55">
        <v>6701</v>
      </c>
      <c r="O18" s="55">
        <v>1555</v>
      </c>
      <c r="P18" s="55">
        <v>25903</v>
      </c>
      <c r="Q18" s="33">
        <v>115</v>
      </c>
      <c r="R18" s="55">
        <v>5558</v>
      </c>
    </row>
    <row r="19" spans="1:22" x14ac:dyDescent="0.25">
      <c r="A19" s="54">
        <v>44244</v>
      </c>
      <c r="B19" s="33">
        <v>143998</v>
      </c>
      <c r="C19" s="33">
        <v>100814</v>
      </c>
      <c r="D19" s="55">
        <v>189990</v>
      </c>
      <c r="E19" s="55">
        <v>239878</v>
      </c>
      <c r="F19" s="55">
        <v>66848</v>
      </c>
      <c r="G19" s="55">
        <v>109100</v>
      </c>
      <c r="H19" s="33">
        <v>46130</v>
      </c>
      <c r="I19" s="55">
        <v>57931</v>
      </c>
      <c r="J19" s="55">
        <v>18519</v>
      </c>
      <c r="K19" s="55">
        <v>1024</v>
      </c>
      <c r="L19" s="55">
        <v>16348</v>
      </c>
      <c r="M19" s="55">
        <v>22251</v>
      </c>
      <c r="N19" s="55">
        <v>6704</v>
      </c>
      <c r="O19" s="55">
        <v>1555</v>
      </c>
      <c r="P19" s="55">
        <v>25903</v>
      </c>
      <c r="Q19" s="33">
        <v>116</v>
      </c>
      <c r="R19" s="55">
        <v>5565</v>
      </c>
    </row>
    <row r="20" spans="1:22" x14ac:dyDescent="0.25">
      <c r="A20" s="54">
        <v>44245</v>
      </c>
      <c r="B20" s="33">
        <v>144205</v>
      </c>
      <c r="C20" s="56">
        <v>100964</v>
      </c>
      <c r="D20" s="10">
        <v>190087</v>
      </c>
      <c r="E20" s="55">
        <v>239933</v>
      </c>
      <c r="F20" s="55">
        <v>66849</v>
      </c>
      <c r="G20" s="55">
        <v>109121</v>
      </c>
      <c r="H20" s="33">
        <v>46162</v>
      </c>
      <c r="I20" s="55">
        <v>57952</v>
      </c>
      <c r="J20" s="55">
        <v>18525</v>
      </c>
      <c r="K20" s="55">
        <v>1024</v>
      </c>
      <c r="L20" s="55">
        <v>16355</v>
      </c>
      <c r="M20" s="55">
        <v>22262</v>
      </c>
      <c r="N20" s="55">
        <v>6708</v>
      </c>
      <c r="O20" s="55">
        <v>1556</v>
      </c>
      <c r="P20" s="55">
        <v>25912</v>
      </c>
      <c r="Q20" s="33">
        <v>121</v>
      </c>
      <c r="R20" s="55">
        <v>5574</v>
      </c>
    </row>
    <row r="21" spans="1:22" x14ac:dyDescent="0.25">
      <c r="A21" s="54">
        <v>44246</v>
      </c>
      <c r="B21" s="33">
        <v>144378</v>
      </c>
      <c r="C21" s="33">
        <v>101143</v>
      </c>
      <c r="D21" s="55">
        <v>190218</v>
      </c>
      <c r="E21" s="55">
        <v>239991</v>
      </c>
      <c r="F21" s="55">
        <v>66849</v>
      </c>
      <c r="G21" s="55">
        <v>109143</v>
      </c>
      <c r="H21" s="33">
        <v>46198</v>
      </c>
      <c r="I21" s="55">
        <v>57982</v>
      </c>
      <c r="J21" s="55">
        <v>18536</v>
      </c>
      <c r="K21" s="55">
        <v>1024</v>
      </c>
      <c r="L21" s="55">
        <v>16361</v>
      </c>
      <c r="M21" s="55">
        <v>22280</v>
      </c>
      <c r="N21" s="55">
        <v>6712</v>
      </c>
      <c r="O21" s="55">
        <v>1557</v>
      </c>
      <c r="P21" s="55">
        <v>25912</v>
      </c>
      <c r="Q21" s="33">
        <v>124</v>
      </c>
      <c r="R21" s="55">
        <v>5581</v>
      </c>
    </row>
    <row r="22" spans="1:22" x14ac:dyDescent="0.25">
      <c r="A22" s="54">
        <v>44247</v>
      </c>
      <c r="B22" s="33">
        <v>144494</v>
      </c>
      <c r="C22" s="56">
        <v>101314</v>
      </c>
      <c r="D22" s="55">
        <v>190315</v>
      </c>
      <c r="E22" s="55">
        <v>240051</v>
      </c>
      <c r="F22" s="55">
        <v>66849</v>
      </c>
      <c r="G22" s="55">
        <v>109165</v>
      </c>
      <c r="H22" s="33">
        <v>46245</v>
      </c>
      <c r="I22" s="55">
        <v>58017</v>
      </c>
      <c r="J22" s="55">
        <v>18548</v>
      </c>
      <c r="K22" s="55">
        <v>1024</v>
      </c>
      <c r="L22" s="55">
        <v>16368</v>
      </c>
      <c r="M22" s="55">
        <v>22301</v>
      </c>
      <c r="N22" s="55">
        <v>6715</v>
      </c>
      <c r="O22" s="55">
        <v>1558</v>
      </c>
      <c r="P22" s="55">
        <v>25935</v>
      </c>
      <c r="Q22" s="33">
        <v>126</v>
      </c>
      <c r="R22" s="55">
        <v>5583</v>
      </c>
    </row>
    <row r="23" spans="1:22" x14ac:dyDescent="0.25">
      <c r="A23" s="54">
        <v>44248</v>
      </c>
      <c r="B23" s="33">
        <v>144616</v>
      </c>
      <c r="C23" s="33">
        <v>101499</v>
      </c>
      <c r="D23" s="55">
        <v>190428</v>
      </c>
      <c r="E23" s="55">
        <v>240108</v>
      </c>
      <c r="F23" s="55">
        <v>66850</v>
      </c>
      <c r="G23" s="55">
        <v>109192</v>
      </c>
      <c r="H23" s="33">
        <v>46297</v>
      </c>
      <c r="I23" s="55">
        <v>58051</v>
      </c>
      <c r="J23" s="55">
        <v>18561</v>
      </c>
      <c r="K23" s="55">
        <v>1024</v>
      </c>
      <c r="L23" s="55">
        <v>16375</v>
      </c>
      <c r="M23" s="55">
        <v>22314</v>
      </c>
      <c r="N23" s="55">
        <v>6718</v>
      </c>
      <c r="O23" s="55">
        <v>1560</v>
      </c>
      <c r="P23" s="55">
        <v>25938</v>
      </c>
      <c r="Q23" s="33">
        <v>128</v>
      </c>
      <c r="R23" s="55">
        <v>5590</v>
      </c>
    </row>
    <row r="24" spans="1:22" x14ac:dyDescent="0.25">
      <c r="A24" s="54">
        <v>44249</v>
      </c>
      <c r="B24" s="33">
        <v>144721</v>
      </c>
      <c r="C24" s="56">
        <v>101655</v>
      </c>
      <c r="D24" s="55">
        <v>190528</v>
      </c>
      <c r="E24" s="55">
        <v>240162</v>
      </c>
      <c r="F24" s="55">
        <v>66850</v>
      </c>
      <c r="G24" s="55">
        <v>109216</v>
      </c>
      <c r="H24" s="33">
        <v>46333</v>
      </c>
      <c r="I24" s="55">
        <v>58068</v>
      </c>
      <c r="J24" s="55">
        <v>18572</v>
      </c>
      <c r="K24" s="55">
        <v>1024</v>
      </c>
      <c r="L24" s="55">
        <v>16382</v>
      </c>
      <c r="M24" s="55">
        <v>22332</v>
      </c>
      <c r="N24" s="55">
        <v>6721</v>
      </c>
      <c r="O24" s="55">
        <v>1560</v>
      </c>
      <c r="P24" s="55">
        <v>25938</v>
      </c>
      <c r="Q24" s="33">
        <v>136</v>
      </c>
      <c r="R24" s="55">
        <v>5598</v>
      </c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Z20" sqref="Z2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317</v>
      </c>
      <c r="C18" s="66">
        <f>('Water Reading'!B18-'Water Reading'!B17)+('Water Reading'!C18-'Water Reading'!C17)</f>
        <v>286</v>
      </c>
      <c r="D18" s="67">
        <f t="shared" si="2"/>
        <v>0.90220820189274453</v>
      </c>
      <c r="E18" s="87">
        <f>'Water Reading'!H18-'Water Reading'!H17</f>
        <v>35</v>
      </c>
      <c r="F18" s="89">
        <f t="shared" si="3"/>
        <v>0.12237762237762238</v>
      </c>
      <c r="G18" s="93">
        <f>('Water Reading'!D18-'Water Reading'!D17)-('Water Reading'!R18-'Water Reading'!R17)-('Water Reading'!Q18-'Water Reading'!Q17)</f>
        <v>129</v>
      </c>
      <c r="H18" s="89">
        <f t="shared" si="4"/>
        <v>0.45104895104895104</v>
      </c>
      <c r="I18" s="90">
        <f>'Water Reading'!P18-'Water Reading'!P17</f>
        <v>0</v>
      </c>
      <c r="J18" s="68">
        <f t="shared" si="5"/>
        <v>0</v>
      </c>
      <c r="K18" s="90">
        <f>('Water Reading'!I18-'Water Reading'!I17)-('Water Reading'!P18-'Water Reading'!P17)</f>
        <v>19</v>
      </c>
      <c r="L18" s="68">
        <f t="shared" si="6"/>
        <v>6.6433566433566432E-2</v>
      </c>
      <c r="M18" s="90">
        <f>'Water Reading'!R18-'Water Reading'!R17</f>
        <v>7</v>
      </c>
      <c r="N18" s="92">
        <f t="shared" si="7"/>
        <v>2.4475524475524476E-2</v>
      </c>
      <c r="O18" s="90">
        <f>'Water Reading'!Q18-'Water Reading'!Q17</f>
        <v>4</v>
      </c>
      <c r="P18" s="99">
        <f t="shared" si="8"/>
        <v>1.3986013986013986E-2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51</v>
      </c>
      <c r="T18" s="100">
        <f t="shared" si="10"/>
        <v>0.17832167832167833</v>
      </c>
      <c r="U18" s="90">
        <f>'Water Reading'!G18-'Water Reading'!G17</f>
        <v>20</v>
      </c>
      <c r="V18" s="100">
        <f t="shared" si="11"/>
        <v>6.9930069930069935E-2</v>
      </c>
      <c r="W18" s="90">
        <f>'Water Reading'!J18-'Water Reading'!J17</f>
        <v>12</v>
      </c>
      <c r="X18" s="100">
        <f t="shared" si="12"/>
        <v>4.195804195804196E-2</v>
      </c>
      <c r="Y18" s="66">
        <f t="shared" si="0"/>
        <v>277</v>
      </c>
      <c r="Z18" s="67">
        <f t="shared" si="1"/>
        <v>0.87381703470031546</v>
      </c>
    </row>
    <row r="19" spans="1:26" x14ac:dyDescent="0.25">
      <c r="A19" s="8">
        <f>'Water Reading'!A18</f>
        <v>44243</v>
      </c>
      <c r="B19" s="65">
        <f>TOTAL!I17</f>
        <v>192</v>
      </c>
      <c r="C19" s="66">
        <f>('Water Reading'!B19-'Water Reading'!B18)+('Water Reading'!C19-'Water Reading'!C18)</f>
        <v>292</v>
      </c>
      <c r="D19" s="67">
        <f t="shared" si="2"/>
        <v>1.5208333333333333</v>
      </c>
      <c r="E19" s="87">
        <f>'Water Reading'!H19-'Water Reading'!H18</f>
        <v>38</v>
      </c>
      <c r="F19" s="89">
        <f t="shared" si="3"/>
        <v>0.13013698630136986</v>
      </c>
      <c r="G19" s="93">
        <f>('Water Reading'!D19-'Water Reading'!D18)-('Water Reading'!R19-'Water Reading'!R18)-('Water Reading'!Q19-'Water Reading'!Q18)</f>
        <v>122</v>
      </c>
      <c r="H19" s="89">
        <f t="shared" si="4"/>
        <v>0.4178082191780822</v>
      </c>
      <c r="I19" s="90">
        <f>'Water Reading'!P19-'Water Reading'!P18</f>
        <v>0</v>
      </c>
      <c r="J19" s="68">
        <f t="shared" si="5"/>
        <v>0</v>
      </c>
      <c r="K19" s="90">
        <f>('Water Reading'!I19-'Water Reading'!I18)</f>
        <v>19</v>
      </c>
      <c r="L19" s="68">
        <f t="shared" si="6"/>
        <v>6.5068493150684928E-2</v>
      </c>
      <c r="M19" s="90">
        <f>'Water Reading'!R19-'Water Reading'!R18</f>
        <v>7</v>
      </c>
      <c r="N19" s="92">
        <f t="shared" si="7"/>
        <v>2.3972602739726026E-2</v>
      </c>
      <c r="O19" s="90">
        <f>'Water Reading'!Q19-'Water Reading'!Q18</f>
        <v>1</v>
      </c>
      <c r="P19" s="99">
        <f t="shared" si="8"/>
        <v>3.4246575342465752E-3</v>
      </c>
      <c r="Q19" s="91">
        <f>'Water Reading'!F19-'Water Reading'!F18</f>
        <v>0</v>
      </c>
      <c r="R19" s="100">
        <f t="shared" si="9"/>
        <v>0</v>
      </c>
      <c r="S19" s="94">
        <f>'Water Reading'!E19-'Water Reading'!E18</f>
        <v>55</v>
      </c>
      <c r="T19" s="100">
        <f t="shared" si="10"/>
        <v>0.18835616438356165</v>
      </c>
      <c r="U19" s="90">
        <f>'Water Reading'!G19-'Water Reading'!G18</f>
        <v>22</v>
      </c>
      <c r="V19" s="100">
        <f t="shared" si="11"/>
        <v>7.5342465753424653E-2</v>
      </c>
      <c r="W19" s="90">
        <f>'Water Reading'!J19-'Water Reading'!J18</f>
        <v>17</v>
      </c>
      <c r="X19" s="100">
        <f t="shared" si="12"/>
        <v>5.8219178082191778E-2</v>
      </c>
      <c r="Y19" s="66">
        <f t="shared" si="0"/>
        <v>281</v>
      </c>
      <c r="Z19" s="67">
        <f t="shared" si="1"/>
        <v>1.4635416666666667</v>
      </c>
    </row>
    <row r="20" spans="1:26" x14ac:dyDescent="0.25">
      <c r="A20" s="8">
        <f>'Water Reading'!A19</f>
        <v>44244</v>
      </c>
      <c r="B20" s="65">
        <f>TOTAL!I18</f>
        <v>213</v>
      </c>
      <c r="C20" s="66">
        <f>('Water Reading'!B20-'Water Reading'!B19)+('Water Reading'!C20-'Water Reading'!C19)</f>
        <v>357</v>
      </c>
      <c r="D20" s="67">
        <f t="shared" si="2"/>
        <v>1.676056338028169</v>
      </c>
      <c r="E20" s="87">
        <f>'Water Reading'!H20-'Water Reading'!H19</f>
        <v>32</v>
      </c>
      <c r="F20" s="89">
        <f t="shared" si="3"/>
        <v>8.9635854341736695E-2</v>
      </c>
      <c r="G20" s="93">
        <f>('Water Reading'!D20-'Water Reading'!D19)-('Water Reading'!R20-'Water Reading'!R19)-('Water Reading'!Q20-'Water Reading'!Q19)</f>
        <v>83</v>
      </c>
      <c r="H20" s="89">
        <f t="shared" si="4"/>
        <v>0.23249299719887956</v>
      </c>
      <c r="I20" s="90">
        <f>'Water Reading'!P20-'Water Reading'!P19</f>
        <v>9</v>
      </c>
      <c r="J20" s="68">
        <f t="shared" si="5"/>
        <v>2.5210084033613446E-2</v>
      </c>
      <c r="K20" s="90">
        <f>('Water Reading'!I20-'Water Reading'!I19)</f>
        <v>21</v>
      </c>
      <c r="L20" s="68">
        <f t="shared" si="6"/>
        <v>5.8823529411764705E-2</v>
      </c>
      <c r="M20" s="90">
        <f>'Water Reading'!R20-'Water Reading'!R19</f>
        <v>9</v>
      </c>
      <c r="N20" s="92">
        <f t="shared" si="7"/>
        <v>2.5210084033613446E-2</v>
      </c>
      <c r="O20" s="90">
        <f>'Water Reading'!Q20-'Water Reading'!Q19</f>
        <v>5</v>
      </c>
      <c r="P20" s="99">
        <f t="shared" si="8"/>
        <v>1.4005602240896359E-2</v>
      </c>
      <c r="Q20" s="91">
        <f>'Water Reading'!F20-'Water Reading'!F19</f>
        <v>1</v>
      </c>
      <c r="R20" s="100">
        <f t="shared" si="9"/>
        <v>2.8011204481792717E-3</v>
      </c>
      <c r="S20" s="94">
        <f>'Water Reading'!E20-'Water Reading'!E19</f>
        <v>55</v>
      </c>
      <c r="T20" s="100">
        <f t="shared" si="10"/>
        <v>0.15406162464985995</v>
      </c>
      <c r="U20" s="90">
        <f>'Water Reading'!G20-'Water Reading'!G19</f>
        <v>21</v>
      </c>
      <c r="V20" s="100">
        <f t="shared" si="11"/>
        <v>5.8823529411764705E-2</v>
      </c>
      <c r="W20" s="90">
        <f>'Water Reading'!J20-'Water Reading'!J19</f>
        <v>6</v>
      </c>
      <c r="X20" s="100">
        <f t="shared" si="12"/>
        <v>1.680672268907563E-2</v>
      </c>
      <c r="Y20" s="66">
        <f t="shared" si="0"/>
        <v>242</v>
      </c>
      <c r="Z20" s="67">
        <f t="shared" si="1"/>
        <v>1.136150234741784</v>
      </c>
    </row>
    <row r="21" spans="1:26" x14ac:dyDescent="0.25">
      <c r="A21" s="8">
        <f>'Water Reading'!A20</f>
        <v>44245</v>
      </c>
      <c r="B21" s="65">
        <f>TOTAL!I19</f>
        <v>277</v>
      </c>
      <c r="C21" s="66">
        <f>('Water Reading'!B21-'Water Reading'!B20)+('Water Reading'!C21-'Water Reading'!C20)</f>
        <v>352</v>
      </c>
      <c r="D21" s="67">
        <f t="shared" si="2"/>
        <v>1.2707581227436824</v>
      </c>
      <c r="E21" s="87">
        <f>'Water Reading'!H21-'Water Reading'!H20</f>
        <v>36</v>
      </c>
      <c r="F21" s="89">
        <f t="shared" si="3"/>
        <v>0.10227272727272728</v>
      </c>
      <c r="G21" s="93">
        <f>('Water Reading'!D21-'Water Reading'!D20)-('Water Reading'!R21-'Water Reading'!R20)-('Water Reading'!Q21-'Water Reading'!Q20)</f>
        <v>121</v>
      </c>
      <c r="H21" s="89">
        <f t="shared" si="4"/>
        <v>0.34375</v>
      </c>
      <c r="I21" s="90">
        <f>'Water Reading'!P21-'Water Reading'!P20</f>
        <v>0</v>
      </c>
      <c r="J21" s="68">
        <f t="shared" si="5"/>
        <v>0</v>
      </c>
      <c r="K21" s="90">
        <f>('Water Reading'!I21-'Water Reading'!I20)-('Water Reading'!P21-'Water Reading'!P20)</f>
        <v>30</v>
      </c>
      <c r="L21" s="68">
        <f t="shared" si="6"/>
        <v>8.5227272727272721E-2</v>
      </c>
      <c r="M21" s="90">
        <f>'Water Reading'!R21-'Water Reading'!R20</f>
        <v>7</v>
      </c>
      <c r="N21" s="92">
        <f t="shared" si="7"/>
        <v>1.9886363636363636E-2</v>
      </c>
      <c r="O21" s="90">
        <f>'Water Reading'!Q21-'Water Reading'!Q20</f>
        <v>3</v>
      </c>
      <c r="P21" s="99">
        <f t="shared" si="8"/>
        <v>8.5227272727272721E-3</v>
      </c>
      <c r="Q21" s="91">
        <f>'Water Reading'!F21-'Water Reading'!F20</f>
        <v>0</v>
      </c>
      <c r="R21" s="100">
        <f t="shared" si="9"/>
        <v>0</v>
      </c>
      <c r="S21" s="94">
        <f>'Water Reading'!E21-'Water Reading'!E20</f>
        <v>58</v>
      </c>
      <c r="T21" s="100">
        <f t="shared" si="10"/>
        <v>0.16477272727272727</v>
      </c>
      <c r="U21" s="90">
        <f>'Water Reading'!G21-'Water Reading'!G20</f>
        <v>22</v>
      </c>
      <c r="V21" s="100">
        <f t="shared" si="11"/>
        <v>6.25E-2</v>
      </c>
      <c r="W21" s="90">
        <f>'Water Reading'!J21-'Water Reading'!J20</f>
        <v>11</v>
      </c>
      <c r="X21" s="100">
        <f t="shared" si="12"/>
        <v>3.125E-2</v>
      </c>
      <c r="Y21" s="66">
        <f t="shared" si="0"/>
        <v>288</v>
      </c>
      <c r="Z21" s="67">
        <f t="shared" si="1"/>
        <v>1.03971119133574</v>
      </c>
    </row>
    <row r="22" spans="1:26" x14ac:dyDescent="0.25">
      <c r="A22" s="8">
        <f>'Water Reading'!A21</f>
        <v>44246</v>
      </c>
      <c r="B22" s="65">
        <f>TOTAL!I20</f>
        <v>231</v>
      </c>
      <c r="C22" s="66">
        <f>('Water Reading'!B22-'Water Reading'!B21)+('Water Reading'!C22-'Water Reading'!C21)</f>
        <v>287</v>
      </c>
      <c r="D22" s="67">
        <f t="shared" si="2"/>
        <v>1.2424242424242424</v>
      </c>
      <c r="E22" s="87">
        <f>'Water Reading'!H22-'Water Reading'!H21</f>
        <v>47</v>
      </c>
      <c r="F22" s="89">
        <f t="shared" si="3"/>
        <v>0.16376306620209058</v>
      </c>
      <c r="G22" s="93">
        <f>('Water Reading'!D22-'Water Reading'!D21)-('Water Reading'!R22-'Water Reading'!R21)-('Water Reading'!Q22-'Water Reading'!Q21)</f>
        <v>93</v>
      </c>
      <c r="H22" s="89">
        <f t="shared" si="4"/>
        <v>0.3240418118466899</v>
      </c>
      <c r="I22" s="90">
        <f>'Water Reading'!P22-'Water Reading'!P21</f>
        <v>23</v>
      </c>
      <c r="J22" s="68">
        <f t="shared" si="5"/>
        <v>8.0139372822299645E-2</v>
      </c>
      <c r="K22" s="90">
        <f>('Water Reading'!I22-'Water Reading'!I21)-('Water Reading'!P22-'Water Reading'!P21)</f>
        <v>12</v>
      </c>
      <c r="L22" s="68">
        <f t="shared" si="6"/>
        <v>4.1811846689895474E-2</v>
      </c>
      <c r="M22" s="90">
        <f>'Water Reading'!R22-'Water Reading'!R21</f>
        <v>2</v>
      </c>
      <c r="N22" s="92">
        <f t="shared" si="7"/>
        <v>6.9686411149825784E-3</v>
      </c>
      <c r="O22" s="90">
        <f>'Water Reading'!Q22-'Water Reading'!Q21</f>
        <v>2</v>
      </c>
      <c r="P22" s="99">
        <f t="shared" si="8"/>
        <v>6.9686411149825784E-3</v>
      </c>
      <c r="Q22" s="91">
        <f>'Water Reading'!F22-'Water Reading'!F21</f>
        <v>0</v>
      </c>
      <c r="R22" s="100">
        <f t="shared" si="9"/>
        <v>0</v>
      </c>
      <c r="S22" s="94">
        <f>'Water Reading'!E22-'Water Reading'!E21</f>
        <v>60</v>
      </c>
      <c r="T22" s="100">
        <f t="shared" si="10"/>
        <v>0.20905923344947736</v>
      </c>
      <c r="U22" s="90">
        <f>'Water Reading'!G22-'Water Reading'!G21</f>
        <v>22</v>
      </c>
      <c r="V22" s="100">
        <f t="shared" si="11"/>
        <v>7.6655052264808357E-2</v>
      </c>
      <c r="W22" s="90">
        <f>'Water Reading'!J22-'Water Reading'!J21</f>
        <v>12</v>
      </c>
      <c r="X22" s="100">
        <f t="shared" si="12"/>
        <v>4.1811846689895474E-2</v>
      </c>
      <c r="Y22" s="66">
        <f t="shared" si="0"/>
        <v>273</v>
      </c>
      <c r="Z22" s="67">
        <f t="shared" si="1"/>
        <v>1.1818181818181819</v>
      </c>
    </row>
    <row r="23" spans="1:26" x14ac:dyDescent="0.25">
      <c r="A23" s="8">
        <f>'Water Reading'!A22</f>
        <v>44247</v>
      </c>
      <c r="B23" s="65">
        <f>TOTAL!I21</f>
        <v>262</v>
      </c>
      <c r="C23" s="66">
        <f>('Water Reading'!B23-'Water Reading'!B22)+('Water Reading'!C23-'Water Reading'!C22)</f>
        <v>307</v>
      </c>
      <c r="D23" s="67">
        <f t="shared" si="2"/>
        <v>1.1717557251908397</v>
      </c>
      <c r="E23" s="87">
        <f>'Water Reading'!H23-'Water Reading'!H22</f>
        <v>52</v>
      </c>
      <c r="F23" s="89">
        <f t="shared" si="3"/>
        <v>0.16938110749185667</v>
      </c>
      <c r="G23" s="93">
        <f>('Water Reading'!D23-'Water Reading'!D22)-('Water Reading'!R23-'Water Reading'!R22)-('Water Reading'!Q23-'Water Reading'!Q22)</f>
        <v>104</v>
      </c>
      <c r="H23" s="89">
        <f t="shared" si="4"/>
        <v>0.33876221498371334</v>
      </c>
      <c r="I23" s="90">
        <f>'Water Reading'!P23-'Water Reading'!P22</f>
        <v>3</v>
      </c>
      <c r="J23" s="68">
        <f t="shared" si="5"/>
        <v>9.7719869706840382E-3</v>
      </c>
      <c r="K23" s="90">
        <f>('Water Reading'!I23-'Water Reading'!I22)-('Water Reading'!P23-'Water Reading'!P22)</f>
        <v>31</v>
      </c>
      <c r="L23" s="68">
        <f t="shared" si="6"/>
        <v>0.10097719869706841</v>
      </c>
      <c r="M23" s="90">
        <f>'Water Reading'!R23-'Water Reading'!R22</f>
        <v>7</v>
      </c>
      <c r="N23" s="92">
        <f t="shared" si="7"/>
        <v>2.2801302931596091E-2</v>
      </c>
      <c r="O23" s="90">
        <f>'Water Reading'!Q23-'Water Reading'!Q22</f>
        <v>2</v>
      </c>
      <c r="P23" s="99">
        <f t="shared" si="8"/>
        <v>6.5146579804560263E-3</v>
      </c>
      <c r="Q23" s="91">
        <f>'Water Reading'!F23-'Water Reading'!F22</f>
        <v>1</v>
      </c>
      <c r="R23" s="100">
        <f t="shared" si="9"/>
        <v>3.2573289902280132E-3</v>
      </c>
      <c r="S23" s="94">
        <f>'Water Reading'!E23-'Water Reading'!E22</f>
        <v>57</v>
      </c>
      <c r="T23" s="100">
        <f t="shared" si="10"/>
        <v>0.18566775244299674</v>
      </c>
      <c r="U23" s="90">
        <f>'Water Reading'!G23-'Water Reading'!G22</f>
        <v>27</v>
      </c>
      <c r="V23" s="100">
        <f t="shared" si="11"/>
        <v>8.7947882736156349E-2</v>
      </c>
      <c r="W23" s="90">
        <f>'Water Reading'!J23-'Water Reading'!J22</f>
        <v>13</v>
      </c>
      <c r="X23" s="100">
        <f t="shared" si="12"/>
        <v>4.2345276872964167E-2</v>
      </c>
      <c r="Y23" s="66">
        <f t="shared" si="0"/>
        <v>297</v>
      </c>
      <c r="Z23" s="67">
        <f t="shared" si="1"/>
        <v>1.133587786259542</v>
      </c>
    </row>
    <row r="24" spans="1:26" x14ac:dyDescent="0.25">
      <c r="A24" s="8">
        <f>'Water Reading'!A23</f>
        <v>44248</v>
      </c>
      <c r="B24" s="65">
        <f>TOTAL!I22</f>
        <v>255</v>
      </c>
      <c r="C24" s="66">
        <f>('Water Reading'!B24-'Water Reading'!B23)+('Water Reading'!C24-'Water Reading'!C23)</f>
        <v>261</v>
      </c>
      <c r="D24" s="67">
        <f t="shared" si="2"/>
        <v>1.0235294117647058</v>
      </c>
      <c r="E24" s="87">
        <f>'Water Reading'!H24-'Water Reading'!H23</f>
        <v>36</v>
      </c>
      <c r="F24" s="89">
        <f t="shared" si="3"/>
        <v>0.13793103448275862</v>
      </c>
      <c r="G24" s="93">
        <f>('Water Reading'!D24-'Water Reading'!D23)-('Water Reading'!R24-'Water Reading'!R23)-('Water Reading'!Q24-'Water Reading'!Q23)</f>
        <v>84</v>
      </c>
      <c r="H24" s="89">
        <f t="shared" si="4"/>
        <v>0.32183908045977011</v>
      </c>
      <c r="I24" s="90">
        <f>'Water Reading'!P24-'Water Reading'!P23</f>
        <v>0</v>
      </c>
      <c r="J24" s="68">
        <f t="shared" si="5"/>
        <v>0</v>
      </c>
      <c r="K24" s="90">
        <f>('Water Reading'!I24-'Water Reading'!I23)</f>
        <v>17</v>
      </c>
      <c r="L24" s="68">
        <f t="shared" si="6"/>
        <v>6.5134099616858232E-2</v>
      </c>
      <c r="M24" s="90">
        <f>'Water Reading'!R24-'Water Reading'!R23</f>
        <v>8</v>
      </c>
      <c r="N24" s="92">
        <f t="shared" si="7"/>
        <v>3.0651340996168581E-2</v>
      </c>
      <c r="O24" s="90">
        <f>'Water Reading'!Q24-'Water Reading'!Q23</f>
        <v>8</v>
      </c>
      <c r="P24" s="99">
        <f t="shared" si="8"/>
        <v>3.0651340996168581E-2</v>
      </c>
      <c r="Q24" s="91">
        <f>'Water Reading'!F24-'Water Reading'!F23</f>
        <v>0</v>
      </c>
      <c r="R24" s="100">
        <f t="shared" si="9"/>
        <v>0</v>
      </c>
      <c r="S24" s="94">
        <f>'Water Reading'!E24-'Water Reading'!E23</f>
        <v>54</v>
      </c>
      <c r="T24" s="100">
        <f t="shared" si="10"/>
        <v>0.20689655172413793</v>
      </c>
      <c r="U24" s="90">
        <f>'Water Reading'!G24-'Water Reading'!G23</f>
        <v>24</v>
      </c>
      <c r="V24" s="100">
        <f t="shared" si="11"/>
        <v>9.1954022988505746E-2</v>
      </c>
      <c r="W24" s="90">
        <f>'Water Reading'!J24-'Water Reading'!J23</f>
        <v>11</v>
      </c>
      <c r="X24" s="100">
        <f t="shared" si="12"/>
        <v>4.2145593869731802E-2</v>
      </c>
      <c r="Y24" s="66">
        <f t="shared" si="0"/>
        <v>242</v>
      </c>
      <c r="Z24" s="67">
        <f t="shared" si="1"/>
        <v>0.94901960784313721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-246376</v>
      </c>
      <c r="D25" s="67" t="e">
        <f t="shared" si="2"/>
        <v>#DIV/0!</v>
      </c>
      <c r="E25" s="87">
        <f>'Water Reading'!H25-'Water Reading'!H24</f>
        <v>-46333</v>
      </c>
      <c r="F25" s="89">
        <f t="shared" si="3"/>
        <v>0.18805809007370847</v>
      </c>
      <c r="G25" s="93">
        <f>('Water Reading'!D25-'Water Reading'!D24)-('Water Reading'!R25-'Water Reading'!R24)-('Water Reading'!Q25-'Water Reading'!Q24)</f>
        <v>-184794</v>
      </c>
      <c r="H25" s="89">
        <f t="shared" si="4"/>
        <v>0.75004870604279639</v>
      </c>
      <c r="I25" s="90">
        <f>'Water Reading'!P25-'Water Reading'!P24</f>
        <v>-25938</v>
      </c>
      <c r="J25" s="68">
        <f t="shared" si="5"/>
        <v>0.10527811150436731</v>
      </c>
      <c r="K25" s="90">
        <f>('Water Reading'!I25-'Water Reading'!I24)</f>
        <v>-58068</v>
      </c>
      <c r="L25" s="68">
        <f t="shared" si="6"/>
        <v>0.23568854109166476</v>
      </c>
      <c r="M25" s="90">
        <f>'Water Reading'!R25-'Water Reading'!R24</f>
        <v>-5598</v>
      </c>
      <c r="N25" s="92">
        <f t="shared" si="7"/>
        <v>2.272136896450953E-2</v>
      </c>
      <c r="O25" s="90">
        <f>'Water Reading'!Q25-'Water Reading'!Q24</f>
        <v>-136</v>
      </c>
      <c r="P25" s="99">
        <f t="shared" si="8"/>
        <v>5.5200181835893107E-4</v>
      </c>
      <c r="Q25" s="91">
        <f>'Water Reading'!F25-'Water Reading'!F24</f>
        <v>-66850</v>
      </c>
      <c r="R25" s="100">
        <f t="shared" si="9"/>
        <v>0.27133324674481279</v>
      </c>
      <c r="S25" s="94">
        <f>'Water Reading'!E25-'Water Reading'!E24</f>
        <v>-240162</v>
      </c>
      <c r="T25" s="100">
        <f t="shared" si="10"/>
        <v>0.97477838750527646</v>
      </c>
      <c r="U25" s="90">
        <f>'Water Reading'!G25-'Water Reading'!G24</f>
        <v>-109216</v>
      </c>
      <c r="V25" s="100">
        <f t="shared" si="11"/>
        <v>0.44328993083741924</v>
      </c>
      <c r="W25" s="90">
        <f>'Water Reading'!J25-'Water Reading'!J24</f>
        <v>-18572</v>
      </c>
      <c r="X25" s="100">
        <f t="shared" si="12"/>
        <v>7.5380718901191676E-2</v>
      </c>
      <c r="Y25" s="66">
        <f t="shared" si="0"/>
        <v>-755667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5193</v>
      </c>
      <c r="C35" s="75">
        <f>SUM(C4:C34)</f>
        <v>-240046</v>
      </c>
      <c r="D35" s="96">
        <f>C35/B35</f>
        <v>-46.224918159060273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-57629</v>
      </c>
      <c r="L35" s="95">
        <f>K35/C35</f>
        <v>0.24007481899302632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-749734</v>
      </c>
      <c r="Z35" s="95">
        <f t="shared" si="1"/>
        <v>-144.3739649528211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2021-02-22T05:05:48Z</dcterms:modified>
  <cp:category/>
  <cp:contentStatus/>
</cp:coreProperties>
</file>