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1978" documentId="13_ncr:1_{A150F12E-A5F3-4ABD-A7D4-FF6BD82385D6}" xr6:coauthVersionLast="47" xr6:coauthVersionMax="47" xr10:uidLastSave="{9DF3DDD4-1F1D-482C-9F28-A9F2A864D8F6}"/>
  <bookViews>
    <workbookView xWindow="11340" yWindow="900" windowWidth="17055" windowHeight="11040" tabRatio="296" firstSheet="1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8" i="1" l="1"/>
  <c r="AF29" i="1"/>
  <c r="AF30" i="1"/>
  <c r="AF31" i="1"/>
  <c r="AF32" i="1"/>
  <c r="AD28" i="1"/>
  <c r="AD29" i="1"/>
  <c r="AD30" i="1"/>
  <c r="AD31" i="1"/>
  <c r="AD32" i="1"/>
  <c r="AB28" i="1"/>
  <c r="AB29" i="1"/>
  <c r="AB30" i="1"/>
  <c r="AB31" i="1"/>
  <c r="AB32" i="1"/>
  <c r="I32" i="2" s="1"/>
  <c r="U28" i="1"/>
  <c r="U29" i="1"/>
  <c r="U30" i="1"/>
  <c r="U31" i="1"/>
  <c r="U32" i="1"/>
  <c r="Q28" i="1"/>
  <c r="Q29" i="1"/>
  <c r="Q30" i="1"/>
  <c r="Q31" i="1"/>
  <c r="Q32" i="1"/>
  <c r="O28" i="1"/>
  <c r="O29" i="1"/>
  <c r="O30" i="1"/>
  <c r="O31" i="1"/>
  <c r="O32" i="1"/>
  <c r="M28" i="1"/>
  <c r="M29" i="1"/>
  <c r="M30" i="1"/>
  <c r="M31" i="1"/>
  <c r="M32" i="1"/>
  <c r="K28" i="1"/>
  <c r="K29" i="1"/>
  <c r="K30" i="1"/>
  <c r="K31" i="1"/>
  <c r="K32" i="1"/>
  <c r="G28" i="1"/>
  <c r="G29" i="1"/>
  <c r="G30" i="1"/>
  <c r="G31" i="1"/>
  <c r="G32" i="1"/>
  <c r="E28" i="1"/>
  <c r="E29" i="1"/>
  <c r="E30" i="1"/>
  <c r="E31" i="1"/>
  <c r="E32" i="1"/>
  <c r="C28" i="1"/>
  <c r="C29" i="1"/>
  <c r="C30" i="1"/>
  <c r="C31" i="1"/>
  <c r="C32" i="1"/>
  <c r="AF21" i="1"/>
  <c r="AF22" i="1"/>
  <c r="AF23" i="1"/>
  <c r="AF24" i="1"/>
  <c r="AF25" i="1"/>
  <c r="AF26" i="1"/>
  <c r="AF27" i="1"/>
  <c r="AD21" i="1"/>
  <c r="AD22" i="1"/>
  <c r="AD23" i="1"/>
  <c r="AD24" i="1"/>
  <c r="AD25" i="1"/>
  <c r="AD26" i="1"/>
  <c r="AD27" i="1"/>
  <c r="AB21" i="1"/>
  <c r="AB22" i="1"/>
  <c r="AB23" i="1"/>
  <c r="AB24" i="1"/>
  <c r="AB25" i="1"/>
  <c r="AB26" i="1"/>
  <c r="AB27" i="1"/>
  <c r="U21" i="1"/>
  <c r="U22" i="1"/>
  <c r="U23" i="1"/>
  <c r="U24" i="1"/>
  <c r="U25" i="1"/>
  <c r="U26" i="1"/>
  <c r="U27" i="1"/>
  <c r="Q21" i="1"/>
  <c r="Q22" i="1"/>
  <c r="Q23" i="1"/>
  <c r="Q24" i="1"/>
  <c r="Q25" i="1"/>
  <c r="Q26" i="1"/>
  <c r="Q27" i="1"/>
  <c r="O21" i="1"/>
  <c r="O22" i="1"/>
  <c r="O23" i="1"/>
  <c r="O24" i="1"/>
  <c r="O25" i="1"/>
  <c r="O26" i="1"/>
  <c r="O27" i="1"/>
  <c r="M21" i="1"/>
  <c r="M22" i="1"/>
  <c r="M23" i="1"/>
  <c r="M24" i="1"/>
  <c r="M25" i="1"/>
  <c r="M26" i="1"/>
  <c r="M27" i="1"/>
  <c r="K21" i="1"/>
  <c r="K22" i="1"/>
  <c r="K23" i="1"/>
  <c r="K24" i="1"/>
  <c r="K25" i="1"/>
  <c r="K26" i="1"/>
  <c r="K27" i="1"/>
  <c r="G21" i="1"/>
  <c r="G22" i="1"/>
  <c r="G23" i="1"/>
  <c r="G24" i="1"/>
  <c r="G25" i="1"/>
  <c r="G26" i="1"/>
  <c r="G27" i="1"/>
  <c r="E21" i="1"/>
  <c r="E22" i="1"/>
  <c r="E23" i="1"/>
  <c r="E24" i="1"/>
  <c r="E25" i="1"/>
  <c r="E26" i="1"/>
  <c r="E27" i="1"/>
  <c r="C21" i="1"/>
  <c r="C22" i="1"/>
  <c r="C23" i="1"/>
  <c r="C24" i="1"/>
  <c r="C25" i="1"/>
  <c r="C26" i="1"/>
  <c r="C27" i="1"/>
  <c r="AF14" i="1"/>
  <c r="AF15" i="1"/>
  <c r="AF16" i="1"/>
  <c r="AF17" i="1"/>
  <c r="AF18" i="1"/>
  <c r="AF19" i="1"/>
  <c r="AF20" i="1"/>
  <c r="AD14" i="1"/>
  <c r="AD15" i="1"/>
  <c r="AD16" i="1"/>
  <c r="AD17" i="1"/>
  <c r="AD18" i="1"/>
  <c r="AD19" i="1"/>
  <c r="AD20" i="1"/>
  <c r="AB14" i="1"/>
  <c r="AB15" i="1"/>
  <c r="AB16" i="1"/>
  <c r="AB17" i="1"/>
  <c r="AB18" i="1"/>
  <c r="U14" i="1"/>
  <c r="U15" i="1"/>
  <c r="U16" i="1"/>
  <c r="U17" i="1"/>
  <c r="U18" i="1"/>
  <c r="U19" i="1"/>
  <c r="U20" i="1"/>
  <c r="Q14" i="1"/>
  <c r="Q15" i="1"/>
  <c r="Q16" i="1"/>
  <c r="Q17" i="1"/>
  <c r="Q18" i="1"/>
  <c r="Q19" i="1"/>
  <c r="Q20" i="1"/>
  <c r="O14" i="1"/>
  <c r="O15" i="1"/>
  <c r="O16" i="1"/>
  <c r="O17" i="1"/>
  <c r="O18" i="1"/>
  <c r="O19" i="1"/>
  <c r="O20" i="1"/>
  <c r="M14" i="1"/>
  <c r="M15" i="1"/>
  <c r="M16" i="1"/>
  <c r="M17" i="1"/>
  <c r="M18" i="1"/>
  <c r="M19" i="1"/>
  <c r="M20" i="1"/>
  <c r="K14" i="1"/>
  <c r="K15" i="1"/>
  <c r="K16" i="1"/>
  <c r="K17" i="1"/>
  <c r="K18" i="1"/>
  <c r="K19" i="1"/>
  <c r="K20" i="1"/>
  <c r="G14" i="1"/>
  <c r="G15" i="1"/>
  <c r="G16" i="1"/>
  <c r="G17" i="1"/>
  <c r="G18" i="1"/>
  <c r="G19" i="1"/>
  <c r="G20" i="1"/>
  <c r="E14" i="1"/>
  <c r="E15" i="1"/>
  <c r="E16" i="1"/>
  <c r="E17" i="1"/>
  <c r="E18" i="1"/>
  <c r="E19" i="1"/>
  <c r="E20" i="1"/>
  <c r="C14" i="1"/>
  <c r="C15" i="1"/>
  <c r="C16" i="1"/>
  <c r="C17" i="1"/>
  <c r="C18" i="1"/>
  <c r="C19" i="1"/>
  <c r="C20" i="1"/>
  <c r="F11" i="1"/>
  <c r="G10" i="1" s="1"/>
  <c r="F10" i="1"/>
  <c r="G9" i="1" s="1"/>
  <c r="AF8" i="1"/>
  <c r="AF9" i="1"/>
  <c r="AF10" i="1"/>
  <c r="AF11" i="1"/>
  <c r="AF12" i="1"/>
  <c r="AF13" i="1"/>
  <c r="AD8" i="1"/>
  <c r="AD9" i="1"/>
  <c r="AD10" i="1"/>
  <c r="AD11" i="1"/>
  <c r="AD12" i="1"/>
  <c r="AD13" i="1"/>
  <c r="AB8" i="1"/>
  <c r="AB9" i="1"/>
  <c r="AB10" i="1"/>
  <c r="AB11" i="1"/>
  <c r="AB12" i="1"/>
  <c r="AB13" i="1"/>
  <c r="U8" i="1"/>
  <c r="U9" i="1"/>
  <c r="U10" i="1"/>
  <c r="U11" i="1"/>
  <c r="U12" i="1"/>
  <c r="U13" i="1"/>
  <c r="Q8" i="1"/>
  <c r="Q9" i="1"/>
  <c r="Q10" i="1"/>
  <c r="Q11" i="1"/>
  <c r="Q12" i="1"/>
  <c r="Q13" i="1"/>
  <c r="O8" i="1"/>
  <c r="O9" i="1"/>
  <c r="O10" i="1"/>
  <c r="O11" i="1"/>
  <c r="O12" i="1"/>
  <c r="O13" i="1"/>
  <c r="M8" i="1"/>
  <c r="M9" i="1"/>
  <c r="M10" i="1"/>
  <c r="M11" i="1"/>
  <c r="M12" i="1"/>
  <c r="M13" i="1"/>
  <c r="K8" i="1"/>
  <c r="K9" i="1"/>
  <c r="K10" i="1"/>
  <c r="K11" i="1"/>
  <c r="K12" i="1"/>
  <c r="K13" i="1"/>
  <c r="G8" i="1"/>
  <c r="G12" i="1"/>
  <c r="G13" i="1"/>
  <c r="E8" i="1"/>
  <c r="E9" i="1"/>
  <c r="E10" i="1"/>
  <c r="E11" i="1"/>
  <c r="E12" i="1"/>
  <c r="E13" i="1"/>
  <c r="C8" i="1"/>
  <c r="C9" i="1"/>
  <c r="C13" i="1"/>
  <c r="AF7" i="1"/>
  <c r="AD7" i="1"/>
  <c r="AB7" i="1"/>
  <c r="U7" i="1"/>
  <c r="Q7" i="1"/>
  <c r="O7" i="1"/>
  <c r="M7" i="1"/>
  <c r="K7" i="1"/>
  <c r="G7" i="1"/>
  <c r="E7" i="1"/>
  <c r="C7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N32" i="2"/>
  <c r="M32" i="2"/>
  <c r="K32" i="2"/>
  <c r="AB20" i="1" l="1"/>
  <c r="AB19" i="1"/>
  <c r="G11" i="1"/>
  <c r="C11" i="1"/>
  <c r="C12" i="1"/>
  <c r="C10" i="1"/>
  <c r="AF5" i="1"/>
  <c r="AF6" i="1"/>
  <c r="AD5" i="1"/>
  <c r="AD6" i="1"/>
  <c r="AB5" i="1"/>
  <c r="AB6" i="1"/>
  <c r="U5" i="1"/>
  <c r="U6" i="1"/>
  <c r="Q5" i="1"/>
  <c r="Q6" i="1"/>
  <c r="O5" i="1"/>
  <c r="O6" i="1"/>
  <c r="M5" i="1"/>
  <c r="M6" i="1"/>
  <c r="K5" i="1"/>
  <c r="K6" i="1"/>
  <c r="G5" i="1"/>
  <c r="G6" i="1"/>
  <c r="E5" i="1"/>
  <c r="E6" i="1"/>
  <c r="C5" i="1"/>
  <c r="C6" i="1"/>
  <c r="AF4" i="1"/>
  <c r="AD4" i="1"/>
  <c r="AB4" i="1"/>
  <c r="U4" i="1"/>
  <c r="Q4" i="1"/>
  <c r="M4" i="1"/>
  <c r="K4" i="1"/>
  <c r="G4" i="1"/>
  <c r="E4" i="1"/>
  <c r="C4" i="1"/>
  <c r="M2" i="1"/>
  <c r="C2" i="1" l="1"/>
  <c r="E2" i="1"/>
  <c r="G2" i="1"/>
  <c r="K2" i="1"/>
  <c r="H2" i="1" l="1"/>
  <c r="K28" i="2"/>
  <c r="K29" i="2"/>
  <c r="K30" i="2"/>
  <c r="K31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H34" i="1" l="1"/>
  <c r="Y34" i="1"/>
  <c r="AK34" i="1"/>
  <c r="AJ34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X33" i="1" l="1"/>
  <c r="X4" i="1"/>
  <c r="X5" i="1"/>
  <c r="X6" i="1"/>
  <c r="X7" i="1"/>
  <c r="X8" i="1"/>
  <c r="X9" i="1"/>
  <c r="X10" i="1"/>
  <c r="X11" i="1"/>
  <c r="Z11" i="1" s="1"/>
  <c r="X12" i="1"/>
  <c r="X13" i="1"/>
  <c r="Z13" i="1" s="1"/>
  <c r="X14" i="1"/>
  <c r="X15" i="1"/>
  <c r="X16" i="1"/>
  <c r="Z16" i="1" s="1"/>
  <c r="X17" i="1"/>
  <c r="X18" i="1"/>
  <c r="Z18" i="1" s="1"/>
  <c r="X19" i="1"/>
  <c r="X20" i="1"/>
  <c r="X21" i="1"/>
  <c r="X22" i="1"/>
  <c r="X23" i="1"/>
  <c r="Z23" i="1" s="1"/>
  <c r="X24" i="1"/>
  <c r="X25" i="1"/>
  <c r="Z25" i="1" s="1"/>
  <c r="X26" i="1"/>
  <c r="Z26" i="1" s="1"/>
  <c r="X27" i="1"/>
  <c r="X28" i="1"/>
  <c r="X29" i="1"/>
  <c r="X30" i="1"/>
  <c r="X31" i="1"/>
  <c r="Z31" i="1" s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32" i="1" l="1"/>
  <c r="Z30" i="1"/>
  <c r="Z28" i="1"/>
  <c r="Z29" i="1"/>
  <c r="Z24" i="1"/>
  <c r="Z22" i="1"/>
  <c r="Z21" i="1"/>
  <c r="G21" i="2" s="1"/>
  <c r="Z27" i="1"/>
  <c r="Z17" i="1"/>
  <c r="Z20" i="1"/>
  <c r="Z19" i="1"/>
  <c r="Z14" i="1"/>
  <c r="G14" i="2" s="1"/>
  <c r="Z15" i="1"/>
  <c r="Z10" i="1"/>
  <c r="Z12" i="1"/>
  <c r="Z8" i="1"/>
  <c r="Z9" i="1"/>
  <c r="Z7" i="1"/>
  <c r="G32" i="2"/>
  <c r="G30" i="2"/>
  <c r="G27" i="2"/>
  <c r="G25" i="2"/>
  <c r="G22" i="2"/>
  <c r="G17" i="2"/>
  <c r="G13" i="2"/>
  <c r="G28" i="2"/>
  <c r="G24" i="2"/>
  <c r="G19" i="2"/>
  <c r="G20" i="2"/>
  <c r="G16" i="2"/>
  <c r="G12" i="2"/>
  <c r="G8" i="2"/>
  <c r="G7" i="2"/>
  <c r="Z6" i="1"/>
  <c r="G6" i="2" s="1"/>
  <c r="Z5" i="1"/>
  <c r="G5" i="2" s="1"/>
  <c r="Z4" i="1"/>
  <c r="G4" i="2" s="1"/>
  <c r="G31" i="2"/>
  <c r="G29" i="2"/>
  <c r="G23" i="2"/>
  <c r="G18" i="2"/>
  <c r="G11" i="2"/>
  <c r="G9" i="2"/>
  <c r="G26" i="2"/>
  <c r="G15" i="2"/>
  <c r="U34" i="1"/>
  <c r="Z3" i="1"/>
  <c r="G3" i="2" s="1"/>
  <c r="Z2" i="1"/>
  <c r="G2" i="2" s="1"/>
  <c r="G10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E31" i="2"/>
  <c r="F31" i="2" s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E32" i="2" s="1"/>
  <c r="F32" i="2" s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O4" i="1"/>
  <c r="I4" i="1" s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<sst xmlns="http://schemas.openxmlformats.org/spreadsheetml/2006/main" count="82" uniqueCount="41">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</sst>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sz val="8"/>
      <name val="Arial"/>
      <family val="2"/>
      <charset val="16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auto="1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2" xfId="0" applyNumberFormat="1" applyFont="1" applyFill="1" applyBorder="1" applyAlignment="1">
      <alignment horizontal="center" vertical="center" textRotation="90" wrapText="1"/>
    </xf>
    <xf numFmtId="3" fontId="3" fillId="2" borderId="23" xfId="0" applyNumberFormat="1" applyFont="1" applyFill="1" applyBorder="1" applyAlignment="1">
      <alignment horizontal="center" vertical="center" wrapText="1"/>
    </xf>
    <xf numFmtId="3" fontId="3" fillId="2" borderId="24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5" fillId="0" borderId="30" xfId="0" applyNumberFormat="1" applyFont="1" applyBorder="1" applyAlignment="1">
      <alignment horizontal="center"/>
    </xf>
    <xf numFmtId="1" fontId="8" fillId="0" borderId="30" xfId="0" applyNumberFormat="1" applyFont="1" applyBorder="1" applyAlignment="1">
      <alignment horizontal="center" vertical="center"/>
    </xf>
    <xf numFmtId="3" fontId="3" fillId="2" borderId="31" xfId="0" applyNumberFormat="1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1" fontId="9" fillId="0" borderId="28" xfId="0" applyNumberFormat="1" applyFont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164" fontId="0" fillId="4" borderId="35" xfId="0" applyNumberFormat="1" applyFill="1" applyBorder="1" applyAlignment="1">
      <alignment horizontal="right" vertical="center"/>
    </xf>
    <xf numFmtId="1" fontId="10" fillId="0" borderId="28" xfId="0" applyNumberFormat="1" applyFont="1" applyBorder="1" applyAlignment="1">
      <alignment horizontal="center"/>
    </xf>
    <xf numFmtId="1" fontId="6" fillId="0" borderId="28" xfId="0" applyNumberFormat="1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3" fontId="3" fillId="0" borderId="34" xfId="0" applyNumberFormat="1" applyFont="1" applyBorder="1" applyAlignment="1">
      <alignment horizontal="center"/>
    </xf>
    <xf numFmtId="1" fontId="7" fillId="0" borderId="30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3" fontId="11" fillId="2" borderId="25" xfId="0" applyNumberFormat="1" applyFont="1" applyFill="1" applyBorder="1" applyAlignment="1">
      <alignment horizontal="center" vertical="center" textRotation="90" wrapText="1"/>
    </xf>
    <xf numFmtId="3" fontId="3" fillId="2" borderId="26" xfId="0" applyNumberFormat="1" applyFont="1" applyFill="1" applyBorder="1" applyAlignment="1">
      <alignment horizontal="center" vertical="center" wrapText="1"/>
    </xf>
    <xf numFmtId="3" fontId="3" fillId="2" borderId="27" xfId="0" applyNumberFormat="1" applyFont="1" applyFill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2" fillId="3" borderId="36" xfId="0" applyFont="1" applyFill="1" applyBorder="1" applyAlignment="1">
      <alignment horizontal="center" vertical="center" wrapText="1"/>
    </xf>
    <xf numFmtId="1" fontId="13" fillId="3" borderId="37" xfId="0" applyNumberFormat="1" applyFont="1" applyFill="1" applyBorder="1" applyAlignment="1">
      <alignment horizontal="center" vertical="center"/>
    </xf>
    <xf numFmtId="1" fontId="13" fillId="3" borderId="38" xfId="0" applyNumberFormat="1" applyFont="1" applyFill="1" applyBorder="1" applyAlignment="1">
      <alignment horizontal="center" vertical="center"/>
    </xf>
    <xf numFmtId="1" fontId="13" fillId="3" borderId="39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5" borderId="36" xfId="0" applyFont="1" applyFill="1" applyBorder="1" applyAlignment="1">
      <alignment horizontal="center" vertical="center" wrapText="1"/>
    </xf>
    <xf numFmtId="1" fontId="13" fillId="5" borderId="37" xfId="0" applyNumberFormat="1" applyFont="1" applyFill="1" applyBorder="1" applyAlignment="1">
      <alignment horizontal="center" vertical="center"/>
    </xf>
    <xf numFmtId="1" fontId="13" fillId="5" borderId="38" xfId="0" applyNumberFormat="1" applyFont="1" applyFill="1" applyBorder="1" applyAlignment="1">
      <alignment horizontal="center" vertical="center"/>
    </xf>
    <xf numFmtId="1" fontId="13" fillId="5" borderId="39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0" xfId="0" applyFont="1" applyBorder="1" applyAlignment="1">
      <alignment horizontal="center" vertical="center"/>
    </xf>
    <xf numFmtId="1" fontId="31" fillId="5" borderId="40" xfId="0" applyNumberFormat="1" applyFont="1" applyFill="1" applyBorder="1" applyAlignment="1">
      <alignment horizontal="center" vertical="center" wrapText="1"/>
    </xf>
    <xf numFmtId="0" fontId="31" fillId="5" borderId="40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0" xfId="0" applyNumberFormat="1" applyFont="1" applyFill="1" applyBorder="1" applyAlignment="1">
      <alignment horizontal="center" vertical="center" wrapText="1"/>
    </xf>
    <xf numFmtId="165" fontId="31" fillId="6" borderId="40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0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0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0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0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35" fillId="9" borderId="41" xfId="0" applyNumberFormat="1" applyFont="1" applyFill="1" applyBorder="1" applyAlignment="1">
      <alignment horizontal="center"/>
    </xf>
    <xf numFmtId="3" fontId="29" fillId="9" borderId="41" xfId="0" applyNumberFormat="1" applyFont="1" applyFill="1" applyBorder="1" applyAlignment="1">
      <alignment horizontal="center"/>
    </xf>
    <xf numFmtId="1" fontId="35" fillId="9" borderId="41" xfId="0" applyNumberFormat="1" applyFont="1" applyFill="1" applyBorder="1" applyAlignment="1">
      <alignment horizontal="center"/>
    </xf>
    <xf numFmtId="1" fontId="35" fillId="9" borderId="42" xfId="0" applyNumberFormat="1" applyFont="1" applyFill="1" applyBorder="1" applyAlignment="1">
      <alignment horizontal="center"/>
    </xf>
    <xf numFmtId="3" fontId="3" fillId="0" borderId="43" xfId="0" applyNumberFormat="1" applyFont="1" applyBorder="1" applyAlignment="1">
      <alignment horizontal="center"/>
    </xf>
    <xf numFmtId="0" fontId="13" fillId="0" borderId="44" xfId="0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0" fillId="0" borderId="4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7"/>
  <sheetViews>
    <sheetView workbookViewId="0">
      <selection activeCell="C10" sqref="C10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09" customWidth="1"/>
    <col min="6" max="6" width="12.5703125" style="111" customWidth="1"/>
    <col min="7" max="7" width="8.85546875" style="114"/>
    <col min="8" max="8" width="8.85546875" style="116"/>
    <col min="9" max="10" width="8.85546875" style="120"/>
    <col min="11" max="12" width="12.28515625" style="124" bestFit="1" customWidth="1"/>
    <col min="13" max="13" width="8.85546875" style="127"/>
    <col min="14" max="14" width="11.5703125" style="127" customWidth="1"/>
    <col min="15" max="16384" width="8.85546875" style="5"/>
  </cols>
  <sheetData>
    <row r="1" spans="1:14" ht="75.75" thickBot="1" x14ac:dyDescent="0.25">
      <c r="A1" s="106" t="s">
        <v>0</v>
      </c>
      <c r="B1" s="106" t="s">
        <v>1</v>
      </c>
      <c r="C1" s="128" t="s">
        <v>2</v>
      </c>
      <c r="D1" s="128" t="s">
        <v>3</v>
      </c>
      <c r="E1" s="107" t="s">
        <v>4</v>
      </c>
      <c r="F1" s="108" t="s">
        <v>5</v>
      </c>
      <c r="G1" s="112" t="s">
        <v>6</v>
      </c>
      <c r="H1" s="113" t="s">
        <v>40</v>
      </c>
      <c r="I1" s="117" t="s">
        <v>7</v>
      </c>
      <c r="J1" s="117" t="s">
        <v>8</v>
      </c>
      <c r="K1" s="121" t="s">
        <v>9</v>
      </c>
      <c r="L1" s="121" t="s">
        <v>10</v>
      </c>
      <c r="M1" s="125" t="s">
        <v>11</v>
      </c>
      <c r="N1" s="125" t="s">
        <v>12</v>
      </c>
    </row>
    <row r="2" spans="1:14" ht="15.75" thickTop="1" x14ac:dyDescent="0.25">
      <c r="A2" s="105" t="s">
        <v>13</v>
      </c>
      <c r="B2" s="5">
        <v>1</v>
      </c>
      <c r="C2" s="129">
        <v>1</v>
      </c>
      <c r="D2" s="130">
        <v>2025</v>
      </c>
      <c r="E2" s="109">
        <f>IF(ALMYRA!H2&lt;0,"0",ALMYRA!H2)</f>
        <v>4111</v>
      </c>
      <c r="F2" s="110">
        <f>(ALMYRA!C2*0.24)/E2</f>
        <v>0.22330333252250062</v>
      </c>
      <c r="G2" s="114">
        <f>ALMYRA!Z2</f>
        <v>0</v>
      </c>
      <c r="H2" s="115">
        <v>0.65800000000000003</v>
      </c>
      <c r="I2" s="118">
        <f>IF(ALMYRA!AB2&lt;0,"0",ALMYRA!AB2)</f>
        <v>77</v>
      </c>
      <c r="J2" s="119">
        <v>2.4</v>
      </c>
      <c r="K2" s="122">
        <f>ALMYRA!U2</f>
        <v>403</v>
      </c>
      <c r="L2" s="123">
        <v>0.88</v>
      </c>
      <c r="M2" s="126">
        <f>ALMYRA!AJ2</f>
        <v>152</v>
      </c>
      <c r="N2" s="126">
        <f>ALMYRA!AK2</f>
        <v>296</v>
      </c>
    </row>
    <row r="3" spans="1:14" ht="15" x14ac:dyDescent="0.25">
      <c r="A3" s="105" t="s">
        <v>13</v>
      </c>
      <c r="B3" s="5">
        <f>B2+1</f>
        <v>2</v>
      </c>
      <c r="C3" s="129">
        <v>1</v>
      </c>
      <c r="D3" s="130">
        <v>2025</v>
      </c>
      <c r="E3" s="109">
        <f>IF(ALMYRA!H3&lt;0,"0",ALMYRA!H3)</f>
        <v>4103</v>
      </c>
      <c r="F3" s="110">
        <f>(ALMYRA!C3*0.24)/E3</f>
        <v>0.17337557884474775</v>
      </c>
      <c r="G3" s="114">
        <f>ALMYRA!Z3</f>
        <v>25</v>
      </c>
      <c r="H3" s="115">
        <v>0.65800000000000003</v>
      </c>
      <c r="I3" s="118">
        <f>IF(ALMYRA!AB3&lt;0,"0",ALMYRA!AB3)</f>
        <v>72</v>
      </c>
      <c r="J3" s="119">
        <v>2.4</v>
      </c>
      <c r="K3" s="122">
        <f>ALMYRA!U3</f>
        <v>403</v>
      </c>
      <c r="L3" s="123">
        <v>0.88</v>
      </c>
      <c r="M3" s="126">
        <f>ALMYRA!AJ3</f>
        <v>116</v>
      </c>
      <c r="N3" s="126">
        <f>ALMYRA!AK3</f>
        <v>240</v>
      </c>
    </row>
    <row r="4" spans="1:14" ht="15" x14ac:dyDescent="0.25">
      <c r="A4" s="105" t="s">
        <v>13</v>
      </c>
      <c r="B4" s="5">
        <f t="shared" ref="B4:B32" si="0">B3+1</f>
        <v>3</v>
      </c>
      <c r="C4" s="129">
        <v>1</v>
      </c>
      <c r="D4" s="130">
        <v>2025</v>
      </c>
      <c r="E4" s="109">
        <f>IF(ALMYRA!H4&lt;0,"0",ALMYRA!H4)</f>
        <v>4356</v>
      </c>
      <c r="F4" s="110">
        <f>(ALMYRA!C4*0.24)/E4</f>
        <v>0.17988980716253444</v>
      </c>
      <c r="G4" s="114">
        <f>ALMYRA!Z4</f>
        <v>50</v>
      </c>
      <c r="H4" s="115">
        <v>0.65800000000000003</v>
      </c>
      <c r="I4" s="118">
        <f>IF(ALMYRA!AB4&lt;0,"0",ALMYRA!AB4)</f>
        <v>63</v>
      </c>
      <c r="J4" s="119">
        <v>2.4</v>
      </c>
      <c r="K4" s="122">
        <f>ALMYRA!U4</f>
        <v>403</v>
      </c>
      <c r="L4" s="123">
        <v>0.88</v>
      </c>
      <c r="M4" s="126">
        <f>ALMYRA!AJ4</f>
        <v>103</v>
      </c>
      <c r="N4" s="126">
        <f>ALMYRA!AK4</f>
        <v>217</v>
      </c>
    </row>
    <row r="5" spans="1:14" ht="15" x14ac:dyDescent="0.25">
      <c r="A5" s="105" t="s">
        <v>13</v>
      </c>
      <c r="B5" s="5">
        <f t="shared" si="0"/>
        <v>4</v>
      </c>
      <c r="C5" s="129">
        <v>1</v>
      </c>
      <c r="D5" s="130">
        <v>2025</v>
      </c>
      <c r="E5" s="109">
        <f>IF(ALMYRA!H5&lt;0,"0",ALMYRA!H5)</f>
        <v>3898</v>
      </c>
      <c r="F5" s="110">
        <f>(ALMYRA!C5*0.24)/E5</f>
        <v>0.20151872755259106</v>
      </c>
      <c r="G5" s="114">
        <f>ALMYRA!Z5</f>
        <v>0</v>
      </c>
      <c r="H5" s="115">
        <v>0.65800000000000003</v>
      </c>
      <c r="I5" s="118">
        <f>IF(ALMYRA!AB5&lt;0,"0",ALMYRA!AB5)</f>
        <v>47</v>
      </c>
      <c r="J5" s="119">
        <v>2.4</v>
      </c>
      <c r="K5" s="122">
        <f>ALMYRA!U5</f>
        <v>201</v>
      </c>
      <c r="L5" s="123">
        <v>0.88</v>
      </c>
      <c r="M5" s="126">
        <f>ALMYRA!AJ5</f>
        <v>113</v>
      </c>
      <c r="N5" s="126">
        <f>ALMYRA!AK5</f>
        <v>239</v>
      </c>
    </row>
    <row r="6" spans="1:14" ht="15" x14ac:dyDescent="0.25">
      <c r="A6" s="105" t="s">
        <v>13</v>
      </c>
      <c r="B6" s="5">
        <f t="shared" si="0"/>
        <v>5</v>
      </c>
      <c r="C6" s="129">
        <v>1</v>
      </c>
      <c r="D6" s="130">
        <v>2025</v>
      </c>
      <c r="E6" s="109">
        <f>IF(ALMYRA!H6&lt;0,"0",ALMYRA!H6)</f>
        <v>4047</v>
      </c>
      <c r="F6" s="110">
        <f>(ALMYRA!C6*0.24)/E6</f>
        <v>0.22535211267605634</v>
      </c>
      <c r="G6" s="114">
        <f>ALMYRA!Z6</f>
        <v>100</v>
      </c>
      <c r="H6" s="115">
        <v>0.65800000000000003</v>
      </c>
      <c r="I6" s="118">
        <f>IF(ALMYRA!AB6&lt;0,"0",ALMYRA!AB6)</f>
        <v>48</v>
      </c>
      <c r="J6" s="119">
        <v>2.4</v>
      </c>
      <c r="K6" s="122">
        <f>ALMYRA!U6</f>
        <v>402</v>
      </c>
      <c r="L6" s="123">
        <v>0.88</v>
      </c>
      <c r="M6" s="126">
        <f>ALMYRA!AJ6</f>
        <v>84</v>
      </c>
      <c r="N6" s="126">
        <f>ALMYRA!AK6</f>
        <v>176</v>
      </c>
    </row>
    <row r="7" spans="1:14" ht="15" x14ac:dyDescent="0.25">
      <c r="A7" s="105" t="s">
        <v>13</v>
      </c>
      <c r="B7" s="5">
        <f t="shared" si="0"/>
        <v>6</v>
      </c>
      <c r="C7" s="129">
        <v>1</v>
      </c>
      <c r="D7" s="130">
        <v>2025</v>
      </c>
      <c r="E7" s="109">
        <f>IF(ALMYRA!H7&lt;0,"0",ALMYRA!H7)</f>
        <v>3695</v>
      </c>
      <c r="F7" s="110">
        <f>(ALMYRA!C7*0.24)/E7</f>
        <v>0.17037077131258457</v>
      </c>
      <c r="G7" s="114">
        <f>ALMYRA!Z7</f>
        <v>0</v>
      </c>
      <c r="H7" s="115">
        <v>0.65800000000000003</v>
      </c>
      <c r="I7" s="118">
        <f>IF(ALMYRA!AB7&lt;0,"0",ALMYRA!AB7)</f>
        <v>41</v>
      </c>
      <c r="J7" s="119">
        <v>2.4</v>
      </c>
      <c r="K7" s="122">
        <f>ALMYRA!U7</f>
        <v>201</v>
      </c>
      <c r="L7" s="123">
        <v>0.88</v>
      </c>
      <c r="M7" s="126">
        <f>ALMYRA!AJ7</f>
        <v>29</v>
      </c>
      <c r="N7" s="126">
        <f>ALMYRA!AK7</f>
        <v>51</v>
      </c>
    </row>
    <row r="8" spans="1:14" ht="15" x14ac:dyDescent="0.25">
      <c r="A8" s="105" t="s">
        <v>13</v>
      </c>
      <c r="B8" s="5">
        <f t="shared" si="0"/>
        <v>7</v>
      </c>
      <c r="C8" s="129">
        <v>1</v>
      </c>
      <c r="D8" s="130">
        <v>2025</v>
      </c>
      <c r="E8" s="109">
        <f>IF(ALMYRA!H8&lt;0,"0",ALMYRA!H8)</f>
        <v>3655</v>
      </c>
      <c r="F8" s="110">
        <f>(ALMYRA!C8*0.24)/E8</f>
        <v>0.16928043775649795</v>
      </c>
      <c r="G8" s="114">
        <f>ALMYRA!Z8</f>
        <v>50</v>
      </c>
      <c r="H8" s="115">
        <v>0.65800000000000003</v>
      </c>
      <c r="I8" s="118">
        <f>IF(ALMYRA!AB8&lt;0,"0",ALMYRA!AB8)</f>
        <v>39</v>
      </c>
      <c r="J8" s="119">
        <v>2.4</v>
      </c>
      <c r="K8" s="122">
        <f>ALMYRA!U8</f>
        <v>299</v>
      </c>
      <c r="L8" s="123">
        <v>0.88</v>
      </c>
      <c r="M8" s="126">
        <f>ALMYRA!AJ8</f>
        <v>22</v>
      </c>
      <c r="N8" s="126">
        <f>ALMYRA!AK8</f>
        <v>36</v>
      </c>
    </row>
    <row r="9" spans="1:14" ht="15" x14ac:dyDescent="0.25">
      <c r="A9" s="105" t="s">
        <v>13</v>
      </c>
      <c r="B9" s="5">
        <f t="shared" si="0"/>
        <v>8</v>
      </c>
      <c r="C9" s="129">
        <v>1</v>
      </c>
      <c r="D9" s="130">
        <v>2025</v>
      </c>
      <c r="E9" s="109">
        <f>IF(ALMYRA!H9&lt;0,"0",ALMYRA!H9)</f>
        <v>3191</v>
      </c>
      <c r="F9" s="110">
        <f>(ALMYRA!C9*0.24)/E9</f>
        <v>0.17133187088686933</v>
      </c>
      <c r="G9" s="114">
        <f>ALMYRA!Z9</f>
        <v>0</v>
      </c>
      <c r="H9" s="115">
        <v>0.65800000000000003</v>
      </c>
      <c r="I9" s="118">
        <f>IF(ALMYRA!AB9&lt;0,"0",ALMYRA!AB9)</f>
        <v>39</v>
      </c>
      <c r="J9" s="119">
        <v>2.4</v>
      </c>
      <c r="K9" s="122">
        <f>ALMYRA!U9</f>
        <v>199</v>
      </c>
      <c r="L9" s="123">
        <v>0.88</v>
      </c>
      <c r="M9" s="126">
        <f>ALMYRA!AJ9</f>
        <v>1</v>
      </c>
      <c r="N9" s="126">
        <f>ALMYRA!AK9</f>
        <v>1</v>
      </c>
    </row>
    <row r="10" spans="1:14" ht="15" x14ac:dyDescent="0.25">
      <c r="A10" s="105" t="s">
        <v>13</v>
      </c>
      <c r="B10" s="5">
        <f t="shared" si="0"/>
        <v>9</v>
      </c>
      <c r="C10" s="129">
        <v>1</v>
      </c>
      <c r="D10" s="130">
        <v>2025</v>
      </c>
      <c r="E10" s="109">
        <f>IF(ALMYRA!H10&lt;0,"0",ALMYRA!H10)</f>
        <v>1926</v>
      </c>
      <c r="F10" s="110">
        <f>(ALMYRA!C10*0.24)/E10</f>
        <v>0.148411214953271</v>
      </c>
      <c r="G10" s="114">
        <f>ALMYRA!Z10</f>
        <v>0</v>
      </c>
      <c r="H10" s="115">
        <v>0.65800000000000003</v>
      </c>
      <c r="I10" s="118">
        <f>IF(ALMYRA!AB10&lt;0,"0",ALMYRA!AB10)</f>
        <v>20</v>
      </c>
      <c r="J10" s="119">
        <v>2.4</v>
      </c>
      <c r="K10" s="122">
        <f>ALMYRA!U10</f>
        <v>99</v>
      </c>
      <c r="L10" s="123">
        <v>0.88</v>
      </c>
      <c r="M10" s="126">
        <f>ALMYRA!AJ10</f>
        <v>1</v>
      </c>
      <c r="N10" s="126">
        <f>ALMYRA!AK10</f>
        <v>1</v>
      </c>
    </row>
    <row r="11" spans="1:14" ht="15" x14ac:dyDescent="0.25">
      <c r="A11" s="105" t="s">
        <v>13</v>
      </c>
      <c r="B11" s="5">
        <f t="shared" si="0"/>
        <v>10</v>
      </c>
      <c r="C11" s="129">
        <v>1</v>
      </c>
      <c r="D11" s="130">
        <v>2025</v>
      </c>
      <c r="E11" s="109">
        <f>IF(ALMYRA!H11&lt;0,"0",ALMYRA!H11)</f>
        <v>1545.6666666678357</v>
      </c>
      <c r="F11" s="110">
        <f>(ALMYRA!C11*0.24)/E11</f>
        <v>0.14947595428086474</v>
      </c>
      <c r="G11" s="114">
        <f>ALMYRA!Z11</f>
        <v>0</v>
      </c>
      <c r="H11" s="115">
        <v>0.65800000000000003</v>
      </c>
      <c r="I11" s="118">
        <f>IF(ALMYRA!AB11&lt;0,"0",ALMYRA!AB11)</f>
        <v>12.666666666671517</v>
      </c>
      <c r="J11" s="119">
        <v>2.4</v>
      </c>
      <c r="K11" s="122">
        <f>ALMYRA!U11</f>
        <v>0</v>
      </c>
      <c r="L11" s="123">
        <v>0.88</v>
      </c>
      <c r="M11" s="126">
        <f>ALMYRA!AJ11</f>
        <v>1</v>
      </c>
      <c r="N11" s="126">
        <f>ALMYRA!AK11</f>
        <v>1</v>
      </c>
    </row>
    <row r="12" spans="1:14" ht="15" x14ac:dyDescent="0.25">
      <c r="A12" s="105" t="s">
        <v>13</v>
      </c>
      <c r="B12" s="5">
        <f t="shared" si="0"/>
        <v>11</v>
      </c>
      <c r="C12" s="129">
        <v>1</v>
      </c>
      <c r="D12" s="130">
        <v>2025</v>
      </c>
      <c r="E12" s="109">
        <f>IF(ALMYRA!H12&lt;0,"0",ALMYRA!H12)</f>
        <v>1545.6666666678357</v>
      </c>
      <c r="F12" s="110">
        <f>(ALMYRA!C12*0.24)/E12</f>
        <v>0.14947595428086474</v>
      </c>
      <c r="G12" s="114">
        <f>ALMYRA!Z12</f>
        <v>0</v>
      </c>
      <c r="H12" s="115">
        <v>0.65800000000000003</v>
      </c>
      <c r="I12" s="118">
        <f>IF(ALMYRA!AB12&lt;0,"0",ALMYRA!AB12)</f>
        <v>12.666666666671517</v>
      </c>
      <c r="J12" s="119">
        <v>2.4</v>
      </c>
      <c r="K12" s="122">
        <f>ALMYRA!U12</f>
        <v>0</v>
      </c>
      <c r="L12" s="123">
        <v>0.88</v>
      </c>
      <c r="M12" s="126">
        <f>ALMYRA!AJ12</f>
        <v>1</v>
      </c>
      <c r="N12" s="126">
        <f>ALMYRA!AK12</f>
        <v>1</v>
      </c>
    </row>
    <row r="13" spans="1:14" ht="15" x14ac:dyDescent="0.25">
      <c r="A13" s="105" t="s">
        <v>13</v>
      </c>
      <c r="B13" s="5">
        <f t="shared" si="0"/>
        <v>12</v>
      </c>
      <c r="C13" s="129">
        <v>1</v>
      </c>
      <c r="D13" s="130">
        <v>2025</v>
      </c>
      <c r="E13" s="109">
        <f>IF(ALMYRA!H13&lt;0,"0",ALMYRA!H13)</f>
        <v>1545.6666666643287</v>
      </c>
      <c r="F13" s="110">
        <f>(ALMYRA!C13*0.24)/E13</f>
        <v>0.14947595428062546</v>
      </c>
      <c r="G13" s="114">
        <f>ALMYRA!Z13</f>
        <v>0</v>
      </c>
      <c r="H13" s="115">
        <v>0.65800000000000003</v>
      </c>
      <c r="I13" s="118">
        <f>IF(ALMYRA!AB13&lt;0,"0",ALMYRA!AB13)</f>
        <v>12.666666666656965</v>
      </c>
      <c r="J13" s="119">
        <v>2.4</v>
      </c>
      <c r="K13" s="122">
        <f>ALMYRA!U13</f>
        <v>0</v>
      </c>
      <c r="L13" s="123">
        <v>0.88</v>
      </c>
      <c r="M13" s="126">
        <f>ALMYRA!AJ13</f>
        <v>1</v>
      </c>
      <c r="N13" s="126">
        <f>ALMYRA!AK13</f>
        <v>1</v>
      </c>
    </row>
    <row r="14" spans="1:14" ht="15" x14ac:dyDescent="0.25">
      <c r="A14" s="105" t="s">
        <v>13</v>
      </c>
      <c r="B14" s="5">
        <f t="shared" si="0"/>
        <v>13</v>
      </c>
      <c r="C14" s="129">
        <v>1</v>
      </c>
      <c r="D14" s="130">
        <v>2025</v>
      </c>
      <c r="E14" s="109">
        <f>IF(ALMYRA!H14&lt;0,"0",ALMYRA!H14)</f>
        <v>1500</v>
      </c>
      <c r="F14" s="110">
        <f>(ALMYRA!C14*0.24)/E14</f>
        <v>0.14399999999999999</v>
      </c>
      <c r="G14" s="114">
        <f>ALMYRA!Z14</f>
        <v>0</v>
      </c>
      <c r="H14" s="115">
        <v>0.65800000000000003</v>
      </c>
      <c r="I14" s="118">
        <f>IF(ALMYRA!AB14&lt;0,"0",ALMYRA!AB14)</f>
        <v>14</v>
      </c>
      <c r="J14" s="119">
        <v>2.4</v>
      </c>
      <c r="K14" s="122">
        <f>ALMYRA!U14</f>
        <v>0</v>
      </c>
      <c r="L14" s="123">
        <v>0.88</v>
      </c>
      <c r="M14" s="126">
        <f>ALMYRA!AJ14</f>
        <v>1</v>
      </c>
      <c r="N14" s="126">
        <f>ALMYRA!AK14</f>
        <v>1</v>
      </c>
    </row>
    <row r="15" spans="1:14" ht="15" x14ac:dyDescent="0.25">
      <c r="A15" s="105" t="s">
        <v>13</v>
      </c>
      <c r="B15" s="5">
        <f t="shared" si="0"/>
        <v>14</v>
      </c>
      <c r="C15" s="129">
        <v>1</v>
      </c>
      <c r="D15" s="130">
        <v>2025</v>
      </c>
      <c r="E15" s="109">
        <f>IF(ALMYRA!H15&lt;0,"0",ALMYRA!H15)</f>
        <v>1530</v>
      </c>
      <c r="F15" s="110">
        <f>(ALMYRA!C15*0.24)/E15</f>
        <v>0.14603921568627451</v>
      </c>
      <c r="G15" s="114">
        <f>ALMYRA!Z15</f>
        <v>0</v>
      </c>
      <c r="H15" s="115">
        <v>0.65800000000000003</v>
      </c>
      <c r="I15" s="118">
        <f>IF(ALMYRA!AB15&lt;0,"0",ALMYRA!AB15)</f>
        <v>11</v>
      </c>
      <c r="J15" s="119">
        <v>2.4</v>
      </c>
      <c r="K15" s="122">
        <f>ALMYRA!U15</f>
        <v>0</v>
      </c>
      <c r="L15" s="123">
        <v>0.88</v>
      </c>
      <c r="M15" s="126">
        <f>ALMYRA!AJ15</f>
        <v>1</v>
      </c>
      <c r="N15" s="126">
        <f>ALMYRA!AK15</f>
        <v>1</v>
      </c>
    </row>
    <row r="16" spans="1:14" ht="15" x14ac:dyDescent="0.25">
      <c r="A16" s="105" t="s">
        <v>13</v>
      </c>
      <c r="B16" s="5">
        <f t="shared" si="0"/>
        <v>15</v>
      </c>
      <c r="C16" s="129">
        <v>1</v>
      </c>
      <c r="D16" s="130">
        <v>2025</v>
      </c>
      <c r="E16" s="109">
        <f>IF(ALMYRA!H16&lt;0,"0",ALMYRA!H16)</f>
        <v>1504</v>
      </c>
      <c r="F16" s="110">
        <f>(ALMYRA!C16*0.24)/E16</f>
        <v>0.14441489361702126</v>
      </c>
      <c r="G16" s="114">
        <f>ALMYRA!Z16</f>
        <v>0</v>
      </c>
      <c r="H16" s="115">
        <v>0.65800000000000003</v>
      </c>
      <c r="I16" s="118">
        <f>IF(ALMYRA!AB16&lt;0,"0",ALMYRA!AB16)</f>
        <v>14</v>
      </c>
      <c r="J16" s="119">
        <v>2.4</v>
      </c>
      <c r="K16" s="122">
        <f>ALMYRA!U16</f>
        <v>0</v>
      </c>
      <c r="L16" s="123">
        <v>0.88</v>
      </c>
      <c r="M16" s="126">
        <f>ALMYRA!AJ16</f>
        <v>1</v>
      </c>
      <c r="N16" s="126">
        <f>ALMYRA!AK16</f>
        <v>1</v>
      </c>
    </row>
    <row r="17" spans="1:14" ht="15" x14ac:dyDescent="0.25">
      <c r="A17" s="105" t="s">
        <v>13</v>
      </c>
      <c r="B17" s="5">
        <f t="shared" si="0"/>
        <v>16</v>
      </c>
      <c r="C17" s="129">
        <v>1</v>
      </c>
      <c r="D17" s="130">
        <v>2025</v>
      </c>
      <c r="E17" s="109">
        <f>IF(ALMYRA!H17&lt;0,"0",ALMYRA!H17)</f>
        <v>1433</v>
      </c>
      <c r="F17" s="110">
        <f>(ALMYRA!C17*0.24)/E17</f>
        <v>0.14570830425680389</v>
      </c>
      <c r="G17" s="114">
        <f>ALMYRA!Z17</f>
        <v>0</v>
      </c>
      <c r="H17" s="115">
        <v>0.65800000000000003</v>
      </c>
      <c r="I17" s="118">
        <f>IF(ALMYRA!AB17&lt;0,"0",ALMYRA!AB17)</f>
        <v>10</v>
      </c>
      <c r="J17" s="119">
        <v>2.4</v>
      </c>
      <c r="K17" s="122">
        <f>ALMYRA!U17</f>
        <v>0</v>
      </c>
      <c r="L17" s="123">
        <v>0.88</v>
      </c>
      <c r="M17" s="126">
        <f>ALMYRA!AJ17</f>
        <v>0</v>
      </c>
      <c r="N17" s="126">
        <f>ALMYRA!AK17</f>
        <v>0</v>
      </c>
    </row>
    <row r="18" spans="1:14" ht="15" x14ac:dyDescent="0.25">
      <c r="A18" s="105" t="s">
        <v>13</v>
      </c>
      <c r="B18" s="5">
        <f t="shared" si="0"/>
        <v>17</v>
      </c>
      <c r="C18" s="129">
        <v>1</v>
      </c>
      <c r="D18" s="130">
        <v>2025</v>
      </c>
      <c r="E18" s="109">
        <f>IF(ALMYRA!H18&lt;0,"0",ALMYRA!H18)</f>
        <v>1223.6666666654201</v>
      </c>
      <c r="F18" s="110">
        <f>(ALMYRA!C18*0.24)/E18</f>
        <v>0.16403159901926434</v>
      </c>
      <c r="G18" s="114">
        <f>ALMYRA!Z18</f>
        <v>0</v>
      </c>
      <c r="H18" s="115">
        <v>0.65800000000000003</v>
      </c>
      <c r="I18" s="118">
        <f>IF(ALMYRA!AB18&lt;0,"0",ALMYRA!AB18)</f>
        <v>9</v>
      </c>
      <c r="J18" s="119">
        <v>2.4</v>
      </c>
      <c r="K18" s="122">
        <f>ALMYRA!U18</f>
        <v>0</v>
      </c>
      <c r="L18" s="123">
        <v>0.88</v>
      </c>
      <c r="M18" s="126">
        <f>ALMYRA!AJ18</f>
        <v>0</v>
      </c>
      <c r="N18" s="126">
        <f>ALMYRA!AK18</f>
        <v>0</v>
      </c>
    </row>
    <row r="19" spans="1:14" ht="15" x14ac:dyDescent="0.25">
      <c r="A19" s="105" t="s">
        <v>13</v>
      </c>
      <c r="B19" s="5">
        <f t="shared" si="0"/>
        <v>18</v>
      </c>
      <c r="C19" s="129">
        <v>1</v>
      </c>
      <c r="D19" s="130">
        <v>2025</v>
      </c>
      <c r="E19" s="109">
        <f>IF(ALMYRA!H19&lt;0,"0",ALMYRA!H19)</f>
        <v>1223.6666666654201</v>
      </c>
      <c r="F19" s="110">
        <f>(ALMYRA!C19*0.24)/E19</f>
        <v>0.16403159901926434</v>
      </c>
      <c r="G19" s="114">
        <f>ALMYRA!Z19</f>
        <v>0</v>
      </c>
      <c r="H19" s="115">
        <v>0.65800000000000003</v>
      </c>
      <c r="I19" s="118">
        <f>IF(ALMYRA!AB19&lt;0,"0",ALMYRA!AB19)</f>
        <v>9</v>
      </c>
      <c r="J19" s="119">
        <v>2.4</v>
      </c>
      <c r="K19" s="122">
        <f>ALMYRA!U19</f>
        <v>0</v>
      </c>
      <c r="L19" s="123">
        <v>0.88</v>
      </c>
      <c r="M19" s="126">
        <f>ALMYRA!AJ19</f>
        <v>0</v>
      </c>
      <c r="N19" s="126">
        <f>ALMYRA!AK19</f>
        <v>0</v>
      </c>
    </row>
    <row r="20" spans="1:14" ht="15" x14ac:dyDescent="0.25">
      <c r="A20" s="105" t="s">
        <v>13</v>
      </c>
      <c r="B20" s="5">
        <f t="shared" si="0"/>
        <v>19</v>
      </c>
      <c r="C20" s="129">
        <v>1</v>
      </c>
      <c r="D20" s="130">
        <v>2025</v>
      </c>
      <c r="E20" s="109">
        <f>IF(ALMYRA!H20&lt;0,"0",ALMYRA!H20)</f>
        <v>1223.6666666691599</v>
      </c>
      <c r="F20" s="110">
        <f>(ALMYRA!C20*0.24)/E20</f>
        <v>0.16403159901949366</v>
      </c>
      <c r="G20" s="114">
        <f>ALMYRA!Z20</f>
        <v>0</v>
      </c>
      <c r="H20" s="115">
        <v>0.65800000000000003</v>
      </c>
      <c r="I20" s="118">
        <f>IF(ALMYRA!AB20&lt;0,"0",ALMYRA!AB20)</f>
        <v>9</v>
      </c>
      <c r="J20" s="119">
        <v>2.4</v>
      </c>
      <c r="K20" s="122">
        <f>ALMYRA!U20</f>
        <v>0</v>
      </c>
      <c r="L20" s="123">
        <v>0.88</v>
      </c>
      <c r="M20" s="126">
        <f>ALMYRA!AJ20</f>
        <v>0</v>
      </c>
      <c r="N20" s="126">
        <f>ALMYRA!AK20</f>
        <v>0</v>
      </c>
    </row>
    <row r="21" spans="1:14" ht="15" x14ac:dyDescent="0.25">
      <c r="A21" s="105" t="s">
        <v>13</v>
      </c>
      <c r="B21" s="5">
        <f t="shared" si="0"/>
        <v>20</v>
      </c>
      <c r="C21" s="129">
        <v>1</v>
      </c>
      <c r="D21" s="130">
        <v>2025</v>
      </c>
      <c r="E21" s="109">
        <f>IF(ALMYRA!H21&lt;0,"0",ALMYRA!H21)</f>
        <v>1309</v>
      </c>
      <c r="F21" s="110">
        <f>(ALMYRA!C21*0.24)/E21</f>
        <v>0.14300993124522535</v>
      </c>
      <c r="G21" s="114">
        <f>ALMYRA!Z21</f>
        <v>0</v>
      </c>
      <c r="H21" s="115">
        <v>0.65800000000000003</v>
      </c>
      <c r="I21" s="118">
        <f>IF(ALMYRA!AB21&lt;0,"0",ALMYRA!AB21)</f>
        <v>9</v>
      </c>
      <c r="J21" s="119">
        <v>2.4</v>
      </c>
      <c r="K21" s="122">
        <f>ALMYRA!U21</f>
        <v>0</v>
      </c>
      <c r="L21" s="123">
        <v>0.88</v>
      </c>
      <c r="M21" s="126">
        <f>ALMYRA!AJ21</f>
        <v>0</v>
      </c>
      <c r="N21" s="126">
        <f>ALMYRA!AK21</f>
        <v>0</v>
      </c>
    </row>
    <row r="22" spans="1:14" ht="15" x14ac:dyDescent="0.25">
      <c r="A22" s="105" t="s">
        <v>13</v>
      </c>
      <c r="B22" s="5">
        <f t="shared" si="0"/>
        <v>21</v>
      </c>
      <c r="C22" s="129">
        <v>1</v>
      </c>
      <c r="D22" s="130">
        <v>2025</v>
      </c>
      <c r="E22" s="109">
        <f>IF(ALMYRA!H22&lt;0,"0",ALMYRA!H22)</f>
        <v>1414</v>
      </c>
      <c r="F22" s="110">
        <f>(ALMYRA!C22*0.24)/E22</f>
        <v>0.14087694483734087</v>
      </c>
      <c r="G22" s="114">
        <f>ALMYRA!Z22</f>
        <v>0</v>
      </c>
      <c r="H22" s="115">
        <v>0.65800000000000003</v>
      </c>
      <c r="I22" s="118">
        <f>IF(ALMYRA!AB22&lt;0,"0",ALMYRA!AB22)</f>
        <v>18</v>
      </c>
      <c r="J22" s="119">
        <v>2.4</v>
      </c>
      <c r="K22" s="122">
        <f>ALMYRA!U22</f>
        <v>0</v>
      </c>
      <c r="L22" s="123">
        <v>0.88</v>
      </c>
      <c r="M22" s="126">
        <f>ALMYRA!AJ22</f>
        <v>0</v>
      </c>
      <c r="N22" s="126">
        <f>ALMYRA!AK22</f>
        <v>0</v>
      </c>
    </row>
    <row r="23" spans="1:14" ht="15" x14ac:dyDescent="0.25">
      <c r="A23" s="105" t="s">
        <v>13</v>
      </c>
      <c r="B23" s="5">
        <f t="shared" si="0"/>
        <v>22</v>
      </c>
      <c r="C23" s="129">
        <v>1</v>
      </c>
      <c r="D23" s="130">
        <v>2025</v>
      </c>
      <c r="E23" s="109">
        <f>IF(ALMYRA!H23&lt;0,"0",ALMYRA!H23)</f>
        <v>1327</v>
      </c>
      <c r="F23" s="110">
        <f>(ALMYRA!C23*0.24)/E23</f>
        <v>0.18465712132629991</v>
      </c>
      <c r="G23" s="114">
        <f>ALMYRA!Z23</f>
        <v>0</v>
      </c>
      <c r="H23" s="115">
        <v>0.65800000000000003</v>
      </c>
      <c r="I23" s="118">
        <f>IF(ALMYRA!AB23&lt;0,"0",ALMYRA!AB23)</f>
        <v>8</v>
      </c>
      <c r="J23" s="119">
        <v>2.4</v>
      </c>
      <c r="K23" s="122">
        <f>ALMYRA!U23</f>
        <v>0</v>
      </c>
      <c r="L23" s="123">
        <v>0.88</v>
      </c>
      <c r="M23" s="126">
        <f>ALMYRA!AJ23</f>
        <v>0</v>
      </c>
      <c r="N23" s="126">
        <f>ALMYRA!AK23</f>
        <v>0</v>
      </c>
    </row>
    <row r="24" spans="1:14" ht="15" x14ac:dyDescent="0.25">
      <c r="A24" s="105" t="s">
        <v>13</v>
      </c>
      <c r="B24" s="5">
        <f t="shared" si="0"/>
        <v>23</v>
      </c>
      <c r="C24" s="129">
        <v>1</v>
      </c>
      <c r="D24" s="130">
        <v>2025</v>
      </c>
      <c r="E24" s="109">
        <f>IF(ALMYRA!H24&lt;0,"0",ALMYRA!H24)</f>
        <v>1194</v>
      </c>
      <c r="F24" s="110">
        <f>(ALMYRA!C24*0.24)/E24</f>
        <v>0.14472361809045226</v>
      </c>
      <c r="G24" s="114">
        <f>ALMYRA!Z24</f>
        <v>0</v>
      </c>
      <c r="H24" s="115">
        <v>0.65800000000000003</v>
      </c>
      <c r="I24" s="118">
        <f>IF(ALMYRA!AB24&lt;0,"0",ALMYRA!AB24)</f>
        <v>18</v>
      </c>
      <c r="J24" s="119">
        <v>2.4</v>
      </c>
      <c r="K24" s="122">
        <f>ALMYRA!U24</f>
        <v>0</v>
      </c>
      <c r="L24" s="123">
        <v>0.88</v>
      </c>
      <c r="M24" s="126">
        <f>ALMYRA!AJ24</f>
        <v>0</v>
      </c>
      <c r="N24" s="126">
        <f>ALMYRA!AK24</f>
        <v>0</v>
      </c>
    </row>
    <row r="25" spans="1:14" ht="15" x14ac:dyDescent="0.25">
      <c r="A25" s="105" t="s">
        <v>13</v>
      </c>
      <c r="B25" s="5">
        <f t="shared" si="0"/>
        <v>24</v>
      </c>
      <c r="C25" s="129">
        <v>1</v>
      </c>
      <c r="D25" s="130">
        <v>2025</v>
      </c>
      <c r="E25" s="109">
        <f>IF(ALMYRA!H25&lt;0,"0",ALMYRA!H25)</f>
        <v>1067.3333333320188</v>
      </c>
      <c r="F25" s="110">
        <f>(ALMYRA!C25*0.24)/E25</f>
        <v>0.15545284197367862</v>
      </c>
      <c r="G25" s="114">
        <f>ALMYRA!Z25</f>
        <v>0</v>
      </c>
      <c r="H25" s="115">
        <v>0.65800000000000003</v>
      </c>
      <c r="I25" s="118">
        <f>IF(ALMYRA!AB25&lt;0,"0",ALMYRA!AB25)</f>
        <v>23.333333333328483</v>
      </c>
      <c r="J25" s="119">
        <v>2.4</v>
      </c>
      <c r="K25" s="122">
        <f>ALMYRA!U25</f>
        <v>0</v>
      </c>
      <c r="L25" s="123">
        <v>0.88</v>
      </c>
      <c r="M25" s="126">
        <f>ALMYRA!AJ25</f>
        <v>0</v>
      </c>
      <c r="N25" s="126">
        <f>ALMYRA!AK25</f>
        <v>0</v>
      </c>
    </row>
    <row r="26" spans="1:14" ht="15" x14ac:dyDescent="0.25">
      <c r="A26" s="105" t="s">
        <v>13</v>
      </c>
      <c r="B26" s="5">
        <f>B25+1</f>
        <v>25</v>
      </c>
      <c r="C26" s="129">
        <v>1</v>
      </c>
      <c r="D26" s="130">
        <v>2025</v>
      </c>
      <c r="E26" s="109">
        <f>IF(ALMYRA!H26&lt;0,"0",ALMYRA!H26)</f>
        <v>1067.3333333320188</v>
      </c>
      <c r="F26" s="110">
        <f>(ALMYRA!C26*0.24)/E26</f>
        <v>0.15545284197367862</v>
      </c>
      <c r="G26" s="114">
        <f>ALMYRA!Z26</f>
        <v>0</v>
      </c>
      <c r="H26" s="115">
        <v>0.65800000000000003</v>
      </c>
      <c r="I26" s="118">
        <f>IF(ALMYRA!AB26&lt;0,"0",ALMYRA!AB26)</f>
        <v>23.333333333328483</v>
      </c>
      <c r="J26" s="119">
        <v>2.4</v>
      </c>
      <c r="K26" s="122">
        <f>ALMYRA!U26</f>
        <v>0</v>
      </c>
      <c r="L26" s="123">
        <v>0.88</v>
      </c>
      <c r="M26" s="126">
        <f>ALMYRA!AJ26</f>
        <v>0</v>
      </c>
      <c r="N26" s="126">
        <f>ALMYRA!AK26</f>
        <v>0</v>
      </c>
    </row>
    <row r="27" spans="1:14" ht="15" x14ac:dyDescent="0.25">
      <c r="A27" s="105" t="s">
        <v>13</v>
      </c>
      <c r="B27" s="5">
        <f t="shared" si="0"/>
        <v>26</v>
      </c>
      <c r="C27" s="129">
        <v>1</v>
      </c>
      <c r="D27" s="130">
        <v>2025</v>
      </c>
      <c r="E27" s="109">
        <f>IF(ALMYRA!H27&lt;0,"0",ALMYRA!H27)</f>
        <v>1067.3333333359624</v>
      </c>
      <c r="F27" s="110">
        <f>(ALMYRA!C27*0.24)/E27</f>
        <v>0.15545284197394194</v>
      </c>
      <c r="G27" s="114">
        <f>ALMYRA!Z27</f>
        <v>0</v>
      </c>
      <c r="H27" s="115">
        <v>0.65800000000000003</v>
      </c>
      <c r="I27" s="118">
        <f>IF(ALMYRA!AB27&lt;0,"0",ALMYRA!AB27)</f>
        <v>23.333333333343035</v>
      </c>
      <c r="J27" s="119">
        <v>2.4</v>
      </c>
      <c r="K27" s="122">
        <f>ALMYRA!U27</f>
        <v>0</v>
      </c>
      <c r="L27" s="123">
        <v>0.88</v>
      </c>
      <c r="M27" s="126">
        <f>ALMYRA!AJ27</f>
        <v>0</v>
      </c>
      <c r="N27" s="126">
        <f>ALMYRA!AK27</f>
        <v>0</v>
      </c>
    </row>
    <row r="28" spans="1:14" ht="15" x14ac:dyDescent="0.25">
      <c r="A28" s="105" t="s">
        <v>13</v>
      </c>
      <c r="B28" s="5">
        <f t="shared" si="0"/>
        <v>27</v>
      </c>
      <c r="C28" s="129">
        <v>1</v>
      </c>
      <c r="D28" s="130">
        <v>2025</v>
      </c>
      <c r="E28" s="109">
        <f>IF(ALMYRA!H28&lt;0,"0",ALMYRA!H28)</f>
        <v>1148</v>
      </c>
      <c r="F28" s="110">
        <f>(ALMYRA!C28*0.24)/E28</f>
        <v>0.13818815331010451</v>
      </c>
      <c r="G28" s="114">
        <f>ALMYRA!Z28</f>
        <v>0</v>
      </c>
      <c r="H28" s="115">
        <v>0.65800000000000003</v>
      </c>
      <c r="I28" s="118">
        <f>IF(ALMYRA!AB28&lt;0,"0",ALMYRA!AB28)</f>
        <v>17</v>
      </c>
      <c r="J28" s="119">
        <v>2.4</v>
      </c>
      <c r="K28" s="122">
        <f>ALMYRA!U28</f>
        <v>0</v>
      </c>
      <c r="L28" s="123">
        <v>0.88</v>
      </c>
      <c r="M28" s="126">
        <f>ALMYRA!AJ28</f>
        <v>0</v>
      </c>
      <c r="N28" s="126">
        <f>ALMYRA!AK28</f>
        <v>0</v>
      </c>
    </row>
    <row r="29" spans="1:14" ht="15" x14ac:dyDescent="0.25">
      <c r="A29" s="105" t="s">
        <v>13</v>
      </c>
      <c r="B29" s="5">
        <f t="shared" si="0"/>
        <v>28</v>
      </c>
      <c r="C29" s="129">
        <v>1</v>
      </c>
      <c r="D29" s="130">
        <v>2025</v>
      </c>
      <c r="E29" s="109">
        <f>IF(ALMYRA!H29&lt;0,"0",ALMYRA!H29)</f>
        <v>1129</v>
      </c>
      <c r="F29" s="110">
        <f>(ALMYRA!C29*0.24)/E29</f>
        <v>0.13647475642161203</v>
      </c>
      <c r="G29" s="114">
        <f>ALMYRA!Z29</f>
        <v>0</v>
      </c>
      <c r="H29" s="115">
        <v>0.65800000000000003</v>
      </c>
      <c r="I29" s="118">
        <f>IF(ALMYRA!AB29&lt;0,"0",ALMYRA!AB29)</f>
        <v>12</v>
      </c>
      <c r="J29" s="119">
        <v>2.4</v>
      </c>
      <c r="K29" s="122">
        <f>ALMYRA!U29</f>
        <v>0</v>
      </c>
      <c r="L29" s="123">
        <v>0.88</v>
      </c>
      <c r="M29" s="126">
        <f>ALMYRA!AJ29</f>
        <v>0</v>
      </c>
      <c r="N29" s="126">
        <f>ALMYRA!AK29</f>
        <v>0</v>
      </c>
    </row>
    <row r="30" spans="1:14" ht="15" x14ac:dyDescent="0.25">
      <c r="A30" s="105" t="s">
        <v>13</v>
      </c>
      <c r="B30" s="5">
        <f t="shared" si="0"/>
        <v>29</v>
      </c>
      <c r="C30" s="129">
        <v>1</v>
      </c>
      <c r="D30" s="130">
        <v>2025</v>
      </c>
      <c r="E30" s="109">
        <f>IF(ALMYRA!H30&lt;0,"0",ALMYRA!H30)</f>
        <v>1139</v>
      </c>
      <c r="F30" s="110">
        <f>(ALMYRA!C30*0.24)/E30</f>
        <v>0.13338015803336259</v>
      </c>
      <c r="G30" s="114">
        <f>ALMYRA!Z30</f>
        <v>0</v>
      </c>
      <c r="H30" s="115">
        <v>0.65800000000000003</v>
      </c>
      <c r="I30" s="118">
        <f>IF(ALMYRA!AB30&lt;0,"0",ALMYRA!AB30)</f>
        <v>6</v>
      </c>
      <c r="J30" s="119">
        <v>2.4</v>
      </c>
      <c r="K30" s="122">
        <f>ALMYRA!U30</f>
        <v>0</v>
      </c>
      <c r="L30" s="123">
        <v>0.88</v>
      </c>
      <c r="M30" s="126">
        <f>ALMYRA!AJ30</f>
        <v>0</v>
      </c>
      <c r="N30" s="126">
        <f>ALMYRA!AK30</f>
        <v>0</v>
      </c>
    </row>
    <row r="31" spans="1:14" ht="15" x14ac:dyDescent="0.25">
      <c r="A31" s="105" t="s">
        <v>13</v>
      </c>
      <c r="B31" s="5">
        <f t="shared" si="0"/>
        <v>30</v>
      </c>
      <c r="C31" s="129">
        <v>1</v>
      </c>
      <c r="D31" s="130">
        <v>2025</v>
      </c>
      <c r="E31" s="109">
        <f>IF(ALMYRA!H31&lt;0,"0",ALMYRA!H31)</f>
        <v>1101</v>
      </c>
      <c r="F31" s="110">
        <f>(ALMYRA!C31*0.24)/E31</f>
        <v>0.13362397820163488</v>
      </c>
      <c r="G31" s="114">
        <f>ALMYRA!Z31</f>
        <v>0</v>
      </c>
      <c r="H31" s="115">
        <v>0.65800000000000003</v>
      </c>
      <c r="I31" s="118">
        <f>IF(ALMYRA!AB31&lt;0,"0",ALMYRA!AB31)</f>
        <v>9</v>
      </c>
      <c r="J31" s="119">
        <v>2.4</v>
      </c>
      <c r="K31" s="122">
        <f>ALMYRA!U31</f>
        <v>0</v>
      </c>
      <c r="L31" s="123">
        <v>0.88</v>
      </c>
      <c r="M31" s="126">
        <f>ALMYRA!AJ31</f>
        <v>0</v>
      </c>
      <c r="N31" s="126">
        <f>ALMYRA!AK31</f>
        <v>0</v>
      </c>
    </row>
    <row r="32" spans="1:14" ht="15" x14ac:dyDescent="0.25">
      <c r="A32" s="105" t="s">
        <v>13</v>
      </c>
      <c r="B32" s="5">
        <f t="shared" si="0"/>
        <v>31</v>
      </c>
      <c r="C32" s="129">
        <v>1</v>
      </c>
      <c r="D32" s="130">
        <v>2025</v>
      </c>
      <c r="E32" s="109">
        <f>IF(ALMYRA!H32&lt;0,"0",ALMYRA!H32)</f>
        <v>983.00000000007276</v>
      </c>
      <c r="F32" s="110">
        <f>(ALMYRA!C32*0.24)/E32</f>
        <v>0.15991861648015093</v>
      </c>
      <c r="G32" s="114">
        <f>ALMYRA!Z32</f>
        <v>0</v>
      </c>
      <c r="H32" s="115">
        <v>0.65800000000000003</v>
      </c>
      <c r="I32" s="118">
        <f>IF(ALMYRA!AB32&lt;0,"0",ALMYRA!AB32)</f>
        <v>5</v>
      </c>
      <c r="J32" s="119">
        <v>2.4</v>
      </c>
      <c r="K32" s="122">
        <f>ALMYRA!U32</f>
        <v>0</v>
      </c>
      <c r="L32" s="123">
        <v>0.88</v>
      </c>
      <c r="M32" s="126">
        <f>ALMYRA!AJ32</f>
        <v>0</v>
      </c>
      <c r="N32" s="126">
        <f>ALMYRA!AK32</f>
        <v>0</v>
      </c>
    </row>
    <row r="33" spans="4:14" x14ac:dyDescent="0.2">
      <c r="D33" s="131"/>
      <c r="E33" s="4"/>
      <c r="F33" s="131"/>
      <c r="G33" s="4"/>
      <c r="H33" s="132"/>
      <c r="I33" s="131"/>
      <c r="J33" s="131"/>
      <c r="K33"/>
      <c r="L33"/>
      <c r="M33" s="131"/>
      <c r="N33" s="131"/>
    </row>
    <row r="34" spans="4:14" x14ac:dyDescent="0.2">
      <c r="D34" s="131"/>
      <c r="E34" s="4"/>
      <c r="F34" s="131"/>
      <c r="G34" s="4"/>
      <c r="H34" s="132"/>
      <c r="I34" s="131"/>
      <c r="J34" s="131"/>
      <c r="K34"/>
      <c r="L34"/>
      <c r="M34" s="131"/>
      <c r="N34" s="131"/>
    </row>
    <row r="35" spans="4:14" x14ac:dyDescent="0.2">
      <c r="D35" s="131"/>
      <c r="E35" s="4"/>
      <c r="F35" s="131"/>
      <c r="G35" s="4"/>
      <c r="H35" s="132"/>
      <c r="I35" s="131"/>
      <c r="J35" s="131"/>
      <c r="K35"/>
      <c r="L35"/>
      <c r="M35" s="131"/>
      <c r="N35" s="131"/>
    </row>
    <row r="36" spans="4:14" x14ac:dyDescent="0.2">
      <c r="D36" s="131"/>
      <c r="E36" s="4"/>
      <c r="F36" s="131"/>
      <c r="G36" s="4"/>
      <c r="H36" s="132"/>
      <c r="I36" s="131"/>
      <c r="J36" s="131"/>
      <c r="K36"/>
      <c r="L36"/>
      <c r="M36" s="131"/>
      <c r="N36" s="131"/>
    </row>
    <row r="37" spans="4:14" x14ac:dyDescent="0.2">
      <c r="D37" s="131"/>
      <c r="E37" s="4"/>
      <c r="F37" s="131"/>
      <c r="G37" s="4"/>
      <c r="H37" s="132"/>
      <c r="I37" s="131"/>
      <c r="J37" s="131"/>
      <c r="K37"/>
      <c r="L37"/>
      <c r="M37" s="131"/>
      <c r="N37" s="131"/>
    </row>
    <row r="38" spans="4:14" x14ac:dyDescent="0.2">
      <c r="D38" s="131"/>
      <c r="E38" s="4"/>
      <c r="F38" s="131"/>
      <c r="G38" s="4"/>
      <c r="H38" s="132"/>
      <c r="I38" s="131"/>
      <c r="J38" s="131"/>
      <c r="K38"/>
      <c r="L38"/>
      <c r="M38" s="131"/>
      <c r="N38" s="131"/>
    </row>
    <row r="39" spans="4:14" x14ac:dyDescent="0.2">
      <c r="D39" s="131"/>
      <c r="E39" s="4"/>
      <c r="F39" s="131"/>
      <c r="G39" s="4"/>
      <c r="H39" s="132"/>
      <c r="I39" s="131"/>
      <c r="J39" s="131"/>
      <c r="K39"/>
      <c r="L39"/>
      <c r="M39" s="131"/>
      <c r="N39" s="131"/>
    </row>
    <row r="40" spans="4:14" x14ac:dyDescent="0.2">
      <c r="E40" s="4"/>
      <c r="F40" s="131"/>
      <c r="G40" s="4"/>
      <c r="H40" s="132"/>
      <c r="I40" s="5"/>
      <c r="J40" s="5"/>
      <c r="K40"/>
      <c r="L40"/>
      <c r="M40" s="5"/>
      <c r="N40" s="5"/>
    </row>
    <row r="41" spans="4:14" x14ac:dyDescent="0.2">
      <c r="E41" s="4"/>
      <c r="F41" s="131"/>
      <c r="G41" s="4"/>
      <c r="H41" s="132"/>
      <c r="I41" s="5"/>
      <c r="J41" s="5"/>
      <c r="K41"/>
      <c r="L41"/>
      <c r="M41" s="5"/>
      <c r="N41" s="5"/>
    </row>
    <row r="42" spans="4:14" x14ac:dyDescent="0.2">
      <c r="E42" s="4"/>
      <c r="F42" s="131"/>
      <c r="G42" s="4"/>
      <c r="H42" s="132"/>
      <c r="I42" s="5"/>
      <c r="J42" s="5"/>
      <c r="K42"/>
      <c r="L42"/>
      <c r="M42" s="5"/>
      <c r="N42" s="5"/>
    </row>
    <row r="43" spans="4:14" x14ac:dyDescent="0.2">
      <c r="E43" s="4"/>
      <c r="F43" s="131"/>
      <c r="G43" s="4"/>
      <c r="H43" s="13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3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3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3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3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3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3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3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3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3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3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3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3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3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3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3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3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3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3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3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3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3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3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3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3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3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3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3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3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3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3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3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3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3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3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3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3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3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3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3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3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3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3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3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3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3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3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3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3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3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3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3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3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3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3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3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3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3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3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3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3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3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3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3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3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3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3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3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3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3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3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3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3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3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3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3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3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3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3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3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3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3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3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3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3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3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3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3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3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3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3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3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3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3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3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3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3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3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3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3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3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3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3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3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3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3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3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3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3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3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3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3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3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3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3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3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3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3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3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3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3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3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3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3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3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3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3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3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3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3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3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3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3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3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3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3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3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3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3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3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3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3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3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3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3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3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3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3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3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3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3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3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3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3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3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3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3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3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3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3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3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3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3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3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3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3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3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3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3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3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3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3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3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3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3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3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3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3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3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3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3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3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3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3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3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3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3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3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3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3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3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3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3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3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3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3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3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3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3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3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3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3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3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3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3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3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3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3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3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3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3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3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3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3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3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3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3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3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3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3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3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3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3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3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3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3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3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3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3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3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3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3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3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3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3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3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3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3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3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3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3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3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3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3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3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3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3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3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3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3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3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3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3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3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3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3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3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3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3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3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3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3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3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3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3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3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3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3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3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3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3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3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3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3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3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3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3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3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3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3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3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3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3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3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3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3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3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3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3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3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3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3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3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3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3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3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3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3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3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3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3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3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3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3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3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3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3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3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3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3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3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3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3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3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3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3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3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3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3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3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3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3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3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3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3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3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3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3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3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3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3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3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3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3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3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3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3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3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3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3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3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3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3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3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3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3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3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3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3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3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3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3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3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3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3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3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3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3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3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3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3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3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3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3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3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3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3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3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3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3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3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3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3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3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3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3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3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3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3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3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3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3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3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3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3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3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3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3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3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3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3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3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3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3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3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3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3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3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3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3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3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3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3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3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3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3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3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3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3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3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3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3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3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3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3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3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3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3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3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3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3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3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3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3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3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3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3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3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3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3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3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3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3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3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3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3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3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3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3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3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3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3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3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3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3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3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3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3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3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3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3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3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3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3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3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3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3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3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3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3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3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3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3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3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3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3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3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3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3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3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3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3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3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3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3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3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3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3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3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3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3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3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3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3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3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3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3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3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3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3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3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3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3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3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3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3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3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3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3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3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3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3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3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3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3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3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3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3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3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3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3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3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3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3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3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3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3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3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3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3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3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3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3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3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3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3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3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3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3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3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3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3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3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3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3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3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3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3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3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3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3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3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3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3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3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3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3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3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3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3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3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3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3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3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3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3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3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3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3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3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3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3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3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3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3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3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3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3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3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3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3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3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3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3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3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3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3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3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3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3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3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3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3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3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3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3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3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3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3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3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3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3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3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3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3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3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3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3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3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3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3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3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3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3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3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3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3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3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3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3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3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3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3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3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3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3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3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3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3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3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3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3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3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3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3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3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3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3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3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3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3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3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3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3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3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3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3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3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3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3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3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3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3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3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3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3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3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3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3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3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3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3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3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3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3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3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3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3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3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3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3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3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3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3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3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3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3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3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3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3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3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3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3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3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3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3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3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3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3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3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3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3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3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3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3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3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3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3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3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3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3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3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3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3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3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3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3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3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3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3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3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3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3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3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3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3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3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3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3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3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3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3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3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3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3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3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3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3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3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3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3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3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3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3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3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3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3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3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3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3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3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3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3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3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3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3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3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3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3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3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3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3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3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3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3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3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3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3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3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3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3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3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3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3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3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3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3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3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3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3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3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3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3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3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3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3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3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3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3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3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3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3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3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3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3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3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3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3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3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3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3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3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3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3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3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3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3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3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3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3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3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3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3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3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3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3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3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3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3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3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3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3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3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3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3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3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3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3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3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3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3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3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3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3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3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3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3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3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3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3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3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3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3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3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3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3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3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3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3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3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3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3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3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3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3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3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3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3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3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3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3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3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3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3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3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3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3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3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3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3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3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3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3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3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3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3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3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3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3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3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3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3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3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3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3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3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3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3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3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3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3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3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3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3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3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3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3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3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3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3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3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3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3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3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3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3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3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3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3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3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3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3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3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3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3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3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3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3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3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3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3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3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3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3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3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3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3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3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3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3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3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3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3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3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3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3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3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3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3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3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3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3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3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3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3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3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3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3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3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3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3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3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3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3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3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3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3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3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3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3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3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3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3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3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3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3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3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3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3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3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3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3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3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3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3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3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3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3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3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3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3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3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3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3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3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3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3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3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3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3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3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3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3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3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3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3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3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3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3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3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3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3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3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3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3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3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3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3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3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3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3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3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3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3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3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3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3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3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3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3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3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3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3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3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3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3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3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3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3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3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3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3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3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3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3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3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3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3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3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3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3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3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3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3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3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3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3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3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3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3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3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3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3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3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3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3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3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3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3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3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3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3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3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3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3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3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3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3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3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3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3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3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3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3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3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3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3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3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3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3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3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3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3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3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3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3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3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3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3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3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3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3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3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3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3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3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3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3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3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3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3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3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3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3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3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3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3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3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3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3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3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3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3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3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3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3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3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3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3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3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3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3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3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3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3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3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3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3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3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3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3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3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3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3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3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3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3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3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3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3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3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3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3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3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3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3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3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3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3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3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3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3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3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3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3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3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3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3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3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3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3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3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3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3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3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3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3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3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3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3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3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3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3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3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3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3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3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3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3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3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3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3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3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3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3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3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3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3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3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3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3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3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3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3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3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3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3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3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3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3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3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3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3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3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3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3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3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3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3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3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3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3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3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3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3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3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3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3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3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3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3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3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3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3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3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3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3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3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3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3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3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3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3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3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3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3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3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3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3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3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3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3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3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3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3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3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3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3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3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3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3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3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3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3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3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3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3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3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3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3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3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3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3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3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3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3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3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3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3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3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3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3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3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3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3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3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3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3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3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3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3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3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3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3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3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3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3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3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3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3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3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3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3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3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3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3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3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3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3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3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3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3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3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3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3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3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3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3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3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3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3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3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3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3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3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3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3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3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3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3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3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3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3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3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3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3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3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3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3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3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3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3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3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3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3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3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3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3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3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3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3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3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3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3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3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3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3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3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3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3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3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3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3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3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3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3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3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3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3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3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3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3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3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3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3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3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3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3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3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3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3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3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3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3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3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3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3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3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3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3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3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3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3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3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3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3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3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3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3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3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3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3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3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3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3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3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3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3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3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3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3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3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3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3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3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3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3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3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3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3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3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3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3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3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3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3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3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3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3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3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3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3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3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3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3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3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3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3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3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3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3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3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3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3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3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3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3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3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3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3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3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3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3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3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3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3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3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3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3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3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3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3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3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3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3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3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3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3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3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3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3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3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3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3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3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3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3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3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3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3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3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3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3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3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3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3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3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3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3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3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3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3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3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3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3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3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3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3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3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3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3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3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3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3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3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3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3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3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3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3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3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3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3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3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3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3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3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3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3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3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3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3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3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3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3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3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3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3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3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3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3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3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3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3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3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3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3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3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3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3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3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3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3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3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3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3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3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3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3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3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3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3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3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3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3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3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3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3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3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3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3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3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3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3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3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3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3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3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3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3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3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3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3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3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3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3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3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3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3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3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3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3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3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3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3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3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3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3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3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3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3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3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3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3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3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3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3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3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3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3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3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3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3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3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3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3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3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3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3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3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3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3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3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3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3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3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3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3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3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3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3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3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3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3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3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3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3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3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3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3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3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3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3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3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3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3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3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3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3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3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3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3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3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3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3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3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3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3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3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3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3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3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3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3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3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3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3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3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3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3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3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3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3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3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3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3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3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3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3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3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3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3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3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3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3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3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3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3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3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3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3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3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3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3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3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3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3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3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3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3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3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3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3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3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3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3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3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3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3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3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3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3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3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3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3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3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3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3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3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3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32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32"/>
      <c r="I1724" s="5"/>
      <c r="J1724" s="5"/>
      <c r="K1724"/>
      <c r="L1724"/>
      <c r="M1724" s="5"/>
      <c r="N1724" s="5"/>
    </row>
    <row r="1725" spans="5:14" x14ac:dyDescent="0.2">
      <c r="E1725" s="4"/>
      <c r="F1725" s="5"/>
      <c r="G1725" s="4"/>
      <c r="H1725" s="132"/>
      <c r="I1725" s="5"/>
      <c r="J1725" s="5"/>
      <c r="K1725"/>
      <c r="L1725"/>
      <c r="M1725" s="5"/>
      <c r="N1725" s="5"/>
    </row>
    <row r="1726" spans="5:14" x14ac:dyDescent="0.2">
      <c r="E1726" s="4"/>
      <c r="F1726" s="5"/>
      <c r="G1726" s="4"/>
      <c r="H1726" s="132"/>
      <c r="I1726" s="5"/>
      <c r="J1726" s="5"/>
      <c r="K1726"/>
      <c r="L1726"/>
      <c r="M1726" s="5"/>
      <c r="N1726" s="5"/>
    </row>
    <row r="1727" spans="5:14" x14ac:dyDescent="0.2">
      <c r="E1727" s="4"/>
      <c r="F1727" s="5"/>
      <c r="G1727" s="4"/>
      <c r="H1727" s="132"/>
      <c r="I1727" s="5"/>
      <c r="J1727" s="5"/>
      <c r="K1727"/>
      <c r="L1727"/>
      <c r="M1727" s="5"/>
      <c r="N172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/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5" customWidth="1"/>
    <col min="4" max="4" width="10" style="5" customWidth="1"/>
    <col min="5" max="5" width="6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8.28515625" style="5" customWidth="1"/>
    <col min="11" max="11" width="5.7109375" style="15" customWidth="1"/>
    <col min="12" max="12" width="9.5703125" style="5" customWidth="1"/>
    <col min="13" max="13" width="4.85546875" style="15" customWidth="1"/>
    <col min="14" max="14" width="8.28515625" style="5" customWidth="1"/>
    <col min="15" max="15" width="4.85546875" style="15" customWidth="1"/>
    <col min="16" max="16" width="8.28515625" style="5" customWidth="1"/>
    <col min="17" max="17" width="4.85546875" style="15" customWidth="1"/>
    <col min="18" max="18" width="20.85546875" customWidth="1"/>
    <col min="19" max="20" width="6.5703125" style="4" customWidth="1"/>
    <col min="21" max="21" width="4.42578125" style="15" customWidth="1"/>
    <col min="22" max="23" width="4.7109375" customWidth="1"/>
    <col min="24" max="24" width="7.85546875" customWidth="1"/>
    <col min="25" max="25" width="7.85546875" style="4" customWidth="1"/>
    <col min="26" max="26" width="5.42578125" style="15" bestFit="1" customWidth="1"/>
    <col min="27" max="27" width="8.42578125" customWidth="1"/>
    <col min="28" max="28" width="8.140625" style="15" bestFit="1" customWidth="1"/>
    <col min="29" max="29" width="7.85546875" style="5" customWidth="1"/>
    <col min="30" max="30" width="4.28515625" style="15" customWidth="1"/>
    <col min="31" max="31" width="8.85546875" customWidth="1"/>
    <col min="32" max="32" width="4.28515625" style="15" customWidth="1"/>
    <col min="33" max="34" width="7.5703125" style="7" customWidth="1"/>
    <col min="35" max="35" width="4.28515625" style="15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7" t="s">
        <v>14</v>
      </c>
      <c r="B1" s="28" t="s">
        <v>15</v>
      </c>
      <c r="C1" s="24" t="s">
        <v>16</v>
      </c>
      <c r="D1" s="23" t="s">
        <v>17</v>
      </c>
      <c r="E1" s="17" t="s">
        <v>18</v>
      </c>
      <c r="F1" s="23" t="s">
        <v>19</v>
      </c>
      <c r="G1" s="85" t="s">
        <v>20</v>
      </c>
      <c r="H1" s="89" t="s">
        <v>21</v>
      </c>
      <c r="I1" s="94" t="s">
        <v>22</v>
      </c>
      <c r="J1" s="99" t="s">
        <v>23</v>
      </c>
      <c r="K1" s="33" t="s">
        <v>24</v>
      </c>
      <c r="L1" s="100" t="s">
        <v>25</v>
      </c>
      <c r="M1" s="33" t="s">
        <v>24</v>
      </c>
      <c r="N1" s="100" t="s">
        <v>26</v>
      </c>
      <c r="O1" s="33" t="s">
        <v>24</v>
      </c>
      <c r="P1" s="99" t="s">
        <v>27</v>
      </c>
      <c r="Q1" s="55" t="s">
        <v>24</v>
      </c>
      <c r="R1" s="27" t="s">
        <v>14</v>
      </c>
      <c r="S1" s="32" t="s">
        <v>28</v>
      </c>
      <c r="T1" s="98" t="s">
        <v>29</v>
      </c>
      <c r="U1" s="33" t="s">
        <v>24</v>
      </c>
      <c r="V1" s="29" t="s">
        <v>30</v>
      </c>
      <c r="W1" s="39" t="s">
        <v>31</v>
      </c>
      <c r="X1" s="41" t="s">
        <v>32</v>
      </c>
      <c r="Y1" s="40" t="s">
        <v>33</v>
      </c>
      <c r="Z1" s="33" t="s">
        <v>24</v>
      </c>
      <c r="AA1" s="48" t="s">
        <v>34</v>
      </c>
      <c r="AB1" s="33" t="s">
        <v>24</v>
      </c>
      <c r="AC1" s="48" t="s">
        <v>35</v>
      </c>
      <c r="AD1" s="33" t="s">
        <v>24</v>
      </c>
      <c r="AE1" s="50" t="s">
        <v>36</v>
      </c>
      <c r="AF1" s="33" t="s">
        <v>24</v>
      </c>
      <c r="AG1" s="52" t="s">
        <v>37</v>
      </c>
      <c r="AH1" s="63" t="s">
        <v>38</v>
      </c>
      <c r="AI1" s="33" t="s">
        <v>24</v>
      </c>
      <c r="AJ1" s="25" t="s">
        <v>11</v>
      </c>
      <c r="AK1" s="26" t="s">
        <v>39</v>
      </c>
    </row>
    <row r="2" spans="1:37" x14ac:dyDescent="0.2">
      <c r="A2" s="21">
        <v>45658</v>
      </c>
      <c r="B2" s="8">
        <v>32461251</v>
      </c>
      <c r="C2" s="13">
        <f>B3-B2</f>
        <v>3825</v>
      </c>
      <c r="D2" s="9">
        <v>1051067</v>
      </c>
      <c r="E2" s="13">
        <f>D3-D2</f>
        <v>286</v>
      </c>
      <c r="F2" s="31">
        <v>114017</v>
      </c>
      <c r="G2" s="86">
        <f>F3-F2</f>
        <v>0</v>
      </c>
      <c r="H2" s="90">
        <f>C2+E2-G2</f>
        <v>4111</v>
      </c>
      <c r="I2" s="95">
        <f>H2-K2-M2-O2-Q2</f>
        <v>3064.1774193555757</v>
      </c>
      <c r="J2" s="88">
        <v>4757616.4000000004</v>
      </c>
      <c r="K2" s="35">
        <f>J3-J2</f>
        <v>835.19999999925494</v>
      </c>
      <c r="L2" s="12">
        <v>468268</v>
      </c>
      <c r="M2" s="35">
        <f>L3-L2</f>
        <v>24.677419354848098</v>
      </c>
      <c r="N2" s="12">
        <v>130213</v>
      </c>
      <c r="O2" s="35">
        <f>N3-N2</f>
        <v>72.945161290321266</v>
      </c>
      <c r="P2" s="84">
        <v>185855</v>
      </c>
      <c r="Q2" s="56">
        <f>P3-P2</f>
        <v>114</v>
      </c>
      <c r="R2" s="20">
        <f>A2</f>
        <v>45658</v>
      </c>
      <c r="S2" s="36">
        <v>8181</v>
      </c>
      <c r="T2" s="34"/>
      <c r="U2" s="35">
        <f>S2+T2-S3</f>
        <v>403</v>
      </c>
      <c r="V2" s="16">
        <v>0.62</v>
      </c>
      <c r="W2" s="44">
        <v>0.62</v>
      </c>
      <c r="X2" s="43">
        <f t="shared" ref="X2:X33" si="0">(V2*2500)+(W2*2500)</f>
        <v>3100</v>
      </c>
      <c r="Y2" s="42"/>
      <c r="Z2" s="35">
        <f>X2+Y2-X3</f>
        <v>0</v>
      </c>
      <c r="AA2" s="49">
        <v>110986</v>
      </c>
      <c r="AB2" s="35">
        <f>AA3-AA2</f>
        <v>77</v>
      </c>
      <c r="AC2" s="59">
        <v>1227.2</v>
      </c>
      <c r="AD2" s="35">
        <f>AC3-AC2</f>
        <v>8.3999999999998636</v>
      </c>
      <c r="AE2" s="51">
        <v>72907</v>
      </c>
      <c r="AF2" s="35">
        <f>AE3-AE2</f>
        <v>0</v>
      </c>
      <c r="AG2" s="53">
        <v>3100</v>
      </c>
      <c r="AH2" s="64">
        <v>0</v>
      </c>
      <c r="AI2" s="35">
        <f>AG3+AH2-AG2</f>
        <v>0</v>
      </c>
      <c r="AJ2" s="10">
        <v>152</v>
      </c>
      <c r="AK2" s="18">
        <v>296</v>
      </c>
    </row>
    <row r="3" spans="1:37" x14ac:dyDescent="0.2">
      <c r="A3" s="21">
        <f>A2+1</f>
        <v>45659</v>
      </c>
      <c r="B3" s="8">
        <v>32465076</v>
      </c>
      <c r="C3" s="58">
        <f>B4-B3</f>
        <v>2964</v>
      </c>
      <c r="D3" s="9">
        <v>1051353</v>
      </c>
      <c r="E3" s="14">
        <f>D4-D3</f>
        <v>1185</v>
      </c>
      <c r="F3" s="30">
        <v>114017</v>
      </c>
      <c r="G3" s="87">
        <f>F4-F3</f>
        <v>46</v>
      </c>
      <c r="H3" s="91">
        <f t="shared" ref="H3:H32" si="1">C3+E3-G3</f>
        <v>4103</v>
      </c>
      <c r="I3" s="96">
        <f t="shared" ref="I3:I32" si="2">H3-K3-M3-O3-Q3</f>
        <v>3099.3774193548306</v>
      </c>
      <c r="J3" s="84">
        <v>4758451.5999999996</v>
      </c>
      <c r="K3" s="38">
        <f>J4-J3</f>
        <v>792</v>
      </c>
      <c r="L3" s="12">
        <v>468292.67741935485</v>
      </c>
      <c r="M3" s="38">
        <f>L4-L3</f>
        <v>24.677419354848098</v>
      </c>
      <c r="N3" s="12">
        <v>130285.94516129032</v>
      </c>
      <c r="O3" s="38">
        <f>N4-N3</f>
        <v>72.945161290321266</v>
      </c>
      <c r="P3" s="84">
        <v>185969</v>
      </c>
      <c r="Q3" s="57">
        <f>P4-P3</f>
        <v>114</v>
      </c>
      <c r="R3" s="21">
        <f>A3</f>
        <v>45659</v>
      </c>
      <c r="S3" s="36">
        <v>7778</v>
      </c>
      <c r="T3" s="37"/>
      <c r="U3" s="38">
        <f>S3+T3-S4</f>
        <v>403</v>
      </c>
      <c r="V3" s="16">
        <v>0.61</v>
      </c>
      <c r="W3" s="44">
        <v>0.63</v>
      </c>
      <c r="X3" s="45">
        <f t="shared" si="0"/>
        <v>3100</v>
      </c>
      <c r="Y3" s="42"/>
      <c r="Z3" s="46">
        <f t="shared" ref="Z3:Z32" si="3">X3+Y3-X4</f>
        <v>25</v>
      </c>
      <c r="AA3" s="49">
        <v>111063</v>
      </c>
      <c r="AB3" s="38">
        <f>AA4-AA3</f>
        <v>72</v>
      </c>
      <c r="AC3" s="49">
        <v>1235.5999999999999</v>
      </c>
      <c r="AD3" s="38">
        <f>AC4-AC3</f>
        <v>7.2000000000000455</v>
      </c>
      <c r="AE3" s="51">
        <v>72907</v>
      </c>
      <c r="AF3" s="38">
        <f>AE4-AE3</f>
        <v>0</v>
      </c>
      <c r="AG3" s="54">
        <v>3100</v>
      </c>
      <c r="AH3" s="65">
        <v>0</v>
      </c>
      <c r="AI3" s="46">
        <f t="shared" ref="AI3:AI32" si="4">AG4+AH3-AG3</f>
        <v>0</v>
      </c>
      <c r="AJ3" s="11">
        <v>116</v>
      </c>
      <c r="AK3" s="19">
        <v>240</v>
      </c>
    </row>
    <row r="4" spans="1:37" x14ac:dyDescent="0.2">
      <c r="A4" s="21">
        <f t="shared" ref="A4:A32" si="5">A3+1</f>
        <v>45660</v>
      </c>
      <c r="B4" s="8">
        <v>32468040</v>
      </c>
      <c r="C4" s="58">
        <f>B5-B4</f>
        <v>3265</v>
      </c>
      <c r="D4" s="9">
        <v>1052538</v>
      </c>
      <c r="E4" s="14">
        <f>D5-D4</f>
        <v>1138</v>
      </c>
      <c r="F4" s="30">
        <v>114063</v>
      </c>
      <c r="G4" s="87">
        <f>F5-F4</f>
        <v>47</v>
      </c>
      <c r="H4" s="91">
        <f t="shared" si="1"/>
        <v>4356</v>
      </c>
      <c r="I4" s="96">
        <f t="shared" si="2"/>
        <v>3121.9774193539633</v>
      </c>
      <c r="J4" s="84">
        <v>4759243.5999999996</v>
      </c>
      <c r="K4" s="38">
        <f>J5-J4</f>
        <v>1022.4000000003725</v>
      </c>
      <c r="L4" s="12">
        <v>468317.3548387097</v>
      </c>
      <c r="M4" s="38">
        <f>L5-L4</f>
        <v>24.677419355313759</v>
      </c>
      <c r="N4" s="12">
        <v>130358.89032258064</v>
      </c>
      <c r="O4" s="38">
        <f>N5-N4</f>
        <v>72.94516129035037</v>
      </c>
      <c r="P4" s="84">
        <v>186083</v>
      </c>
      <c r="Q4" s="57">
        <f>P5-P4</f>
        <v>114</v>
      </c>
      <c r="R4" s="21">
        <f t="shared" ref="R4:R32" si="6">A4</f>
        <v>45660</v>
      </c>
      <c r="S4" s="36">
        <v>7375</v>
      </c>
      <c r="T4" s="37"/>
      <c r="U4" s="38">
        <f>S4+T4-S5</f>
        <v>403</v>
      </c>
      <c r="V4" s="16">
        <v>0.61</v>
      </c>
      <c r="W4" s="44">
        <v>0.62</v>
      </c>
      <c r="X4" s="45">
        <f t="shared" si="0"/>
        <v>3075</v>
      </c>
      <c r="Y4" s="42"/>
      <c r="Z4" s="46">
        <f t="shared" si="3"/>
        <v>50</v>
      </c>
      <c r="AA4" s="49">
        <v>111135</v>
      </c>
      <c r="AB4" s="38">
        <f>AA5-AA4</f>
        <v>63</v>
      </c>
      <c r="AC4" s="49">
        <v>1242.8</v>
      </c>
      <c r="AD4" s="38">
        <f>AC5-AC4</f>
        <v>8.7000000000000455</v>
      </c>
      <c r="AE4" s="51">
        <v>72907</v>
      </c>
      <c r="AF4" s="38">
        <f>AE5-AE4</f>
        <v>0</v>
      </c>
      <c r="AG4" s="54">
        <v>3100</v>
      </c>
      <c r="AH4" s="65">
        <v>0</v>
      </c>
      <c r="AI4" s="46">
        <f t="shared" si="4"/>
        <v>0</v>
      </c>
      <c r="AJ4" s="11">
        <v>103</v>
      </c>
      <c r="AK4" s="19">
        <v>217</v>
      </c>
    </row>
    <row r="5" spans="1:37" x14ac:dyDescent="0.2">
      <c r="A5" s="21">
        <f t="shared" si="5"/>
        <v>45661</v>
      </c>
      <c r="B5" s="8">
        <v>32471305</v>
      </c>
      <c r="C5" s="58">
        <f t="shared" ref="C5:C32" si="7">B6-B5</f>
        <v>3273</v>
      </c>
      <c r="D5" s="9">
        <v>1053676</v>
      </c>
      <c r="E5" s="14">
        <f t="shared" ref="E5:E32" si="8">D6-D5</f>
        <v>626</v>
      </c>
      <c r="F5" s="30">
        <v>114110</v>
      </c>
      <c r="G5" s="87">
        <f t="shared" ref="G5:G32" si="9">F6-F5</f>
        <v>1</v>
      </c>
      <c r="H5" s="91">
        <f t="shared" si="1"/>
        <v>3898</v>
      </c>
      <c r="I5" s="96">
        <f t="shared" si="2"/>
        <v>2619.9774193556514</v>
      </c>
      <c r="J5" s="84">
        <v>4760266</v>
      </c>
      <c r="K5" s="38">
        <f t="shared" ref="K5:K32" si="10">J6-J5</f>
        <v>1066.4000000003725</v>
      </c>
      <c r="L5" s="12">
        <v>468342.03225806501</v>
      </c>
      <c r="M5" s="38">
        <f t="shared" ref="M5:M32" si="11">L6-L5</f>
        <v>24.677419353974983</v>
      </c>
      <c r="N5" s="12">
        <v>130431.83548387099</v>
      </c>
      <c r="O5" s="38">
        <f t="shared" ref="O5:O32" si="12">N6-N5</f>
        <v>72.945161290001124</v>
      </c>
      <c r="P5" s="84">
        <v>186197</v>
      </c>
      <c r="Q5" s="57">
        <f t="shared" ref="Q5:Q32" si="13">P6-P5</f>
        <v>114</v>
      </c>
      <c r="R5" s="21">
        <f t="shared" si="6"/>
        <v>45661</v>
      </c>
      <c r="S5" s="36">
        <v>6972</v>
      </c>
      <c r="T5" s="37"/>
      <c r="U5" s="38">
        <f t="shared" ref="U5:U32" si="14">S5+T5-S6</f>
        <v>201</v>
      </c>
      <c r="V5" s="16">
        <v>0.57999999999999996</v>
      </c>
      <c r="W5" s="44">
        <v>0.63</v>
      </c>
      <c r="X5" s="45">
        <f t="shared" si="0"/>
        <v>3025</v>
      </c>
      <c r="Y5" s="42"/>
      <c r="Z5" s="46">
        <f t="shared" si="3"/>
        <v>0</v>
      </c>
      <c r="AA5" s="49">
        <v>111198</v>
      </c>
      <c r="AB5" s="38">
        <f t="shared" ref="AB5:AB32" si="15">AA6-AA5</f>
        <v>47</v>
      </c>
      <c r="AC5" s="49">
        <v>1251.5</v>
      </c>
      <c r="AD5" s="38">
        <f t="shared" ref="AD5:AD32" si="16">AC6-AC5</f>
        <v>2.4000000000000909</v>
      </c>
      <c r="AE5" s="51">
        <v>72907</v>
      </c>
      <c r="AF5" s="38">
        <f t="shared" ref="AF5:AF32" si="17">AE6-AE5</f>
        <v>0</v>
      </c>
      <c r="AG5" s="54">
        <v>3100</v>
      </c>
      <c r="AH5" s="65">
        <v>0</v>
      </c>
      <c r="AI5" s="46">
        <f t="shared" si="4"/>
        <v>0</v>
      </c>
      <c r="AJ5" s="11">
        <v>113</v>
      </c>
      <c r="AK5" s="19">
        <v>239</v>
      </c>
    </row>
    <row r="6" spans="1:37" x14ac:dyDescent="0.2">
      <c r="A6" s="21">
        <f t="shared" si="5"/>
        <v>45662</v>
      </c>
      <c r="B6" s="8">
        <v>32474578</v>
      </c>
      <c r="C6" s="58">
        <f t="shared" si="7"/>
        <v>3800</v>
      </c>
      <c r="D6" s="9">
        <v>1054302</v>
      </c>
      <c r="E6" s="14">
        <f t="shared" si="8"/>
        <v>247</v>
      </c>
      <c r="F6" s="30">
        <v>114111</v>
      </c>
      <c r="G6" s="87">
        <f t="shared" si="9"/>
        <v>0</v>
      </c>
      <c r="H6" s="91">
        <f t="shared" si="1"/>
        <v>4047</v>
      </c>
      <c r="I6" s="96">
        <f t="shared" si="2"/>
        <v>2928.1774193547171</v>
      </c>
      <c r="J6" s="84">
        <v>4761332.4000000004</v>
      </c>
      <c r="K6" s="38">
        <f t="shared" si="10"/>
        <v>907.19999999925494</v>
      </c>
      <c r="L6" s="12">
        <v>468366.70967741898</v>
      </c>
      <c r="M6" s="38">
        <f t="shared" si="11"/>
        <v>24.677419355022721</v>
      </c>
      <c r="N6" s="12">
        <v>130504.78064516099</v>
      </c>
      <c r="O6" s="38">
        <f t="shared" si="12"/>
        <v>72.945161291005206</v>
      </c>
      <c r="P6" s="84">
        <v>186311</v>
      </c>
      <c r="Q6" s="57">
        <f t="shared" si="13"/>
        <v>114</v>
      </c>
      <c r="R6" s="21">
        <f t="shared" si="6"/>
        <v>45662</v>
      </c>
      <c r="S6" s="36">
        <v>6771</v>
      </c>
      <c r="T6" s="37"/>
      <c r="U6" s="38">
        <f t="shared" si="14"/>
        <v>402</v>
      </c>
      <c r="V6" s="16">
        <v>0.57999999999999996</v>
      </c>
      <c r="W6" s="44">
        <v>0.63</v>
      </c>
      <c r="X6" s="45">
        <f t="shared" si="0"/>
        <v>3025</v>
      </c>
      <c r="Y6" s="42"/>
      <c r="Z6" s="46">
        <f t="shared" si="3"/>
        <v>100</v>
      </c>
      <c r="AA6" s="49">
        <v>111245</v>
      </c>
      <c r="AB6" s="38">
        <f t="shared" si="15"/>
        <v>48</v>
      </c>
      <c r="AC6" s="49">
        <v>1253.9000000000001</v>
      </c>
      <c r="AD6" s="38">
        <f t="shared" si="16"/>
        <v>4.8999999999998636</v>
      </c>
      <c r="AE6" s="51">
        <v>72907</v>
      </c>
      <c r="AF6" s="38">
        <f t="shared" si="17"/>
        <v>0</v>
      </c>
      <c r="AG6" s="54">
        <v>3100</v>
      </c>
      <c r="AH6" s="65">
        <v>0</v>
      </c>
      <c r="AI6" s="46">
        <f t="shared" si="4"/>
        <v>0</v>
      </c>
      <c r="AJ6" s="11">
        <v>84</v>
      </c>
      <c r="AK6" s="19">
        <v>176</v>
      </c>
    </row>
    <row r="7" spans="1:37" x14ac:dyDescent="0.2">
      <c r="A7" s="21">
        <f t="shared" si="5"/>
        <v>45663</v>
      </c>
      <c r="B7" s="8">
        <v>32478378</v>
      </c>
      <c r="C7" s="58">
        <f t="shared" si="7"/>
        <v>2623</v>
      </c>
      <c r="D7" s="9">
        <v>1054549</v>
      </c>
      <c r="E7" s="14">
        <f t="shared" si="8"/>
        <v>1171</v>
      </c>
      <c r="F7" s="30">
        <v>114111</v>
      </c>
      <c r="G7" s="87">
        <f t="shared" si="9"/>
        <v>99</v>
      </c>
      <c r="H7" s="91">
        <f t="shared" si="1"/>
        <v>3695</v>
      </c>
      <c r="I7" s="96">
        <f t="shared" si="2"/>
        <v>2517.7774193544756</v>
      </c>
      <c r="J7" s="84">
        <v>4762239.5999999996</v>
      </c>
      <c r="K7" s="38">
        <f t="shared" si="10"/>
        <v>965.60000000055879</v>
      </c>
      <c r="L7" s="12">
        <v>468391.38709677401</v>
      </c>
      <c r="M7" s="38">
        <f t="shared" si="11"/>
        <v>24.677419354964513</v>
      </c>
      <c r="N7" s="12">
        <v>130577.725806452</v>
      </c>
      <c r="O7" s="38">
        <f t="shared" si="12"/>
        <v>72.945161290001124</v>
      </c>
      <c r="P7" s="84">
        <v>186425</v>
      </c>
      <c r="Q7" s="57">
        <f t="shared" si="13"/>
        <v>114</v>
      </c>
      <c r="R7" s="21">
        <f t="shared" si="6"/>
        <v>45663</v>
      </c>
      <c r="S7" s="36">
        <v>6369</v>
      </c>
      <c r="T7" s="37"/>
      <c r="U7" s="38">
        <f t="shared" si="14"/>
        <v>201</v>
      </c>
      <c r="V7" s="16">
        <v>0.56999999999999995</v>
      </c>
      <c r="W7" s="44">
        <v>0.6</v>
      </c>
      <c r="X7" s="45">
        <f t="shared" si="0"/>
        <v>2925</v>
      </c>
      <c r="Y7" s="42"/>
      <c r="Z7" s="46">
        <f t="shared" si="3"/>
        <v>0</v>
      </c>
      <c r="AA7" s="49">
        <v>111293</v>
      </c>
      <c r="AB7" s="38">
        <f t="shared" si="15"/>
        <v>41</v>
      </c>
      <c r="AC7" s="49">
        <v>1258.8</v>
      </c>
      <c r="AD7" s="38">
        <f t="shared" si="16"/>
        <v>3.2000000000000455</v>
      </c>
      <c r="AE7" s="51">
        <v>72907</v>
      </c>
      <c r="AF7" s="38">
        <f t="shared" si="17"/>
        <v>3</v>
      </c>
      <c r="AG7" s="54">
        <v>3100</v>
      </c>
      <c r="AH7" s="65">
        <v>0</v>
      </c>
      <c r="AI7" s="46">
        <f t="shared" si="4"/>
        <v>0</v>
      </c>
      <c r="AJ7" s="11">
        <v>29</v>
      </c>
      <c r="AK7" s="19">
        <v>51</v>
      </c>
    </row>
    <row r="8" spans="1:37" x14ac:dyDescent="0.2">
      <c r="A8" s="21">
        <f t="shared" si="5"/>
        <v>45664</v>
      </c>
      <c r="B8" s="8">
        <v>32481001</v>
      </c>
      <c r="C8" s="58">
        <f t="shared" si="7"/>
        <v>2578</v>
      </c>
      <c r="D8" s="9">
        <v>1055720</v>
      </c>
      <c r="E8" s="14">
        <f t="shared" si="8"/>
        <v>1162</v>
      </c>
      <c r="F8" s="30">
        <v>114210</v>
      </c>
      <c r="G8" s="87">
        <f t="shared" si="9"/>
        <v>85</v>
      </c>
      <c r="H8" s="91">
        <f t="shared" si="1"/>
        <v>3655</v>
      </c>
      <c r="I8" s="96">
        <f t="shared" si="2"/>
        <v>2463.3774193549762</v>
      </c>
      <c r="J8" s="84">
        <v>4763205.2</v>
      </c>
      <c r="K8" s="38">
        <f t="shared" si="10"/>
        <v>980</v>
      </c>
      <c r="L8" s="12">
        <v>468416.06451612897</v>
      </c>
      <c r="M8" s="38">
        <f t="shared" si="11"/>
        <v>24.677419355022721</v>
      </c>
      <c r="N8" s="12">
        <v>130650.670967742</v>
      </c>
      <c r="O8" s="38">
        <f t="shared" si="12"/>
        <v>72.945161290001124</v>
      </c>
      <c r="P8" s="84">
        <v>186539</v>
      </c>
      <c r="Q8" s="57">
        <f t="shared" si="13"/>
        <v>114</v>
      </c>
      <c r="R8" s="21">
        <f t="shared" si="6"/>
        <v>45664</v>
      </c>
      <c r="S8" s="36">
        <v>6168</v>
      </c>
      <c r="T8" s="37"/>
      <c r="U8" s="38">
        <f t="shared" si="14"/>
        <v>299</v>
      </c>
      <c r="V8" s="16">
        <v>0.56999999999999995</v>
      </c>
      <c r="W8" s="44">
        <v>0.6</v>
      </c>
      <c r="X8" s="45">
        <f t="shared" si="0"/>
        <v>2925</v>
      </c>
      <c r="Y8" s="42"/>
      <c r="Z8" s="46">
        <f t="shared" si="3"/>
        <v>50</v>
      </c>
      <c r="AA8" s="49">
        <v>111334</v>
      </c>
      <c r="AB8" s="38">
        <f t="shared" si="15"/>
        <v>39</v>
      </c>
      <c r="AC8" s="49">
        <v>1262</v>
      </c>
      <c r="AD8" s="38">
        <f t="shared" si="16"/>
        <v>9.9000000000000909</v>
      </c>
      <c r="AE8" s="51">
        <v>72910</v>
      </c>
      <c r="AF8" s="38">
        <f t="shared" si="17"/>
        <v>9</v>
      </c>
      <c r="AG8" s="54">
        <v>3100</v>
      </c>
      <c r="AH8" s="65">
        <v>0</v>
      </c>
      <c r="AI8" s="46">
        <f t="shared" si="4"/>
        <v>0</v>
      </c>
      <c r="AJ8" s="11">
        <v>22</v>
      </c>
      <c r="AK8" s="19">
        <v>36</v>
      </c>
    </row>
    <row r="9" spans="1:37" x14ac:dyDescent="0.2">
      <c r="A9" s="21">
        <f t="shared" si="5"/>
        <v>45665</v>
      </c>
      <c r="B9" s="8">
        <v>32483579</v>
      </c>
      <c r="C9" s="58">
        <f t="shared" si="7"/>
        <v>2278</v>
      </c>
      <c r="D9" s="9">
        <v>1056882</v>
      </c>
      <c r="E9" s="14">
        <f t="shared" si="8"/>
        <v>979</v>
      </c>
      <c r="F9" s="30">
        <v>114295</v>
      </c>
      <c r="G9" s="87">
        <f t="shared" si="9"/>
        <v>66</v>
      </c>
      <c r="H9" s="91">
        <f t="shared" si="1"/>
        <v>3191</v>
      </c>
      <c r="I9" s="96">
        <f t="shared" si="2"/>
        <v>2475.3774193539721</v>
      </c>
      <c r="J9" s="84">
        <v>4764185.2</v>
      </c>
      <c r="K9" s="38">
        <f t="shared" si="10"/>
        <v>504</v>
      </c>
      <c r="L9" s="12">
        <v>468440.74193548399</v>
      </c>
      <c r="M9" s="38">
        <f t="shared" si="11"/>
        <v>24.677419355022721</v>
      </c>
      <c r="N9" s="12">
        <v>130723.616129032</v>
      </c>
      <c r="O9" s="38">
        <f t="shared" si="12"/>
        <v>72.945161291005206</v>
      </c>
      <c r="P9" s="84">
        <v>186653</v>
      </c>
      <c r="Q9" s="57">
        <f t="shared" si="13"/>
        <v>114</v>
      </c>
      <c r="R9" s="21">
        <f t="shared" si="6"/>
        <v>45665</v>
      </c>
      <c r="S9" s="36">
        <v>5869</v>
      </c>
      <c r="T9" s="37"/>
      <c r="U9" s="38">
        <f t="shared" si="14"/>
        <v>199</v>
      </c>
      <c r="V9" s="16">
        <v>0.56000000000000005</v>
      </c>
      <c r="W9" s="44">
        <v>0.59</v>
      </c>
      <c r="X9" s="45">
        <f t="shared" si="0"/>
        <v>2875</v>
      </c>
      <c r="Y9" s="42"/>
      <c r="Z9" s="46">
        <f t="shared" si="3"/>
        <v>0</v>
      </c>
      <c r="AA9" s="49">
        <v>111373</v>
      </c>
      <c r="AB9" s="38">
        <f t="shared" si="15"/>
        <v>39</v>
      </c>
      <c r="AC9" s="49">
        <v>1271.9000000000001</v>
      </c>
      <c r="AD9" s="38">
        <f t="shared" si="16"/>
        <v>1.2999999999999545</v>
      </c>
      <c r="AE9" s="51">
        <v>72919</v>
      </c>
      <c r="AF9" s="38">
        <f t="shared" si="17"/>
        <v>4</v>
      </c>
      <c r="AG9" s="54">
        <v>3100</v>
      </c>
      <c r="AH9" s="65">
        <v>0</v>
      </c>
      <c r="AI9" s="46">
        <f t="shared" si="4"/>
        <v>0</v>
      </c>
      <c r="AJ9" s="11">
        <v>1</v>
      </c>
      <c r="AK9" s="19">
        <v>1</v>
      </c>
    </row>
    <row r="10" spans="1:37" x14ac:dyDescent="0.2">
      <c r="A10" s="21">
        <f t="shared" si="5"/>
        <v>45666</v>
      </c>
      <c r="B10" s="8">
        <v>32485857</v>
      </c>
      <c r="C10" s="58">
        <f t="shared" si="7"/>
        <v>1191</v>
      </c>
      <c r="D10" s="9">
        <v>1057861</v>
      </c>
      <c r="E10" s="14">
        <f t="shared" si="8"/>
        <v>1166</v>
      </c>
      <c r="F10" s="30">
        <f>F9+66</f>
        <v>114361</v>
      </c>
      <c r="G10" s="87">
        <f t="shared" si="9"/>
        <v>431</v>
      </c>
      <c r="H10" s="91">
        <f t="shared" si="1"/>
        <v>1926</v>
      </c>
      <c r="I10" s="96">
        <f t="shared" si="2"/>
        <v>1319.1774193548626</v>
      </c>
      <c r="J10" s="84">
        <v>4764689.2</v>
      </c>
      <c r="K10" s="38">
        <f t="shared" si="10"/>
        <v>395.20000000018626</v>
      </c>
      <c r="L10" s="12">
        <v>468465.41935483902</v>
      </c>
      <c r="M10" s="38">
        <f t="shared" si="11"/>
        <v>24.677419354964513</v>
      </c>
      <c r="N10" s="12">
        <v>130796.56129032301</v>
      </c>
      <c r="O10" s="38">
        <f t="shared" si="12"/>
        <v>72.945161289986572</v>
      </c>
      <c r="P10" s="84">
        <v>186767</v>
      </c>
      <c r="Q10" s="57">
        <f t="shared" si="13"/>
        <v>114</v>
      </c>
      <c r="R10" s="21">
        <f t="shared" si="6"/>
        <v>45666</v>
      </c>
      <c r="S10" s="36">
        <v>5670</v>
      </c>
      <c r="T10" s="37"/>
      <c r="U10" s="38">
        <f t="shared" si="14"/>
        <v>99</v>
      </c>
      <c r="V10" s="16">
        <v>0.56000000000000005</v>
      </c>
      <c r="W10" s="44">
        <v>0.59</v>
      </c>
      <c r="X10" s="45">
        <f t="shared" si="0"/>
        <v>2875</v>
      </c>
      <c r="Y10" s="42"/>
      <c r="Z10" s="46">
        <f t="shared" si="3"/>
        <v>0</v>
      </c>
      <c r="AA10" s="49">
        <v>111412</v>
      </c>
      <c r="AB10" s="38">
        <f t="shared" si="15"/>
        <v>20</v>
      </c>
      <c r="AC10" s="49">
        <v>1273.2</v>
      </c>
      <c r="AD10" s="38">
        <f t="shared" si="16"/>
        <v>0.59999999999990905</v>
      </c>
      <c r="AE10" s="51">
        <v>72923</v>
      </c>
      <c r="AF10" s="38">
        <f t="shared" si="17"/>
        <v>15</v>
      </c>
      <c r="AG10" s="54">
        <v>3100</v>
      </c>
      <c r="AH10" s="65">
        <v>0</v>
      </c>
      <c r="AI10" s="46">
        <f t="shared" si="4"/>
        <v>0</v>
      </c>
      <c r="AJ10" s="11">
        <v>1</v>
      </c>
      <c r="AK10" s="19">
        <v>1</v>
      </c>
    </row>
    <row r="11" spans="1:37" x14ac:dyDescent="0.2">
      <c r="A11" s="21">
        <f t="shared" si="5"/>
        <v>45667</v>
      </c>
      <c r="B11" s="8">
        <v>32487048</v>
      </c>
      <c r="C11" s="58">
        <f t="shared" si="7"/>
        <v>962.66666666790843</v>
      </c>
      <c r="D11" s="9">
        <v>1059027</v>
      </c>
      <c r="E11" s="14">
        <f t="shared" si="8"/>
        <v>1013.3333333332557</v>
      </c>
      <c r="F11" s="30">
        <f>F10+431</f>
        <v>114792</v>
      </c>
      <c r="G11" s="87">
        <f t="shared" si="9"/>
        <v>430.33333333332848</v>
      </c>
      <c r="H11" s="91">
        <f t="shared" si="1"/>
        <v>1545.6666666678357</v>
      </c>
      <c r="I11" s="96">
        <f t="shared" si="2"/>
        <v>940.44408602417388</v>
      </c>
      <c r="J11" s="84">
        <v>4765084.4000000004</v>
      </c>
      <c r="K11" s="38">
        <f t="shared" si="10"/>
        <v>393.59999999962747</v>
      </c>
      <c r="L11" s="12">
        <v>468490.09677419398</v>
      </c>
      <c r="M11" s="38">
        <f t="shared" si="11"/>
        <v>24.677419354033191</v>
      </c>
      <c r="N11" s="12">
        <v>130869.50645161299</v>
      </c>
      <c r="O11" s="38">
        <f t="shared" si="12"/>
        <v>72.945161290001124</v>
      </c>
      <c r="P11" s="84">
        <v>186881</v>
      </c>
      <c r="Q11" s="57">
        <f t="shared" si="13"/>
        <v>114</v>
      </c>
      <c r="R11" s="21">
        <f t="shared" si="6"/>
        <v>45667</v>
      </c>
      <c r="S11" s="36">
        <v>5571</v>
      </c>
      <c r="T11" s="37"/>
      <c r="U11" s="38">
        <f t="shared" si="14"/>
        <v>0</v>
      </c>
      <c r="V11" s="16">
        <v>0.56000000000000005</v>
      </c>
      <c r="W11" s="44">
        <v>0.59</v>
      </c>
      <c r="X11" s="45">
        <f t="shared" si="0"/>
        <v>2875</v>
      </c>
      <c r="Y11" s="42"/>
      <c r="Z11" s="46">
        <f t="shared" si="3"/>
        <v>0</v>
      </c>
      <c r="AA11" s="49">
        <v>111432</v>
      </c>
      <c r="AB11" s="38">
        <f t="shared" si="15"/>
        <v>12.666666666671517</v>
      </c>
      <c r="AC11" s="49">
        <v>1273.8</v>
      </c>
      <c r="AD11" s="38">
        <f t="shared" si="16"/>
        <v>0.56666666666660603</v>
      </c>
      <c r="AE11" s="51">
        <v>72938</v>
      </c>
      <c r="AF11" s="38">
        <f t="shared" si="17"/>
        <v>0</v>
      </c>
      <c r="AG11" s="54">
        <v>3100</v>
      </c>
      <c r="AH11" s="65">
        <v>0</v>
      </c>
      <c r="AI11" s="46">
        <f t="shared" si="4"/>
        <v>0</v>
      </c>
      <c r="AJ11" s="11">
        <v>1</v>
      </c>
      <c r="AK11" s="19">
        <v>1</v>
      </c>
    </row>
    <row r="12" spans="1:37" x14ac:dyDescent="0.2">
      <c r="A12" s="21">
        <f t="shared" si="5"/>
        <v>45668</v>
      </c>
      <c r="B12" s="8">
        <v>32488010.666666668</v>
      </c>
      <c r="C12" s="58">
        <f t="shared" si="7"/>
        <v>962.66666666790843</v>
      </c>
      <c r="D12" s="9">
        <v>1060040.3333333333</v>
      </c>
      <c r="E12" s="14">
        <f t="shared" si="8"/>
        <v>1013.3333333332557</v>
      </c>
      <c r="F12" s="30">
        <v>115222.33333333333</v>
      </c>
      <c r="G12" s="87">
        <f t="shared" si="9"/>
        <v>430.33333333332848</v>
      </c>
      <c r="H12" s="91">
        <f t="shared" si="1"/>
        <v>1545.6666666678357</v>
      </c>
      <c r="I12" s="96">
        <f t="shared" si="2"/>
        <v>940.44408602223848</v>
      </c>
      <c r="J12" s="84">
        <v>4765478</v>
      </c>
      <c r="K12" s="38">
        <f t="shared" si="10"/>
        <v>393.59999999962747</v>
      </c>
      <c r="L12" s="12">
        <v>468514.77419354802</v>
      </c>
      <c r="M12" s="38">
        <f t="shared" si="11"/>
        <v>24.677419354964513</v>
      </c>
      <c r="N12" s="12">
        <v>130942.45161290299</v>
      </c>
      <c r="O12" s="38">
        <f t="shared" si="12"/>
        <v>72.945161291005206</v>
      </c>
      <c r="P12" s="84">
        <v>186995</v>
      </c>
      <c r="Q12" s="57">
        <f t="shared" si="13"/>
        <v>114</v>
      </c>
      <c r="R12" s="21">
        <f t="shared" si="6"/>
        <v>45668</v>
      </c>
      <c r="S12" s="36">
        <v>5571</v>
      </c>
      <c r="T12" s="37"/>
      <c r="U12" s="38">
        <f t="shared" si="14"/>
        <v>0</v>
      </c>
      <c r="V12" s="16">
        <v>0.56000000000000005</v>
      </c>
      <c r="W12" s="44">
        <v>0.59</v>
      </c>
      <c r="X12" s="45">
        <f t="shared" si="0"/>
        <v>2875</v>
      </c>
      <c r="Y12" s="42"/>
      <c r="Z12" s="46">
        <f t="shared" si="3"/>
        <v>0</v>
      </c>
      <c r="AA12" s="49">
        <v>111444.66666666667</v>
      </c>
      <c r="AB12" s="38">
        <f t="shared" si="15"/>
        <v>12.666666666671517</v>
      </c>
      <c r="AC12" s="49">
        <v>1274.3666666666666</v>
      </c>
      <c r="AD12" s="38">
        <f t="shared" si="16"/>
        <v>0.56666666666660603</v>
      </c>
      <c r="AE12" s="51">
        <v>72938</v>
      </c>
      <c r="AF12" s="38">
        <f t="shared" si="17"/>
        <v>0</v>
      </c>
      <c r="AG12" s="54">
        <v>3100</v>
      </c>
      <c r="AH12" s="65">
        <v>0</v>
      </c>
      <c r="AI12" s="46">
        <f t="shared" si="4"/>
        <v>0</v>
      </c>
      <c r="AJ12" s="11">
        <v>1</v>
      </c>
      <c r="AK12" s="19">
        <v>1</v>
      </c>
    </row>
    <row r="13" spans="1:37" x14ac:dyDescent="0.2">
      <c r="A13" s="21">
        <f t="shared" si="5"/>
        <v>45669</v>
      </c>
      <c r="B13" s="8">
        <v>32488973.333333336</v>
      </c>
      <c r="C13" s="58">
        <f t="shared" si="7"/>
        <v>962.66666666418314</v>
      </c>
      <c r="D13" s="9">
        <v>1061053.6666666665</v>
      </c>
      <c r="E13" s="14">
        <f t="shared" si="8"/>
        <v>1013.3333333334886</v>
      </c>
      <c r="F13" s="30">
        <v>115652.66666666666</v>
      </c>
      <c r="G13" s="87">
        <f t="shared" si="9"/>
        <v>430.33333333334303</v>
      </c>
      <c r="H13" s="91">
        <f t="shared" si="1"/>
        <v>1545.6666666643287</v>
      </c>
      <c r="I13" s="96">
        <f t="shared" si="2"/>
        <v>940.44408601874602</v>
      </c>
      <c r="J13" s="84">
        <v>4765871.5999999996</v>
      </c>
      <c r="K13" s="38">
        <f t="shared" si="10"/>
        <v>393.60000000055879</v>
      </c>
      <c r="L13" s="12">
        <v>468539.45161290298</v>
      </c>
      <c r="M13" s="38">
        <f t="shared" si="11"/>
        <v>24.677419355022721</v>
      </c>
      <c r="N13" s="12">
        <v>131015.396774194</v>
      </c>
      <c r="O13" s="38">
        <f t="shared" si="12"/>
        <v>72.945161290001124</v>
      </c>
      <c r="P13" s="84">
        <v>187109</v>
      </c>
      <c r="Q13" s="57">
        <f t="shared" si="13"/>
        <v>114</v>
      </c>
      <c r="R13" s="21">
        <f t="shared" si="6"/>
        <v>45669</v>
      </c>
      <c r="S13" s="36">
        <v>5571</v>
      </c>
      <c r="T13" s="37"/>
      <c r="U13" s="38">
        <f t="shared" si="14"/>
        <v>0</v>
      </c>
      <c r="V13" s="16">
        <v>0.56000000000000005</v>
      </c>
      <c r="W13" s="44">
        <v>0.59</v>
      </c>
      <c r="X13" s="45">
        <f t="shared" si="0"/>
        <v>2875</v>
      </c>
      <c r="Y13" s="42"/>
      <c r="Z13" s="46">
        <f t="shared" si="3"/>
        <v>0</v>
      </c>
      <c r="AA13" s="49">
        <v>111457.33333333334</v>
      </c>
      <c r="AB13" s="38">
        <f t="shared" si="15"/>
        <v>12.666666666656965</v>
      </c>
      <c r="AC13" s="49">
        <v>1274.9333333333332</v>
      </c>
      <c r="AD13" s="38">
        <f t="shared" si="16"/>
        <v>0.56666666666683341</v>
      </c>
      <c r="AE13" s="51">
        <v>72938</v>
      </c>
      <c r="AF13" s="38">
        <f t="shared" si="17"/>
        <v>21</v>
      </c>
      <c r="AG13" s="54">
        <v>3100</v>
      </c>
      <c r="AH13" s="65">
        <v>0</v>
      </c>
      <c r="AI13" s="46">
        <f t="shared" si="4"/>
        <v>0</v>
      </c>
      <c r="AJ13" s="11">
        <v>1</v>
      </c>
      <c r="AK13" s="19">
        <v>1</v>
      </c>
    </row>
    <row r="14" spans="1:37" x14ac:dyDescent="0.2">
      <c r="A14" s="21">
        <f t="shared" si="5"/>
        <v>45670</v>
      </c>
      <c r="B14" s="8">
        <v>32489936</v>
      </c>
      <c r="C14" s="58">
        <f t="shared" si="7"/>
        <v>900</v>
      </c>
      <c r="D14" s="9">
        <v>1062067</v>
      </c>
      <c r="E14" s="14">
        <f t="shared" si="8"/>
        <v>1241</v>
      </c>
      <c r="F14" s="30">
        <v>116083</v>
      </c>
      <c r="G14" s="87">
        <f t="shared" si="9"/>
        <v>641</v>
      </c>
      <c r="H14" s="91">
        <f t="shared" si="1"/>
        <v>1500</v>
      </c>
      <c r="I14" s="96">
        <f t="shared" si="2"/>
        <v>908.37741935497615</v>
      </c>
      <c r="J14" s="84">
        <v>4766265.2</v>
      </c>
      <c r="K14" s="38">
        <f t="shared" si="10"/>
        <v>380</v>
      </c>
      <c r="L14" s="12">
        <v>468564.129032258</v>
      </c>
      <c r="M14" s="38">
        <f t="shared" si="11"/>
        <v>24.677419355022721</v>
      </c>
      <c r="N14" s="12">
        <v>131088.341935484</v>
      </c>
      <c r="O14" s="38">
        <f t="shared" si="12"/>
        <v>72.945161290001124</v>
      </c>
      <c r="P14" s="84">
        <v>187223</v>
      </c>
      <c r="Q14" s="57">
        <f t="shared" si="13"/>
        <v>114</v>
      </c>
      <c r="R14" s="21">
        <f t="shared" si="6"/>
        <v>45670</v>
      </c>
      <c r="S14" s="36">
        <v>5571</v>
      </c>
      <c r="T14" s="37"/>
      <c r="U14" s="38">
        <f t="shared" si="14"/>
        <v>0</v>
      </c>
      <c r="V14" s="16">
        <v>0.56000000000000005</v>
      </c>
      <c r="W14" s="44">
        <v>0.59</v>
      </c>
      <c r="X14" s="45">
        <f t="shared" si="0"/>
        <v>2875</v>
      </c>
      <c r="Y14" s="42"/>
      <c r="Z14" s="46">
        <f t="shared" si="3"/>
        <v>0</v>
      </c>
      <c r="AA14" s="49">
        <v>111470</v>
      </c>
      <c r="AB14" s="38">
        <f t="shared" si="15"/>
        <v>14</v>
      </c>
      <c r="AC14" s="49">
        <v>1275.5</v>
      </c>
      <c r="AD14" s="38">
        <f t="shared" si="16"/>
        <v>0.70000000000004547</v>
      </c>
      <c r="AE14" s="51">
        <v>72959</v>
      </c>
      <c r="AF14" s="38">
        <f t="shared" si="17"/>
        <v>0</v>
      </c>
      <c r="AG14" s="54">
        <v>3100</v>
      </c>
      <c r="AH14" s="65">
        <v>0</v>
      </c>
      <c r="AI14" s="46">
        <f t="shared" si="4"/>
        <v>0</v>
      </c>
      <c r="AJ14" s="11">
        <v>1</v>
      </c>
      <c r="AK14" s="19">
        <v>1</v>
      </c>
    </row>
    <row r="15" spans="1:37" x14ac:dyDescent="0.2">
      <c r="A15" s="21">
        <f t="shared" si="5"/>
        <v>45671</v>
      </c>
      <c r="B15" s="8">
        <v>32490836</v>
      </c>
      <c r="C15" s="58">
        <f t="shared" si="7"/>
        <v>931</v>
      </c>
      <c r="D15" s="9">
        <v>1063308</v>
      </c>
      <c r="E15" s="14">
        <f t="shared" si="8"/>
        <v>1215</v>
      </c>
      <c r="F15" s="30">
        <v>116724</v>
      </c>
      <c r="G15" s="87">
        <f t="shared" si="9"/>
        <v>616</v>
      </c>
      <c r="H15" s="91">
        <f t="shared" si="1"/>
        <v>1530</v>
      </c>
      <c r="I15" s="96">
        <f t="shared" si="2"/>
        <v>938.37741935503436</v>
      </c>
      <c r="J15" s="84">
        <v>4766645.2</v>
      </c>
      <c r="K15" s="38">
        <f t="shared" si="10"/>
        <v>380</v>
      </c>
      <c r="L15" s="12">
        <v>468588.80645161303</v>
      </c>
      <c r="M15" s="38">
        <f t="shared" si="11"/>
        <v>24.677419354964513</v>
      </c>
      <c r="N15" s="12">
        <v>131161.287096774</v>
      </c>
      <c r="O15" s="38">
        <f t="shared" si="12"/>
        <v>72.945161290001124</v>
      </c>
      <c r="P15" s="84">
        <v>187337</v>
      </c>
      <c r="Q15" s="57">
        <f t="shared" si="13"/>
        <v>114</v>
      </c>
      <c r="R15" s="21">
        <f t="shared" si="6"/>
        <v>45671</v>
      </c>
      <c r="S15" s="36">
        <v>5571</v>
      </c>
      <c r="T15" s="37"/>
      <c r="U15" s="38">
        <f t="shared" si="14"/>
        <v>0</v>
      </c>
      <c r="V15" s="16">
        <v>0.56000000000000005</v>
      </c>
      <c r="W15" s="44">
        <v>0.59</v>
      </c>
      <c r="X15" s="45">
        <f t="shared" si="0"/>
        <v>2875</v>
      </c>
      <c r="Y15" s="42"/>
      <c r="Z15" s="46">
        <f t="shared" si="3"/>
        <v>0</v>
      </c>
      <c r="AA15" s="49">
        <v>111484</v>
      </c>
      <c r="AB15" s="38">
        <f t="shared" si="15"/>
        <v>11</v>
      </c>
      <c r="AC15" s="49">
        <v>1276.2</v>
      </c>
      <c r="AD15" s="38">
        <f t="shared" si="16"/>
        <v>0.39999999999986358</v>
      </c>
      <c r="AE15" s="51">
        <v>72959</v>
      </c>
      <c r="AF15" s="38">
        <f t="shared" si="17"/>
        <v>0</v>
      </c>
      <c r="AG15" s="54">
        <v>3100</v>
      </c>
      <c r="AH15" s="65">
        <v>0</v>
      </c>
      <c r="AI15" s="46">
        <f t="shared" si="4"/>
        <v>0</v>
      </c>
      <c r="AJ15" s="11">
        <v>1</v>
      </c>
      <c r="AK15" s="19">
        <v>1</v>
      </c>
    </row>
    <row r="16" spans="1:37" x14ac:dyDescent="0.2">
      <c r="A16" s="21">
        <f t="shared" si="5"/>
        <v>45672</v>
      </c>
      <c r="B16" s="8">
        <v>32491767</v>
      </c>
      <c r="C16" s="58">
        <f t="shared" si="7"/>
        <v>905</v>
      </c>
      <c r="D16" s="9">
        <v>1064523</v>
      </c>
      <c r="E16" s="14">
        <f t="shared" si="8"/>
        <v>1215</v>
      </c>
      <c r="F16" s="30">
        <v>117340</v>
      </c>
      <c r="G16" s="87">
        <f t="shared" si="9"/>
        <v>616</v>
      </c>
      <c r="H16" s="91">
        <f t="shared" si="1"/>
        <v>1504</v>
      </c>
      <c r="I16" s="96">
        <f t="shared" si="2"/>
        <v>905.97741935454542</v>
      </c>
      <c r="J16" s="84">
        <v>4767025.2</v>
      </c>
      <c r="K16" s="38">
        <f t="shared" si="10"/>
        <v>386.39999999944121</v>
      </c>
      <c r="L16" s="12">
        <v>468613.48387096799</v>
      </c>
      <c r="M16" s="38">
        <f t="shared" si="11"/>
        <v>24.677419355022721</v>
      </c>
      <c r="N16" s="12">
        <v>131234.232258064</v>
      </c>
      <c r="O16" s="38">
        <f t="shared" si="12"/>
        <v>72.945161290990654</v>
      </c>
      <c r="P16" s="84">
        <v>187451</v>
      </c>
      <c r="Q16" s="57">
        <f t="shared" si="13"/>
        <v>114</v>
      </c>
      <c r="R16" s="21">
        <f t="shared" si="6"/>
        <v>45672</v>
      </c>
      <c r="S16" s="36">
        <v>5571</v>
      </c>
      <c r="T16" s="37"/>
      <c r="U16" s="38">
        <f t="shared" si="14"/>
        <v>0</v>
      </c>
      <c r="V16" s="16">
        <v>0.56000000000000005</v>
      </c>
      <c r="W16" s="44">
        <v>0.59</v>
      </c>
      <c r="X16" s="45">
        <f t="shared" si="0"/>
        <v>2875</v>
      </c>
      <c r="Y16" s="42"/>
      <c r="Z16" s="46">
        <f t="shared" si="3"/>
        <v>0</v>
      </c>
      <c r="AA16" s="49">
        <v>111495</v>
      </c>
      <c r="AB16" s="38">
        <f t="shared" si="15"/>
        <v>14</v>
      </c>
      <c r="AC16" s="49">
        <v>1276.5999999999999</v>
      </c>
      <c r="AD16" s="38">
        <f t="shared" si="16"/>
        <v>0.70000000000004547</v>
      </c>
      <c r="AE16" s="51">
        <v>72959</v>
      </c>
      <c r="AF16" s="38">
        <f t="shared" si="17"/>
        <v>30</v>
      </c>
      <c r="AG16" s="54">
        <v>3100</v>
      </c>
      <c r="AH16" s="65">
        <v>0</v>
      </c>
      <c r="AI16" s="46">
        <f t="shared" si="4"/>
        <v>0</v>
      </c>
      <c r="AJ16" s="11">
        <v>1</v>
      </c>
      <c r="AK16" s="19">
        <v>1</v>
      </c>
    </row>
    <row r="17" spans="1:37" x14ac:dyDescent="0.2">
      <c r="A17" s="21">
        <f t="shared" si="5"/>
        <v>45673</v>
      </c>
      <c r="B17" s="8">
        <v>32492672</v>
      </c>
      <c r="C17" s="58">
        <f t="shared" si="7"/>
        <v>870</v>
      </c>
      <c r="D17" s="9">
        <v>1065738</v>
      </c>
      <c r="E17" s="14">
        <f t="shared" si="8"/>
        <v>1252</v>
      </c>
      <c r="F17" s="30">
        <v>117956</v>
      </c>
      <c r="G17" s="87">
        <f t="shared" si="9"/>
        <v>689</v>
      </c>
      <c r="H17" s="91">
        <f t="shared" si="1"/>
        <v>1433</v>
      </c>
      <c r="I17" s="96">
        <f t="shared" si="2"/>
        <v>854.5774193542893</v>
      </c>
      <c r="J17" s="84">
        <v>4767411.5999999996</v>
      </c>
      <c r="K17" s="38">
        <f t="shared" si="10"/>
        <v>366.80000000074506</v>
      </c>
      <c r="L17" s="12">
        <v>468638.16129032301</v>
      </c>
      <c r="M17" s="38">
        <f t="shared" si="11"/>
        <v>24.677419354964513</v>
      </c>
      <c r="N17" s="12">
        <v>131307.17741935499</v>
      </c>
      <c r="O17" s="38">
        <f t="shared" si="12"/>
        <v>72.945161290001124</v>
      </c>
      <c r="P17" s="84">
        <v>187565</v>
      </c>
      <c r="Q17" s="57">
        <f t="shared" si="13"/>
        <v>114</v>
      </c>
      <c r="R17" s="21">
        <f t="shared" si="6"/>
        <v>45673</v>
      </c>
      <c r="S17" s="36">
        <v>5571</v>
      </c>
      <c r="T17" s="37"/>
      <c r="U17" s="38">
        <f t="shared" si="14"/>
        <v>0</v>
      </c>
      <c r="V17" s="16">
        <v>0.56000000000000005</v>
      </c>
      <c r="W17" s="44">
        <v>0.59</v>
      </c>
      <c r="X17" s="45">
        <f t="shared" si="0"/>
        <v>2875</v>
      </c>
      <c r="Y17" s="42"/>
      <c r="Z17" s="46">
        <f t="shared" si="3"/>
        <v>0</v>
      </c>
      <c r="AA17" s="49">
        <v>111509</v>
      </c>
      <c r="AB17" s="38">
        <f t="shared" si="15"/>
        <v>10</v>
      </c>
      <c r="AC17" s="49">
        <v>1277.3</v>
      </c>
      <c r="AD17" s="38">
        <f t="shared" si="16"/>
        <v>0.5</v>
      </c>
      <c r="AE17" s="51">
        <v>72989</v>
      </c>
      <c r="AF17" s="38">
        <f t="shared" si="17"/>
        <v>5</v>
      </c>
      <c r="AG17" s="54">
        <v>3100</v>
      </c>
      <c r="AH17" s="65">
        <v>0</v>
      </c>
      <c r="AI17" s="46">
        <f t="shared" si="4"/>
        <v>0</v>
      </c>
      <c r="AJ17" s="11">
        <v>0</v>
      </c>
      <c r="AK17" s="19">
        <v>0</v>
      </c>
    </row>
    <row r="18" spans="1:37" x14ac:dyDescent="0.2">
      <c r="A18" s="21">
        <f t="shared" si="5"/>
        <v>45674</v>
      </c>
      <c r="B18" s="8">
        <v>32493542</v>
      </c>
      <c r="C18" s="58">
        <f t="shared" si="7"/>
        <v>836.33333333209157</v>
      </c>
      <c r="D18" s="9">
        <v>1066990</v>
      </c>
      <c r="E18" s="14">
        <f t="shared" si="8"/>
        <v>1036</v>
      </c>
      <c r="F18" s="30">
        <v>118645</v>
      </c>
      <c r="G18" s="87">
        <f t="shared" si="9"/>
        <v>648.66666666667152</v>
      </c>
      <c r="H18" s="91">
        <f t="shared" si="1"/>
        <v>1223.6666666654201</v>
      </c>
      <c r="I18" s="96">
        <f t="shared" si="2"/>
        <v>817.37741935440863</v>
      </c>
      <c r="J18" s="84">
        <v>4767778.4000000004</v>
      </c>
      <c r="K18" s="38">
        <f t="shared" si="10"/>
        <v>194.66666666697711</v>
      </c>
      <c r="L18" s="12">
        <v>468662.83870967798</v>
      </c>
      <c r="M18" s="38">
        <f t="shared" si="11"/>
        <v>24.677419354033191</v>
      </c>
      <c r="N18" s="12">
        <v>131380.12258064499</v>
      </c>
      <c r="O18" s="38">
        <f t="shared" si="12"/>
        <v>72.945161290001124</v>
      </c>
      <c r="P18" s="84">
        <v>187679</v>
      </c>
      <c r="Q18" s="57">
        <f t="shared" si="13"/>
        <v>114</v>
      </c>
      <c r="R18" s="21">
        <f t="shared" si="6"/>
        <v>45674</v>
      </c>
      <c r="S18" s="36">
        <v>5571</v>
      </c>
      <c r="T18" s="37"/>
      <c r="U18" s="38">
        <f t="shared" si="14"/>
        <v>0</v>
      </c>
      <c r="V18" s="16">
        <v>0.56000000000000005</v>
      </c>
      <c r="W18" s="44">
        <v>0.59</v>
      </c>
      <c r="X18" s="45">
        <f t="shared" si="0"/>
        <v>2875</v>
      </c>
      <c r="Y18" s="42"/>
      <c r="Z18" s="46">
        <f t="shared" si="3"/>
        <v>0</v>
      </c>
      <c r="AA18" s="49">
        <v>111519</v>
      </c>
      <c r="AB18" s="38">
        <f t="shared" si="15"/>
        <v>9</v>
      </c>
      <c r="AC18" s="49">
        <v>1277.8</v>
      </c>
      <c r="AD18" s="38">
        <f t="shared" si="16"/>
        <v>0.53333333333330302</v>
      </c>
      <c r="AE18" s="51">
        <v>72994</v>
      </c>
      <c r="AF18" s="38">
        <f t="shared" si="17"/>
        <v>8.6666666666715173</v>
      </c>
      <c r="AG18" s="54">
        <v>3100</v>
      </c>
      <c r="AH18" s="65">
        <v>0</v>
      </c>
      <c r="AI18" s="46">
        <f t="shared" si="4"/>
        <v>0</v>
      </c>
      <c r="AJ18" s="11">
        <v>0</v>
      </c>
      <c r="AK18" s="19">
        <v>0</v>
      </c>
    </row>
    <row r="19" spans="1:37" x14ac:dyDescent="0.2">
      <c r="A19" s="21">
        <f t="shared" si="5"/>
        <v>45675</v>
      </c>
      <c r="B19" s="8">
        <v>32494378.333333332</v>
      </c>
      <c r="C19" s="58">
        <f t="shared" si="7"/>
        <v>836.33333333209157</v>
      </c>
      <c r="D19" s="9">
        <v>1068026</v>
      </c>
      <c r="E19" s="14">
        <f t="shared" si="8"/>
        <v>1036</v>
      </c>
      <c r="F19" s="30">
        <v>119293.66666666667</v>
      </c>
      <c r="G19" s="87">
        <f t="shared" si="9"/>
        <v>648.66666666667152</v>
      </c>
      <c r="H19" s="91">
        <f t="shared" si="1"/>
        <v>1223.6666666654201</v>
      </c>
      <c r="I19" s="96">
        <f t="shared" si="2"/>
        <v>817.37741935248778</v>
      </c>
      <c r="J19" s="84">
        <v>4767973.0666666673</v>
      </c>
      <c r="K19" s="38">
        <f t="shared" si="10"/>
        <v>194.66666666697711</v>
      </c>
      <c r="L19" s="12">
        <v>468687.51612903201</v>
      </c>
      <c r="M19" s="38">
        <f t="shared" si="11"/>
        <v>24.677419354964513</v>
      </c>
      <c r="N19" s="12">
        <v>131453.067741935</v>
      </c>
      <c r="O19" s="38">
        <f t="shared" si="12"/>
        <v>72.945161290990654</v>
      </c>
      <c r="P19" s="84">
        <v>187793</v>
      </c>
      <c r="Q19" s="57">
        <f t="shared" si="13"/>
        <v>114</v>
      </c>
      <c r="R19" s="21">
        <f t="shared" si="6"/>
        <v>45675</v>
      </c>
      <c r="S19" s="36">
        <v>5571</v>
      </c>
      <c r="T19" s="37"/>
      <c r="U19" s="38">
        <f t="shared" si="14"/>
        <v>0</v>
      </c>
      <c r="V19" s="16">
        <v>0.56000000000000005</v>
      </c>
      <c r="W19" s="44">
        <v>0.59</v>
      </c>
      <c r="X19" s="45">
        <f t="shared" si="0"/>
        <v>2875</v>
      </c>
      <c r="Y19" s="42"/>
      <c r="Z19" s="46">
        <f t="shared" si="3"/>
        <v>0</v>
      </c>
      <c r="AA19" s="49">
        <v>111528</v>
      </c>
      <c r="AB19" s="38">
        <f t="shared" si="15"/>
        <v>9</v>
      </c>
      <c r="AC19" s="49">
        <v>1278.3333333333333</v>
      </c>
      <c r="AD19" s="38">
        <f t="shared" si="16"/>
        <v>0.53333333333330302</v>
      </c>
      <c r="AE19" s="51">
        <v>73002.666666666672</v>
      </c>
      <c r="AF19" s="38">
        <f t="shared" si="17"/>
        <v>8.6666666666715173</v>
      </c>
      <c r="AG19" s="54">
        <v>3100</v>
      </c>
      <c r="AH19" s="65">
        <v>0</v>
      </c>
      <c r="AI19" s="46">
        <f t="shared" si="4"/>
        <v>0</v>
      </c>
      <c r="AJ19" s="11">
        <v>0</v>
      </c>
      <c r="AK19" s="19">
        <v>0</v>
      </c>
    </row>
    <row r="20" spans="1:37" x14ac:dyDescent="0.2">
      <c r="A20" s="21">
        <f t="shared" si="5"/>
        <v>45676</v>
      </c>
      <c r="B20" s="8">
        <v>32495214.666666664</v>
      </c>
      <c r="C20" s="58">
        <f t="shared" si="7"/>
        <v>836.33333333581686</v>
      </c>
      <c r="D20" s="9">
        <v>1069062</v>
      </c>
      <c r="E20" s="14">
        <f t="shared" si="8"/>
        <v>1036</v>
      </c>
      <c r="F20" s="30">
        <v>119942.33333333334</v>
      </c>
      <c r="G20" s="87">
        <f t="shared" si="9"/>
        <v>648.66666666665697</v>
      </c>
      <c r="H20" s="91">
        <f t="shared" si="1"/>
        <v>1223.6666666691599</v>
      </c>
      <c r="I20" s="96">
        <f t="shared" si="2"/>
        <v>817.37741935809026</v>
      </c>
      <c r="J20" s="84">
        <v>4768167.7333333343</v>
      </c>
      <c r="K20" s="38">
        <f t="shared" si="10"/>
        <v>194.66666666604578</v>
      </c>
      <c r="L20" s="12">
        <v>468712.19354838697</v>
      </c>
      <c r="M20" s="38">
        <f t="shared" si="11"/>
        <v>24.677419355022721</v>
      </c>
      <c r="N20" s="12">
        <v>131526.01290322599</v>
      </c>
      <c r="O20" s="38">
        <f t="shared" si="12"/>
        <v>72.945161290001124</v>
      </c>
      <c r="P20" s="84">
        <v>187907</v>
      </c>
      <c r="Q20" s="57">
        <f t="shared" si="13"/>
        <v>114</v>
      </c>
      <c r="R20" s="21">
        <f t="shared" si="6"/>
        <v>45676</v>
      </c>
      <c r="S20" s="36">
        <v>5571</v>
      </c>
      <c r="T20" s="37"/>
      <c r="U20" s="38">
        <f t="shared" si="14"/>
        <v>0</v>
      </c>
      <c r="V20" s="16">
        <v>0.56000000000000005</v>
      </c>
      <c r="W20" s="44">
        <v>0.59</v>
      </c>
      <c r="X20" s="45">
        <f t="shared" si="0"/>
        <v>2875</v>
      </c>
      <c r="Y20" s="42"/>
      <c r="Z20" s="46">
        <f t="shared" si="3"/>
        <v>0</v>
      </c>
      <c r="AA20" s="49">
        <v>111537</v>
      </c>
      <c r="AB20" s="38">
        <f t="shared" si="15"/>
        <v>9</v>
      </c>
      <c r="AC20" s="49">
        <v>1278.8666666666666</v>
      </c>
      <c r="AD20" s="38">
        <f t="shared" si="16"/>
        <v>0.53333333333353039</v>
      </c>
      <c r="AE20" s="51">
        <v>73011.333333333343</v>
      </c>
      <c r="AF20" s="38">
        <f t="shared" si="17"/>
        <v>8.6666666666569654</v>
      </c>
      <c r="AG20" s="54">
        <v>3100</v>
      </c>
      <c r="AH20" s="65">
        <v>0</v>
      </c>
      <c r="AI20" s="46">
        <f t="shared" si="4"/>
        <v>0</v>
      </c>
      <c r="AJ20" s="11">
        <v>0</v>
      </c>
      <c r="AK20" s="19">
        <v>0</v>
      </c>
    </row>
    <row r="21" spans="1:37" x14ac:dyDescent="0.2">
      <c r="A21" s="21">
        <f t="shared" si="5"/>
        <v>45677</v>
      </c>
      <c r="B21" s="8">
        <v>32496051</v>
      </c>
      <c r="C21" s="58">
        <f t="shared" si="7"/>
        <v>780</v>
      </c>
      <c r="D21" s="9">
        <v>1070098</v>
      </c>
      <c r="E21" s="14">
        <f t="shared" si="8"/>
        <v>1333</v>
      </c>
      <c r="F21" s="30">
        <v>120591</v>
      </c>
      <c r="G21" s="87">
        <f t="shared" si="9"/>
        <v>804</v>
      </c>
      <c r="H21" s="91">
        <f t="shared" si="1"/>
        <v>1309</v>
      </c>
      <c r="I21" s="96">
        <f t="shared" si="2"/>
        <v>899.37741935497615</v>
      </c>
      <c r="J21" s="84">
        <v>4768362.4000000004</v>
      </c>
      <c r="K21" s="38">
        <f t="shared" si="10"/>
        <v>198</v>
      </c>
      <c r="L21" s="12">
        <v>468736.870967742</v>
      </c>
      <c r="M21" s="38">
        <f t="shared" si="11"/>
        <v>24.677419355022721</v>
      </c>
      <c r="N21" s="12">
        <v>131598.95806451599</v>
      </c>
      <c r="O21" s="38">
        <f t="shared" si="12"/>
        <v>72.945161290001124</v>
      </c>
      <c r="P21" s="84">
        <v>188021</v>
      </c>
      <c r="Q21" s="57">
        <f t="shared" si="13"/>
        <v>114</v>
      </c>
      <c r="R21" s="21">
        <f t="shared" si="6"/>
        <v>45677</v>
      </c>
      <c r="S21" s="36">
        <v>5571</v>
      </c>
      <c r="T21" s="37"/>
      <c r="U21" s="38">
        <f t="shared" si="14"/>
        <v>0</v>
      </c>
      <c r="V21" s="16">
        <v>0.56000000000000005</v>
      </c>
      <c r="W21" s="44">
        <v>0.59</v>
      </c>
      <c r="X21" s="45">
        <f t="shared" si="0"/>
        <v>2875</v>
      </c>
      <c r="Y21" s="42"/>
      <c r="Z21" s="46">
        <f t="shared" si="3"/>
        <v>0</v>
      </c>
      <c r="AA21" s="49">
        <v>111546</v>
      </c>
      <c r="AB21" s="38">
        <f t="shared" si="15"/>
        <v>9</v>
      </c>
      <c r="AC21" s="49">
        <v>1279.4000000000001</v>
      </c>
      <c r="AD21" s="38">
        <f t="shared" si="16"/>
        <v>0.29999999999995453</v>
      </c>
      <c r="AE21" s="51">
        <v>73020</v>
      </c>
      <c r="AF21" s="38">
        <f t="shared" si="17"/>
        <v>0</v>
      </c>
      <c r="AG21" s="54">
        <v>3100</v>
      </c>
      <c r="AH21" s="65">
        <v>0</v>
      </c>
      <c r="AI21" s="46">
        <f t="shared" si="4"/>
        <v>0</v>
      </c>
      <c r="AJ21" s="11">
        <v>0</v>
      </c>
      <c r="AK21" s="19">
        <v>0</v>
      </c>
    </row>
    <row r="22" spans="1:37" x14ac:dyDescent="0.2">
      <c r="A22" s="21">
        <f t="shared" si="5"/>
        <v>45678</v>
      </c>
      <c r="B22" s="8">
        <v>32496831</v>
      </c>
      <c r="C22" s="58">
        <f t="shared" si="7"/>
        <v>830</v>
      </c>
      <c r="D22" s="9">
        <v>1071431</v>
      </c>
      <c r="E22" s="14">
        <f t="shared" si="8"/>
        <v>1317</v>
      </c>
      <c r="F22" s="30">
        <v>121395</v>
      </c>
      <c r="G22" s="87">
        <f t="shared" si="9"/>
        <v>733</v>
      </c>
      <c r="H22" s="91">
        <f t="shared" si="1"/>
        <v>1414</v>
      </c>
      <c r="I22" s="96">
        <f t="shared" si="2"/>
        <v>1019.1774193547608</v>
      </c>
      <c r="J22" s="84">
        <v>4768560.4000000004</v>
      </c>
      <c r="K22" s="38">
        <f t="shared" si="10"/>
        <v>183.19999999925494</v>
      </c>
      <c r="L22" s="12">
        <v>468761.54838709702</v>
      </c>
      <c r="M22" s="38">
        <f t="shared" si="11"/>
        <v>24.677419354964513</v>
      </c>
      <c r="N22" s="12">
        <v>131671.90322580599</v>
      </c>
      <c r="O22" s="38">
        <f t="shared" si="12"/>
        <v>72.945161291019758</v>
      </c>
      <c r="P22" s="84">
        <v>188135</v>
      </c>
      <c r="Q22" s="57">
        <f t="shared" si="13"/>
        <v>114</v>
      </c>
      <c r="R22" s="21">
        <f t="shared" si="6"/>
        <v>45678</v>
      </c>
      <c r="S22" s="36">
        <v>5571</v>
      </c>
      <c r="T22" s="37"/>
      <c r="U22" s="38">
        <f t="shared" si="14"/>
        <v>0</v>
      </c>
      <c r="V22" s="16">
        <v>0.56000000000000005</v>
      </c>
      <c r="W22" s="44">
        <v>0.59</v>
      </c>
      <c r="X22" s="45">
        <f t="shared" si="0"/>
        <v>2875</v>
      </c>
      <c r="Y22" s="42"/>
      <c r="Z22" s="46">
        <f t="shared" si="3"/>
        <v>0</v>
      </c>
      <c r="AA22" s="49">
        <v>111555</v>
      </c>
      <c r="AB22" s="38">
        <f t="shared" si="15"/>
        <v>18</v>
      </c>
      <c r="AC22" s="49">
        <v>1279.7</v>
      </c>
      <c r="AD22" s="38">
        <f t="shared" si="16"/>
        <v>0.59999999999990905</v>
      </c>
      <c r="AE22" s="51">
        <v>73020</v>
      </c>
      <c r="AF22" s="38">
        <f t="shared" si="17"/>
        <v>0</v>
      </c>
      <c r="AG22" s="54">
        <v>3100</v>
      </c>
      <c r="AH22" s="65">
        <v>0</v>
      </c>
      <c r="AI22" s="46">
        <f t="shared" si="4"/>
        <v>0</v>
      </c>
      <c r="AJ22" s="11">
        <v>0</v>
      </c>
      <c r="AK22" s="19">
        <v>0</v>
      </c>
    </row>
    <row r="23" spans="1:37" x14ac:dyDescent="0.2">
      <c r="A23" s="21">
        <f t="shared" si="5"/>
        <v>45679</v>
      </c>
      <c r="B23" s="8">
        <v>32497661</v>
      </c>
      <c r="C23" s="58">
        <f t="shared" si="7"/>
        <v>1021</v>
      </c>
      <c r="D23" s="9">
        <v>1072748</v>
      </c>
      <c r="E23" s="14">
        <f t="shared" si="8"/>
        <v>373</v>
      </c>
      <c r="F23" s="30">
        <v>122128</v>
      </c>
      <c r="G23" s="87">
        <f t="shared" si="9"/>
        <v>67</v>
      </c>
      <c r="H23" s="91">
        <f t="shared" si="1"/>
        <v>1327</v>
      </c>
      <c r="I23" s="96">
        <f t="shared" si="2"/>
        <v>941.77741935441736</v>
      </c>
      <c r="J23" s="84">
        <v>4768743.5999999996</v>
      </c>
      <c r="K23" s="38">
        <f t="shared" si="10"/>
        <v>173.60000000055879</v>
      </c>
      <c r="L23" s="12">
        <v>468786.22580645198</v>
      </c>
      <c r="M23" s="38">
        <f t="shared" si="11"/>
        <v>24.677419355022721</v>
      </c>
      <c r="N23" s="12">
        <v>131744.84838709701</v>
      </c>
      <c r="O23" s="38">
        <f t="shared" si="12"/>
        <v>72.945161290001124</v>
      </c>
      <c r="P23" s="84">
        <v>188249</v>
      </c>
      <c r="Q23" s="57">
        <f t="shared" si="13"/>
        <v>114</v>
      </c>
      <c r="R23" s="21">
        <f t="shared" si="6"/>
        <v>45679</v>
      </c>
      <c r="S23" s="36">
        <v>5571</v>
      </c>
      <c r="T23" s="37"/>
      <c r="U23" s="38">
        <f t="shared" si="14"/>
        <v>0</v>
      </c>
      <c r="V23" s="16">
        <v>0.56000000000000005</v>
      </c>
      <c r="W23" s="44">
        <v>0.59</v>
      </c>
      <c r="X23" s="45">
        <f t="shared" si="0"/>
        <v>2875</v>
      </c>
      <c r="Y23" s="42"/>
      <c r="Z23" s="46">
        <f t="shared" si="3"/>
        <v>0</v>
      </c>
      <c r="AA23" s="49">
        <v>111573</v>
      </c>
      <c r="AB23" s="38">
        <f t="shared" si="15"/>
        <v>8</v>
      </c>
      <c r="AC23" s="49">
        <v>1280.3</v>
      </c>
      <c r="AD23" s="38">
        <f t="shared" si="16"/>
        <v>0.29999999999995453</v>
      </c>
      <c r="AE23" s="51">
        <v>73020</v>
      </c>
      <c r="AF23" s="38">
        <f t="shared" si="17"/>
        <v>0</v>
      </c>
      <c r="AG23" s="54">
        <v>3100</v>
      </c>
      <c r="AH23" s="65">
        <v>0</v>
      </c>
      <c r="AI23" s="46">
        <f t="shared" si="4"/>
        <v>0</v>
      </c>
      <c r="AJ23" s="11">
        <v>0</v>
      </c>
      <c r="AK23" s="19">
        <v>0</v>
      </c>
    </row>
    <row r="24" spans="1:37" x14ac:dyDescent="0.2">
      <c r="A24" s="21">
        <f t="shared" si="5"/>
        <v>45680</v>
      </c>
      <c r="B24" s="8">
        <v>32498682</v>
      </c>
      <c r="C24" s="58">
        <f t="shared" si="7"/>
        <v>720</v>
      </c>
      <c r="D24" s="9">
        <v>1073121</v>
      </c>
      <c r="E24" s="14">
        <f t="shared" si="8"/>
        <v>1137</v>
      </c>
      <c r="F24" s="30">
        <v>122195</v>
      </c>
      <c r="G24" s="87">
        <f t="shared" si="9"/>
        <v>663</v>
      </c>
      <c r="H24" s="91">
        <f t="shared" si="1"/>
        <v>1194</v>
      </c>
      <c r="I24" s="96">
        <f t="shared" si="2"/>
        <v>806.37741935503436</v>
      </c>
      <c r="J24" s="84">
        <v>4768917.2</v>
      </c>
      <c r="K24" s="38">
        <f t="shared" si="10"/>
        <v>176</v>
      </c>
      <c r="L24" s="12">
        <v>468810.90322580701</v>
      </c>
      <c r="M24" s="38">
        <f t="shared" si="11"/>
        <v>24.677419354964513</v>
      </c>
      <c r="N24" s="12">
        <v>131817.79354838701</v>
      </c>
      <c r="O24" s="38">
        <f t="shared" si="12"/>
        <v>72.945161290001124</v>
      </c>
      <c r="P24" s="84">
        <v>188363</v>
      </c>
      <c r="Q24" s="57">
        <f t="shared" si="13"/>
        <v>114</v>
      </c>
      <c r="R24" s="21">
        <f t="shared" si="6"/>
        <v>45680</v>
      </c>
      <c r="S24" s="36">
        <v>5571</v>
      </c>
      <c r="T24" s="37"/>
      <c r="U24" s="38">
        <f t="shared" si="14"/>
        <v>0</v>
      </c>
      <c r="V24" s="16">
        <v>0.56000000000000005</v>
      </c>
      <c r="W24" s="44">
        <v>0.59</v>
      </c>
      <c r="X24" s="45">
        <f t="shared" si="0"/>
        <v>2875</v>
      </c>
      <c r="Y24" s="42"/>
      <c r="Z24" s="46">
        <f t="shared" si="3"/>
        <v>0</v>
      </c>
      <c r="AA24" s="49">
        <v>111581</v>
      </c>
      <c r="AB24" s="38">
        <f t="shared" si="15"/>
        <v>18</v>
      </c>
      <c r="AC24" s="49">
        <v>1280.5999999999999</v>
      </c>
      <c r="AD24" s="38">
        <f t="shared" si="16"/>
        <v>0.3000000000001819</v>
      </c>
      <c r="AE24" s="51">
        <v>73020</v>
      </c>
      <c r="AF24" s="38">
        <f t="shared" si="17"/>
        <v>0</v>
      </c>
      <c r="AG24" s="54">
        <v>3100</v>
      </c>
      <c r="AH24" s="65">
        <v>0</v>
      </c>
      <c r="AI24" s="46">
        <f t="shared" si="4"/>
        <v>0</v>
      </c>
      <c r="AJ24" s="11">
        <v>0</v>
      </c>
      <c r="AK24" s="19">
        <v>0</v>
      </c>
    </row>
    <row r="25" spans="1:37" x14ac:dyDescent="0.2">
      <c r="A25" s="21">
        <f t="shared" si="5"/>
        <v>45681</v>
      </c>
      <c r="B25" s="8">
        <v>32499402</v>
      </c>
      <c r="C25" s="58">
        <f t="shared" si="7"/>
        <v>691.33333333209157</v>
      </c>
      <c r="D25" s="9">
        <v>1074258</v>
      </c>
      <c r="E25" s="14">
        <f t="shared" si="8"/>
        <v>1006.3333333332557</v>
      </c>
      <c r="F25" s="30">
        <v>122858</v>
      </c>
      <c r="G25" s="87">
        <f t="shared" si="9"/>
        <v>630.33333333332848</v>
      </c>
      <c r="H25" s="91">
        <f t="shared" si="1"/>
        <v>1067.3333333320188</v>
      </c>
      <c r="I25" s="96">
        <f t="shared" si="2"/>
        <v>683.31075268662244</v>
      </c>
      <c r="J25" s="84">
        <v>4769093.2</v>
      </c>
      <c r="K25" s="38">
        <f t="shared" si="10"/>
        <v>172.40000000037253</v>
      </c>
      <c r="L25" s="12">
        <v>468835.58064516197</v>
      </c>
      <c r="M25" s="38">
        <f t="shared" si="11"/>
        <v>24.677419354033191</v>
      </c>
      <c r="N25" s="12">
        <v>131890.73870967701</v>
      </c>
      <c r="O25" s="38">
        <f t="shared" si="12"/>
        <v>72.945161290990654</v>
      </c>
      <c r="P25" s="84">
        <v>188477</v>
      </c>
      <c r="Q25" s="57">
        <f t="shared" si="13"/>
        <v>114</v>
      </c>
      <c r="R25" s="21">
        <f t="shared" si="6"/>
        <v>45681</v>
      </c>
      <c r="S25" s="36">
        <v>5571</v>
      </c>
      <c r="T25" s="37"/>
      <c r="U25" s="38">
        <f t="shared" si="14"/>
        <v>0</v>
      </c>
      <c r="V25" s="16">
        <v>0.56000000000000005</v>
      </c>
      <c r="W25" s="44">
        <v>0.59</v>
      </c>
      <c r="X25" s="45">
        <f t="shared" si="0"/>
        <v>2875</v>
      </c>
      <c r="Y25" s="42"/>
      <c r="Z25" s="46">
        <f t="shared" si="3"/>
        <v>0</v>
      </c>
      <c r="AA25" s="49">
        <v>111599</v>
      </c>
      <c r="AB25" s="38">
        <f t="shared" si="15"/>
        <v>23.333333333328483</v>
      </c>
      <c r="AC25" s="49">
        <v>1280.9000000000001</v>
      </c>
      <c r="AD25" s="38">
        <f t="shared" si="16"/>
        <v>0.16666666666674246</v>
      </c>
      <c r="AE25" s="51">
        <v>73020</v>
      </c>
      <c r="AF25" s="38">
        <f t="shared" si="17"/>
        <v>0</v>
      </c>
      <c r="AG25" s="54">
        <v>3100</v>
      </c>
      <c r="AH25" s="65">
        <v>0</v>
      </c>
      <c r="AI25" s="46">
        <f t="shared" si="4"/>
        <v>0</v>
      </c>
      <c r="AJ25" s="11">
        <v>0</v>
      </c>
      <c r="AK25" s="19">
        <v>0</v>
      </c>
    </row>
    <row r="26" spans="1:37" x14ac:dyDescent="0.2">
      <c r="A26" s="21">
        <f t="shared" si="5"/>
        <v>45682</v>
      </c>
      <c r="B26" s="8">
        <v>32500093.333333332</v>
      </c>
      <c r="C26" s="58">
        <f t="shared" si="7"/>
        <v>691.33333333209157</v>
      </c>
      <c r="D26" s="9">
        <v>1075264.3333333333</v>
      </c>
      <c r="E26" s="14">
        <f t="shared" si="8"/>
        <v>1006.3333333332557</v>
      </c>
      <c r="F26" s="30">
        <v>123488.33333333333</v>
      </c>
      <c r="G26" s="87">
        <f t="shared" si="9"/>
        <v>630.33333333332848</v>
      </c>
      <c r="H26" s="91">
        <f t="shared" si="1"/>
        <v>1067.3333333320188</v>
      </c>
      <c r="I26" s="96">
        <f t="shared" si="2"/>
        <v>683.31075268662244</v>
      </c>
      <c r="J26" s="84">
        <v>4769265.6000000006</v>
      </c>
      <c r="K26" s="38">
        <f t="shared" si="10"/>
        <v>172.40000000037253</v>
      </c>
      <c r="L26" s="12">
        <v>468860.25806451601</v>
      </c>
      <c r="M26" s="38">
        <f t="shared" si="11"/>
        <v>24.677419355022721</v>
      </c>
      <c r="N26" s="12">
        <v>131963.683870968</v>
      </c>
      <c r="O26" s="38">
        <f t="shared" si="12"/>
        <v>72.945161290001124</v>
      </c>
      <c r="P26" s="84">
        <v>188591</v>
      </c>
      <c r="Q26" s="57">
        <f t="shared" si="13"/>
        <v>114</v>
      </c>
      <c r="R26" s="21">
        <f t="shared" si="6"/>
        <v>45682</v>
      </c>
      <c r="S26" s="36">
        <v>5571</v>
      </c>
      <c r="T26" s="37"/>
      <c r="U26" s="38">
        <f t="shared" si="14"/>
        <v>0</v>
      </c>
      <c r="V26" s="16">
        <v>0.56000000000000005</v>
      </c>
      <c r="W26" s="44">
        <v>0.59</v>
      </c>
      <c r="X26" s="45">
        <f t="shared" si="0"/>
        <v>2875</v>
      </c>
      <c r="Y26" s="42"/>
      <c r="Z26" s="46">
        <f t="shared" si="3"/>
        <v>0</v>
      </c>
      <c r="AA26" s="49">
        <v>111622.33333333333</v>
      </c>
      <c r="AB26" s="38">
        <f t="shared" si="15"/>
        <v>23.333333333328483</v>
      </c>
      <c r="AC26" s="49">
        <v>1281.0666666666668</v>
      </c>
      <c r="AD26" s="38">
        <f t="shared" si="16"/>
        <v>0.16666666666674246</v>
      </c>
      <c r="AE26" s="51">
        <v>73020</v>
      </c>
      <c r="AF26" s="38">
        <f t="shared" si="17"/>
        <v>0</v>
      </c>
      <c r="AG26" s="54">
        <v>3100</v>
      </c>
      <c r="AH26" s="65">
        <v>0</v>
      </c>
      <c r="AI26" s="46">
        <f t="shared" si="4"/>
        <v>0</v>
      </c>
      <c r="AJ26" s="11">
        <v>0</v>
      </c>
      <c r="AK26" s="19">
        <v>0</v>
      </c>
    </row>
    <row r="27" spans="1:37" x14ac:dyDescent="0.2">
      <c r="A27" s="21">
        <f t="shared" si="5"/>
        <v>45683</v>
      </c>
      <c r="B27" s="8">
        <v>32500784.666666664</v>
      </c>
      <c r="C27" s="58">
        <f t="shared" si="7"/>
        <v>691.33333333581686</v>
      </c>
      <c r="D27" s="9">
        <v>1076270.6666666665</v>
      </c>
      <c r="E27" s="14">
        <f t="shared" si="8"/>
        <v>1006.3333333334886</v>
      </c>
      <c r="F27" s="30">
        <v>124118.66666666666</v>
      </c>
      <c r="G27" s="87">
        <f t="shared" si="9"/>
        <v>630.33333333334303</v>
      </c>
      <c r="H27" s="91">
        <f t="shared" si="1"/>
        <v>1067.3333333359624</v>
      </c>
      <c r="I27" s="96">
        <f t="shared" si="2"/>
        <v>683.31075269155554</v>
      </c>
      <c r="J27" s="84">
        <v>4769438.0000000009</v>
      </c>
      <c r="K27" s="38">
        <f t="shared" si="10"/>
        <v>172.39999999944121</v>
      </c>
      <c r="L27" s="12">
        <v>468884.93548387103</v>
      </c>
      <c r="M27" s="38">
        <f t="shared" si="11"/>
        <v>24.677419354964513</v>
      </c>
      <c r="N27" s="12">
        <v>132036.629032258</v>
      </c>
      <c r="O27" s="38">
        <f t="shared" si="12"/>
        <v>72.945161290001124</v>
      </c>
      <c r="P27" s="84">
        <v>188705</v>
      </c>
      <c r="Q27" s="57">
        <f t="shared" si="13"/>
        <v>114</v>
      </c>
      <c r="R27" s="21">
        <f t="shared" si="6"/>
        <v>45683</v>
      </c>
      <c r="S27" s="36">
        <v>5571</v>
      </c>
      <c r="T27" s="37"/>
      <c r="U27" s="38">
        <f t="shared" si="14"/>
        <v>0</v>
      </c>
      <c r="V27" s="16">
        <v>0.56000000000000005</v>
      </c>
      <c r="W27" s="44">
        <v>0.59</v>
      </c>
      <c r="X27" s="45">
        <f t="shared" si="0"/>
        <v>2875</v>
      </c>
      <c r="Y27" s="42"/>
      <c r="Z27" s="46">
        <f t="shared" si="3"/>
        <v>0</v>
      </c>
      <c r="AA27" s="49">
        <v>111645.66666666666</v>
      </c>
      <c r="AB27" s="38">
        <f t="shared" si="15"/>
        <v>23.333333333343035</v>
      </c>
      <c r="AC27" s="49">
        <v>1281.2333333333336</v>
      </c>
      <c r="AD27" s="38">
        <f t="shared" si="16"/>
        <v>0.16666666666651508</v>
      </c>
      <c r="AE27" s="51">
        <v>73020</v>
      </c>
      <c r="AF27" s="38">
        <f t="shared" si="17"/>
        <v>0</v>
      </c>
      <c r="AG27" s="54">
        <v>3100</v>
      </c>
      <c r="AH27" s="65">
        <v>0</v>
      </c>
      <c r="AI27" s="46">
        <f t="shared" si="4"/>
        <v>0</v>
      </c>
      <c r="AJ27" s="11">
        <v>0</v>
      </c>
      <c r="AK27" s="19">
        <v>0</v>
      </c>
    </row>
    <row r="28" spans="1:37" x14ac:dyDescent="0.2">
      <c r="A28" s="21">
        <f t="shared" si="5"/>
        <v>45684</v>
      </c>
      <c r="B28" s="8">
        <v>32501476</v>
      </c>
      <c r="C28" s="58">
        <f t="shared" si="7"/>
        <v>661</v>
      </c>
      <c r="D28" s="9">
        <v>1077277</v>
      </c>
      <c r="E28" s="14">
        <f t="shared" si="8"/>
        <v>1468</v>
      </c>
      <c r="F28" s="30">
        <v>124749</v>
      </c>
      <c r="G28" s="87">
        <f t="shared" si="9"/>
        <v>981</v>
      </c>
      <c r="H28" s="91">
        <f t="shared" si="1"/>
        <v>1148</v>
      </c>
      <c r="I28" s="96">
        <f t="shared" si="2"/>
        <v>762.37741935398662</v>
      </c>
      <c r="J28" s="84">
        <v>4769610.4000000004</v>
      </c>
      <c r="K28" s="38">
        <f t="shared" si="10"/>
        <v>174</v>
      </c>
      <c r="L28" s="12">
        <v>468909.61290322599</v>
      </c>
      <c r="M28" s="38">
        <f t="shared" si="11"/>
        <v>24.677419355022721</v>
      </c>
      <c r="N28" s="12">
        <v>132109.574193548</v>
      </c>
      <c r="O28" s="38">
        <f t="shared" si="12"/>
        <v>72.945161290990654</v>
      </c>
      <c r="P28" s="84">
        <v>188819</v>
      </c>
      <c r="Q28" s="57">
        <f t="shared" si="13"/>
        <v>114</v>
      </c>
      <c r="R28" s="21">
        <f t="shared" si="6"/>
        <v>45684</v>
      </c>
      <c r="S28" s="36">
        <v>5571</v>
      </c>
      <c r="T28" s="37"/>
      <c r="U28" s="38">
        <f t="shared" si="14"/>
        <v>0</v>
      </c>
      <c r="V28" s="16">
        <v>0.56000000000000005</v>
      </c>
      <c r="W28" s="44">
        <v>0.59</v>
      </c>
      <c r="X28" s="45">
        <f t="shared" si="0"/>
        <v>2875</v>
      </c>
      <c r="Y28" s="42"/>
      <c r="Z28" s="46">
        <f t="shared" si="3"/>
        <v>0</v>
      </c>
      <c r="AA28" s="49">
        <v>111669</v>
      </c>
      <c r="AB28" s="38">
        <f t="shared" si="15"/>
        <v>17</v>
      </c>
      <c r="AC28" s="49">
        <v>1281.4000000000001</v>
      </c>
      <c r="AD28" s="38">
        <f t="shared" si="16"/>
        <v>0.1999999999998181</v>
      </c>
      <c r="AE28" s="51">
        <v>73020</v>
      </c>
      <c r="AF28" s="38">
        <f t="shared" si="17"/>
        <v>0</v>
      </c>
      <c r="AG28" s="54">
        <v>3100</v>
      </c>
      <c r="AH28" s="65">
        <v>0</v>
      </c>
      <c r="AI28" s="46">
        <f t="shared" si="4"/>
        <v>0</v>
      </c>
      <c r="AJ28" s="11">
        <v>0</v>
      </c>
      <c r="AK28" s="19">
        <v>0</v>
      </c>
    </row>
    <row r="29" spans="1:37" x14ac:dyDescent="0.2">
      <c r="A29" s="21">
        <f t="shared" si="5"/>
        <v>45685</v>
      </c>
      <c r="B29" s="8">
        <v>32502137</v>
      </c>
      <c r="C29" s="58">
        <f t="shared" si="7"/>
        <v>642</v>
      </c>
      <c r="D29" s="9">
        <v>1078745</v>
      </c>
      <c r="E29" s="14">
        <f t="shared" si="8"/>
        <v>1347</v>
      </c>
      <c r="F29" s="30">
        <v>125730</v>
      </c>
      <c r="G29" s="87">
        <f t="shared" si="9"/>
        <v>860</v>
      </c>
      <c r="H29" s="91">
        <f t="shared" si="1"/>
        <v>1129</v>
      </c>
      <c r="I29" s="96">
        <f t="shared" si="2"/>
        <v>746.17741935577942</v>
      </c>
      <c r="J29" s="84">
        <v>4769784.4000000004</v>
      </c>
      <c r="K29" s="38">
        <f t="shared" si="10"/>
        <v>171.19999999925494</v>
      </c>
      <c r="L29" s="12">
        <v>468934.29032258102</v>
      </c>
      <c r="M29" s="38">
        <f t="shared" si="11"/>
        <v>24.677419354964513</v>
      </c>
      <c r="N29" s="12">
        <v>132182.51935483899</v>
      </c>
      <c r="O29" s="38">
        <f t="shared" si="12"/>
        <v>72.945161290001124</v>
      </c>
      <c r="P29" s="84">
        <v>188933</v>
      </c>
      <c r="Q29" s="57">
        <f t="shared" si="13"/>
        <v>114</v>
      </c>
      <c r="R29" s="21">
        <f t="shared" si="6"/>
        <v>45685</v>
      </c>
      <c r="S29" s="36">
        <v>5571</v>
      </c>
      <c r="T29" s="37"/>
      <c r="U29" s="38">
        <f t="shared" si="14"/>
        <v>0</v>
      </c>
      <c r="V29" s="16">
        <v>0.56000000000000005</v>
      </c>
      <c r="W29" s="44">
        <v>0.59</v>
      </c>
      <c r="X29" s="45">
        <f t="shared" si="0"/>
        <v>2875</v>
      </c>
      <c r="Y29" s="42"/>
      <c r="Z29" s="46">
        <f t="shared" si="3"/>
        <v>0</v>
      </c>
      <c r="AA29" s="49">
        <v>111686</v>
      </c>
      <c r="AB29" s="38">
        <f t="shared" si="15"/>
        <v>12</v>
      </c>
      <c r="AC29" s="49">
        <v>1281.5999999999999</v>
      </c>
      <c r="AD29" s="38">
        <f t="shared" si="16"/>
        <v>0.10000000000013642</v>
      </c>
      <c r="AE29" s="51">
        <v>73020</v>
      </c>
      <c r="AF29" s="38">
        <f t="shared" si="17"/>
        <v>7</v>
      </c>
      <c r="AG29" s="54">
        <v>3100</v>
      </c>
      <c r="AH29" s="65">
        <v>0</v>
      </c>
      <c r="AI29" s="46">
        <f t="shared" si="4"/>
        <v>0</v>
      </c>
      <c r="AJ29" s="11">
        <v>0</v>
      </c>
      <c r="AK29" s="19">
        <v>0</v>
      </c>
    </row>
    <row r="30" spans="1:37" x14ac:dyDescent="0.2">
      <c r="A30" s="21">
        <f t="shared" si="5"/>
        <v>45686</v>
      </c>
      <c r="B30" s="8">
        <v>32502779</v>
      </c>
      <c r="C30" s="58">
        <f t="shared" si="7"/>
        <v>633</v>
      </c>
      <c r="D30" s="9">
        <v>1080092</v>
      </c>
      <c r="E30" s="14">
        <f t="shared" si="8"/>
        <v>1488</v>
      </c>
      <c r="F30" s="30">
        <v>126590</v>
      </c>
      <c r="G30" s="87">
        <f t="shared" si="9"/>
        <v>982</v>
      </c>
      <c r="H30" s="91">
        <f t="shared" si="1"/>
        <v>1139</v>
      </c>
      <c r="I30" s="96">
        <f t="shared" si="2"/>
        <v>751.37741935497615</v>
      </c>
      <c r="J30" s="84">
        <v>4769955.5999999996</v>
      </c>
      <c r="K30" s="38">
        <f t="shared" si="10"/>
        <v>176</v>
      </c>
      <c r="L30" s="12">
        <v>468958.96774193598</v>
      </c>
      <c r="M30" s="38">
        <f t="shared" si="11"/>
        <v>24.677419355022721</v>
      </c>
      <c r="N30" s="12">
        <v>132255.464516129</v>
      </c>
      <c r="O30" s="38">
        <f t="shared" si="12"/>
        <v>72.945161290001124</v>
      </c>
      <c r="P30" s="84">
        <v>189047</v>
      </c>
      <c r="Q30" s="57">
        <f t="shared" si="13"/>
        <v>114</v>
      </c>
      <c r="R30" s="21">
        <f t="shared" si="6"/>
        <v>45686</v>
      </c>
      <c r="S30" s="36">
        <v>5571</v>
      </c>
      <c r="T30" s="37"/>
      <c r="U30" s="38">
        <f t="shared" si="14"/>
        <v>0</v>
      </c>
      <c r="V30" s="16">
        <v>0.56000000000000005</v>
      </c>
      <c r="W30" s="44">
        <v>0.59</v>
      </c>
      <c r="X30" s="45">
        <f t="shared" si="0"/>
        <v>2875</v>
      </c>
      <c r="Y30" s="42"/>
      <c r="Z30" s="46">
        <f t="shared" si="3"/>
        <v>0</v>
      </c>
      <c r="AA30" s="49">
        <v>111698</v>
      </c>
      <c r="AB30" s="38">
        <f t="shared" si="15"/>
        <v>6</v>
      </c>
      <c r="AC30" s="49">
        <v>1281.7</v>
      </c>
      <c r="AD30" s="38">
        <f t="shared" si="16"/>
        <v>0.29999999999995453</v>
      </c>
      <c r="AE30" s="51">
        <v>73027</v>
      </c>
      <c r="AF30" s="38">
        <f t="shared" si="17"/>
        <v>0</v>
      </c>
      <c r="AG30" s="54">
        <v>3100</v>
      </c>
      <c r="AH30" s="65">
        <v>0</v>
      </c>
      <c r="AI30" s="46">
        <f t="shared" si="4"/>
        <v>0</v>
      </c>
      <c r="AJ30" s="11">
        <v>0</v>
      </c>
      <c r="AK30" s="19">
        <v>0</v>
      </c>
    </row>
    <row r="31" spans="1:37" x14ac:dyDescent="0.2">
      <c r="A31" s="21">
        <f t="shared" si="5"/>
        <v>45687</v>
      </c>
      <c r="B31" s="8">
        <v>32503412</v>
      </c>
      <c r="C31" s="58">
        <f t="shared" si="7"/>
        <v>613</v>
      </c>
      <c r="D31" s="9">
        <v>1081580</v>
      </c>
      <c r="E31" s="14">
        <f t="shared" si="8"/>
        <v>1505</v>
      </c>
      <c r="F31" s="31">
        <v>127572</v>
      </c>
      <c r="G31" s="87">
        <f t="shared" si="9"/>
        <v>1017</v>
      </c>
      <c r="H31" s="91">
        <f t="shared" si="1"/>
        <v>1101</v>
      </c>
      <c r="I31" s="96">
        <f t="shared" si="2"/>
        <v>719.77741935447557</v>
      </c>
      <c r="J31" s="88">
        <v>4770131.5999999996</v>
      </c>
      <c r="K31" s="38">
        <f t="shared" si="10"/>
        <v>169.60000000055879</v>
      </c>
      <c r="L31" s="12">
        <v>468983.645161291</v>
      </c>
      <c r="M31" s="38">
        <f t="shared" si="11"/>
        <v>24.677419353974983</v>
      </c>
      <c r="N31" s="12">
        <v>132328.409677419</v>
      </c>
      <c r="O31" s="38">
        <f t="shared" si="12"/>
        <v>72.945161290990654</v>
      </c>
      <c r="P31" s="84">
        <v>189161</v>
      </c>
      <c r="Q31" s="57">
        <f t="shared" si="13"/>
        <v>114</v>
      </c>
      <c r="R31" s="21">
        <f t="shared" si="6"/>
        <v>45687</v>
      </c>
      <c r="S31" s="36">
        <v>5571</v>
      </c>
      <c r="T31" s="37"/>
      <c r="U31" s="38">
        <f t="shared" si="14"/>
        <v>0</v>
      </c>
      <c r="V31" s="16">
        <v>0.56000000000000005</v>
      </c>
      <c r="W31" s="44">
        <v>0.59</v>
      </c>
      <c r="X31" s="45">
        <f t="shared" si="0"/>
        <v>2875</v>
      </c>
      <c r="Y31" s="42"/>
      <c r="Z31" s="46">
        <f t="shared" si="3"/>
        <v>0</v>
      </c>
      <c r="AA31" s="49">
        <v>111704</v>
      </c>
      <c r="AB31" s="38">
        <f t="shared" si="15"/>
        <v>9</v>
      </c>
      <c r="AC31" s="59">
        <v>1282</v>
      </c>
      <c r="AD31" s="38">
        <f t="shared" si="16"/>
        <v>0.20000000000004547</v>
      </c>
      <c r="AE31" s="51">
        <v>73027</v>
      </c>
      <c r="AF31" s="38">
        <f t="shared" si="17"/>
        <v>0</v>
      </c>
      <c r="AG31" s="54">
        <v>3100</v>
      </c>
      <c r="AH31" s="65">
        <v>0</v>
      </c>
      <c r="AI31" s="46">
        <f t="shared" si="4"/>
        <v>0</v>
      </c>
      <c r="AJ31" s="11">
        <v>0</v>
      </c>
      <c r="AK31" s="19">
        <v>0</v>
      </c>
    </row>
    <row r="32" spans="1:37" ht="13.5" thickBot="1" x14ac:dyDescent="0.25">
      <c r="A32" s="21">
        <f t="shared" si="5"/>
        <v>45688</v>
      </c>
      <c r="B32" s="8">
        <v>32504025</v>
      </c>
      <c r="C32" s="58">
        <f t="shared" si="7"/>
        <v>655</v>
      </c>
      <c r="D32" s="9">
        <v>1083085</v>
      </c>
      <c r="E32" s="14">
        <f t="shared" si="8"/>
        <v>1136.6666666667443</v>
      </c>
      <c r="F32" s="31">
        <v>128589</v>
      </c>
      <c r="G32" s="87">
        <f t="shared" si="9"/>
        <v>808.66666666667152</v>
      </c>
      <c r="H32" s="92">
        <f t="shared" si="1"/>
        <v>983.00000000007276</v>
      </c>
      <c r="I32" s="97">
        <f t="shared" si="2"/>
        <v>599.37741935504891</v>
      </c>
      <c r="J32" s="88">
        <v>4770301.2</v>
      </c>
      <c r="K32" s="38">
        <f t="shared" si="10"/>
        <v>172</v>
      </c>
      <c r="L32" s="12">
        <v>469008.32258064498</v>
      </c>
      <c r="M32" s="38">
        <f t="shared" si="11"/>
        <v>24.677419355022721</v>
      </c>
      <c r="N32" s="12">
        <v>132401.35483870999</v>
      </c>
      <c r="O32" s="38">
        <f t="shared" si="12"/>
        <v>72.945161290001124</v>
      </c>
      <c r="P32" s="84">
        <v>189275</v>
      </c>
      <c r="Q32" s="57">
        <f t="shared" si="13"/>
        <v>114</v>
      </c>
      <c r="R32" s="21">
        <f t="shared" si="6"/>
        <v>45688</v>
      </c>
      <c r="S32" s="36">
        <v>5571</v>
      </c>
      <c r="T32" s="37"/>
      <c r="U32" s="38">
        <f t="shared" si="14"/>
        <v>0</v>
      </c>
      <c r="V32" s="16">
        <v>0.56000000000000005</v>
      </c>
      <c r="W32" s="44">
        <v>0.59</v>
      </c>
      <c r="X32" s="45">
        <f t="shared" si="0"/>
        <v>2875</v>
      </c>
      <c r="Y32" s="42"/>
      <c r="Z32" s="46">
        <f t="shared" si="3"/>
        <v>0</v>
      </c>
      <c r="AA32" s="49">
        <v>111713</v>
      </c>
      <c r="AB32" s="38">
        <f t="shared" si="15"/>
        <v>5</v>
      </c>
      <c r="AC32" s="59">
        <v>1282.2</v>
      </c>
      <c r="AD32" s="38">
        <f t="shared" si="16"/>
        <v>0.43333333333339397</v>
      </c>
      <c r="AE32" s="51">
        <v>73027</v>
      </c>
      <c r="AF32" s="38">
        <f t="shared" si="17"/>
        <v>0</v>
      </c>
      <c r="AG32" s="54">
        <v>3100</v>
      </c>
      <c r="AH32" s="65">
        <v>0</v>
      </c>
      <c r="AI32" s="69">
        <f t="shared" si="4"/>
        <v>0</v>
      </c>
      <c r="AJ32" s="70">
        <v>0</v>
      </c>
      <c r="AK32" s="71">
        <v>0</v>
      </c>
    </row>
    <row r="33" spans="1:37" ht="14.25" thickTop="1" thickBot="1" x14ac:dyDescent="0.25">
      <c r="A33" s="22">
        <f>A32+1</f>
        <v>45689</v>
      </c>
      <c r="B33" s="66">
        <v>32504680</v>
      </c>
      <c r="C33" s="82"/>
      <c r="D33" s="79">
        <v>1084221.6666666667</v>
      </c>
      <c r="E33" s="82"/>
      <c r="F33" s="80">
        <v>129397.66666666667</v>
      </c>
      <c r="G33" s="137"/>
      <c r="H33" s="138"/>
      <c r="I33" s="139"/>
      <c r="J33" s="81">
        <v>4770473.2</v>
      </c>
      <c r="K33" s="82"/>
      <c r="L33" s="78">
        <v>469033</v>
      </c>
      <c r="M33" s="82"/>
      <c r="N33" s="78">
        <v>132474.29999999999</v>
      </c>
      <c r="O33" s="82"/>
      <c r="P33" s="78">
        <v>189389</v>
      </c>
      <c r="Q33" s="82"/>
      <c r="R33" s="77">
        <f>A33</f>
        <v>45689</v>
      </c>
      <c r="S33" s="60">
        <v>5571</v>
      </c>
      <c r="T33" s="83"/>
      <c r="U33" s="82"/>
      <c r="V33" s="76">
        <v>0.56000000000000005</v>
      </c>
      <c r="W33" s="61">
        <v>0.59</v>
      </c>
      <c r="X33" s="47">
        <f t="shared" si="0"/>
        <v>2875</v>
      </c>
      <c r="Y33" s="67"/>
      <c r="Z33" s="82"/>
      <c r="AA33" s="75">
        <v>111718</v>
      </c>
      <c r="AB33" s="82"/>
      <c r="AC33" s="74">
        <v>1282.6333333333334</v>
      </c>
      <c r="AD33" s="82"/>
      <c r="AE33" s="73">
        <v>73027</v>
      </c>
      <c r="AF33" s="82"/>
      <c r="AG33" s="72">
        <v>3100</v>
      </c>
      <c r="AH33" s="68">
        <v>0</v>
      </c>
      <c r="AI33" s="137"/>
      <c r="AJ33" s="140"/>
      <c r="AK33" s="140"/>
    </row>
    <row r="34" spans="1:37" s="104" customFormat="1" ht="12" thickTop="1" x14ac:dyDescent="0.2">
      <c r="A34" s="101"/>
      <c r="B34" s="101"/>
      <c r="C34" s="133">
        <f>SUM(C2:C33)</f>
        <v>43429</v>
      </c>
      <c r="D34" s="102"/>
      <c r="E34" s="133">
        <f>SUM(E2:E33)</f>
        <v>33154.666666666744</v>
      </c>
      <c r="F34" s="103"/>
      <c r="G34" s="133">
        <f>SUM(G2:G33)</f>
        <v>15380.666666666672</v>
      </c>
      <c r="H34" s="133">
        <f>SUM(H2:H33)</f>
        <v>61203.000000000073</v>
      </c>
      <c r="I34" s="133">
        <f>SUM(I2:I32)</f>
        <v>41785.900000000271</v>
      </c>
      <c r="J34" s="103"/>
      <c r="K34" s="133">
        <f>SUM(K2:K33)</f>
        <v>12856.799999999814</v>
      </c>
      <c r="L34" s="103"/>
      <c r="M34" s="133">
        <f>SUM(M2:M33)</f>
        <v>765</v>
      </c>
      <c r="N34" s="103"/>
      <c r="O34" s="133">
        <f>SUM(O2:O33)</f>
        <v>2261.2999999999884</v>
      </c>
      <c r="P34" s="103"/>
      <c r="Q34" s="133">
        <f>SUM(Q2:Q33)</f>
        <v>3534</v>
      </c>
      <c r="R34" s="101"/>
      <c r="S34" s="102"/>
      <c r="T34" s="102"/>
      <c r="U34" s="134">
        <f>SUM(U2:U33)</f>
        <v>2610</v>
      </c>
      <c r="V34" s="101"/>
      <c r="W34" s="101"/>
      <c r="X34" s="101"/>
      <c r="Y34" s="135">
        <f>SUM(Y2:Y33)</f>
        <v>0</v>
      </c>
      <c r="Z34" s="133">
        <f>SUM(Z2:Z33)</f>
        <v>225</v>
      </c>
      <c r="AA34" s="101"/>
      <c r="AB34" s="133">
        <f>SUM(AB2:AB33)</f>
        <v>732</v>
      </c>
      <c r="AC34" s="103"/>
      <c r="AD34" s="133">
        <f>SUM(AD2:AD33)</f>
        <v>55.433333333333394</v>
      </c>
      <c r="AE34" s="101"/>
      <c r="AF34" s="134">
        <f>SUM(AF2:AF33)</f>
        <v>120</v>
      </c>
      <c r="AG34" s="101"/>
      <c r="AH34" s="136">
        <f>SUM(AH2:AH33)</f>
        <v>0</v>
      </c>
      <c r="AI34" s="133">
        <f>SUM(AI2:AI33)</f>
        <v>0</v>
      </c>
      <c r="AJ34" s="133">
        <f>SUM(AJ2:AJ33)</f>
        <v>627</v>
      </c>
      <c r="AK34" s="133">
        <f>SUM(AK2:AK32)</f>
        <v>1263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93"/>
      <c r="I37" s="93"/>
      <c r="J37" s="1"/>
      <c r="L37" s="1"/>
      <c r="N37" s="1"/>
      <c r="O37" s="62"/>
      <c r="P37" s="1"/>
      <c r="Q37" s="62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4"/>
      <c r="N41" s="4"/>
      <c r="P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4"/>
      <c r="N42" s="4"/>
      <c r="P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2025-02-05T09:24:39Z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