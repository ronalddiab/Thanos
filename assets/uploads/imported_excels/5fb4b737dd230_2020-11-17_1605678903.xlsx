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Q18" i="9" l="1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S23" i="7" l="1"/>
  <c r="AM38" i="7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<sst xmlns="http://schemas.openxmlformats.org/spreadsheetml/2006/main" count="128" uniqueCount="49">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</sst>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50830</v>
      </c>
      <c r="F18" s="11">
        <v>5.0000000000000001E-3</v>
      </c>
      <c r="G18" s="12">
        <f>Submetering!R18</f>
        <v>628.75660100000005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540</v>
      </c>
      <c r="F18" s="4">
        <f>Hotel!R23</f>
        <v>1870</v>
      </c>
      <c r="G18" s="4">
        <f>Hotel!S23</f>
        <v>3700</v>
      </c>
      <c r="H18" s="4">
        <f>Hotel!T23</f>
        <v>1580</v>
      </c>
      <c r="I18" s="4">
        <f>Hotel!U23</f>
        <v>4740</v>
      </c>
      <c r="J18" s="4">
        <f>Hotel!V23</f>
        <v>3350</v>
      </c>
      <c r="K18" s="4">
        <f>Hotel!W23</f>
        <v>2310</v>
      </c>
      <c r="L18" s="4">
        <f>Hotel!X23</f>
        <v>3540</v>
      </c>
      <c r="M18" s="4">
        <f>Hotel!Y23</f>
        <v>5550</v>
      </c>
      <c r="N18" s="4">
        <f>Hotel!Z23</f>
        <v>2470</v>
      </c>
      <c r="O18" s="4">
        <f>Hotel!AA23</f>
        <v>3080</v>
      </c>
      <c r="P18" s="4">
        <f>Hotel!AB23</f>
        <v>6780</v>
      </c>
      <c r="Q18" s="4">
        <f>Hotel!AC23</f>
        <v>11320</v>
      </c>
      <c r="R18" s="4">
        <f>Hotel!AV23*0.00378541*100</f>
        <v>628.75660100000005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O28" sqref="AO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>
        <v>62</v>
      </c>
      <c r="C23" s="24">
        <v>6476270</v>
      </c>
      <c r="D23" s="24">
        <v>14949000</v>
      </c>
      <c r="E23" s="24">
        <v>2172650</v>
      </c>
      <c r="F23" s="24">
        <v>3122950</v>
      </c>
      <c r="G23" s="24">
        <v>9473400</v>
      </c>
      <c r="H23" s="24">
        <v>4862580</v>
      </c>
      <c r="I23" s="24">
        <v>4604100</v>
      </c>
      <c r="J23" s="24">
        <v>5217000</v>
      </c>
      <c r="K23" s="24">
        <v>8172000</v>
      </c>
      <c r="L23" s="24">
        <v>3328180</v>
      </c>
      <c r="M23" s="24">
        <v>7230920</v>
      </c>
      <c r="N23" s="24">
        <v>10654640</v>
      </c>
      <c r="O23" s="24">
        <v>14450970</v>
      </c>
      <c r="Q23" s="37">
        <f t="shared" si="16"/>
        <v>540</v>
      </c>
      <c r="R23" s="37">
        <f t="shared" si="17"/>
        <v>1870</v>
      </c>
      <c r="S23" s="37">
        <f t="shared" si="15"/>
        <v>3700</v>
      </c>
      <c r="T23" s="37">
        <f t="shared" si="18"/>
        <v>1580</v>
      </c>
      <c r="U23" s="37">
        <f t="shared" si="19"/>
        <v>4740</v>
      </c>
      <c r="V23" s="37">
        <f t="shared" si="20"/>
        <v>3350</v>
      </c>
      <c r="W23" s="37">
        <f t="shared" si="21"/>
        <v>2310</v>
      </c>
      <c r="X23" s="37">
        <f t="shared" si="22"/>
        <v>3540</v>
      </c>
      <c r="Y23" s="37">
        <f t="shared" si="23"/>
        <v>5550</v>
      </c>
      <c r="Z23" s="37">
        <f t="shared" si="24"/>
        <v>2470</v>
      </c>
      <c r="AA23" s="37">
        <f t="shared" si="25"/>
        <v>3080</v>
      </c>
      <c r="AB23" s="37">
        <f t="shared" si="26"/>
        <v>6780</v>
      </c>
      <c r="AC23" s="37">
        <f t="shared" si="27"/>
        <v>11320</v>
      </c>
      <c r="AD23" s="35">
        <f t="shared" si="28"/>
        <v>50830</v>
      </c>
      <c r="AF23" s="20">
        <f t="shared" si="1"/>
        <v>2.7</v>
      </c>
      <c r="AG23" s="20">
        <f t="shared" si="2"/>
        <v>9.35</v>
      </c>
      <c r="AH23" s="20">
        <f t="shared" si="3"/>
        <v>18.5</v>
      </c>
      <c r="AI23" s="20">
        <f t="shared" si="4"/>
        <v>7.9</v>
      </c>
      <c r="AJ23" s="20">
        <f t="shared" si="5"/>
        <v>23.7</v>
      </c>
      <c r="AK23" s="20">
        <f t="shared" si="6"/>
        <v>16.75</v>
      </c>
      <c r="AL23" s="20">
        <f t="shared" si="7"/>
        <v>11.55</v>
      </c>
      <c r="AM23" s="20">
        <f t="shared" si="8"/>
        <v>17.7</v>
      </c>
      <c r="AN23" s="20">
        <f t="shared" si="9"/>
        <v>27.75</v>
      </c>
      <c r="AO23" s="20">
        <f t="shared" si="10"/>
        <v>12.35</v>
      </c>
      <c r="AP23" s="20">
        <f t="shared" si="11"/>
        <v>15.4</v>
      </c>
      <c r="AQ23" s="20">
        <f t="shared" si="12"/>
        <v>33.9</v>
      </c>
      <c r="AR23" s="20">
        <f t="shared" si="13"/>
        <v>56.6</v>
      </c>
      <c r="AS23" s="35">
        <f t="shared" si="29"/>
        <v>254.15</v>
      </c>
      <c r="AU23" s="47">
        <v>306710</v>
      </c>
      <c r="AV23" s="37">
        <f t="shared" si="31"/>
        <v>1661</v>
      </c>
      <c r="AW23" s="35">
        <f t="shared" si="30"/>
        <v>3.3220000000000001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6"/>
        <v>0</v>
      </c>
      <c r="R24" s="37" t="str">
        <f t="shared" si="17"/>
        <v>0</v>
      </c>
      <c r="S24" s="37" t="str">
        <f t="shared" si="15"/>
        <v>0</v>
      </c>
      <c r="T24" s="37" t="str">
        <f t="shared" si="18"/>
        <v>0</v>
      </c>
      <c r="U24" s="37" t="str">
        <f t="shared" si="19"/>
        <v>0</v>
      </c>
      <c r="V24" s="37" t="str">
        <f t="shared" si="20"/>
        <v>0</v>
      </c>
      <c r="W24" s="37" t="str">
        <f t="shared" si="21"/>
        <v>0</v>
      </c>
      <c r="X24" s="37" t="str">
        <f t="shared" si="22"/>
        <v>0</v>
      </c>
      <c r="Y24" s="37" t="str">
        <f t="shared" si="23"/>
        <v>0</v>
      </c>
      <c r="Z24" s="37" t="str">
        <f t="shared" si="24"/>
        <v>0</v>
      </c>
      <c r="AA24" s="37" t="str">
        <f t="shared" si="25"/>
        <v>0</v>
      </c>
      <c r="AB24" s="37" t="str">
        <f t="shared" si="26"/>
        <v>0</v>
      </c>
      <c r="AC24" s="37" t="str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 t="str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73630</v>
      </c>
      <c r="R38" s="30">
        <f t="shared" si="38"/>
        <v>212090</v>
      </c>
      <c r="S38" s="30">
        <f t="shared" si="38"/>
        <v>6730</v>
      </c>
      <c r="T38" s="30">
        <f t="shared" si="38"/>
        <v>26710</v>
      </c>
      <c r="U38" s="30">
        <f t="shared" si="38"/>
        <v>79920</v>
      </c>
      <c r="V38" s="30">
        <f t="shared" si="38"/>
        <v>56538</v>
      </c>
      <c r="W38" s="30">
        <f t="shared" si="38"/>
        <v>40500</v>
      </c>
      <c r="X38" s="30">
        <f t="shared" si="38"/>
        <v>64250</v>
      </c>
      <c r="Y38" s="30">
        <f t="shared" si="38"/>
        <v>95020</v>
      </c>
      <c r="Z38" s="30">
        <f t="shared" si="38"/>
        <v>43530</v>
      </c>
      <c r="AA38" s="30">
        <f t="shared" si="38"/>
        <v>54900</v>
      </c>
      <c r="AB38" s="30">
        <f t="shared" si="38"/>
        <v>120140</v>
      </c>
      <c r="AC38" s="30">
        <f t="shared" si="38"/>
        <v>188420</v>
      </c>
      <c r="AD38" s="35">
        <f t="shared" si="38"/>
        <v>1062378</v>
      </c>
      <c r="AF38" s="35">
        <f t="shared" ref="AF38:AS38" si="39">SUM(AF7:AF34)</f>
        <v>368.15000000000003</v>
      </c>
      <c r="AG38" s="35">
        <f t="shared" si="39"/>
        <v>1060.4499999999998</v>
      </c>
      <c r="AH38" s="35">
        <f t="shared" si="39"/>
        <v>33.65</v>
      </c>
      <c r="AI38" s="35">
        <f t="shared" si="39"/>
        <v>133.55000000000001</v>
      </c>
      <c r="AJ38" s="35">
        <f t="shared" si="39"/>
        <v>399.6</v>
      </c>
      <c r="AK38" s="35">
        <f t="shared" si="39"/>
        <v>282.69</v>
      </c>
      <c r="AL38" s="35">
        <f t="shared" si="39"/>
        <v>202.50000000000003</v>
      </c>
      <c r="AM38" s="35">
        <f t="shared" si="39"/>
        <v>321.25</v>
      </c>
      <c r="AN38" s="35">
        <f t="shared" si="39"/>
        <v>475.10000000000008</v>
      </c>
      <c r="AO38" s="35">
        <f t="shared" si="39"/>
        <v>217.64999999999998</v>
      </c>
      <c r="AP38" s="35">
        <f t="shared" si="39"/>
        <v>274.5</v>
      </c>
      <c r="AQ38" s="35">
        <f t="shared" si="39"/>
        <v>600.69999999999993</v>
      </c>
      <c r="AR38" s="35">
        <f t="shared" si="39"/>
        <v>942.10000000000025</v>
      </c>
      <c r="AS38" s="35">
        <f t="shared" si="39"/>
        <v>5311.8899999999985</v>
      </c>
      <c r="AU38" s="48"/>
      <c r="AV38" s="35">
        <f>SUM(AV7:AV34)</f>
        <v>31370</v>
      </c>
      <c r="AW38" s="35">
        <f>SUM(AW7:AW34)</f>
        <v>54.960000000000008</v>
      </c>
    </row>
    <row r="39" spans="1:49" x14ac:dyDescent="0.25">
      <c r="D39">
        <v>5.0000000000000001E-3</v>
      </c>
      <c r="AV39" s="36">
        <f>AV38*0.00378541*1000</f>
        <v>118748.31170000001</v>
      </c>
    </row>
    <row r="40" spans="1:49" x14ac:dyDescent="0.25">
      <c r="D40">
        <v>2E-3</v>
      </c>
      <c r="AV40">
        <f>AV39/31</f>
        <v>3830.5907000000002</v>
      </c>
    </row>
    <row r="41" spans="1:49" x14ac:dyDescent="0.25">
      <c r="AV41">
        <f>AV38*0.00378541</f>
        <v>118.7483117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2020-11-18T05:54:16Z</dcterms:modified>
</cp:coreProperties>
</file>