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FB8C275-8B2B-4325-9CF6-DA9B0ABC0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20" i="1"/>
  <c r="I21" i="1"/>
  <c r="G20" i="1"/>
  <c r="G21" i="1"/>
  <c r="G3" i="1"/>
  <c r="G2" i="1"/>
  <c r="I4" i="4"/>
  <c r="I5" i="4"/>
  <c r="L369" i="3" l="1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60" i="4" l="1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M368" i="3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Ilker Sark:</t>
        </r>
        <r>
          <rPr>
            <sz val="9"/>
            <color indexed="81"/>
            <rFont val="Tahoma"/>
            <family val="2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<sst xmlns="http://schemas.openxmlformats.org/spreadsheetml/2006/main" count="607" uniqueCount="77">
  <si>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</si>
  <si>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</si>
  <si>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</si>
  <si>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</si>
  <si>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</si>
  <si>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</si>
  <si>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</si>
  <si>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</si>
  <si>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</si>
  <si>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</si>
  <si>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</si>
  <si>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</si>
  <si>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</si>
  <si>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</si>
  <si>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</si>
  <si>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</si>
  <si>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</si>
  <si>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</si>
  <si>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</si>
  <si>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</si>
  <si>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</si>
  <si>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</si>
  <si>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</si>
  <si>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</si>
  <si>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</si>
  <si>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</si>
  <si>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</si>
  <si>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</si>
  <si>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</si>
  <si>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</si>
  <si>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</si>
  <si>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</si>
  <si>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</si>
  <si>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</si>
  <si>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</si>
  <si>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</si>
  <si>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</si>
  <si>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</si>
  <si>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</si>
  <si>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0,142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</si>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</sst>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0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18" workbookViewId="0">
      <selection activeCell="I35" sqref="I35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4" customWidth="1"/>
    <col min="7" max="7" width="11.109375" customWidth="1"/>
    <col min="8" max="8" width="11" style="124" customWidth="1"/>
    <col min="9" max="9" width="11.5546875" customWidth="1"/>
    <col min="10" max="10" width="13.109375" style="124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 x14ac:dyDescent="0.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 x14ac:dyDescent="0.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 x14ac:dyDescent="0.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 x14ac:dyDescent="0.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 x14ac:dyDescent="0.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 x14ac:dyDescent="0.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 x14ac:dyDescent="0.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28085.759999998554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23216.399999999398</v>
      </c>
      <c r="F27" s="123">
        <v>3.97</v>
      </c>
      <c r="G27" s="4">
        <f>'Gas Water'!M30</f>
        <v>2751</v>
      </c>
      <c r="H27" s="123">
        <v>18.5</v>
      </c>
      <c r="I27" s="2">
        <f>'Gas Water'!L30</f>
        <v>217</v>
      </c>
      <c r="J27" s="123">
        <v>39.020000000000003</v>
      </c>
      <c r="K27" s="5">
        <v>99</v>
      </c>
      <c r="L27" s="5">
        <v>169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24736.500000001506</v>
      </c>
      <c r="F28" s="123">
        <v>3.97</v>
      </c>
      <c r="G28" s="4">
        <f>'Gas Water'!M31</f>
        <v>2493</v>
      </c>
      <c r="H28" s="123">
        <v>18.5</v>
      </c>
      <c r="I28" s="2">
        <f>'Gas Water'!L31</f>
        <v>230</v>
      </c>
      <c r="J28" s="123">
        <v>39.020000000000003</v>
      </c>
      <c r="K28" s="5">
        <v>109</v>
      </c>
      <c r="L28" s="5">
        <v>196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24334.919999998765</v>
      </c>
      <c r="F29" s="123">
        <v>3.97</v>
      </c>
      <c r="G29" s="4">
        <f>'Gas Water'!M32</f>
        <v>3259</v>
      </c>
      <c r="H29" s="123">
        <v>18.5</v>
      </c>
      <c r="I29" s="2">
        <f>'Gas Water'!L32</f>
        <v>243</v>
      </c>
      <c r="J29" s="123">
        <v>39.020000000000003</v>
      </c>
      <c r="K29" s="5">
        <v>89</v>
      </c>
      <c r="L29" s="5">
        <v>153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2023</v>
      </c>
      <c r="E30" s="4">
        <f>'Electricity '!I32+'Electricity '!O32</f>
        <v>25038.720000002832</v>
      </c>
      <c r="F30" s="123">
        <v>3.97</v>
      </c>
      <c r="G30" s="4">
        <f>'Gas Water'!M33</f>
        <v>3889</v>
      </c>
      <c r="H30" s="123">
        <v>18.5</v>
      </c>
      <c r="I30" s="2">
        <f>'Gas Water'!L33</f>
        <v>215</v>
      </c>
      <c r="J30" s="123">
        <v>39.020000000000003</v>
      </c>
      <c r="K30" s="5">
        <v>57</v>
      </c>
      <c r="L30" s="5">
        <v>95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2023</v>
      </c>
      <c r="E31" s="4">
        <f>'Electricity '!I33+'Electricity '!O33</f>
        <v>25241.579999998976</v>
      </c>
      <c r="F31" s="123">
        <v>3.97</v>
      </c>
      <c r="G31" s="4">
        <f>'Gas Water'!M34</f>
        <v>3927</v>
      </c>
      <c r="H31" s="123">
        <v>18.5</v>
      </c>
      <c r="I31" s="2">
        <f>'Gas Water'!L34</f>
        <v>211</v>
      </c>
      <c r="J31" s="123">
        <v>39.020000000000003</v>
      </c>
      <c r="K31" s="5">
        <v>63</v>
      </c>
      <c r="L31" s="5">
        <v>101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2023</v>
      </c>
      <c r="E32" s="4" t="e">
        <f>'Electricity '!I34+'Electricity '!O34</f>
        <v>#VALUE!</v>
      </c>
      <c r="F32" s="123">
        <v>3.97</v>
      </c>
      <c r="G32" s="4" t="str">
        <f>'Gas Water'!M35</f>
        <v/>
      </c>
      <c r="H32" s="123">
        <v>18.5</v>
      </c>
      <c r="I32" s="2" t="str">
        <f>'Gas Water'!L35</f>
        <v/>
      </c>
      <c r="J32" s="123">
        <v>39.020000000000003</v>
      </c>
      <c r="K32" s="5"/>
      <c r="L32" s="5"/>
    </row>
    <row r="33" spans="1:12" x14ac:dyDescent="0.3">
      <c r="A33" s="3" t="s">
        <v>12</v>
      </c>
      <c r="B33" s="3">
        <v>1</v>
      </c>
      <c r="C33" s="3">
        <v>2</v>
      </c>
      <c r="D33" s="3">
        <v>2023</v>
      </c>
      <c r="E33" s="4" t="e">
        <f>'Electricity '!I35+'Electricity '!O35</f>
        <v>#VALUE!</v>
      </c>
      <c r="F33" s="123">
        <v>3.97</v>
      </c>
      <c r="G33" s="4" t="str">
        <f>'Gas Water'!M36</f>
        <v/>
      </c>
      <c r="H33" s="123">
        <v>18.5</v>
      </c>
      <c r="I33" s="2" t="str">
        <f>'Gas Water'!L36</f>
        <v/>
      </c>
      <c r="J33" s="123">
        <v>39.020000000000003</v>
      </c>
      <c r="K33" s="5"/>
      <c r="L33" s="5"/>
    </row>
    <row r="34" spans="1:12" x14ac:dyDescent="0.3">
      <c r="A34" s="3" t="s">
        <v>12</v>
      </c>
      <c r="B34" s="3">
        <v>2</v>
      </c>
      <c r="C34" s="3">
        <v>2</v>
      </c>
      <c r="D34" s="3">
        <v>2023</v>
      </c>
      <c r="E34" s="4" t="e">
        <f>'Electricity '!I36+'Electricity '!O36</f>
        <v>#VALUE!</v>
      </c>
      <c r="F34" s="123">
        <v>3.97</v>
      </c>
      <c r="G34" s="4" t="str">
        <f>'Gas Water'!M37</f>
        <v/>
      </c>
      <c r="H34" s="123">
        <v>18.5</v>
      </c>
      <c r="I34" s="2" t="str">
        <f>'Gas Water'!L37</f>
        <v/>
      </c>
      <c r="J34" s="123">
        <v>39.020000000000003</v>
      </c>
      <c r="K34" s="5"/>
      <c r="L34" s="5"/>
    </row>
    <row r="35" spans="1:12" x14ac:dyDescent="0.3">
      <c r="A35" s="3" t="s">
        <v>12</v>
      </c>
      <c r="B35" s="3">
        <v>3</v>
      </c>
      <c r="C35" s="3">
        <v>2</v>
      </c>
      <c r="D35" s="3">
        <v>2023</v>
      </c>
      <c r="E35" s="4" t="e">
        <f>'Electricity '!I37+'Electricity '!O37</f>
        <v>#VALUE!</v>
      </c>
      <c r="F35" s="123">
        <v>3.97</v>
      </c>
      <c r="G35" s="4" t="str">
        <f>'Gas Water'!M38</f>
        <v/>
      </c>
      <c r="H35" s="123">
        <v>18.5</v>
      </c>
      <c r="I35" s="2" t="str">
        <f>'Gas Water'!L38</f>
        <v/>
      </c>
      <c r="J35" s="123">
        <v>39.020000000000003</v>
      </c>
      <c r="K35" s="5"/>
      <c r="L35" s="5"/>
    </row>
    <row r="36" spans="1:12" x14ac:dyDescent="0.3">
      <c r="A36" s="3" t="s">
        <v>12</v>
      </c>
      <c r="B36" s="3">
        <v>4</v>
      </c>
      <c r="C36" s="3">
        <v>2</v>
      </c>
      <c r="D36" s="3">
        <v>2023</v>
      </c>
      <c r="E36" s="4" t="e">
        <f>'Electricity '!I38+'Electricity '!O38</f>
        <v>#VALUE!</v>
      </c>
      <c r="F36" s="123">
        <v>3.97</v>
      </c>
      <c r="G36" s="4" t="str">
        <f>'Gas Water'!M39</f>
        <v/>
      </c>
      <c r="H36" s="123">
        <v>18.5</v>
      </c>
      <c r="I36" s="2" t="str">
        <f>'Gas Water'!L39</f>
        <v/>
      </c>
      <c r="J36" s="123">
        <v>39.020000000000003</v>
      </c>
      <c r="K36" s="5"/>
      <c r="L36" s="5"/>
    </row>
    <row r="37" spans="1:12" x14ac:dyDescent="0.3">
      <c r="A37" s="3" t="s">
        <v>12</v>
      </c>
      <c r="B37" s="3">
        <v>5</v>
      </c>
      <c r="C37" s="3">
        <v>2</v>
      </c>
      <c r="D37" s="3">
        <v>2023</v>
      </c>
      <c r="E37" s="4" t="e">
        <f>'Electricity '!I39+'Electricity '!O39</f>
        <v>#VALUE!</v>
      </c>
      <c r="F37" s="123">
        <v>3.97</v>
      </c>
      <c r="G37" s="4" t="str">
        <f>'Gas Water'!M40</f>
        <v/>
      </c>
      <c r="H37" s="123">
        <v>18.5</v>
      </c>
      <c r="I37" s="2" t="str">
        <f>'Gas Water'!L40</f>
        <v/>
      </c>
      <c r="J37" s="123">
        <v>39.020000000000003</v>
      </c>
      <c r="K37" s="5"/>
      <c r="L37" s="5"/>
    </row>
    <row r="38" spans="1:12" x14ac:dyDescent="0.3">
      <c r="A38" s="3" t="s">
        <v>12</v>
      </c>
      <c r="B38" s="3">
        <v>6</v>
      </c>
      <c r="C38" s="3">
        <v>2</v>
      </c>
      <c r="D38" s="3">
        <v>2023</v>
      </c>
      <c r="E38" s="4" t="e">
        <f>'Electricity '!I40+'Electricity '!O40</f>
        <v>#VALUE!</v>
      </c>
      <c r="F38" s="123">
        <v>3.97</v>
      </c>
      <c r="G38" s="4" t="str">
        <f>'Gas Water'!M41</f>
        <v/>
      </c>
      <c r="H38" s="123">
        <v>18.5</v>
      </c>
      <c r="I38" s="2" t="str">
        <f>'Gas Water'!L41</f>
        <v/>
      </c>
      <c r="J38" s="123">
        <v>39.020000000000003</v>
      </c>
      <c r="K38" s="5"/>
      <c r="L38" s="5"/>
    </row>
    <row r="39" spans="1:12" x14ac:dyDescent="0.3">
      <c r="A39" s="3" t="s">
        <v>12</v>
      </c>
      <c r="B39" s="3">
        <v>7</v>
      </c>
      <c r="C39" s="3">
        <v>2</v>
      </c>
      <c r="D39" s="3">
        <v>2023</v>
      </c>
      <c r="E39" s="4" t="e">
        <f>'Electricity '!I41+'Electricity '!O41</f>
        <v>#VALUE!</v>
      </c>
      <c r="F39" s="123">
        <v>3.97</v>
      </c>
      <c r="G39" s="4" t="str">
        <f>'Gas Water'!M42</f>
        <v/>
      </c>
      <c r="H39" s="123">
        <v>18.5</v>
      </c>
      <c r="I39" s="2" t="str">
        <f>'Gas Water'!L42</f>
        <v/>
      </c>
      <c r="J39" s="123">
        <v>39.020000000000003</v>
      </c>
      <c r="K39" s="5"/>
      <c r="L39" s="5"/>
    </row>
    <row r="40" spans="1:12" x14ac:dyDescent="0.3">
      <c r="A40" s="3" t="s">
        <v>12</v>
      </c>
      <c r="B40" s="3">
        <v>8</v>
      </c>
      <c r="C40" s="3">
        <v>2</v>
      </c>
      <c r="D40" s="3">
        <v>2023</v>
      </c>
      <c r="E40" s="4" t="e">
        <f>'Electricity '!I42+'Electricity '!O42</f>
        <v>#VALUE!</v>
      </c>
      <c r="F40" s="123">
        <v>3.97</v>
      </c>
      <c r="G40" s="4" t="str">
        <f>'Gas Water'!M43</f>
        <v/>
      </c>
      <c r="H40" s="123">
        <v>18.5</v>
      </c>
      <c r="I40" s="2" t="str">
        <f>'Gas Water'!L43</f>
        <v/>
      </c>
      <c r="J40" s="123">
        <v>39.020000000000003</v>
      </c>
      <c r="K40" s="5"/>
      <c r="L40" s="5"/>
    </row>
    <row r="41" spans="1:12" x14ac:dyDescent="0.3">
      <c r="A41" s="3" t="s">
        <v>12</v>
      </c>
      <c r="B41" s="3">
        <v>9</v>
      </c>
      <c r="C41" s="3">
        <v>2</v>
      </c>
      <c r="D41" s="3">
        <v>2023</v>
      </c>
      <c r="E41" s="4" t="e">
        <f>'Electricity '!I43+'Electricity '!O43</f>
        <v>#VALUE!</v>
      </c>
      <c r="F41" s="123">
        <v>3.97</v>
      </c>
      <c r="G41" s="4" t="str">
        <f>'Gas Water'!M44</f>
        <v/>
      </c>
      <c r="H41" s="123">
        <v>18.5</v>
      </c>
      <c r="I41" s="2" t="str">
        <f>'Gas Water'!L44</f>
        <v/>
      </c>
      <c r="J41" s="123">
        <v>39.020000000000003</v>
      </c>
      <c r="K41" s="5"/>
      <c r="L41" s="5"/>
    </row>
    <row r="42" spans="1:12" x14ac:dyDescent="0.3">
      <c r="A42" s="3" t="s">
        <v>12</v>
      </c>
      <c r="B42" s="3">
        <v>10</v>
      </c>
      <c r="C42" s="3">
        <v>2</v>
      </c>
      <c r="D42" s="3">
        <v>2023</v>
      </c>
      <c r="E42" s="4" t="e">
        <f>'Electricity '!I44+'Electricity '!O44</f>
        <v>#VALUE!</v>
      </c>
      <c r="F42" s="123"/>
      <c r="G42" s="4" t="str">
        <f>'Gas Water'!M45</f>
        <v/>
      </c>
      <c r="H42" s="123"/>
      <c r="I42" s="2" t="str">
        <f>'Gas Water'!L45</f>
        <v/>
      </c>
      <c r="J42" s="123"/>
      <c r="K42" s="5"/>
      <c r="L42" s="5"/>
    </row>
    <row r="43" spans="1:12" x14ac:dyDescent="0.3">
      <c r="A43" s="3" t="s">
        <v>12</v>
      </c>
      <c r="B43" s="3">
        <v>11</v>
      </c>
      <c r="C43" s="3">
        <v>2</v>
      </c>
      <c r="D43" s="3">
        <v>2023</v>
      </c>
      <c r="E43" s="4" t="e">
        <f>'Electricity '!I45+'Electricity '!O45</f>
        <v>#VALUE!</v>
      </c>
      <c r="F43" s="123"/>
      <c r="G43" s="4" t="str">
        <f>'Gas Water'!M46</f>
        <v/>
      </c>
      <c r="H43" s="123"/>
      <c r="I43" s="2" t="str">
        <f>'Gas Water'!L46</f>
        <v/>
      </c>
      <c r="J43" s="123"/>
      <c r="K43" s="5"/>
      <c r="L43" s="5"/>
    </row>
    <row r="44" spans="1:12" x14ac:dyDescent="0.3">
      <c r="A44" s="3" t="s">
        <v>12</v>
      </c>
      <c r="B44" s="3">
        <v>12</v>
      </c>
      <c r="C44" s="3">
        <v>2</v>
      </c>
      <c r="D44" s="3">
        <v>2023</v>
      </c>
      <c r="E44" s="4" t="e">
        <f>'Electricity '!I46+'Electricity '!O46</f>
        <v>#VALUE!</v>
      </c>
      <c r="F44" s="123"/>
      <c r="G44" s="4" t="str">
        <f>'Gas Water'!M47</f>
        <v/>
      </c>
      <c r="H44" s="123"/>
      <c r="I44" s="2" t="str">
        <f>'Gas Water'!L47</f>
        <v/>
      </c>
      <c r="J44" s="123"/>
      <c r="K44" s="5"/>
      <c r="L44" s="5"/>
    </row>
    <row r="45" spans="1:12" x14ac:dyDescent="0.3">
      <c r="A45" s="3" t="s">
        <v>12</v>
      </c>
      <c r="B45" s="3">
        <v>13</v>
      </c>
      <c r="C45" s="3">
        <v>2</v>
      </c>
      <c r="D45" s="3">
        <v>2023</v>
      </c>
      <c r="E45" s="4" t="e">
        <f>'Electricity '!I47+'Electricity '!O47</f>
        <v>#VALUE!</v>
      </c>
      <c r="F45" s="123"/>
      <c r="G45" s="4" t="str">
        <f>'Gas Water'!M48</f>
        <v/>
      </c>
      <c r="H45" s="123"/>
      <c r="I45" s="2" t="str">
        <f>'Gas Water'!L48</f>
        <v/>
      </c>
      <c r="J45" s="123"/>
      <c r="K45" s="5"/>
      <c r="L45" s="5"/>
    </row>
    <row r="46" spans="1:12" x14ac:dyDescent="0.3">
      <c r="A46" s="3" t="s">
        <v>12</v>
      </c>
      <c r="B46" s="3">
        <v>14</v>
      </c>
      <c r="C46" s="3">
        <v>2</v>
      </c>
      <c r="D46" s="3">
        <v>2023</v>
      </c>
      <c r="E46" s="4" t="e">
        <f>'Electricity '!I48+'Electricity '!O48</f>
        <v>#VALUE!</v>
      </c>
      <c r="F46" s="123"/>
      <c r="G46" s="4" t="str">
        <f>'Gas Water'!M49</f>
        <v/>
      </c>
      <c r="H46" s="123"/>
      <c r="I46" s="2" t="str">
        <f>'Gas Water'!L49</f>
        <v/>
      </c>
      <c r="J46" s="123"/>
      <c r="K46" s="5"/>
      <c r="L46" s="5"/>
    </row>
    <row r="47" spans="1:12" x14ac:dyDescent="0.3">
      <c r="A47" s="3" t="s">
        <v>12</v>
      </c>
      <c r="B47" s="3">
        <v>15</v>
      </c>
      <c r="C47" s="3">
        <v>2</v>
      </c>
      <c r="D47" s="3">
        <v>2023</v>
      </c>
      <c r="E47" s="4" t="e">
        <f>'Electricity '!I49+'Electricity '!O49</f>
        <v>#VALUE!</v>
      </c>
      <c r="F47" s="123"/>
      <c r="G47" s="4" t="str">
        <f>'Gas Water'!M50</f>
        <v/>
      </c>
      <c r="H47" s="123"/>
      <c r="I47" s="2" t="str">
        <f>'Gas Water'!L50</f>
        <v/>
      </c>
      <c r="J47" s="123"/>
      <c r="K47" s="5"/>
      <c r="L47" s="5"/>
    </row>
    <row r="48" spans="1:12" x14ac:dyDescent="0.3">
      <c r="A48" s="3" t="s">
        <v>12</v>
      </c>
      <c r="B48" s="3">
        <v>16</v>
      </c>
      <c r="C48" s="3">
        <v>2</v>
      </c>
      <c r="D48" s="3">
        <v>2023</v>
      </c>
      <c r="E48" s="4" t="e">
        <f>'Electricity '!I50+'Electricity '!O50</f>
        <v>#VALUE!</v>
      </c>
      <c r="F48" s="123"/>
      <c r="G48" s="4" t="str">
        <f>'Gas Water'!M51</f>
        <v/>
      </c>
      <c r="H48" s="123"/>
      <c r="I48" s="2" t="str">
        <f>'Gas Water'!L51</f>
        <v/>
      </c>
      <c r="J48" s="123"/>
      <c r="K48" s="5"/>
      <c r="L48" s="5"/>
    </row>
    <row r="49" spans="1:12" x14ac:dyDescent="0.3">
      <c r="A49" s="3" t="s">
        <v>12</v>
      </c>
      <c r="B49" s="3">
        <v>17</v>
      </c>
      <c r="C49" s="3">
        <v>2</v>
      </c>
      <c r="D49" s="3">
        <v>2023</v>
      </c>
      <c r="E49" s="4" t="e">
        <f>'Electricity '!I51+'Electricity '!O51</f>
        <v>#VALUE!</v>
      </c>
      <c r="F49" s="123"/>
      <c r="G49" s="4" t="str">
        <f>'Gas Water'!M52</f>
        <v/>
      </c>
      <c r="H49" s="123"/>
      <c r="I49" s="2" t="str">
        <f>'Gas Water'!L52</f>
        <v/>
      </c>
      <c r="J49" s="123"/>
      <c r="K49" s="5"/>
      <c r="L49" s="5"/>
    </row>
    <row r="50" spans="1:12" x14ac:dyDescent="0.3">
      <c r="A50" s="3" t="s">
        <v>12</v>
      </c>
      <c r="B50" s="3">
        <v>18</v>
      </c>
      <c r="C50" s="3">
        <v>2</v>
      </c>
      <c r="D50" s="3">
        <v>2023</v>
      </c>
      <c r="E50" s="4" t="e">
        <f>'Electricity '!I52+'Electricity '!O52</f>
        <v>#VALUE!</v>
      </c>
      <c r="F50" s="123"/>
      <c r="G50" s="4" t="str">
        <f>'Gas Water'!M53</f>
        <v/>
      </c>
      <c r="H50" s="123"/>
      <c r="I50" s="2" t="str">
        <f>'Gas Water'!L53</f>
        <v/>
      </c>
      <c r="J50" s="123"/>
      <c r="K50" s="5"/>
      <c r="L50" s="5"/>
    </row>
    <row r="51" spans="1:12" x14ac:dyDescent="0.3">
      <c r="A51" s="3" t="s">
        <v>12</v>
      </c>
      <c r="B51" s="3">
        <v>19</v>
      </c>
      <c r="C51" s="3">
        <v>2</v>
      </c>
      <c r="D51" s="3">
        <v>2023</v>
      </c>
      <c r="E51" s="4" t="e">
        <f>'Electricity '!I53+'Electricity '!O53</f>
        <v>#VALUE!</v>
      </c>
      <c r="F51" s="123"/>
      <c r="G51" s="4" t="str">
        <f>'Gas Water'!M54</f>
        <v/>
      </c>
      <c r="H51" s="123"/>
      <c r="I51" s="2" t="str">
        <f>'Gas Water'!L54</f>
        <v/>
      </c>
      <c r="J51" s="123"/>
      <c r="K51" s="5"/>
      <c r="L51" s="5"/>
    </row>
    <row r="52" spans="1:12" x14ac:dyDescent="0.3">
      <c r="A52" s="3" t="s">
        <v>12</v>
      </c>
      <c r="B52" s="3">
        <v>20</v>
      </c>
      <c r="C52" s="3">
        <v>2</v>
      </c>
      <c r="D52" s="3">
        <v>2023</v>
      </c>
      <c r="E52" s="4" t="e">
        <f>'Electricity '!I54+'Electricity '!O54</f>
        <v>#VALUE!</v>
      </c>
      <c r="F52" s="123"/>
      <c r="G52" s="4" t="str">
        <f>'Gas Water'!M55</f>
        <v/>
      </c>
      <c r="H52" s="123"/>
      <c r="I52" s="2" t="str">
        <f>'Gas Water'!L55</f>
        <v/>
      </c>
      <c r="J52" s="123"/>
      <c r="K52" s="5"/>
      <c r="L52" s="5"/>
    </row>
    <row r="53" spans="1:12" x14ac:dyDescent="0.3">
      <c r="A53" s="3" t="s">
        <v>12</v>
      </c>
      <c r="B53" s="3">
        <v>21</v>
      </c>
      <c r="C53" s="3">
        <v>2</v>
      </c>
      <c r="D53" s="3">
        <v>2023</v>
      </c>
      <c r="E53" s="4" t="e">
        <f>'Electricity '!I55+'Electricity '!O55</f>
        <v>#VALUE!</v>
      </c>
      <c r="F53" s="123"/>
      <c r="G53" s="4" t="str">
        <f>'Gas Water'!M56</f>
        <v/>
      </c>
      <c r="H53" s="123"/>
      <c r="I53" s="2" t="str">
        <f>'Gas Water'!L56</f>
        <v/>
      </c>
      <c r="J53" s="123"/>
      <c r="K53" s="5"/>
      <c r="L53" s="5"/>
    </row>
    <row r="54" spans="1:12" x14ac:dyDescent="0.3">
      <c r="A54" s="3" t="s">
        <v>12</v>
      </c>
      <c r="B54" s="3">
        <v>22</v>
      </c>
      <c r="C54" s="3">
        <v>2</v>
      </c>
      <c r="D54" s="3">
        <v>2023</v>
      </c>
      <c r="E54" s="4" t="e">
        <f>'Electricity '!I56+'Electricity '!O56</f>
        <v>#VALUE!</v>
      </c>
      <c r="F54" s="123"/>
      <c r="G54" s="4" t="str">
        <f>'Gas Water'!M57</f>
        <v/>
      </c>
      <c r="H54" s="123"/>
      <c r="I54" s="2" t="str">
        <f>'Gas Water'!L57</f>
        <v/>
      </c>
      <c r="J54" s="123"/>
      <c r="K54" s="5"/>
      <c r="L54" s="5"/>
    </row>
    <row r="55" spans="1:12" x14ac:dyDescent="0.3">
      <c r="A55" s="3" t="s">
        <v>12</v>
      </c>
      <c r="B55" s="3">
        <v>23</v>
      </c>
      <c r="C55" s="3">
        <v>2</v>
      </c>
      <c r="D55" s="3">
        <v>2023</v>
      </c>
      <c r="E55" s="4" t="e">
        <f>'Electricity '!I57+'Electricity '!O57</f>
        <v>#VALUE!</v>
      </c>
      <c r="F55" s="123"/>
      <c r="G55" s="4" t="str">
        <f>'Gas Water'!M58</f>
        <v/>
      </c>
      <c r="H55" s="123"/>
      <c r="I55" s="2" t="str">
        <f>'Gas Water'!L58</f>
        <v/>
      </c>
      <c r="J55" s="123"/>
      <c r="K55" s="5"/>
      <c r="L55" s="5"/>
    </row>
    <row r="56" spans="1:12" x14ac:dyDescent="0.3">
      <c r="A56" s="3" t="s">
        <v>12</v>
      </c>
      <c r="B56" s="3">
        <v>24</v>
      </c>
      <c r="C56" s="3">
        <v>2</v>
      </c>
      <c r="D56" s="3">
        <v>2023</v>
      </c>
      <c r="E56" s="4" t="e">
        <f>'Electricity '!I58+'Electricity '!O58</f>
        <v>#VALUE!</v>
      </c>
      <c r="F56" s="123"/>
      <c r="G56" s="4" t="str">
        <f>'Gas Water'!M59</f>
        <v/>
      </c>
      <c r="H56" s="123"/>
      <c r="I56" s="2" t="str">
        <f>'Gas Water'!L59</f>
        <v/>
      </c>
      <c r="J56" s="123"/>
      <c r="K56" s="5"/>
      <c r="L56" s="5"/>
    </row>
    <row r="57" spans="1:12" x14ac:dyDescent="0.3">
      <c r="A57" s="3" t="s">
        <v>12</v>
      </c>
      <c r="B57" s="3">
        <v>25</v>
      </c>
      <c r="C57" s="3">
        <v>2</v>
      </c>
      <c r="D57" s="3">
        <v>2023</v>
      </c>
      <c r="E57" s="4" t="e">
        <f>'Electricity '!I59+'Electricity '!O59</f>
        <v>#VALUE!</v>
      </c>
      <c r="F57" s="123"/>
      <c r="G57" s="4" t="str">
        <f>'Gas Water'!M60</f>
        <v/>
      </c>
      <c r="H57" s="123"/>
      <c r="I57" s="2" t="str">
        <f>'Gas Water'!L60</f>
        <v/>
      </c>
      <c r="J57" s="123"/>
      <c r="K57" s="5"/>
      <c r="L57" s="5"/>
    </row>
    <row r="58" spans="1:12" x14ac:dyDescent="0.3">
      <c r="A58" s="3" t="s">
        <v>12</v>
      </c>
      <c r="B58" s="3">
        <v>26</v>
      </c>
      <c r="C58" s="3">
        <v>2</v>
      </c>
      <c r="D58" s="3">
        <v>2023</v>
      </c>
      <c r="E58" s="4" t="e">
        <f>'Electricity '!I60+'Electricity '!O60</f>
        <v>#VALUE!</v>
      </c>
      <c r="F58" s="123"/>
      <c r="G58" s="4" t="str">
        <f>'Gas Water'!M61</f>
        <v/>
      </c>
      <c r="H58" s="123"/>
      <c r="I58" s="2" t="str">
        <f>'Gas Water'!L61</f>
        <v/>
      </c>
      <c r="J58" s="123"/>
      <c r="K58" s="5"/>
      <c r="L58" s="5"/>
    </row>
    <row r="59" spans="1:12" x14ac:dyDescent="0.3">
      <c r="A59" s="3" t="s">
        <v>12</v>
      </c>
      <c r="B59" s="3">
        <v>27</v>
      </c>
      <c r="C59" s="3">
        <v>2</v>
      </c>
      <c r="D59" s="3">
        <v>2023</v>
      </c>
      <c r="E59" s="4" t="e">
        <f>'Electricity '!I61+'Electricity '!O61</f>
        <v>#VALUE!</v>
      </c>
      <c r="F59" s="123"/>
      <c r="G59" s="4" t="str">
        <f>'Gas Water'!M62</f>
        <v/>
      </c>
      <c r="H59" s="123"/>
      <c r="I59" s="2" t="str">
        <f>'Gas Water'!L62</f>
        <v/>
      </c>
      <c r="J59" s="123"/>
      <c r="K59" s="5"/>
      <c r="L59" s="5"/>
    </row>
    <row r="60" spans="1:12" x14ac:dyDescent="0.3">
      <c r="A60" s="3" t="s">
        <v>12</v>
      </c>
      <c r="B60" s="3">
        <v>28</v>
      </c>
      <c r="C60" s="3">
        <v>2</v>
      </c>
      <c r="D60" s="3">
        <v>2023</v>
      </c>
      <c r="E60" s="4" t="e">
        <f>'Electricity '!I62+'Electricity '!O62</f>
        <v>#VALUE!</v>
      </c>
      <c r="F60" s="123"/>
      <c r="G60" s="4" t="str">
        <f>'Gas Water'!M63</f>
        <v/>
      </c>
      <c r="H60" s="123"/>
      <c r="I60" s="2" t="str">
        <f>'Gas Water'!L63</f>
        <v/>
      </c>
      <c r="J60" s="123"/>
      <c r="K60" s="5"/>
      <c r="L60" s="5"/>
    </row>
    <row r="61" spans="1:12" x14ac:dyDescent="0.3">
      <c r="A61" s="3" t="s">
        <v>12</v>
      </c>
      <c r="B61" s="3">
        <v>1</v>
      </c>
      <c r="C61" s="3">
        <v>3</v>
      </c>
      <c r="D61" s="3">
        <v>2023</v>
      </c>
      <c r="E61" s="4" t="e">
        <f>'Electricity '!I63+'Electricity '!O63</f>
        <v>#VALUE!</v>
      </c>
      <c r="F61" s="123"/>
      <c r="G61" s="4" t="str">
        <f>'Gas Water'!M64</f>
        <v/>
      </c>
      <c r="H61" s="123"/>
      <c r="I61" s="2" t="str">
        <f>'Gas Water'!L64</f>
        <v/>
      </c>
      <c r="J61" s="123"/>
      <c r="K61" s="5"/>
      <c r="L61" s="5"/>
    </row>
    <row r="62" spans="1:12" x14ac:dyDescent="0.3">
      <c r="A62" s="3" t="s">
        <v>12</v>
      </c>
      <c r="B62" s="3">
        <v>2</v>
      </c>
      <c r="C62" s="3">
        <v>3</v>
      </c>
      <c r="D62" s="3">
        <v>2023</v>
      </c>
      <c r="E62" s="4" t="e">
        <f>'Electricity '!I64+'Electricity '!O64</f>
        <v>#VALUE!</v>
      </c>
      <c r="F62" s="123"/>
      <c r="G62" s="4" t="str">
        <f>'Gas Water'!M65</f>
        <v/>
      </c>
      <c r="H62" s="123"/>
      <c r="I62" s="2" t="str">
        <f>'Gas Water'!L65</f>
        <v/>
      </c>
      <c r="J62" s="123"/>
      <c r="K62" s="5"/>
      <c r="L62" s="5"/>
    </row>
    <row r="63" spans="1:12" x14ac:dyDescent="0.3">
      <c r="A63" s="3" t="s">
        <v>12</v>
      </c>
      <c r="B63" s="3">
        <v>3</v>
      </c>
      <c r="C63" s="3">
        <v>3</v>
      </c>
      <c r="D63" s="3">
        <v>2023</v>
      </c>
      <c r="E63" s="4" t="e">
        <f>'Electricity '!I65+'Electricity '!O65</f>
        <v>#VALUE!</v>
      </c>
      <c r="F63" s="123"/>
      <c r="G63" s="4" t="str">
        <f>'Gas Water'!M66</f>
        <v/>
      </c>
      <c r="H63" s="123"/>
      <c r="I63" s="2" t="str">
        <f>'Gas Water'!L66</f>
        <v/>
      </c>
      <c r="J63" s="123"/>
      <c r="K63" s="5"/>
      <c r="L63" s="5"/>
    </row>
    <row r="64" spans="1:12" x14ac:dyDescent="0.3">
      <c r="A64" s="3" t="s">
        <v>12</v>
      </c>
      <c r="B64" s="3">
        <v>4</v>
      </c>
      <c r="C64" s="3">
        <v>3</v>
      </c>
      <c r="D64" s="3">
        <v>2023</v>
      </c>
      <c r="E64" s="4" t="e">
        <f>'Electricity '!I66+'Electricity '!O66</f>
        <v>#VALUE!</v>
      </c>
      <c r="F64" s="123"/>
      <c r="G64" s="4" t="str">
        <f>'Gas Water'!M67</f>
        <v/>
      </c>
      <c r="H64" s="123"/>
      <c r="I64" s="2" t="str">
        <f>'Gas Water'!L67</f>
        <v/>
      </c>
      <c r="J64" s="123"/>
      <c r="K64" s="5"/>
      <c r="L64" s="5"/>
    </row>
    <row r="65" spans="1:12" x14ac:dyDescent="0.3">
      <c r="A65" s="3" t="s">
        <v>12</v>
      </c>
      <c r="B65" s="3">
        <v>5</v>
      </c>
      <c r="C65" s="3">
        <v>3</v>
      </c>
      <c r="D65" s="3">
        <v>2023</v>
      </c>
      <c r="E65" s="4" t="e">
        <f>'Electricity '!I67+'Electricity '!O67</f>
        <v>#VALUE!</v>
      </c>
      <c r="F65" s="123"/>
      <c r="G65" s="4" t="str">
        <f>'Gas Water'!M68</f>
        <v/>
      </c>
      <c r="H65" s="123"/>
      <c r="I65" s="2" t="str">
        <f>'Gas Water'!L68</f>
        <v/>
      </c>
      <c r="J65" s="123"/>
      <c r="K65" s="5"/>
      <c r="L65" s="5"/>
    </row>
    <row r="66" spans="1:12" x14ac:dyDescent="0.3">
      <c r="A66" s="3" t="s">
        <v>12</v>
      </c>
      <c r="B66" s="3">
        <v>6</v>
      </c>
      <c r="C66" s="3">
        <v>3</v>
      </c>
      <c r="D66" s="3">
        <v>2023</v>
      </c>
      <c r="E66" s="4" t="e">
        <f>'Electricity '!I68+'Electricity '!O68</f>
        <v>#VALUE!</v>
      </c>
      <c r="F66" s="123"/>
      <c r="G66" s="4" t="str">
        <f>'Gas Water'!M69</f>
        <v/>
      </c>
      <c r="H66" s="123"/>
      <c r="I66" s="2" t="str">
        <f>'Gas Water'!L69</f>
        <v/>
      </c>
      <c r="J66" s="123"/>
      <c r="K66" s="5"/>
      <c r="L66" s="5"/>
    </row>
    <row r="67" spans="1:12" x14ac:dyDescent="0.3">
      <c r="A67" s="3" t="s">
        <v>12</v>
      </c>
      <c r="B67" s="3">
        <v>7</v>
      </c>
      <c r="C67" s="3">
        <v>3</v>
      </c>
      <c r="D67" s="3">
        <v>2023</v>
      </c>
      <c r="E67" s="4" t="e">
        <f>'Electricity '!I69+'Electricity '!O69</f>
        <v>#VALUE!</v>
      </c>
      <c r="F67" s="123"/>
      <c r="G67" s="4" t="str">
        <f>'Gas Water'!M70</f>
        <v/>
      </c>
      <c r="H67" s="123"/>
      <c r="I67" s="2" t="str">
        <f>'Gas Water'!L70</f>
        <v/>
      </c>
      <c r="J67" s="123"/>
      <c r="K67" s="5"/>
      <c r="L67" s="5"/>
    </row>
    <row r="68" spans="1:12" x14ac:dyDescent="0.3">
      <c r="A68" s="3" t="s">
        <v>12</v>
      </c>
      <c r="B68" s="3">
        <v>8</v>
      </c>
      <c r="C68" s="3">
        <v>3</v>
      </c>
      <c r="D68" s="3">
        <v>2023</v>
      </c>
      <c r="E68" s="4" t="e">
        <f>'Electricity '!I70+'Electricity '!O70</f>
        <v>#VALUE!</v>
      </c>
      <c r="F68" s="123"/>
      <c r="G68" s="4" t="str">
        <f>'Gas Water'!M71</f>
        <v/>
      </c>
      <c r="H68" s="123"/>
      <c r="I68" s="2" t="str">
        <f>'Gas Water'!L71</f>
        <v/>
      </c>
      <c r="J68" s="123"/>
      <c r="K68" s="5"/>
      <c r="L68" s="5"/>
    </row>
    <row r="69" spans="1:12" x14ac:dyDescent="0.3">
      <c r="A69" s="3" t="s">
        <v>12</v>
      </c>
      <c r="B69" s="3">
        <v>9</v>
      </c>
      <c r="C69" s="3">
        <v>3</v>
      </c>
      <c r="D69" s="3">
        <v>2023</v>
      </c>
      <c r="E69" s="4" t="e">
        <f>'Electricity '!I71+'Electricity '!O71</f>
        <v>#VALUE!</v>
      </c>
      <c r="F69" s="123"/>
      <c r="G69" s="4" t="str">
        <f>'Gas Water'!M72</f>
        <v/>
      </c>
      <c r="H69" s="123"/>
      <c r="I69" s="2" t="str">
        <f>'Gas Water'!L72</f>
        <v/>
      </c>
      <c r="J69" s="123"/>
      <c r="K69" s="5"/>
      <c r="L69" s="5"/>
    </row>
    <row r="70" spans="1:12" x14ac:dyDescent="0.3">
      <c r="A70" s="3" t="s">
        <v>12</v>
      </c>
      <c r="B70" s="3">
        <v>10</v>
      </c>
      <c r="C70" s="3">
        <v>3</v>
      </c>
      <c r="D70" s="3">
        <v>2023</v>
      </c>
      <c r="E70" s="4" t="e">
        <f>'Electricity '!I72+'Electricity '!O72</f>
        <v>#VALUE!</v>
      </c>
      <c r="F70" s="123"/>
      <c r="G70" s="4" t="str">
        <f>'Gas Water'!M73</f>
        <v/>
      </c>
      <c r="H70" s="123"/>
      <c r="I70" s="2" t="str">
        <f>'Gas Water'!L73</f>
        <v/>
      </c>
      <c r="J70" s="123"/>
      <c r="K70" s="5"/>
      <c r="L70" s="5"/>
    </row>
    <row r="71" spans="1:12" x14ac:dyDescent="0.3">
      <c r="A71" s="3" t="s">
        <v>12</v>
      </c>
      <c r="B71" s="3">
        <v>11</v>
      </c>
      <c r="C71" s="3">
        <v>3</v>
      </c>
      <c r="D71" s="3">
        <v>2023</v>
      </c>
      <c r="E71" s="4" t="e">
        <f>'Electricity '!I73+'Electricity '!O73</f>
        <v>#VALUE!</v>
      </c>
      <c r="F71" s="123"/>
      <c r="G71" s="4" t="str">
        <f>'Gas Water'!M74</f>
        <v/>
      </c>
      <c r="H71" s="123"/>
      <c r="I71" s="2" t="str">
        <f>'Gas Water'!L74</f>
        <v/>
      </c>
      <c r="J71" s="123"/>
      <c r="K71" s="5"/>
      <c r="L71" s="5"/>
    </row>
    <row r="72" spans="1:12" x14ac:dyDescent="0.3">
      <c r="A72" s="3" t="s">
        <v>12</v>
      </c>
      <c r="B72" s="3">
        <v>12</v>
      </c>
      <c r="C72" s="3">
        <v>3</v>
      </c>
      <c r="D72" s="3">
        <v>2023</v>
      </c>
      <c r="E72" s="4" t="e">
        <f>'Electricity '!I74+'Electricity '!O74</f>
        <v>#VALUE!</v>
      </c>
      <c r="F72" s="123"/>
      <c r="G72" s="4" t="str">
        <f>'Gas Water'!M75</f>
        <v/>
      </c>
      <c r="H72" s="123"/>
      <c r="I72" s="2" t="str">
        <f>'Gas Water'!L75</f>
        <v/>
      </c>
      <c r="J72" s="123"/>
      <c r="K72" s="5"/>
      <c r="L72" s="5"/>
    </row>
    <row r="73" spans="1:12" x14ac:dyDescent="0.3">
      <c r="A73" s="3" t="s">
        <v>12</v>
      </c>
      <c r="B73" s="3">
        <v>13</v>
      </c>
      <c r="C73" s="3">
        <v>3</v>
      </c>
      <c r="D73" s="3">
        <v>2023</v>
      </c>
      <c r="E73" s="4" t="e">
        <f>'Electricity '!I75+'Electricity '!O75</f>
        <v>#VALUE!</v>
      </c>
      <c r="F73" s="123"/>
      <c r="G73" s="4" t="str">
        <f>'Gas Water'!M76</f>
        <v/>
      </c>
      <c r="H73" s="123"/>
      <c r="I73" s="2" t="str">
        <f>'Gas Water'!L76</f>
        <v/>
      </c>
      <c r="J73" s="123"/>
      <c r="K73" s="5"/>
      <c r="L73" s="5"/>
    </row>
    <row r="74" spans="1:12" x14ac:dyDescent="0.3">
      <c r="A74" s="3" t="s">
        <v>12</v>
      </c>
      <c r="B74" s="3">
        <v>14</v>
      </c>
      <c r="C74" s="3">
        <v>3</v>
      </c>
      <c r="D74" s="3">
        <v>2023</v>
      </c>
      <c r="E74" s="4" t="e">
        <f>'Electricity '!I76+'Electricity '!O76</f>
        <v>#VALUE!</v>
      </c>
      <c r="F74" s="123"/>
      <c r="G74" s="4" t="str">
        <f>'Gas Water'!M77</f>
        <v/>
      </c>
      <c r="H74" s="123"/>
      <c r="I74" s="2" t="str">
        <f>'Gas Water'!L77</f>
        <v/>
      </c>
      <c r="J74" s="123"/>
      <c r="K74" s="5"/>
      <c r="L74" s="5"/>
    </row>
    <row r="75" spans="1:12" x14ac:dyDescent="0.3">
      <c r="A75" s="3" t="s">
        <v>12</v>
      </c>
      <c r="B75" s="3">
        <v>15</v>
      </c>
      <c r="C75" s="3">
        <v>3</v>
      </c>
      <c r="D75" s="3">
        <v>2023</v>
      </c>
      <c r="E75" s="4" t="e">
        <f>'Electricity '!I77+'Electricity '!O77</f>
        <v>#VALUE!</v>
      </c>
      <c r="F75" s="123"/>
      <c r="G75" s="4" t="str">
        <f>'Gas Water'!M78</f>
        <v/>
      </c>
      <c r="H75" s="123"/>
      <c r="I75" s="2" t="str">
        <f>'Gas Water'!L78</f>
        <v/>
      </c>
      <c r="J75" s="123"/>
      <c r="K75" s="5"/>
      <c r="L75" s="5"/>
    </row>
    <row r="76" spans="1:12" x14ac:dyDescent="0.3">
      <c r="A76" s="3" t="s">
        <v>12</v>
      </c>
      <c r="B76" s="3">
        <v>16</v>
      </c>
      <c r="C76" s="3">
        <v>3</v>
      </c>
      <c r="D76" s="3">
        <v>2023</v>
      </c>
      <c r="E76" s="4" t="e">
        <f>'Electricity '!I78+'Electricity '!O78</f>
        <v>#VALUE!</v>
      </c>
      <c r="F76" s="123"/>
      <c r="G76" s="4" t="str">
        <f>'Gas Water'!M79</f>
        <v/>
      </c>
      <c r="H76" s="123"/>
      <c r="I76" s="2" t="str">
        <f>'Gas Water'!L79</f>
        <v/>
      </c>
      <c r="J76" s="123"/>
      <c r="K76" s="5"/>
      <c r="L76" s="5"/>
    </row>
    <row r="77" spans="1:12" x14ac:dyDescent="0.3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/>
      <c r="G77" s="4" t="str">
        <f>'Gas Water'!M80</f>
        <v/>
      </c>
      <c r="H77" s="123"/>
      <c r="I77" s="2" t="str">
        <f>'Gas Water'!L80</f>
        <v/>
      </c>
      <c r="J77" s="123"/>
      <c r="K77" s="5"/>
      <c r="L77" s="5"/>
    </row>
    <row r="78" spans="1:12" x14ac:dyDescent="0.3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/>
      <c r="G78" s="4" t="str">
        <f>'Gas Water'!M81</f>
        <v/>
      </c>
      <c r="H78" s="123"/>
      <c r="I78" s="2" t="str">
        <f>'Gas Water'!L81</f>
        <v/>
      </c>
      <c r="J78" s="123"/>
      <c r="K78" s="5"/>
      <c r="L78" s="5"/>
    </row>
    <row r="79" spans="1:12" x14ac:dyDescent="0.3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/>
      <c r="G79" s="4" t="str">
        <f>'Gas Water'!M82</f>
        <v/>
      </c>
      <c r="H79" s="123"/>
      <c r="I79" s="2" t="str">
        <f>'Gas Water'!L82</f>
        <v/>
      </c>
      <c r="J79" s="123"/>
      <c r="K79" s="5"/>
      <c r="L79" s="5"/>
    </row>
    <row r="80" spans="1:12" x14ac:dyDescent="0.3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/>
      <c r="G80" s="4" t="str">
        <f>'Gas Water'!M83</f>
        <v/>
      </c>
      <c r="H80" s="123"/>
      <c r="I80" s="2" t="str">
        <f>'Gas Water'!L83</f>
        <v/>
      </c>
      <c r="J80" s="123"/>
      <c r="K80" s="5"/>
      <c r="L80" s="5"/>
    </row>
    <row r="81" spans="1:12" x14ac:dyDescent="0.3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/>
      <c r="G81" s="4" t="str">
        <f>'Gas Water'!M84</f>
        <v/>
      </c>
      <c r="H81" s="123"/>
      <c r="I81" s="2" t="str">
        <f>'Gas Water'!L84</f>
        <v/>
      </c>
      <c r="J81" s="123"/>
      <c r="K81" s="5"/>
      <c r="L81" s="5"/>
    </row>
    <row r="82" spans="1:12" x14ac:dyDescent="0.3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/>
      <c r="G82" s="4" t="str">
        <f>'Gas Water'!M85</f>
        <v/>
      </c>
      <c r="H82" s="123"/>
      <c r="I82" s="2" t="str">
        <f>'Gas Water'!L85</f>
        <v/>
      </c>
      <c r="J82" s="123"/>
      <c r="K82" s="5"/>
      <c r="L82" s="5"/>
    </row>
    <row r="83" spans="1:12" x14ac:dyDescent="0.3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/>
      <c r="G83" s="4" t="str">
        <f>'Gas Water'!M86</f>
        <v/>
      </c>
      <c r="H83" s="123"/>
      <c r="I83" s="2" t="str">
        <f>'Gas Water'!L86</f>
        <v/>
      </c>
      <c r="J83" s="123"/>
      <c r="K83" s="5"/>
      <c r="L83" s="5"/>
    </row>
    <row r="84" spans="1:12" x14ac:dyDescent="0.3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/>
      <c r="G84" s="4" t="str">
        <f>'Gas Water'!M87</f>
        <v/>
      </c>
      <c r="H84" s="123"/>
      <c r="I84" s="2" t="str">
        <f>'Gas Water'!L87</f>
        <v/>
      </c>
      <c r="J84" s="123"/>
      <c r="K84" s="5"/>
      <c r="L84" s="5"/>
    </row>
    <row r="85" spans="1:12" x14ac:dyDescent="0.3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/>
      <c r="G85" s="4" t="str">
        <f>'Gas Water'!M88</f>
        <v/>
      </c>
      <c r="H85" s="123"/>
      <c r="I85" s="2" t="str">
        <f>'Gas Water'!L88</f>
        <v/>
      </c>
      <c r="J85" s="123"/>
      <c r="K85" s="5"/>
      <c r="L85" s="5"/>
    </row>
    <row r="86" spans="1:12" x14ac:dyDescent="0.3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/>
      <c r="G86" s="4" t="str">
        <f>'Gas Water'!M89</f>
        <v/>
      </c>
      <c r="H86" s="123"/>
      <c r="I86" s="2" t="str">
        <f>'Gas Water'!L89</f>
        <v/>
      </c>
      <c r="J86" s="123"/>
      <c r="K86" s="5"/>
      <c r="L86" s="5"/>
    </row>
    <row r="87" spans="1:12" x14ac:dyDescent="0.3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/>
      <c r="G87" s="4" t="str">
        <f>'Gas Water'!M90</f>
        <v/>
      </c>
      <c r="H87" s="123"/>
      <c r="I87" s="2" t="str">
        <f>'Gas Water'!L90</f>
        <v/>
      </c>
      <c r="J87" s="123"/>
      <c r="K87" s="5"/>
      <c r="L87" s="5"/>
    </row>
    <row r="88" spans="1:12" x14ac:dyDescent="0.3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/>
      <c r="G88" s="4" t="str">
        <f>'Gas Water'!M91</f>
        <v/>
      </c>
      <c r="H88" s="123"/>
      <c r="I88" s="2" t="str">
        <f>'Gas Water'!L91</f>
        <v/>
      </c>
      <c r="J88" s="123"/>
      <c r="K88" s="5"/>
      <c r="L88" s="5"/>
    </row>
    <row r="89" spans="1:12" x14ac:dyDescent="0.3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/>
      <c r="G89" s="4" t="str">
        <f>'Gas Water'!M92</f>
        <v/>
      </c>
      <c r="H89" s="123"/>
      <c r="I89" s="2" t="str">
        <f>'Gas Water'!L92</f>
        <v/>
      </c>
      <c r="J89" s="123"/>
      <c r="K89" s="5"/>
      <c r="L89" s="5"/>
    </row>
    <row r="90" spans="1:12" x14ac:dyDescent="0.3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/>
      <c r="G90" s="4" t="str">
        <f>'Gas Water'!M93</f>
        <v/>
      </c>
      <c r="H90" s="123"/>
      <c r="I90" s="2" t="str">
        <f>'Gas Water'!L93</f>
        <v/>
      </c>
      <c r="J90" s="123"/>
      <c r="K90" s="5"/>
      <c r="L90" s="5"/>
    </row>
    <row r="91" spans="1:12" x14ac:dyDescent="0.3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/>
      <c r="G91" s="4" t="str">
        <f>'Gas Water'!M94</f>
        <v/>
      </c>
      <c r="H91" s="123"/>
      <c r="I91" s="2" t="str">
        <f>'Gas Water'!L94</f>
        <v/>
      </c>
      <c r="J91" s="123"/>
      <c r="K91" s="5"/>
      <c r="L91" s="5"/>
    </row>
    <row r="92" spans="1:12" x14ac:dyDescent="0.3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/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 x14ac:dyDescent="0.3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/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 x14ac:dyDescent="0.3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/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 x14ac:dyDescent="0.3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/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 x14ac:dyDescent="0.3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/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 x14ac:dyDescent="0.3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/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 x14ac:dyDescent="0.3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/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 x14ac:dyDescent="0.3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/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 x14ac:dyDescent="0.3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/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 x14ac:dyDescent="0.3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/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 x14ac:dyDescent="0.3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/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 x14ac:dyDescent="0.3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/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 x14ac:dyDescent="0.3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/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 x14ac:dyDescent="0.3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/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 x14ac:dyDescent="0.3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/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 x14ac:dyDescent="0.3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/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 x14ac:dyDescent="0.3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/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 x14ac:dyDescent="0.3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/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 x14ac:dyDescent="0.3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/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 x14ac:dyDescent="0.3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/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 x14ac:dyDescent="0.3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/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 x14ac:dyDescent="0.3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/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 x14ac:dyDescent="0.3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/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 x14ac:dyDescent="0.3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/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 x14ac:dyDescent="0.3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/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 x14ac:dyDescent="0.3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/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 x14ac:dyDescent="0.3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/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 x14ac:dyDescent="0.3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/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 x14ac:dyDescent="0.3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/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 x14ac:dyDescent="0.3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/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 x14ac:dyDescent="0.3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/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 x14ac:dyDescent="0.3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/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 x14ac:dyDescent="0.3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/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 x14ac:dyDescent="0.3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/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 x14ac:dyDescent="0.3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/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 x14ac:dyDescent="0.3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/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 x14ac:dyDescent="0.3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/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 x14ac:dyDescent="0.3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/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 x14ac:dyDescent="0.3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/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 x14ac:dyDescent="0.3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/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 x14ac:dyDescent="0.3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/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 x14ac:dyDescent="0.3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/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 x14ac:dyDescent="0.3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/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 x14ac:dyDescent="0.3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/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 x14ac:dyDescent="0.3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/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 x14ac:dyDescent="0.3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/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 x14ac:dyDescent="0.3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/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 x14ac:dyDescent="0.3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/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 x14ac:dyDescent="0.3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/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 x14ac:dyDescent="0.3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/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 x14ac:dyDescent="0.3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/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 x14ac:dyDescent="0.3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/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 x14ac:dyDescent="0.3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/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 x14ac:dyDescent="0.3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/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 x14ac:dyDescent="0.3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/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 x14ac:dyDescent="0.3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/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 x14ac:dyDescent="0.3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/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 x14ac:dyDescent="0.3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/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 x14ac:dyDescent="0.3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/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 x14ac:dyDescent="0.3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/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 x14ac:dyDescent="0.3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/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 x14ac:dyDescent="0.3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/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 x14ac:dyDescent="0.3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/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 x14ac:dyDescent="0.3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/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 x14ac:dyDescent="0.3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/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 x14ac:dyDescent="0.3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/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 x14ac:dyDescent="0.3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/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 x14ac:dyDescent="0.3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/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 x14ac:dyDescent="0.3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/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 x14ac:dyDescent="0.3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/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 x14ac:dyDescent="0.3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/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 x14ac:dyDescent="0.3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/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 x14ac:dyDescent="0.3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/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 x14ac:dyDescent="0.3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/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 x14ac:dyDescent="0.3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/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 x14ac:dyDescent="0.3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/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 x14ac:dyDescent="0.3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/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 x14ac:dyDescent="0.3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/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 x14ac:dyDescent="0.3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/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 x14ac:dyDescent="0.3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/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 x14ac:dyDescent="0.3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/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 x14ac:dyDescent="0.3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/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 x14ac:dyDescent="0.3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/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 x14ac:dyDescent="0.3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/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 x14ac:dyDescent="0.3">
      <c r="A176" s="3" t="s">
        <v>12</v>
      </c>
      <c r="B176" s="3">
        <v>24</v>
      </c>
      <c r="C176" s="3">
        <v>6</v>
      </c>
      <c r="D176" s="3">
        <v>2023</v>
      </c>
      <c r="E176" s="4">
        <v>31480</v>
      </c>
      <c r="F176" s="123"/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 x14ac:dyDescent="0.3">
      <c r="A177" s="3" t="s">
        <v>12</v>
      </c>
      <c r="B177" s="3">
        <v>25</v>
      </c>
      <c r="C177" s="3">
        <v>6</v>
      </c>
      <c r="D177" s="3">
        <v>2023</v>
      </c>
      <c r="E177" s="4">
        <v>33020</v>
      </c>
      <c r="F177" s="123"/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 x14ac:dyDescent="0.3">
      <c r="A178" s="3" t="s">
        <v>12</v>
      </c>
      <c r="B178" s="3">
        <v>26</v>
      </c>
      <c r="C178" s="3">
        <v>6</v>
      </c>
      <c r="D178" s="3">
        <v>2023</v>
      </c>
      <c r="E178" s="4">
        <v>30329</v>
      </c>
      <c r="F178" s="123"/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 x14ac:dyDescent="0.3">
      <c r="A179" s="3" t="s">
        <v>12</v>
      </c>
      <c r="B179" s="3">
        <v>27</v>
      </c>
      <c r="C179" s="3">
        <v>6</v>
      </c>
      <c r="D179" s="3">
        <v>2023</v>
      </c>
      <c r="E179" s="4">
        <v>33910</v>
      </c>
      <c r="F179" s="123"/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 x14ac:dyDescent="0.3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/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 x14ac:dyDescent="0.3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/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 x14ac:dyDescent="0.3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/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 x14ac:dyDescent="0.3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/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 x14ac:dyDescent="0.3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/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 x14ac:dyDescent="0.3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/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 x14ac:dyDescent="0.3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/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 x14ac:dyDescent="0.3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/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 x14ac:dyDescent="0.3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/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 x14ac:dyDescent="0.3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/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 x14ac:dyDescent="0.3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/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 x14ac:dyDescent="0.3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/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 x14ac:dyDescent="0.3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/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 x14ac:dyDescent="0.3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/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 x14ac:dyDescent="0.3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/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 x14ac:dyDescent="0.3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/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 x14ac:dyDescent="0.3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/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 x14ac:dyDescent="0.3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/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 x14ac:dyDescent="0.3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/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 x14ac:dyDescent="0.3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/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 x14ac:dyDescent="0.3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/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 x14ac:dyDescent="0.3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/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 x14ac:dyDescent="0.3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/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 x14ac:dyDescent="0.3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/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 x14ac:dyDescent="0.3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/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 x14ac:dyDescent="0.3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/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 x14ac:dyDescent="0.3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/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 x14ac:dyDescent="0.3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/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 x14ac:dyDescent="0.3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/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 x14ac:dyDescent="0.3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/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 x14ac:dyDescent="0.3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/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 x14ac:dyDescent="0.3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/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 x14ac:dyDescent="0.3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/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 x14ac:dyDescent="0.3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/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 x14ac:dyDescent="0.3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/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 x14ac:dyDescent="0.3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/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 x14ac:dyDescent="0.3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/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 x14ac:dyDescent="0.3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/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 x14ac:dyDescent="0.3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/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 x14ac:dyDescent="0.3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/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 x14ac:dyDescent="0.3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/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 x14ac:dyDescent="0.3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/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 x14ac:dyDescent="0.3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/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 x14ac:dyDescent="0.3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/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 x14ac:dyDescent="0.3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/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 x14ac:dyDescent="0.3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/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 x14ac:dyDescent="0.3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/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 x14ac:dyDescent="0.3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/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 x14ac:dyDescent="0.3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/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 x14ac:dyDescent="0.3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/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 x14ac:dyDescent="0.3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/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 x14ac:dyDescent="0.3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/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 x14ac:dyDescent="0.3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/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 x14ac:dyDescent="0.3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/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 x14ac:dyDescent="0.3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/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 x14ac:dyDescent="0.3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/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 x14ac:dyDescent="0.3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/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 x14ac:dyDescent="0.3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/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 x14ac:dyDescent="0.3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/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 x14ac:dyDescent="0.3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/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 x14ac:dyDescent="0.3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/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 x14ac:dyDescent="0.3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/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 x14ac:dyDescent="0.3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/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 x14ac:dyDescent="0.3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/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 x14ac:dyDescent="0.3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/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 x14ac:dyDescent="0.3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/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 x14ac:dyDescent="0.3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/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 x14ac:dyDescent="0.3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/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 x14ac:dyDescent="0.3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/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 x14ac:dyDescent="0.3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/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 x14ac:dyDescent="0.3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/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 x14ac:dyDescent="0.3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/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 x14ac:dyDescent="0.3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/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 x14ac:dyDescent="0.3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/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 x14ac:dyDescent="0.3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/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 x14ac:dyDescent="0.3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/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 x14ac:dyDescent="0.3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/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 x14ac:dyDescent="0.3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/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 x14ac:dyDescent="0.3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/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 x14ac:dyDescent="0.3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/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 x14ac:dyDescent="0.3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/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 x14ac:dyDescent="0.3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/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 x14ac:dyDescent="0.3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/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 x14ac:dyDescent="0.3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/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 x14ac:dyDescent="0.3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/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 x14ac:dyDescent="0.3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/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 x14ac:dyDescent="0.3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/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 x14ac:dyDescent="0.3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/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 x14ac:dyDescent="0.3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/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 x14ac:dyDescent="0.3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/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 x14ac:dyDescent="0.3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/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 x14ac:dyDescent="0.3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/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 x14ac:dyDescent="0.3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/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 x14ac:dyDescent="0.3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/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 x14ac:dyDescent="0.3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/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 x14ac:dyDescent="0.3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/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 x14ac:dyDescent="0.3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/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 x14ac:dyDescent="0.3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/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 x14ac:dyDescent="0.3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/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 x14ac:dyDescent="0.3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/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 x14ac:dyDescent="0.3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/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 x14ac:dyDescent="0.3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/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 x14ac:dyDescent="0.3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/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 x14ac:dyDescent="0.3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/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 x14ac:dyDescent="0.3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/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 x14ac:dyDescent="0.3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/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/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/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/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/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/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/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/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/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/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/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/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/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/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/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/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/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/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/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/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/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/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/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/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/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/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/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/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/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/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/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/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/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/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/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/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/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/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/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/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/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/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/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/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/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/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/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/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/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/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/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/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/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/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/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/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/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/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/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/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/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/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/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/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/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/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/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/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/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/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/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/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/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/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/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/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/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/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/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/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/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/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14" workbookViewId="0">
      <selection activeCell="K36" sqref="K36"/>
    </sheetView>
  </sheetViews>
  <sheetFormatPr defaultColWidth="9.109375" defaultRowHeight="14.4" x14ac:dyDescent="0.3"/>
  <cols>
    <col min="1" max="1" width="10.88671875" style="121" customWidth="1"/>
    <col min="2" max="2" width="0.109375" style="1" customWidth="1"/>
    <col min="3" max="3" width="4.44140625" style="1" hidden="1" customWidth="1"/>
    <col min="4" max="4" width="13.5546875" style="120" customWidth="1"/>
    <col min="5" max="5" width="11.5546875" style="120" customWidth="1"/>
    <col min="6" max="6" width="9.6640625" style="120" customWidth="1"/>
    <col min="7" max="7" width="11.33203125" style="58" hidden="1" customWidth="1"/>
    <col min="8" max="8" width="11.33203125" style="58" customWidth="1"/>
    <col min="9" max="9" width="11.6640625" style="58" customWidth="1"/>
    <col min="10" max="10" width="12" style="58" customWidth="1"/>
    <col min="11" max="11" width="10.44140625" style="58" customWidth="1"/>
    <col min="12" max="12" width="12.6640625" style="58" bestFit="1" customWidth="1"/>
    <col min="13" max="13" width="10.6640625" style="58" bestFit="1" customWidth="1"/>
    <col min="14" max="14" width="14.109375" style="58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x14ac:dyDescent="0.3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 x14ac:dyDescent="0.3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 x14ac:dyDescent="0.3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 x14ac:dyDescent="0.3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 x14ac:dyDescent="0.3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 x14ac:dyDescent="0.3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 x14ac:dyDescent="0.3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 x14ac:dyDescent="0.3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 x14ac:dyDescent="0.3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 x14ac:dyDescent="0.3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 x14ac:dyDescent="0.3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 x14ac:dyDescent="0.3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 x14ac:dyDescent="0.3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 x14ac:dyDescent="0.3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 x14ac:dyDescent="0.3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 x14ac:dyDescent="0.3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 x14ac:dyDescent="0.3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 x14ac:dyDescent="0.3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 x14ac:dyDescent="0.3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 x14ac:dyDescent="0.3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0" t="s">
        <v>28</v>
      </c>
      <c r="Q21" s="181"/>
      <c r="R21" s="19">
        <f t="shared" si="8"/>
        <v>1</v>
      </c>
      <c r="S21" s="19">
        <f t="shared" si="9"/>
        <v>0</v>
      </c>
      <c r="T21" s="144"/>
    </row>
    <row r="22" spans="1:21" x14ac:dyDescent="0.3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2"/>
      <c r="Q22" s="183"/>
      <c r="R22" s="19">
        <f t="shared" si="8"/>
        <v>1</v>
      </c>
      <c r="S22" s="19">
        <f t="shared" si="9"/>
        <v>0</v>
      </c>
      <c r="T22" s="144"/>
    </row>
    <row r="23" spans="1:21" x14ac:dyDescent="0.3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 x14ac:dyDescent="0.3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2.8051306661721044E-2</v>
      </c>
      <c r="Q24" s="62">
        <f>IF(L3="",0,+SUM(L3:L33)/SUM(I3:I33))</f>
        <v>2.8051306661721044E-2</v>
      </c>
      <c r="R24" s="19">
        <f t="shared" si="8"/>
        <v>1</v>
      </c>
      <c r="S24" s="19">
        <f t="shared" si="9"/>
        <v>0</v>
      </c>
      <c r="T24" s="143"/>
    </row>
    <row r="25" spans="1:21" x14ac:dyDescent="0.3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-0.85606462436933073</v>
      </c>
      <c r="Q25" s="63">
        <f>IF(L3="",0,+(+(LOOKUP(9.99999999999999E+307,F3:F33)-F2))/(+(LOOKUP(9.99999999999999E+307,D3:D33)-D2)))</f>
        <v>4.4386118224271111E-3</v>
      </c>
      <c r="R25" s="19">
        <f t="shared" si="8"/>
        <v>1</v>
      </c>
      <c r="S25" s="19">
        <f t="shared" si="9"/>
        <v>0</v>
      </c>
      <c r="T25" s="143"/>
    </row>
    <row r="26" spans="1:21" x14ac:dyDescent="0.3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 x14ac:dyDescent="0.3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234</v>
      </c>
      <c r="R27" s="19">
        <f t="shared" si="8"/>
        <v>1</v>
      </c>
      <c r="S27" s="19">
        <f t="shared" si="9"/>
        <v>0</v>
      </c>
      <c r="T27" s="144"/>
    </row>
    <row r="28" spans="1:21" x14ac:dyDescent="0.3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66781977</v>
      </c>
      <c r="O28" s="54">
        <f t="shared" si="2"/>
        <v>0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 x14ac:dyDescent="0.3">
      <c r="A29" s="49">
        <v>44952</v>
      </c>
      <c r="D29" s="127">
        <v>0.14199999999999999</v>
      </c>
      <c r="E29" s="128">
        <v>4413.2659999999996</v>
      </c>
      <c r="F29" s="129">
        <v>147.179</v>
      </c>
      <c r="G29" s="130">
        <v>184.66200000000001</v>
      </c>
      <c r="H29" s="52">
        <v>4140</v>
      </c>
      <c r="I29" s="52">
        <f t="shared" si="3"/>
        <v>22397.399999999398</v>
      </c>
      <c r="J29" s="52">
        <f t="shared" si="3"/>
        <v>583.73999999996329</v>
      </c>
      <c r="K29" s="53">
        <f t="shared" si="5"/>
        <v>2.6062846580405717E-2</v>
      </c>
      <c r="L29" s="52">
        <f t="shared" si="6"/>
        <v>583.73999999996329</v>
      </c>
      <c r="M29" s="53">
        <f t="shared" si="7"/>
        <v>2.6062846580405717E-2</v>
      </c>
      <c r="N29" s="131">
        <v>66782796</v>
      </c>
      <c r="O29" s="54">
        <f t="shared" si="2"/>
        <v>819</v>
      </c>
      <c r="P29" s="70">
        <f>IF(D3="",0,+(LOOKUP(9.99999999999999E+307,D2:D33)-D2))*4140</f>
        <v>-20394944.100000001</v>
      </c>
      <c r="Q29" s="71">
        <f>IF(P29="",0,+P29/SUM(R3:R33))</f>
        <v>-784420.92692307697</v>
      </c>
      <c r="R29" s="19">
        <f t="shared" si="8"/>
        <v>1</v>
      </c>
      <c r="S29" s="19">
        <f t="shared" si="9"/>
        <v>0</v>
      </c>
      <c r="T29" s="143"/>
    </row>
    <row r="30" spans="1:21" x14ac:dyDescent="0.3">
      <c r="A30" s="49">
        <v>44953</v>
      </c>
      <c r="D30" s="127">
        <v>0.14199999999999999</v>
      </c>
      <c r="E30" s="128">
        <v>4419.241</v>
      </c>
      <c r="F30" s="129">
        <v>147.33000000000001</v>
      </c>
      <c r="G30" s="130">
        <v>184.72200000000001</v>
      </c>
      <c r="H30" s="52">
        <v>4140</v>
      </c>
      <c r="I30" s="52">
        <f t="shared" si="3"/>
        <v>24736.500000001506</v>
      </c>
      <c r="J30" s="52">
        <f t="shared" si="3"/>
        <v>625.1400000000433</v>
      </c>
      <c r="K30" s="53">
        <f t="shared" si="5"/>
        <v>2.5271966527196866E-2</v>
      </c>
      <c r="L30" s="52">
        <f t="shared" si="6"/>
        <v>625.1400000000433</v>
      </c>
      <c r="M30" s="53">
        <f t="shared" si="7"/>
        <v>2.5271966527196866E-2</v>
      </c>
      <c r="N30" s="131">
        <v>66782796</v>
      </c>
      <c r="O30" s="54">
        <f t="shared" si="2"/>
        <v>0</v>
      </c>
      <c r="P30" s="145" t="s">
        <v>35</v>
      </c>
      <c r="Q30" s="146" t="s">
        <v>36</v>
      </c>
      <c r="R30" s="19">
        <f t="shared" si="8"/>
        <v>1</v>
      </c>
      <c r="S30" s="19">
        <f t="shared" si="9"/>
        <v>0</v>
      </c>
      <c r="T30" s="144"/>
    </row>
    <row r="31" spans="1:21" x14ac:dyDescent="0.3">
      <c r="A31" s="49">
        <v>44954</v>
      </c>
      <c r="D31" s="127">
        <v>0.14199999999999999</v>
      </c>
      <c r="E31" s="128">
        <v>4425.1189999999997</v>
      </c>
      <c r="F31" s="129">
        <v>147.494</v>
      </c>
      <c r="G31" s="130">
        <v>184.76900000000001</v>
      </c>
      <c r="H31" s="52">
        <v>4140</v>
      </c>
      <c r="I31" s="52">
        <f t="shared" si="3"/>
        <v>24334.919999998765</v>
      </c>
      <c r="J31" s="52">
        <f t="shared" si="3"/>
        <v>678.95999999994729</v>
      </c>
      <c r="K31" s="53">
        <f t="shared" si="5"/>
        <v>2.790064647839326E-2</v>
      </c>
      <c r="L31" s="52">
        <f t="shared" si="6"/>
        <v>678.95999999994729</v>
      </c>
      <c r="M31" s="53">
        <f t="shared" si="7"/>
        <v>2.790064647839326E-2</v>
      </c>
      <c r="N31" s="131">
        <v>66782796</v>
      </c>
      <c r="O31" s="54">
        <f t="shared" si="2"/>
        <v>0</v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1</v>
      </c>
      <c r="S31" s="19">
        <f t="shared" si="9"/>
        <v>0</v>
      </c>
      <c r="T31" s="144"/>
      <c r="U31" s="74"/>
    </row>
    <row r="32" spans="1:21" ht="13.5" customHeight="1" thickBot="1" x14ac:dyDescent="0.35">
      <c r="A32" s="49">
        <v>44955</v>
      </c>
      <c r="D32" s="127">
        <v>0.14199999999999999</v>
      </c>
      <c r="E32" s="128">
        <v>4431.1670000000004</v>
      </c>
      <c r="F32" s="129">
        <v>147.696</v>
      </c>
      <c r="G32" s="130">
        <v>184.81</v>
      </c>
      <c r="H32" s="52">
        <v>4140</v>
      </c>
      <c r="I32" s="52">
        <f t="shared" si="3"/>
        <v>25038.720000002832</v>
      </c>
      <c r="J32" s="52">
        <f t="shared" si="3"/>
        <v>836.27999999999247</v>
      </c>
      <c r="K32" s="53">
        <f t="shared" si="5"/>
        <v>3.3399470899466821E-2</v>
      </c>
      <c r="L32" s="52">
        <f t="shared" si="6"/>
        <v>836.27999999999247</v>
      </c>
      <c r="M32" s="53">
        <f t="shared" si="7"/>
        <v>3.3399470899466821E-2</v>
      </c>
      <c r="N32" s="131">
        <v>66782796</v>
      </c>
      <c r="O32" s="54">
        <f t="shared" si="2"/>
        <v>0</v>
      </c>
      <c r="P32" s="147" t="s">
        <v>37</v>
      </c>
      <c r="Q32" s="148" t="s">
        <v>38</v>
      </c>
      <c r="R32" s="19">
        <f t="shared" si="8"/>
        <v>1</v>
      </c>
      <c r="S32" s="19">
        <f t="shared" si="9"/>
        <v>0</v>
      </c>
      <c r="T32" s="144"/>
      <c r="U32" s="74"/>
    </row>
    <row r="33" spans="1:20" x14ac:dyDescent="0.3">
      <c r="A33" s="49">
        <v>44956</v>
      </c>
      <c r="B33" s="75"/>
      <c r="C33" s="76"/>
      <c r="D33" s="127" t="s">
        <v>39</v>
      </c>
      <c r="E33" s="128">
        <v>4437.2640000000001</v>
      </c>
      <c r="F33" s="129">
        <v>147.88399999999999</v>
      </c>
      <c r="G33" s="132">
        <v>184.857</v>
      </c>
      <c r="H33" s="52">
        <v>4140</v>
      </c>
      <c r="I33" s="52">
        <f t="shared" si="3"/>
        <v>25241.579999998976</v>
      </c>
      <c r="J33" s="52">
        <f t="shared" si="3"/>
        <v>778.31999999995105</v>
      </c>
      <c r="K33" s="53">
        <f t="shared" si="5"/>
        <v>3.0834836804985371E-2</v>
      </c>
      <c r="L33" s="52">
        <f t="shared" si="6"/>
        <v>778.31999999995105</v>
      </c>
      <c r="M33" s="53">
        <f t="shared" si="7"/>
        <v>3.0834836804985371E-2</v>
      </c>
      <c r="N33" s="131">
        <v>66782796</v>
      </c>
      <c r="O33" s="54">
        <f t="shared" si="2"/>
        <v>0</v>
      </c>
      <c r="P33" s="110">
        <f>(P31+Q29*SUM(S3:S33)*Q34)</f>
        <v>-11625118.137</v>
      </c>
      <c r="Q33" s="78">
        <f>Q29*31</f>
        <v>-24317048.734615386</v>
      </c>
      <c r="R33" s="19">
        <f t="shared" si="8"/>
        <v>1</v>
      </c>
      <c r="S33" s="19">
        <f t="shared" si="9"/>
        <v>0</v>
      </c>
      <c r="T33" s="143"/>
    </row>
    <row r="34" spans="1:20" x14ac:dyDescent="0.3">
      <c r="A34" s="49">
        <v>44957</v>
      </c>
      <c r="D34" s="152"/>
      <c r="E34" s="152"/>
      <c r="F34" s="152"/>
      <c r="G34" s="152">
        <v>184.89</v>
      </c>
      <c r="H34" s="154">
        <v>4140</v>
      </c>
      <c r="I34" s="154" t="str">
        <f t="shared" si="3"/>
        <v/>
      </c>
      <c r="J34" s="154" t="str">
        <f t="shared" ref="J34" si="10">IF(E34="","",+(F34-F33)*4140)</f>
        <v/>
      </c>
      <c r="K34" s="155" t="str">
        <f t="shared" ref="K34" si="11">IF(J34="","",+(J34/I34))</f>
        <v/>
      </c>
      <c r="L34" s="154" t="str">
        <f t="shared" ref="L34" si="12">IF(F34="","",+(F34-F33)*4140)</f>
        <v/>
      </c>
      <c r="M34" s="155" t="str">
        <f t="shared" ref="M34" si="13">IF(L34="","",(L34/I34))</f>
        <v/>
      </c>
      <c r="N34" s="158"/>
      <c r="O34" s="156" t="str">
        <f t="shared" si="2"/>
        <v/>
      </c>
      <c r="P34" s="79" t="s">
        <v>40</v>
      </c>
      <c r="Q34" s="80">
        <v>0.56999999999999995</v>
      </c>
      <c r="R34" s="19">
        <f t="shared" si="8"/>
        <v>0</v>
      </c>
      <c r="S34" s="19">
        <f t="shared" si="9"/>
        <v>1</v>
      </c>
      <c r="T34" s="143"/>
    </row>
    <row r="35" spans="1:20" x14ac:dyDescent="0.3">
      <c r="A35" s="49">
        <v>44958</v>
      </c>
      <c r="D35" s="127"/>
      <c r="E35" s="128"/>
      <c r="F35" s="129"/>
      <c r="G35" s="130">
        <v>184.91900000000001</v>
      </c>
      <c r="H35" s="52">
        <v>4140</v>
      </c>
      <c r="I35" s="52" t="str">
        <f t="shared" ref="I35:I48" si="14">IF(D35="","",+(E35-E34)*4140)</f>
        <v/>
      </c>
      <c r="J35" s="52" t="str">
        <f t="shared" ref="J35:J48" si="15">IF(E35="","",+(F35-F34)*4140)</f>
        <v/>
      </c>
      <c r="K35" s="53" t="str">
        <f t="shared" ref="K35:K48" si="16">IF(J35="","",+(J35/I35))</f>
        <v/>
      </c>
      <c r="L35" s="52" t="str">
        <f t="shared" ref="L35:L48" si="17">IF(F35="","",+(F35-F34)*4140)</f>
        <v/>
      </c>
      <c r="M35" s="53" t="str">
        <f t="shared" ref="M35:M48" si="18">IF(L35="","",(L35/I35))</f>
        <v/>
      </c>
      <c r="N35" s="131"/>
      <c r="O35" s="54" t="str">
        <f t="shared" si="2"/>
        <v/>
      </c>
      <c r="P35" s="81"/>
      <c r="Q35" s="82"/>
      <c r="R35" s="19">
        <f t="shared" si="8"/>
        <v>0</v>
      </c>
      <c r="S35" s="19">
        <f t="shared" si="9"/>
        <v>1</v>
      </c>
      <c r="T35" s="143"/>
    </row>
    <row r="36" spans="1:20" x14ac:dyDescent="0.3">
      <c r="A36" s="49">
        <v>44959</v>
      </c>
      <c r="D36" s="127"/>
      <c r="E36" s="128"/>
      <c r="F36" s="129"/>
      <c r="G36" s="130">
        <v>184.96700000000001</v>
      </c>
      <c r="H36" s="52">
        <v>4140</v>
      </c>
      <c r="I36" s="52" t="str">
        <f t="shared" si="14"/>
        <v/>
      </c>
      <c r="J36" s="52" t="str">
        <f t="shared" si="15"/>
        <v/>
      </c>
      <c r="K36" s="53" t="str">
        <f t="shared" si="16"/>
        <v/>
      </c>
      <c r="L36" s="52" t="str">
        <f t="shared" si="17"/>
        <v/>
      </c>
      <c r="M36" s="53" t="str">
        <f t="shared" si="18"/>
        <v/>
      </c>
      <c r="N36" s="131"/>
      <c r="O36" s="54" t="str">
        <f t="shared" si="2"/>
        <v/>
      </c>
      <c r="P36" s="83"/>
      <c r="Q36" s="84"/>
      <c r="R36" s="19">
        <f t="shared" si="8"/>
        <v>0</v>
      </c>
      <c r="S36" s="19">
        <f t="shared" si="9"/>
        <v>1</v>
      </c>
      <c r="T36" s="144"/>
    </row>
    <row r="37" spans="1:20" x14ac:dyDescent="0.3">
      <c r="A37" s="49">
        <v>44960</v>
      </c>
      <c r="D37" s="127"/>
      <c r="E37" s="128"/>
      <c r="F37" s="129"/>
      <c r="G37" s="130">
        <v>185.077</v>
      </c>
      <c r="H37" s="52">
        <v>4140</v>
      </c>
      <c r="I37" s="52" t="str">
        <f t="shared" si="14"/>
        <v/>
      </c>
      <c r="J37" s="52" t="str">
        <f t="shared" si="15"/>
        <v/>
      </c>
      <c r="K37" s="53" t="str">
        <f t="shared" si="16"/>
        <v/>
      </c>
      <c r="L37" s="52" t="str">
        <f t="shared" si="17"/>
        <v/>
      </c>
      <c r="M37" s="53" t="str">
        <f t="shared" si="18"/>
        <v/>
      </c>
      <c r="N37" s="131"/>
      <c r="O37" s="54" t="str">
        <f t="shared" si="2"/>
        <v/>
      </c>
      <c r="P37" s="85"/>
      <c r="Q37" s="86"/>
      <c r="R37" s="19">
        <f t="shared" si="8"/>
        <v>0</v>
      </c>
      <c r="S37" s="19">
        <f t="shared" si="9"/>
        <v>1</v>
      </c>
      <c r="T37" s="144"/>
    </row>
    <row r="38" spans="1:20" x14ac:dyDescent="0.3">
      <c r="A38" s="49">
        <v>44961</v>
      </c>
      <c r="D38" s="127"/>
      <c r="E38" s="128"/>
      <c r="F38" s="129"/>
      <c r="G38" s="130">
        <v>185.119</v>
      </c>
      <c r="H38" s="52">
        <v>4140</v>
      </c>
      <c r="I38" s="52" t="str">
        <f t="shared" si="14"/>
        <v/>
      </c>
      <c r="J38" s="52" t="str">
        <f t="shared" si="15"/>
        <v/>
      </c>
      <c r="K38" s="53" t="str">
        <f t="shared" si="16"/>
        <v/>
      </c>
      <c r="L38" s="52" t="str">
        <f t="shared" si="17"/>
        <v/>
      </c>
      <c r="M38" s="53" t="str">
        <f t="shared" si="18"/>
        <v/>
      </c>
      <c r="N38" s="131"/>
      <c r="O38" s="54" t="str">
        <f t="shared" si="2"/>
        <v/>
      </c>
      <c r="P38" s="85"/>
      <c r="Q38" s="84"/>
      <c r="R38" s="19">
        <f t="shared" si="8"/>
        <v>0</v>
      </c>
      <c r="S38" s="19">
        <f t="shared" si="9"/>
        <v>1</v>
      </c>
      <c r="T38" s="143"/>
    </row>
    <row r="39" spans="1:20" x14ac:dyDescent="0.3">
      <c r="A39" s="49">
        <v>44962</v>
      </c>
      <c r="D39" s="127"/>
      <c r="E39" s="128"/>
      <c r="F39" s="129"/>
      <c r="G39" s="130">
        <v>185.148</v>
      </c>
      <c r="H39" s="52">
        <v>4140</v>
      </c>
      <c r="I39" s="52" t="str">
        <f t="shared" si="14"/>
        <v/>
      </c>
      <c r="J39" s="52" t="str">
        <f t="shared" si="15"/>
        <v/>
      </c>
      <c r="K39" s="53" t="str">
        <f t="shared" si="16"/>
        <v/>
      </c>
      <c r="L39" s="52" t="str">
        <f t="shared" si="17"/>
        <v/>
      </c>
      <c r="M39" s="53" t="str">
        <f t="shared" si="18"/>
        <v/>
      </c>
      <c r="N39" s="131"/>
      <c r="O39" s="54" t="str">
        <f t="shared" si="2"/>
        <v/>
      </c>
      <c r="P39" s="55"/>
      <c r="Q39" s="87"/>
      <c r="R39" s="19">
        <f t="shared" si="8"/>
        <v>0</v>
      </c>
      <c r="S39" s="19">
        <f t="shared" si="9"/>
        <v>1</v>
      </c>
      <c r="T39" s="143"/>
    </row>
    <row r="40" spans="1:20" x14ac:dyDescent="0.3">
      <c r="A40" s="49">
        <v>44963</v>
      </c>
      <c r="D40" s="127"/>
      <c r="E40" s="128"/>
      <c r="F40" s="129"/>
      <c r="G40" s="130">
        <v>185.19200000000001</v>
      </c>
      <c r="H40" s="52">
        <v>4140</v>
      </c>
      <c r="I40" s="52" t="str">
        <f t="shared" si="14"/>
        <v/>
      </c>
      <c r="J40" s="52" t="str">
        <f t="shared" si="15"/>
        <v/>
      </c>
      <c r="K40" s="53" t="str">
        <f t="shared" si="16"/>
        <v/>
      </c>
      <c r="L40" s="52" t="str">
        <f t="shared" si="17"/>
        <v/>
      </c>
      <c r="M40" s="53" t="str">
        <f t="shared" si="18"/>
        <v/>
      </c>
      <c r="N40" s="131"/>
      <c r="O40" s="54" t="str">
        <f t="shared" si="2"/>
        <v/>
      </c>
      <c r="P40" s="55"/>
      <c r="Q40" s="87"/>
      <c r="R40" s="19">
        <f t="shared" si="8"/>
        <v>0</v>
      </c>
      <c r="S40" s="19">
        <f t="shared" si="9"/>
        <v>1</v>
      </c>
      <c r="T40" s="143"/>
    </row>
    <row r="41" spans="1:20" x14ac:dyDescent="0.3">
      <c r="A41" s="49">
        <v>44964</v>
      </c>
      <c r="D41" s="127"/>
      <c r="E41" s="128"/>
      <c r="F41" s="129"/>
      <c r="G41" s="130">
        <v>185.26300000000001</v>
      </c>
      <c r="H41" s="52">
        <v>4140</v>
      </c>
      <c r="I41" s="52" t="str">
        <f t="shared" si="14"/>
        <v/>
      </c>
      <c r="J41" s="52" t="str">
        <f t="shared" si="15"/>
        <v/>
      </c>
      <c r="K41" s="53" t="str">
        <f t="shared" si="16"/>
        <v/>
      </c>
      <c r="L41" s="52" t="str">
        <f t="shared" si="17"/>
        <v/>
      </c>
      <c r="M41" s="53" t="str">
        <f t="shared" si="18"/>
        <v/>
      </c>
      <c r="N41" s="131"/>
      <c r="O41" s="54" t="str">
        <f t="shared" si="2"/>
        <v/>
      </c>
      <c r="P41" s="55"/>
      <c r="Q41" s="87"/>
      <c r="R41" s="19">
        <f t="shared" si="8"/>
        <v>0</v>
      </c>
      <c r="S41" s="19">
        <f t="shared" si="9"/>
        <v>1</v>
      </c>
      <c r="T41" s="144"/>
    </row>
    <row r="42" spans="1:20" x14ac:dyDescent="0.3">
      <c r="A42" s="49">
        <v>44965</v>
      </c>
      <c r="D42" s="127"/>
      <c r="E42" s="128"/>
      <c r="F42" s="129"/>
      <c r="G42" s="130">
        <v>185.31800000000001</v>
      </c>
      <c r="H42" s="52">
        <v>4140</v>
      </c>
      <c r="I42" s="52" t="str">
        <f t="shared" si="14"/>
        <v/>
      </c>
      <c r="J42" s="52" t="str">
        <f t="shared" si="15"/>
        <v/>
      </c>
      <c r="K42" s="53" t="str">
        <f t="shared" si="16"/>
        <v/>
      </c>
      <c r="L42" s="52" t="str">
        <f t="shared" si="17"/>
        <v/>
      </c>
      <c r="M42" s="53" t="str">
        <f t="shared" si="18"/>
        <v/>
      </c>
      <c r="N42" s="131"/>
      <c r="O42" s="54" t="str">
        <f t="shared" si="2"/>
        <v/>
      </c>
      <c r="P42" s="55"/>
      <c r="Q42" s="87"/>
      <c r="R42" s="19">
        <f t="shared" si="8"/>
        <v>0</v>
      </c>
      <c r="S42" s="19">
        <f t="shared" si="9"/>
        <v>1</v>
      </c>
      <c r="T42" s="144"/>
    </row>
    <row r="43" spans="1:20" x14ac:dyDescent="0.3">
      <c r="A43" s="49">
        <v>44966</v>
      </c>
      <c r="D43" s="127"/>
      <c r="E43" s="128"/>
      <c r="F43" s="129"/>
      <c r="G43" s="130">
        <v>185.46299999999999</v>
      </c>
      <c r="H43" s="52">
        <v>4140</v>
      </c>
      <c r="I43" s="52" t="str">
        <f>IF(D43="","",+(E43-E42)*4140)</f>
        <v/>
      </c>
      <c r="J43" s="52" t="str">
        <f t="shared" si="15"/>
        <v/>
      </c>
      <c r="K43" s="53" t="str">
        <f t="shared" si="16"/>
        <v/>
      </c>
      <c r="L43" s="52" t="str">
        <f t="shared" si="17"/>
        <v/>
      </c>
      <c r="M43" s="53" t="str">
        <f t="shared" si="18"/>
        <v/>
      </c>
      <c r="N43" s="131"/>
      <c r="O43" s="54" t="str">
        <f t="shared" si="2"/>
        <v/>
      </c>
      <c r="P43" s="55"/>
      <c r="Q43" s="87"/>
      <c r="R43" s="19">
        <f t="shared" si="8"/>
        <v>0</v>
      </c>
      <c r="S43" s="19">
        <f t="shared" si="9"/>
        <v>1</v>
      </c>
      <c r="T43" s="143"/>
    </row>
    <row r="44" spans="1:20" x14ac:dyDescent="0.3">
      <c r="A44" s="49">
        <v>44967</v>
      </c>
      <c r="D44" s="127"/>
      <c r="E44" s="128"/>
      <c r="F44" s="129"/>
      <c r="G44" s="130">
        <v>185.536</v>
      </c>
      <c r="H44" s="52">
        <v>4140</v>
      </c>
      <c r="I44" s="52" t="str">
        <f t="shared" si="14"/>
        <v/>
      </c>
      <c r="J44" s="52" t="str">
        <f t="shared" si="15"/>
        <v/>
      </c>
      <c r="K44" s="53" t="str">
        <f t="shared" si="16"/>
        <v/>
      </c>
      <c r="L44" s="52" t="str">
        <f t="shared" si="17"/>
        <v/>
      </c>
      <c r="M44" s="53" t="str">
        <f t="shared" si="18"/>
        <v/>
      </c>
      <c r="N44" s="131"/>
      <c r="O44" s="54" t="str">
        <f t="shared" si="2"/>
        <v/>
      </c>
      <c r="P44" s="55"/>
      <c r="Q44" s="87"/>
      <c r="R44" s="19">
        <f t="shared" si="8"/>
        <v>0</v>
      </c>
      <c r="S44" s="19">
        <f t="shared" si="9"/>
        <v>1</v>
      </c>
      <c r="T44" s="143"/>
    </row>
    <row r="45" spans="1:20" x14ac:dyDescent="0.3">
      <c r="A45" s="49">
        <v>44968</v>
      </c>
      <c r="D45" s="127"/>
      <c r="E45" s="128"/>
      <c r="F45" s="129"/>
      <c r="G45" s="130">
        <v>185.636</v>
      </c>
      <c r="H45" s="52">
        <v>4140</v>
      </c>
      <c r="I45" s="52" t="str">
        <f t="shared" si="14"/>
        <v/>
      </c>
      <c r="J45" s="52" t="str">
        <f t="shared" si="15"/>
        <v/>
      </c>
      <c r="K45" s="53" t="str">
        <f t="shared" si="16"/>
        <v/>
      </c>
      <c r="L45" s="52" t="str">
        <f t="shared" si="17"/>
        <v/>
      </c>
      <c r="M45" s="53" t="str">
        <f t="shared" si="18"/>
        <v/>
      </c>
      <c r="N45" s="131"/>
      <c r="O45" s="54" t="str">
        <f t="shared" si="2"/>
        <v/>
      </c>
      <c r="P45" s="55"/>
      <c r="Q45" s="87"/>
      <c r="R45" s="19">
        <f t="shared" si="8"/>
        <v>0</v>
      </c>
      <c r="S45" s="19">
        <f t="shared" si="9"/>
        <v>1</v>
      </c>
      <c r="T45" s="143"/>
    </row>
    <row r="46" spans="1:20" x14ac:dyDescent="0.3">
      <c r="A46" s="49">
        <v>44969</v>
      </c>
      <c r="D46" s="127"/>
      <c r="E46" s="128"/>
      <c r="F46" s="129"/>
      <c r="G46" s="130">
        <v>185.68700000000001</v>
      </c>
      <c r="H46" s="52">
        <v>4140</v>
      </c>
      <c r="I46" s="52" t="str">
        <f t="shared" si="14"/>
        <v/>
      </c>
      <c r="J46" s="52" t="str">
        <f t="shared" si="15"/>
        <v/>
      </c>
      <c r="K46" s="53" t="str">
        <f t="shared" si="16"/>
        <v/>
      </c>
      <c r="L46" s="52" t="str">
        <f t="shared" si="17"/>
        <v/>
      </c>
      <c r="M46" s="53" t="str">
        <f t="shared" si="18"/>
        <v/>
      </c>
      <c r="N46" s="131"/>
      <c r="O46" s="54" t="str">
        <f t="shared" si="2"/>
        <v/>
      </c>
      <c r="P46" s="55"/>
      <c r="Q46" s="87"/>
      <c r="R46" s="19">
        <f t="shared" si="8"/>
        <v>0</v>
      </c>
      <c r="S46" s="19">
        <f t="shared" si="9"/>
        <v>1</v>
      </c>
      <c r="T46" s="144"/>
    </row>
    <row r="47" spans="1:20" x14ac:dyDescent="0.3">
      <c r="A47" s="49">
        <v>44970</v>
      </c>
      <c r="D47" s="127"/>
      <c r="E47" s="128"/>
      <c r="F47" s="129"/>
      <c r="G47" s="130">
        <v>185.76</v>
      </c>
      <c r="H47" s="52">
        <v>4140</v>
      </c>
      <c r="I47" s="52" t="str">
        <f t="shared" si="14"/>
        <v/>
      </c>
      <c r="J47" s="52" t="str">
        <f t="shared" si="15"/>
        <v/>
      </c>
      <c r="K47" s="53" t="str">
        <f t="shared" si="16"/>
        <v/>
      </c>
      <c r="L47" s="52" t="str">
        <f t="shared" si="17"/>
        <v/>
      </c>
      <c r="M47" s="53" t="str">
        <f t="shared" si="18"/>
        <v/>
      </c>
      <c r="N47" s="131"/>
      <c r="O47" s="54" t="str">
        <f t="shared" si="2"/>
        <v/>
      </c>
      <c r="P47" s="55"/>
      <c r="Q47" s="87"/>
      <c r="R47" s="19">
        <f t="shared" si="8"/>
        <v>0</v>
      </c>
      <c r="S47" s="19">
        <f t="shared" si="9"/>
        <v>1</v>
      </c>
      <c r="T47" s="144"/>
    </row>
    <row r="48" spans="1:20" x14ac:dyDescent="0.3">
      <c r="A48" s="49">
        <v>44971</v>
      </c>
      <c r="D48" s="127"/>
      <c r="E48" s="128"/>
      <c r="F48" s="129"/>
      <c r="G48" s="130">
        <v>185.84</v>
      </c>
      <c r="H48" s="52">
        <v>4140</v>
      </c>
      <c r="I48" s="52" t="str">
        <f t="shared" si="14"/>
        <v/>
      </c>
      <c r="J48" s="52" t="str">
        <f t="shared" si="15"/>
        <v/>
      </c>
      <c r="K48" s="53" t="str">
        <f t="shared" si="16"/>
        <v/>
      </c>
      <c r="L48" s="52" t="str">
        <f t="shared" si="17"/>
        <v/>
      </c>
      <c r="M48" s="53" t="str">
        <f t="shared" si="18"/>
        <v/>
      </c>
      <c r="N48" s="131"/>
      <c r="O48" s="54" t="str">
        <f t="shared" si="2"/>
        <v/>
      </c>
      <c r="P48" s="59"/>
      <c r="Q48" s="88"/>
      <c r="R48" s="19">
        <f t="shared" si="8"/>
        <v>0</v>
      </c>
      <c r="S48" s="19">
        <f>IF(N48="",1,0)</f>
        <v>1</v>
      </c>
      <c r="T48" s="143"/>
    </row>
    <row r="49" spans="1:20" x14ac:dyDescent="0.3">
      <c r="A49" s="49">
        <v>44972</v>
      </c>
      <c r="D49" s="127"/>
      <c r="E49" s="128"/>
      <c r="F49" s="129"/>
      <c r="G49" s="130">
        <v>185.916</v>
      </c>
      <c r="H49" s="52">
        <v>4140</v>
      </c>
      <c r="I49" s="52" t="str">
        <f t="shared" ref="I49:J51" si="19">IF(D49="","",+(E49-E48)*4140)</f>
        <v/>
      </c>
      <c r="J49" s="52" t="str">
        <f t="shared" si="19"/>
        <v/>
      </c>
      <c r="K49" s="53" t="str">
        <f t="shared" ref="K49:K54" si="20">IF(J49="","",+(J49/I49))</f>
        <v/>
      </c>
      <c r="L49" s="52" t="str">
        <f t="shared" ref="L49:L54" si="21">IF(F49="","",+(F49-F48)*4140)</f>
        <v/>
      </c>
      <c r="M49" s="53" t="str">
        <f t="shared" ref="M49:M54" si="22">IF(L49="","",(L49/I49))</f>
        <v/>
      </c>
      <c r="N49" s="131"/>
      <c r="O49" s="54" t="str">
        <f t="shared" si="2"/>
        <v/>
      </c>
      <c r="P49" s="180" t="s">
        <v>41</v>
      </c>
      <c r="Q49" s="181"/>
      <c r="R49" s="19">
        <f t="shared" si="8"/>
        <v>0</v>
      </c>
      <c r="S49" s="19">
        <f t="shared" si="9"/>
        <v>1</v>
      </c>
      <c r="T49" s="143"/>
    </row>
    <row r="50" spans="1:20" x14ac:dyDescent="0.3">
      <c r="A50" s="49">
        <v>44973</v>
      </c>
      <c r="D50" s="127"/>
      <c r="E50" s="128"/>
      <c r="F50" s="129"/>
      <c r="G50" s="130">
        <v>185.96799999999999</v>
      </c>
      <c r="H50" s="52">
        <v>4140</v>
      </c>
      <c r="I50" s="52" t="str">
        <f t="shared" si="19"/>
        <v/>
      </c>
      <c r="J50" s="52" t="str">
        <f t="shared" si="19"/>
        <v/>
      </c>
      <c r="K50" s="53" t="str">
        <f t="shared" si="20"/>
        <v/>
      </c>
      <c r="L50" s="52" t="str">
        <f t="shared" si="21"/>
        <v/>
      </c>
      <c r="M50" s="53" t="str">
        <f t="shared" si="22"/>
        <v/>
      </c>
      <c r="N50" s="131"/>
      <c r="O50" s="54" t="str">
        <f t="shared" si="2"/>
        <v/>
      </c>
      <c r="P50" s="182"/>
      <c r="Q50" s="183"/>
      <c r="R50" s="19">
        <f t="shared" si="8"/>
        <v>0</v>
      </c>
      <c r="S50" s="19">
        <f t="shared" si="9"/>
        <v>1</v>
      </c>
      <c r="T50" s="143"/>
    </row>
    <row r="51" spans="1:20" x14ac:dyDescent="0.3">
      <c r="A51" s="49">
        <v>44974</v>
      </c>
      <c r="D51" s="127"/>
      <c r="E51" s="128"/>
      <c r="F51" s="129"/>
      <c r="G51" s="130">
        <v>186.03100000000001</v>
      </c>
      <c r="H51" s="52">
        <v>4140</v>
      </c>
      <c r="I51" s="52" t="str">
        <f t="shared" si="19"/>
        <v/>
      </c>
      <c r="J51" s="52" t="str">
        <f t="shared" si="19"/>
        <v/>
      </c>
      <c r="K51" s="53" t="str">
        <f t="shared" si="20"/>
        <v/>
      </c>
      <c r="L51" s="52" t="str">
        <f t="shared" si="21"/>
        <v/>
      </c>
      <c r="M51" s="53" t="str">
        <f t="shared" si="22"/>
        <v/>
      </c>
      <c r="N51" s="131"/>
      <c r="O51" s="54" t="str">
        <f t="shared" si="2"/>
        <v/>
      </c>
      <c r="P51" s="61" t="s">
        <v>29</v>
      </c>
      <c r="Q51" s="61" t="s">
        <v>30</v>
      </c>
      <c r="R51" s="19">
        <f t="shared" si="8"/>
        <v>0</v>
      </c>
      <c r="S51" s="19">
        <f t="shared" si="9"/>
        <v>1</v>
      </c>
      <c r="T51" s="144"/>
    </row>
    <row r="52" spans="1:20" x14ac:dyDescent="0.3">
      <c r="A52" s="49">
        <v>44975</v>
      </c>
      <c r="D52" s="127"/>
      <c r="E52" s="128"/>
      <c r="F52" s="129"/>
      <c r="G52" s="130">
        <v>186.15700000000001</v>
      </c>
      <c r="H52" s="52">
        <v>4140</v>
      </c>
      <c r="I52" s="52" t="str">
        <f t="shared" ref="I52:J54" si="23">IF(D52="","",+(E52-E51)*4140)</f>
        <v/>
      </c>
      <c r="J52" s="52" t="str">
        <f t="shared" si="23"/>
        <v/>
      </c>
      <c r="K52" s="53" t="str">
        <f t="shared" si="20"/>
        <v/>
      </c>
      <c r="L52" s="52" t="str">
        <f t="shared" si="21"/>
        <v/>
      </c>
      <c r="M52" s="53" t="str">
        <f t="shared" si="22"/>
        <v/>
      </c>
      <c r="N52" s="131"/>
      <c r="O52" s="54" t="str">
        <f t="shared" si="2"/>
        <v/>
      </c>
      <c r="P52" s="62">
        <f>IF(J34="",0,+SUM(J34:J61)/SUM(I34:I61))</f>
        <v>0</v>
      </c>
      <c r="Q52" s="62">
        <f>IF(L34="",0,+SUM(L34:L61)/SUM(I34:I61))</f>
        <v>0</v>
      </c>
      <c r="R52" s="19">
        <f t="shared" si="8"/>
        <v>0</v>
      </c>
      <c r="S52" s="19">
        <f t="shared" si="9"/>
        <v>1</v>
      </c>
      <c r="T52" s="144"/>
    </row>
    <row r="53" spans="1:20" x14ac:dyDescent="0.3">
      <c r="A53" s="49">
        <v>44976</v>
      </c>
      <c r="D53" s="127"/>
      <c r="E53" s="128"/>
      <c r="F53" s="129"/>
      <c r="G53" s="130">
        <v>186.21100000000001</v>
      </c>
      <c r="H53" s="52">
        <v>4140</v>
      </c>
      <c r="I53" s="52" t="str">
        <f t="shared" si="23"/>
        <v/>
      </c>
      <c r="J53" s="52" t="str">
        <f t="shared" si="23"/>
        <v/>
      </c>
      <c r="K53" s="53" t="str">
        <f t="shared" si="20"/>
        <v/>
      </c>
      <c r="L53" s="52" t="str">
        <f t="shared" si="21"/>
        <v/>
      </c>
      <c r="M53" s="53" t="str">
        <f t="shared" si="22"/>
        <v/>
      </c>
      <c r="N53" s="131"/>
      <c r="O53" s="54" t="str">
        <f t="shared" si="2"/>
        <v/>
      </c>
      <c r="P53" s="63">
        <f>IF(J34="",0,+(+(LOOKUP(9.99999999999999E+307,E34:E61)-E33))/(+(LOOKUP(9.99999999999999E+307,D34:D61)-D33)))</f>
        <v>0</v>
      </c>
      <c r="Q53" s="63">
        <f>IF(L34="",0,+(+(LOOKUP(9.99999999999999E+307,F34:F61)-F33))/(+(LOOKUP(9.99999999999999E+307,D34:D61)-D33)))</f>
        <v>0</v>
      </c>
      <c r="R53" s="19">
        <f t="shared" si="8"/>
        <v>0</v>
      </c>
      <c r="S53" s="19">
        <f t="shared" si="9"/>
        <v>1</v>
      </c>
      <c r="T53" s="143"/>
    </row>
    <row r="54" spans="1:20" x14ac:dyDescent="0.3">
      <c r="A54" s="49">
        <v>44977</v>
      </c>
      <c r="D54" s="127"/>
      <c r="E54" s="128"/>
      <c r="F54" s="129"/>
      <c r="G54" s="130">
        <v>186.25</v>
      </c>
      <c r="H54" s="52">
        <v>4140</v>
      </c>
      <c r="I54" s="52" t="str">
        <f t="shared" si="23"/>
        <v/>
      </c>
      <c r="J54" s="52" t="str">
        <f t="shared" ref="J54:J61" si="24">IF(E54="","",+(F54-F53)*4140)</f>
        <v/>
      </c>
      <c r="K54" s="53" t="str">
        <f t="shared" si="20"/>
        <v/>
      </c>
      <c r="L54" s="52" t="str">
        <f t="shared" si="21"/>
        <v/>
      </c>
      <c r="M54" s="53" t="str">
        <f t="shared" si="22"/>
        <v/>
      </c>
      <c r="N54" s="131"/>
      <c r="O54" s="54" t="str">
        <f t="shared" si="2"/>
        <v/>
      </c>
      <c r="P54" s="64" t="s">
        <v>31</v>
      </c>
      <c r="Q54" s="65" t="s">
        <v>32</v>
      </c>
      <c r="R54" s="19">
        <f t="shared" si="8"/>
        <v>0</v>
      </c>
      <c r="S54" s="19">
        <f t="shared" si="9"/>
        <v>1</v>
      </c>
      <c r="T54" s="143"/>
    </row>
    <row r="55" spans="1:20" x14ac:dyDescent="0.3">
      <c r="A55" s="49">
        <v>44978</v>
      </c>
      <c r="D55" s="127"/>
      <c r="E55" s="128"/>
      <c r="F55" s="129"/>
      <c r="G55" s="130">
        <v>186.30600000000001</v>
      </c>
      <c r="H55" s="52">
        <v>4140</v>
      </c>
      <c r="I55" s="52" t="str">
        <f t="shared" ref="I55:I61" si="25">IF(D55="","",+(E55-E54)*4140)</f>
        <v/>
      </c>
      <c r="J55" s="52" t="str">
        <f t="shared" si="24"/>
        <v/>
      </c>
      <c r="K55" s="53" t="str">
        <f t="shared" ref="K55:K61" si="26">IF(J55="","",+(J55/I55))</f>
        <v/>
      </c>
      <c r="L55" s="52" t="str">
        <f t="shared" ref="L55:L61" si="27">IF(F55="","",+(F55-F54)*4140)</f>
        <v/>
      </c>
      <c r="M55" s="53" t="str">
        <f t="shared" ref="M55:M61" si="28">IF(L55="","",(L55/I55))</f>
        <v/>
      </c>
      <c r="N55" s="131"/>
      <c r="O55" s="54" t="str">
        <f t="shared" si="2"/>
        <v/>
      </c>
      <c r="P55" s="66">
        <f>IF(N33="",0,+(LOOKUP(9.99999999999999E+307,N33:N61)-N33))</f>
        <v>0</v>
      </c>
      <c r="Q55" s="67" t="e">
        <f>IF(P55="",0,+P55/SUM(R34:R61))</f>
        <v>#DIV/0!</v>
      </c>
      <c r="R55" s="19">
        <f t="shared" si="8"/>
        <v>0</v>
      </c>
      <c r="S55" s="19">
        <f t="shared" si="9"/>
        <v>1</v>
      </c>
      <c r="T55" s="144"/>
    </row>
    <row r="56" spans="1:20" x14ac:dyDescent="0.3">
      <c r="A56" s="49">
        <v>44979</v>
      </c>
      <c r="D56" s="127"/>
      <c r="E56" s="128"/>
      <c r="F56" s="129"/>
      <c r="G56" s="130">
        <v>186.36600000000001</v>
      </c>
      <c r="H56" s="52">
        <v>4140</v>
      </c>
      <c r="I56" s="52" t="str">
        <f t="shared" si="25"/>
        <v/>
      </c>
      <c r="J56" s="52" t="str">
        <f t="shared" si="24"/>
        <v/>
      </c>
      <c r="K56" s="53" t="str">
        <f t="shared" si="26"/>
        <v/>
      </c>
      <c r="L56" s="52" t="str">
        <f t="shared" si="27"/>
        <v/>
      </c>
      <c r="M56" s="53" t="str">
        <f t="shared" si="28"/>
        <v/>
      </c>
      <c r="N56" s="131"/>
      <c r="O56" s="54" t="str">
        <f t="shared" si="2"/>
        <v/>
      </c>
      <c r="P56" s="68" t="s">
        <v>33</v>
      </c>
      <c r="Q56" s="69" t="s">
        <v>42</v>
      </c>
      <c r="R56" s="19">
        <f t="shared" si="8"/>
        <v>0</v>
      </c>
      <c r="S56" s="19">
        <f t="shared" si="9"/>
        <v>1</v>
      </c>
      <c r="T56" s="144"/>
    </row>
    <row r="57" spans="1:20" x14ac:dyDescent="0.3">
      <c r="A57" s="49">
        <v>44980</v>
      </c>
      <c r="D57" s="127"/>
      <c r="E57" s="128"/>
      <c r="F57" s="129"/>
      <c r="G57" s="130">
        <v>186.435</v>
      </c>
      <c r="H57" s="52">
        <v>4140</v>
      </c>
      <c r="I57" s="52" t="str">
        <f t="shared" si="25"/>
        <v/>
      </c>
      <c r="J57" s="52" t="str">
        <f t="shared" si="24"/>
        <v/>
      </c>
      <c r="K57" s="53" t="str">
        <f t="shared" si="26"/>
        <v/>
      </c>
      <c r="L57" s="52" t="str">
        <f t="shared" si="27"/>
        <v/>
      </c>
      <c r="M57" s="53" t="str">
        <f t="shared" si="28"/>
        <v/>
      </c>
      <c r="N57" s="131"/>
      <c r="O57" s="54" t="str">
        <f t="shared" si="2"/>
        <v/>
      </c>
      <c r="P57" s="70" t="e">
        <f>IF(D33="",0,+(LOOKUP(9.99999999999999E+307,D33:D62)-D33))*4140</f>
        <v>#N/A</v>
      </c>
      <c r="Q57" s="71" t="e">
        <f>IF(P57="",0,+P57/SUM(R34:R62))</f>
        <v>#N/A</v>
      </c>
      <c r="R57" s="19">
        <f t="shared" si="8"/>
        <v>0</v>
      </c>
      <c r="S57" s="19">
        <f t="shared" si="9"/>
        <v>1</v>
      </c>
      <c r="T57" s="144"/>
    </row>
    <row r="58" spans="1:20" x14ac:dyDescent="0.3">
      <c r="A58" s="49">
        <v>44981</v>
      </c>
      <c r="D58" s="127"/>
      <c r="E58" s="128"/>
      <c r="F58" s="129"/>
      <c r="G58" s="130">
        <v>186.5</v>
      </c>
      <c r="H58" s="52">
        <v>4140</v>
      </c>
      <c r="I58" s="52" t="str">
        <f t="shared" si="25"/>
        <v/>
      </c>
      <c r="J58" s="52" t="str">
        <f t="shared" si="24"/>
        <v/>
      </c>
      <c r="K58" s="53" t="str">
        <f t="shared" si="26"/>
        <v/>
      </c>
      <c r="L58" s="52" t="str">
        <f t="shared" si="27"/>
        <v/>
      </c>
      <c r="M58" s="53" t="str">
        <f t="shared" si="28"/>
        <v/>
      </c>
      <c r="N58" s="131"/>
      <c r="O58" s="54" t="str">
        <f t="shared" si="2"/>
        <v/>
      </c>
      <c r="P58" s="145" t="s">
        <v>35</v>
      </c>
      <c r="Q58" s="146" t="s">
        <v>43</v>
      </c>
      <c r="R58" s="19">
        <f t="shared" si="8"/>
        <v>0</v>
      </c>
      <c r="S58" s="19">
        <f t="shared" si="9"/>
        <v>1</v>
      </c>
      <c r="T58" s="144"/>
    </row>
    <row r="59" spans="1:20" x14ac:dyDescent="0.3">
      <c r="A59" s="49">
        <v>44982</v>
      </c>
      <c r="D59" s="127"/>
      <c r="E59" s="128"/>
      <c r="F59" s="129"/>
      <c r="G59" s="130">
        <v>186.56299999999999</v>
      </c>
      <c r="H59" s="52">
        <v>4140</v>
      </c>
      <c r="I59" s="52" t="str">
        <f t="shared" si="25"/>
        <v/>
      </c>
      <c r="J59" s="52" t="str">
        <f t="shared" si="24"/>
        <v/>
      </c>
      <c r="K59" s="53" t="str">
        <f t="shared" si="26"/>
        <v/>
      </c>
      <c r="L59" s="52" t="str">
        <f t="shared" si="27"/>
        <v/>
      </c>
      <c r="M59" s="53" t="str">
        <f t="shared" si="28"/>
        <v/>
      </c>
      <c r="N59" s="131"/>
      <c r="O59" s="54" t="str">
        <f t="shared" si="2"/>
        <v/>
      </c>
      <c r="P59" s="72" t="e">
        <f>P57*Q63</f>
        <v>#N/A</v>
      </c>
      <c r="Q59" s="73" t="e">
        <f>IF(Q34="",0,(SUM('[1]Günlük Tüketim'!H35:H62)*1.62)/SUM(O34:O61))</f>
        <v>#DIV/0!</v>
      </c>
      <c r="R59" s="19">
        <f t="shared" si="8"/>
        <v>0</v>
      </c>
      <c r="S59" s="19">
        <f t="shared" si="9"/>
        <v>1</v>
      </c>
      <c r="T59" s="143"/>
    </row>
    <row r="60" spans="1:20" x14ac:dyDescent="0.3">
      <c r="A60" s="49">
        <v>44983</v>
      </c>
      <c r="D60" s="127"/>
      <c r="E60" s="128"/>
      <c r="F60" s="129"/>
      <c r="G60" s="130">
        <v>186.62200000000001</v>
      </c>
      <c r="H60" s="52">
        <v>4140</v>
      </c>
      <c r="I60" s="52" t="str">
        <f t="shared" si="25"/>
        <v/>
      </c>
      <c r="J60" s="52" t="str">
        <f t="shared" si="24"/>
        <v/>
      </c>
      <c r="K60" s="53" t="str">
        <f t="shared" si="26"/>
        <v/>
      </c>
      <c r="L60" s="52" t="str">
        <f t="shared" si="27"/>
        <v/>
      </c>
      <c r="M60" s="53" t="str">
        <f t="shared" si="28"/>
        <v/>
      </c>
      <c r="N60" s="131"/>
      <c r="O60" s="54" t="str">
        <f t="shared" si="2"/>
        <v/>
      </c>
      <c r="P60" s="147" t="s">
        <v>37</v>
      </c>
      <c r="Q60" s="148" t="s">
        <v>38</v>
      </c>
      <c r="R60" s="19">
        <f t="shared" si="8"/>
        <v>0</v>
      </c>
      <c r="S60" s="19">
        <f t="shared" si="9"/>
        <v>1</v>
      </c>
      <c r="T60" s="143"/>
    </row>
    <row r="61" spans="1:20" x14ac:dyDescent="0.3">
      <c r="A61" s="49">
        <v>44984</v>
      </c>
      <c r="B61" s="89"/>
      <c r="C61" s="89"/>
      <c r="D61" s="127"/>
      <c r="E61" s="128"/>
      <c r="F61" s="129"/>
      <c r="G61" s="133">
        <v>186.69300000000001</v>
      </c>
      <c r="H61" s="52">
        <v>4140</v>
      </c>
      <c r="I61" s="52" t="str">
        <f t="shared" si="25"/>
        <v/>
      </c>
      <c r="J61" s="52" t="str">
        <f t="shared" si="24"/>
        <v/>
      </c>
      <c r="K61" s="53" t="str">
        <f t="shared" si="26"/>
        <v/>
      </c>
      <c r="L61" s="52" t="str">
        <f t="shared" si="27"/>
        <v/>
      </c>
      <c r="M61" s="53" t="str">
        <f t="shared" si="28"/>
        <v/>
      </c>
      <c r="N61" s="131"/>
      <c r="O61" s="54" t="str">
        <f t="shared" ref="O61:O76" si="29">IF(N61="","",N61-N60)</f>
        <v/>
      </c>
      <c r="P61" s="110" t="e">
        <f>(P59+Q57*SUM(S34:S61)*Q63)</f>
        <v>#N/A</v>
      </c>
      <c r="Q61" s="78" t="e">
        <f>Q57*29</f>
        <v>#N/A</v>
      </c>
      <c r="R61" s="19">
        <f t="shared" si="8"/>
        <v>0</v>
      </c>
      <c r="S61" s="19">
        <f t="shared" si="9"/>
        <v>1</v>
      </c>
      <c r="T61" s="143"/>
    </row>
    <row r="62" spans="1:20" x14ac:dyDescent="0.3">
      <c r="A62" s="49">
        <v>44985</v>
      </c>
      <c r="B62" s="89"/>
      <c r="C62" s="89"/>
      <c r="D62" s="152"/>
      <c r="E62" s="152"/>
      <c r="F62" s="152"/>
      <c r="G62" s="157">
        <v>186.77500000000001</v>
      </c>
      <c r="H62" s="154">
        <v>4140</v>
      </c>
      <c r="I62" s="154" t="str">
        <f t="shared" ref="I62:J64" si="30">IF(D62="","",+(E62-E61)*4140)</f>
        <v/>
      </c>
      <c r="J62" s="154" t="str">
        <f t="shared" si="30"/>
        <v/>
      </c>
      <c r="K62" s="155" t="str">
        <f t="shared" ref="K62:K68" si="31">IF(J62="","",+(J62/I62))</f>
        <v/>
      </c>
      <c r="L62" s="154" t="str">
        <f t="shared" ref="L62:L68" si="32">IF(F62="","",+(F62-F61)*4140)</f>
        <v/>
      </c>
      <c r="M62" s="155" t="str">
        <f t="shared" ref="M62:M68" si="33">IF(L62="","",(L62/I62))</f>
        <v/>
      </c>
      <c r="N62" s="156"/>
      <c r="O62" s="156" t="str">
        <f t="shared" si="29"/>
        <v/>
      </c>
      <c r="P62" s="90"/>
      <c r="Q62" s="91"/>
      <c r="R62" s="19">
        <f t="shared" si="8"/>
        <v>0</v>
      </c>
      <c r="S62" s="19">
        <f t="shared" si="9"/>
        <v>1</v>
      </c>
      <c r="T62" s="143"/>
    </row>
    <row r="63" spans="1:20" ht="15" thickBot="1" x14ac:dyDescent="0.35">
      <c r="A63" s="49">
        <v>44986</v>
      </c>
      <c r="D63" s="127"/>
      <c r="E63" s="128"/>
      <c r="F63" s="129"/>
      <c r="G63" s="51">
        <v>186.875</v>
      </c>
      <c r="H63" s="52">
        <v>4140</v>
      </c>
      <c r="I63" s="52" t="str">
        <f t="shared" si="30"/>
        <v/>
      </c>
      <c r="J63" s="52" t="str">
        <f t="shared" si="30"/>
        <v/>
      </c>
      <c r="K63" s="53" t="str">
        <f t="shared" si="31"/>
        <v/>
      </c>
      <c r="L63" s="52" t="str">
        <f t="shared" si="32"/>
        <v/>
      </c>
      <c r="M63" s="53" t="str">
        <f t="shared" si="33"/>
        <v/>
      </c>
      <c r="N63" s="54"/>
      <c r="O63" s="54" t="str">
        <f t="shared" si="29"/>
        <v/>
      </c>
      <c r="P63" s="79" t="s">
        <v>40</v>
      </c>
      <c r="Q63" s="80">
        <v>0.56999999999999995</v>
      </c>
      <c r="R63" s="19">
        <f t="shared" si="8"/>
        <v>0</v>
      </c>
      <c r="S63" s="19">
        <f t="shared" si="9"/>
        <v>1</v>
      </c>
      <c r="T63" s="143"/>
    </row>
    <row r="64" spans="1:20" ht="15" thickBot="1" x14ac:dyDescent="0.35">
      <c r="A64" s="49">
        <v>44987</v>
      </c>
      <c r="D64" s="127"/>
      <c r="E64" s="128"/>
      <c r="F64" s="129"/>
      <c r="G64" s="51">
        <v>187.01300000000001</v>
      </c>
      <c r="H64" s="52">
        <v>4140</v>
      </c>
      <c r="I64" s="52" t="str">
        <f t="shared" si="30"/>
        <v/>
      </c>
      <c r="J64" s="52" t="str">
        <f t="shared" si="30"/>
        <v/>
      </c>
      <c r="K64" s="53" t="str">
        <f t="shared" si="31"/>
        <v/>
      </c>
      <c r="L64" s="52" t="str">
        <f t="shared" si="32"/>
        <v/>
      </c>
      <c r="M64" s="53" t="str">
        <f t="shared" si="33"/>
        <v/>
      </c>
      <c r="N64" s="54"/>
      <c r="O64" s="54" t="str">
        <f t="shared" si="29"/>
        <v/>
      </c>
      <c r="P64" s="81"/>
      <c r="Q64" s="82"/>
      <c r="R64" s="19">
        <f t="shared" si="8"/>
        <v>0</v>
      </c>
      <c r="S64" s="19">
        <f t="shared" si="9"/>
        <v>1</v>
      </c>
      <c r="T64" s="143"/>
    </row>
    <row r="65" spans="1:20" ht="15" thickBot="1" x14ac:dyDescent="0.35">
      <c r="A65" s="49">
        <v>44988</v>
      </c>
      <c r="D65" s="127"/>
      <c r="E65" s="128"/>
      <c r="F65" s="129"/>
      <c r="G65" s="51">
        <v>187.11799999999999</v>
      </c>
      <c r="H65" s="52">
        <v>4140</v>
      </c>
      <c r="I65" s="52" t="str">
        <f t="shared" ref="I65:J68" si="34">IF(D65="","",+(E65-E64)*4140)</f>
        <v/>
      </c>
      <c r="J65" s="52" t="str">
        <f t="shared" si="34"/>
        <v/>
      </c>
      <c r="K65" s="53" t="str">
        <f t="shared" si="31"/>
        <v/>
      </c>
      <c r="L65" s="52" t="str">
        <f t="shared" si="32"/>
        <v/>
      </c>
      <c r="M65" s="53" t="str">
        <f t="shared" si="33"/>
        <v/>
      </c>
      <c r="N65" s="54"/>
      <c r="O65" s="54" t="str">
        <f t="shared" si="29"/>
        <v/>
      </c>
      <c r="P65" s="83"/>
      <c r="Q65" s="84"/>
      <c r="R65" s="19">
        <f t="shared" si="8"/>
        <v>0</v>
      </c>
      <c r="S65" s="19">
        <f t="shared" si="9"/>
        <v>1</v>
      </c>
      <c r="T65" s="144"/>
    </row>
    <row r="66" spans="1:20" ht="15" thickBot="1" x14ac:dyDescent="0.35">
      <c r="A66" s="49">
        <v>44989</v>
      </c>
      <c r="D66" s="127"/>
      <c r="E66" s="128"/>
      <c r="F66" s="129"/>
      <c r="G66" s="51">
        <v>187.22499999999999</v>
      </c>
      <c r="H66" s="52">
        <v>4140</v>
      </c>
      <c r="I66" s="52" t="str">
        <f t="shared" si="34"/>
        <v/>
      </c>
      <c r="J66" s="52" t="str">
        <f t="shared" si="34"/>
        <v/>
      </c>
      <c r="K66" s="53" t="str">
        <f t="shared" si="31"/>
        <v/>
      </c>
      <c r="L66" s="52" t="str">
        <f t="shared" si="32"/>
        <v/>
      </c>
      <c r="M66" s="53" t="str">
        <f t="shared" si="33"/>
        <v/>
      </c>
      <c r="N66" s="54"/>
      <c r="O66" s="54" t="str">
        <f t="shared" si="29"/>
        <v/>
      </c>
      <c r="P66" s="85"/>
      <c r="Q66" s="86"/>
      <c r="R66" s="19">
        <f t="shared" si="8"/>
        <v>0</v>
      </c>
      <c r="S66" s="19">
        <f t="shared" si="9"/>
        <v>1</v>
      </c>
      <c r="T66" s="144"/>
    </row>
    <row r="67" spans="1:20" ht="15" thickBot="1" x14ac:dyDescent="0.35">
      <c r="A67" s="49">
        <v>44990</v>
      </c>
      <c r="D67" s="127"/>
      <c r="E67" s="128"/>
      <c r="F67" s="129"/>
      <c r="G67" s="51">
        <v>187.32300000000001</v>
      </c>
      <c r="H67" s="52">
        <v>4140</v>
      </c>
      <c r="I67" s="52" t="str">
        <f t="shared" si="34"/>
        <v/>
      </c>
      <c r="J67" s="52" t="str">
        <f t="shared" si="34"/>
        <v/>
      </c>
      <c r="K67" s="53" t="str">
        <f t="shared" si="31"/>
        <v/>
      </c>
      <c r="L67" s="52" t="str">
        <f t="shared" si="32"/>
        <v/>
      </c>
      <c r="M67" s="53" t="str">
        <f t="shared" si="33"/>
        <v/>
      </c>
      <c r="N67" s="54"/>
      <c r="O67" s="54" t="str">
        <f t="shared" si="29"/>
        <v/>
      </c>
      <c r="P67" s="85"/>
      <c r="Q67" s="84"/>
      <c r="R67" s="19">
        <f t="shared" si="8"/>
        <v>0</v>
      </c>
      <c r="S67" s="19">
        <f t="shared" si="9"/>
        <v>1</v>
      </c>
      <c r="T67" s="143"/>
    </row>
    <row r="68" spans="1:20" ht="15" thickBot="1" x14ac:dyDescent="0.35">
      <c r="A68" s="49">
        <v>44991</v>
      </c>
      <c r="D68" s="127"/>
      <c r="E68" s="128"/>
      <c r="F68" s="129"/>
      <c r="G68" s="51">
        <v>187.411</v>
      </c>
      <c r="H68" s="52">
        <v>4140</v>
      </c>
      <c r="I68" s="52" t="str">
        <f t="shared" si="34"/>
        <v/>
      </c>
      <c r="J68" s="52" t="str">
        <f t="shared" si="34"/>
        <v/>
      </c>
      <c r="K68" s="53" t="str">
        <f t="shared" si="31"/>
        <v/>
      </c>
      <c r="L68" s="52" t="str">
        <f t="shared" si="32"/>
        <v/>
      </c>
      <c r="M68" s="53" t="str">
        <f t="shared" si="33"/>
        <v/>
      </c>
      <c r="N68" s="54"/>
      <c r="O68" s="54" t="str">
        <f t="shared" si="29"/>
        <v/>
      </c>
      <c r="P68" s="92"/>
      <c r="Q68" s="57"/>
      <c r="R68" s="19">
        <f t="shared" si="8"/>
        <v>0</v>
      </c>
      <c r="S68" s="19">
        <f t="shared" si="9"/>
        <v>1</v>
      </c>
      <c r="T68" s="143"/>
    </row>
    <row r="69" spans="1:20" ht="15" thickBot="1" x14ac:dyDescent="0.35">
      <c r="A69" s="49">
        <v>44992</v>
      </c>
      <c r="D69" s="127"/>
      <c r="E69" s="128"/>
      <c r="F69" s="129"/>
      <c r="G69" s="51">
        <v>187.49199999999999</v>
      </c>
      <c r="H69" s="52">
        <v>4140</v>
      </c>
      <c r="I69" s="52" t="str">
        <f t="shared" ref="I69:J71" si="35">IF(D69="","",+(E69-E68)*4140)</f>
        <v/>
      </c>
      <c r="J69" s="52" t="str">
        <f t="shared" si="35"/>
        <v/>
      </c>
      <c r="K69" s="53" t="str">
        <f t="shared" ref="K69:K75" si="36">IF(J69="","",+(J69/I69))</f>
        <v/>
      </c>
      <c r="L69" s="52" t="str">
        <f t="shared" ref="L69:L75" si="37">IF(F69="","",+(F69-F68)*4140)</f>
        <v/>
      </c>
      <c r="M69" s="53" t="str">
        <f t="shared" ref="M69:M75" si="38">IF(L69="","",(L69/I69))</f>
        <v/>
      </c>
      <c r="N69" s="54"/>
      <c r="O69" s="54" t="str">
        <f>IF(N69="","",N69-N68)</f>
        <v/>
      </c>
      <c r="P69" s="55"/>
      <c r="Q69" s="93"/>
      <c r="R69" s="19">
        <f t="shared" si="8"/>
        <v>0</v>
      </c>
      <c r="S69" s="19">
        <f t="shared" si="9"/>
        <v>1</v>
      </c>
      <c r="T69" s="143"/>
    </row>
    <row r="70" spans="1:20" ht="15" thickBot="1" x14ac:dyDescent="0.35">
      <c r="A70" s="49">
        <v>44993</v>
      </c>
      <c r="D70" s="127"/>
      <c r="E70" s="128"/>
      <c r="F70" s="129"/>
      <c r="G70" s="51">
        <v>187.55099999999999</v>
      </c>
      <c r="H70" s="52">
        <v>4140</v>
      </c>
      <c r="I70" s="52" t="str">
        <f t="shared" si="35"/>
        <v/>
      </c>
      <c r="J70" s="52" t="str">
        <f t="shared" si="35"/>
        <v/>
      </c>
      <c r="K70" s="53" t="str">
        <f t="shared" si="36"/>
        <v/>
      </c>
      <c r="L70" s="52" t="str">
        <f t="shared" si="37"/>
        <v/>
      </c>
      <c r="M70" s="53" t="str">
        <f t="shared" si="38"/>
        <v/>
      </c>
      <c r="N70" s="54"/>
      <c r="O70" s="54" t="str">
        <f t="shared" si="29"/>
        <v/>
      </c>
      <c r="P70" s="55"/>
      <c r="Q70" s="57"/>
      <c r="R70" s="19">
        <f t="shared" si="8"/>
        <v>0</v>
      </c>
      <c r="S70" s="19">
        <f t="shared" si="9"/>
        <v>1</v>
      </c>
      <c r="T70" s="144"/>
    </row>
    <row r="71" spans="1:20" ht="15" thickBot="1" x14ac:dyDescent="0.35">
      <c r="A71" s="49">
        <v>44994</v>
      </c>
      <c r="D71" s="127"/>
      <c r="E71" s="128"/>
      <c r="F71" s="129"/>
      <c r="G71" s="51">
        <v>187.58600000000001</v>
      </c>
      <c r="H71" s="52">
        <v>4140</v>
      </c>
      <c r="I71" s="52" t="str">
        <f t="shared" si="35"/>
        <v/>
      </c>
      <c r="J71" s="52" t="str">
        <f t="shared" si="35"/>
        <v/>
      </c>
      <c r="K71" s="53" t="str">
        <f t="shared" si="36"/>
        <v/>
      </c>
      <c r="L71" s="52" t="str">
        <f t="shared" si="37"/>
        <v/>
      </c>
      <c r="M71" s="53" t="str">
        <f t="shared" si="38"/>
        <v/>
      </c>
      <c r="N71" s="54"/>
      <c r="O71" s="54" t="str">
        <f t="shared" si="29"/>
        <v/>
      </c>
      <c r="P71" s="55"/>
      <c r="Q71" s="57"/>
      <c r="R71" s="19">
        <f t="shared" si="8"/>
        <v>0</v>
      </c>
      <c r="S71" s="19">
        <f t="shared" si="9"/>
        <v>1</v>
      </c>
      <c r="T71" s="144"/>
    </row>
    <row r="72" spans="1:20" ht="15" thickBot="1" x14ac:dyDescent="0.35">
      <c r="A72" s="49">
        <v>44995</v>
      </c>
      <c r="D72" s="127"/>
      <c r="E72" s="128"/>
      <c r="F72" s="129"/>
      <c r="G72" s="51">
        <v>187.63</v>
      </c>
      <c r="H72" s="52">
        <v>4140</v>
      </c>
      <c r="I72" s="52" t="str">
        <f t="shared" ref="I72:J75" si="39">IF(D72="","",+(E72-E71)*4140)</f>
        <v/>
      </c>
      <c r="J72" s="52" t="str">
        <f t="shared" si="39"/>
        <v/>
      </c>
      <c r="K72" s="53" t="str">
        <f t="shared" si="36"/>
        <v/>
      </c>
      <c r="L72" s="52" t="str">
        <f t="shared" si="37"/>
        <v/>
      </c>
      <c r="M72" s="53" t="str">
        <f t="shared" si="38"/>
        <v/>
      </c>
      <c r="N72" s="54"/>
      <c r="O72" s="54" t="str">
        <f t="shared" si="29"/>
        <v/>
      </c>
      <c r="P72" s="55"/>
      <c r="Q72" s="57"/>
      <c r="R72" s="19">
        <f t="shared" ref="R72:R93" si="40">IF(N72="",0,1)</f>
        <v>0</v>
      </c>
      <c r="S72" s="19">
        <f t="shared" ref="S72:S135" si="41">IF(N72="",1,0)</f>
        <v>1</v>
      </c>
      <c r="T72" s="143"/>
    </row>
    <row r="73" spans="1:20" ht="15" thickBot="1" x14ac:dyDescent="0.35">
      <c r="A73" s="49">
        <v>44996</v>
      </c>
      <c r="D73" s="127"/>
      <c r="E73" s="128"/>
      <c r="F73" s="129"/>
      <c r="G73" s="51">
        <v>187.70400000000001</v>
      </c>
      <c r="H73" s="52">
        <v>4140</v>
      </c>
      <c r="I73" s="52" t="str">
        <f t="shared" si="39"/>
        <v/>
      </c>
      <c r="J73" s="52" t="str">
        <f t="shared" si="39"/>
        <v/>
      </c>
      <c r="K73" s="53" t="str">
        <f t="shared" si="36"/>
        <v/>
      </c>
      <c r="L73" s="52" t="str">
        <f t="shared" si="37"/>
        <v/>
      </c>
      <c r="M73" s="53" t="str">
        <f t="shared" si="38"/>
        <v/>
      </c>
      <c r="N73" s="54"/>
      <c r="O73" s="54" t="str">
        <f t="shared" si="29"/>
        <v/>
      </c>
      <c r="P73" s="55"/>
      <c r="Q73" s="56"/>
      <c r="R73" s="19">
        <f t="shared" si="40"/>
        <v>0</v>
      </c>
      <c r="S73" s="19">
        <f t="shared" si="41"/>
        <v>1</v>
      </c>
      <c r="T73" s="143"/>
    </row>
    <row r="74" spans="1:20" ht="15" thickBot="1" x14ac:dyDescent="0.35">
      <c r="A74" s="49">
        <v>44997</v>
      </c>
      <c r="D74" s="127"/>
      <c r="E74" s="128"/>
      <c r="F74" s="129"/>
      <c r="G74" s="51">
        <v>187.773</v>
      </c>
      <c r="H74" s="52">
        <v>4140</v>
      </c>
      <c r="I74" s="52" t="str">
        <f t="shared" si="39"/>
        <v/>
      </c>
      <c r="J74" s="52" t="str">
        <f t="shared" si="39"/>
        <v/>
      </c>
      <c r="K74" s="53" t="str">
        <f t="shared" si="36"/>
        <v/>
      </c>
      <c r="L74" s="52" t="str">
        <f t="shared" si="37"/>
        <v/>
      </c>
      <c r="M74" s="53" t="str">
        <f t="shared" si="38"/>
        <v/>
      </c>
      <c r="N74" s="54"/>
      <c r="O74" s="54" t="str">
        <f t="shared" si="29"/>
        <v/>
      </c>
      <c r="P74" s="55"/>
      <c r="Q74" s="57"/>
      <c r="R74" s="19">
        <f t="shared" si="40"/>
        <v>0</v>
      </c>
      <c r="S74" s="19">
        <f t="shared" si="41"/>
        <v>1</v>
      </c>
      <c r="T74" s="143"/>
    </row>
    <row r="75" spans="1:20" ht="15" thickBot="1" x14ac:dyDescent="0.35">
      <c r="A75" s="49">
        <v>44998</v>
      </c>
      <c r="D75" s="127"/>
      <c r="E75" s="128"/>
      <c r="F75" s="129"/>
      <c r="G75" s="51">
        <v>187.822</v>
      </c>
      <c r="H75" s="52">
        <v>4140</v>
      </c>
      <c r="I75" s="52" t="str">
        <f t="shared" si="39"/>
        <v/>
      </c>
      <c r="J75" s="52" t="str">
        <f t="shared" si="39"/>
        <v/>
      </c>
      <c r="K75" s="53" t="str">
        <f t="shared" si="36"/>
        <v/>
      </c>
      <c r="L75" s="52" t="str">
        <f t="shared" si="37"/>
        <v/>
      </c>
      <c r="M75" s="53" t="str">
        <f t="shared" si="38"/>
        <v/>
      </c>
      <c r="N75" s="54"/>
      <c r="O75" s="54" t="str">
        <f t="shared" si="29"/>
        <v/>
      </c>
      <c r="P75" s="55"/>
      <c r="Q75" s="57"/>
      <c r="R75" s="19">
        <f t="shared" si="40"/>
        <v>0</v>
      </c>
      <c r="S75" s="19">
        <f t="shared" si="41"/>
        <v>1</v>
      </c>
      <c r="T75" s="144"/>
    </row>
    <row r="76" spans="1:20" ht="15" thickBot="1" x14ac:dyDescent="0.35">
      <c r="A76" s="49">
        <v>44999</v>
      </c>
      <c r="D76" s="127"/>
      <c r="E76" s="128"/>
      <c r="F76" s="129"/>
      <c r="G76" s="51">
        <v>187.88300000000001</v>
      </c>
      <c r="H76" s="52">
        <v>4140</v>
      </c>
      <c r="I76" s="52" t="str">
        <f t="shared" ref="I76:J78" si="42">IF(D76="","",+(E76-E75)*4140)</f>
        <v/>
      </c>
      <c r="J76" s="52" t="str">
        <f t="shared" si="42"/>
        <v/>
      </c>
      <c r="K76" s="53" t="str">
        <f t="shared" ref="K76:K82" si="43">IF(J76="","",+(J76/I76))</f>
        <v/>
      </c>
      <c r="L76" s="52" t="str">
        <f t="shared" ref="L76:L82" si="44">IF(F76="","",+(F76-F75)*4140)</f>
        <v/>
      </c>
      <c r="M76" s="53" t="str">
        <f t="shared" ref="M76:M82" si="45">IF(L76="","",(L76/I76))</f>
        <v/>
      </c>
      <c r="N76" s="54"/>
      <c r="O76" s="54" t="str">
        <f t="shared" si="29"/>
        <v/>
      </c>
      <c r="P76" s="55"/>
      <c r="Q76" s="56"/>
      <c r="R76" s="19">
        <f t="shared" si="40"/>
        <v>0</v>
      </c>
      <c r="S76" s="19">
        <f t="shared" si="41"/>
        <v>1</v>
      </c>
      <c r="T76" s="144"/>
    </row>
    <row r="77" spans="1:20" ht="15" thickBot="1" x14ac:dyDescent="0.35">
      <c r="A77" s="49">
        <v>45000</v>
      </c>
      <c r="D77" s="127"/>
      <c r="E77" s="128"/>
      <c r="F77" s="129"/>
      <c r="G77" s="52"/>
      <c r="H77" s="52">
        <v>4140</v>
      </c>
      <c r="I77" s="52" t="str">
        <f t="shared" si="42"/>
        <v/>
      </c>
      <c r="J77" s="52" t="str">
        <f t="shared" si="42"/>
        <v/>
      </c>
      <c r="K77" s="53" t="str">
        <f t="shared" si="43"/>
        <v/>
      </c>
      <c r="L77" s="52" t="str">
        <f t="shared" si="44"/>
        <v/>
      </c>
      <c r="M77" s="53" t="str">
        <f t="shared" si="45"/>
        <v/>
      </c>
      <c r="N77" s="54"/>
      <c r="O77" s="54" t="str">
        <f t="shared" ref="O77:O131" si="46">IF(N77="","",N77-N76)</f>
        <v/>
      </c>
      <c r="P77" s="55"/>
      <c r="Q77" s="87"/>
      <c r="R77" s="19">
        <f t="shared" si="40"/>
        <v>0</v>
      </c>
      <c r="S77" s="19">
        <f t="shared" si="41"/>
        <v>1</v>
      </c>
      <c r="T77" s="143"/>
    </row>
    <row r="78" spans="1:20" ht="15" thickBot="1" x14ac:dyDescent="0.35">
      <c r="A78" s="49">
        <v>45001</v>
      </c>
      <c r="D78" s="127"/>
      <c r="E78" s="128"/>
      <c r="F78" s="129"/>
      <c r="G78" s="52"/>
      <c r="H78" s="52">
        <v>4140</v>
      </c>
      <c r="I78" s="52" t="str">
        <f t="shared" si="42"/>
        <v/>
      </c>
      <c r="J78" s="52" t="str">
        <f t="shared" si="42"/>
        <v/>
      </c>
      <c r="K78" s="53" t="str">
        <f t="shared" si="43"/>
        <v/>
      </c>
      <c r="L78" s="52" t="str">
        <f t="shared" si="44"/>
        <v/>
      </c>
      <c r="M78" s="53" t="str">
        <f t="shared" si="45"/>
        <v/>
      </c>
      <c r="N78" s="54"/>
      <c r="O78" s="54" t="str">
        <f t="shared" si="46"/>
        <v/>
      </c>
      <c r="P78" s="55"/>
      <c r="Q78" s="87"/>
      <c r="R78" s="19">
        <f t="shared" si="40"/>
        <v>0</v>
      </c>
      <c r="S78" s="19">
        <f t="shared" si="41"/>
        <v>1</v>
      </c>
      <c r="T78" s="143"/>
    </row>
    <row r="79" spans="1:20" ht="15" thickBot="1" x14ac:dyDescent="0.35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" thickBot="1" x14ac:dyDescent="0.35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" thickBot="1" x14ac:dyDescent="0.35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0" t="s">
        <v>44</v>
      </c>
      <c r="Q81" s="181"/>
      <c r="R81" s="19">
        <f t="shared" si="40"/>
        <v>0</v>
      </c>
      <c r="S81" s="19">
        <f t="shared" si="41"/>
        <v>1</v>
      </c>
      <c r="T81" s="144"/>
    </row>
    <row r="82" spans="1:20" ht="15" thickBot="1" x14ac:dyDescent="0.35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2"/>
      <c r="Q82" s="183"/>
      <c r="R82" s="19">
        <f t="shared" si="40"/>
        <v>0</v>
      </c>
      <c r="S82" s="19">
        <f t="shared" si="41"/>
        <v>1</v>
      </c>
      <c r="T82" s="143"/>
    </row>
    <row r="83" spans="1:20" ht="15" thickBot="1" x14ac:dyDescent="0.35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" thickBot="1" x14ac:dyDescent="0.35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0</v>
      </c>
      <c r="Q84" s="62">
        <f>IF(L63="",0,+SUM(L63:L93)/SUM(I63:I93))</f>
        <v>0</v>
      </c>
      <c r="R84" s="19">
        <f t="shared" si="40"/>
        <v>0</v>
      </c>
      <c r="S84" s="19">
        <f t="shared" si="41"/>
        <v>1</v>
      </c>
      <c r="T84" s="144"/>
    </row>
    <row r="85" spans="1:20" ht="15" thickBot="1" x14ac:dyDescent="0.35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>
        <f>IF(J63="",0,+(+(LOOKUP(9.99999999999999E+307,E63:E93)-E61))/(+(LOOKUP(9.99999999999999E+307,D63:D93)-D62)))</f>
        <v>0</v>
      </c>
      <c r="Q85" s="63">
        <f>IF(L63="",0,+(+(LOOKUP(9.99999999999999E+307,F63:F93)-F61))/(+(LOOKUP(9.99999999999999E+307,D63:D93)-D62)))</f>
        <v>0</v>
      </c>
      <c r="R85" s="19">
        <f t="shared" si="40"/>
        <v>0</v>
      </c>
      <c r="S85" s="19">
        <f t="shared" si="41"/>
        <v>1</v>
      </c>
      <c r="T85" s="144"/>
    </row>
    <row r="86" spans="1:20" ht="15" thickBot="1" x14ac:dyDescent="0.35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" thickBot="1" x14ac:dyDescent="0.35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0</v>
      </c>
      <c r="Q87" s="67" t="e">
        <f>IF(P87="",0,+P87/SUM(R63:R93))</f>
        <v>#DIV/0!</v>
      </c>
      <c r="R87" s="19">
        <f t="shared" si="40"/>
        <v>0</v>
      </c>
      <c r="S87" s="19">
        <f t="shared" si="41"/>
        <v>1</v>
      </c>
      <c r="T87" s="144"/>
    </row>
    <row r="88" spans="1:20" ht="15" thickBot="1" x14ac:dyDescent="0.35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42</v>
      </c>
      <c r="R88" s="19">
        <f t="shared" si="40"/>
        <v>0</v>
      </c>
      <c r="S88" s="19">
        <f t="shared" si="41"/>
        <v>1</v>
      </c>
      <c r="T88" s="143"/>
    </row>
    <row r="89" spans="1:20" ht="15" thickBot="1" x14ac:dyDescent="0.35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 t="e">
        <f>IF(P89="",0,+P89/SUM(R63:R93))</f>
        <v>#DIV/0!</v>
      </c>
      <c r="R89" s="19">
        <f t="shared" si="40"/>
        <v>0</v>
      </c>
      <c r="S89" s="19">
        <f t="shared" si="41"/>
        <v>1</v>
      </c>
      <c r="T89" s="143"/>
    </row>
    <row r="90" spans="1:20" ht="15" thickBot="1" x14ac:dyDescent="0.35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43</v>
      </c>
      <c r="R90" s="19">
        <f t="shared" si="40"/>
        <v>0</v>
      </c>
      <c r="S90" s="19">
        <f t="shared" si="41"/>
        <v>1</v>
      </c>
      <c r="T90" s="144"/>
    </row>
    <row r="91" spans="1:20" ht="15" thickBot="1" x14ac:dyDescent="0.35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 t="e">
        <f>IF(Q34="",0,(SUM('[1]Günlük Tüketim'!H63:H93)*1.62)/SUM(O63:O93))</f>
        <v>#DIV/0!</v>
      </c>
      <c r="R91" s="19">
        <f t="shared" si="40"/>
        <v>0</v>
      </c>
      <c r="S91" s="19">
        <f t="shared" si="41"/>
        <v>1</v>
      </c>
      <c r="T91" s="144"/>
    </row>
    <row r="92" spans="1:20" ht="15" thickBot="1" x14ac:dyDescent="0.35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" thickBot="1" x14ac:dyDescent="0.35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 t="e">
        <f>(P91+Q89*SUM(S63:S93)*Q94)</f>
        <v>#DIV/0!</v>
      </c>
      <c r="Q93" s="78" t="e">
        <f>Q89*31</f>
        <v>#DIV/0!</v>
      </c>
      <c r="R93" s="19">
        <f t="shared" si="40"/>
        <v>0</v>
      </c>
      <c r="S93" s="19">
        <f t="shared" si="41"/>
        <v>1</v>
      </c>
      <c r="T93" s="143"/>
    </row>
    <row r="94" spans="1:20" ht="15" thickBot="1" x14ac:dyDescent="0.35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40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" thickBot="1" x14ac:dyDescent="0.35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" thickBot="1" x14ac:dyDescent="0.35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" thickBot="1" x14ac:dyDescent="0.35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" thickBot="1" x14ac:dyDescent="0.35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" thickBot="1" x14ac:dyDescent="0.35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" thickBot="1" x14ac:dyDescent="0.35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" thickBot="1" x14ac:dyDescent="0.35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" thickBot="1" x14ac:dyDescent="0.35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" thickBot="1" x14ac:dyDescent="0.35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" thickBot="1" x14ac:dyDescent="0.35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" thickBot="1" x14ac:dyDescent="0.35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" thickBot="1" x14ac:dyDescent="0.35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" thickBot="1" x14ac:dyDescent="0.35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" thickBot="1" x14ac:dyDescent="0.35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" thickBot="1" x14ac:dyDescent="0.35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" thickBot="1" x14ac:dyDescent="0.35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" thickBot="1" x14ac:dyDescent="0.35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0" t="s">
        <v>45</v>
      </c>
      <c r="Q111" s="181"/>
      <c r="R111" s="19">
        <f t="shared" si="62"/>
        <v>0</v>
      </c>
      <c r="S111" s="19">
        <f t="shared" si="41"/>
        <v>1</v>
      </c>
      <c r="T111" s="144"/>
    </row>
    <row r="112" spans="1:20" ht="15" thickBot="1" x14ac:dyDescent="0.35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2"/>
      <c r="Q112" s="183"/>
      <c r="R112" s="19">
        <f t="shared" si="62"/>
        <v>0</v>
      </c>
      <c r="S112" s="19">
        <f t="shared" si="41"/>
        <v>1</v>
      </c>
      <c r="T112" s="144"/>
    </row>
    <row r="113" spans="1:20" ht="15" thickBot="1" x14ac:dyDescent="0.35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" thickBot="1" x14ac:dyDescent="0.35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" thickBot="1" x14ac:dyDescent="0.35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" thickBot="1" x14ac:dyDescent="0.35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" thickBot="1" x14ac:dyDescent="0.35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" thickBot="1" x14ac:dyDescent="0.35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42</v>
      </c>
      <c r="R118" s="19">
        <f t="shared" si="62"/>
        <v>0</v>
      </c>
      <c r="S118" s="19">
        <f t="shared" si="41"/>
        <v>1</v>
      </c>
      <c r="T118" s="144"/>
    </row>
    <row r="119" spans="1:20" ht="15" thickBot="1" x14ac:dyDescent="0.35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" thickBot="1" x14ac:dyDescent="0.35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43</v>
      </c>
      <c r="R120" s="19">
        <f t="shared" si="62"/>
        <v>0</v>
      </c>
      <c r="S120" s="19">
        <f t="shared" si="41"/>
        <v>1</v>
      </c>
      <c r="T120" s="143"/>
    </row>
    <row r="121" spans="1:20" ht="15" thickBot="1" x14ac:dyDescent="0.35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" thickBot="1" x14ac:dyDescent="0.35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 x14ac:dyDescent="0.3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9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" thickBot="1" x14ac:dyDescent="0.35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40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" thickBot="1" x14ac:dyDescent="0.35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" thickBot="1" x14ac:dyDescent="0.35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" thickBot="1" x14ac:dyDescent="0.35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" thickBot="1" x14ac:dyDescent="0.35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" thickBot="1" x14ac:dyDescent="0.35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" thickBot="1" x14ac:dyDescent="0.35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" thickBot="1" x14ac:dyDescent="0.35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" thickBot="1" x14ac:dyDescent="0.35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" thickBot="1" x14ac:dyDescent="0.35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" thickBot="1" x14ac:dyDescent="0.35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" thickBot="1" x14ac:dyDescent="0.35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" thickBot="1" x14ac:dyDescent="0.35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" thickBot="1" x14ac:dyDescent="0.35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" thickBot="1" x14ac:dyDescent="0.35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" thickBot="1" x14ac:dyDescent="0.35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" thickBot="1" x14ac:dyDescent="0.35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" thickBot="1" x14ac:dyDescent="0.35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" thickBot="1" x14ac:dyDescent="0.35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0" t="s">
        <v>46</v>
      </c>
      <c r="Q142" s="181"/>
      <c r="R142" s="19">
        <f t="shared" si="62"/>
        <v>0</v>
      </c>
      <c r="S142" s="19">
        <f t="shared" si="72"/>
        <v>1</v>
      </c>
      <c r="T142" s="144"/>
    </row>
    <row r="143" spans="1:20" ht="15" thickBot="1" x14ac:dyDescent="0.35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2"/>
      <c r="Q143" s="183"/>
      <c r="R143" s="19">
        <f t="shared" si="62"/>
        <v>0</v>
      </c>
      <c r="S143" s="19">
        <f t="shared" si="72"/>
        <v>1</v>
      </c>
      <c r="T143" s="143"/>
    </row>
    <row r="144" spans="1:20" ht="15" thickBot="1" x14ac:dyDescent="0.35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" thickBot="1" x14ac:dyDescent="0.35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" thickBot="1" x14ac:dyDescent="0.35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" thickBot="1" x14ac:dyDescent="0.35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" thickBot="1" x14ac:dyDescent="0.35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" thickBot="1" x14ac:dyDescent="0.35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42</v>
      </c>
      <c r="R149" s="19">
        <f t="shared" si="62"/>
        <v>0</v>
      </c>
      <c r="S149" s="19">
        <f t="shared" si="72"/>
        <v>1</v>
      </c>
      <c r="T149" s="143"/>
    </row>
    <row r="150" spans="1:20" ht="15" thickBot="1" x14ac:dyDescent="0.35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" thickBot="1" x14ac:dyDescent="0.35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43</v>
      </c>
      <c r="R151" s="19">
        <f t="shared" si="62"/>
        <v>0</v>
      </c>
      <c r="S151" s="19">
        <f t="shared" si="72"/>
        <v>1</v>
      </c>
      <c r="T151" s="143"/>
    </row>
    <row r="152" spans="1:20" ht="15" thickBot="1" x14ac:dyDescent="0.35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" thickBot="1" x14ac:dyDescent="0.35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" thickBot="1" x14ac:dyDescent="0.35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9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" thickBot="1" x14ac:dyDescent="0.35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40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" thickBot="1" x14ac:dyDescent="0.35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" thickBot="1" x14ac:dyDescent="0.35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" thickBot="1" x14ac:dyDescent="0.35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" thickBot="1" x14ac:dyDescent="0.35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" thickBot="1" x14ac:dyDescent="0.35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" thickBot="1" x14ac:dyDescent="0.35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" thickBot="1" x14ac:dyDescent="0.35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" thickBot="1" x14ac:dyDescent="0.35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" thickBot="1" x14ac:dyDescent="0.35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" thickBot="1" x14ac:dyDescent="0.35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" thickBot="1" x14ac:dyDescent="0.35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" thickBot="1" x14ac:dyDescent="0.35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" thickBot="1" x14ac:dyDescent="0.35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" thickBot="1" x14ac:dyDescent="0.35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" thickBot="1" x14ac:dyDescent="0.35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" thickBot="1" x14ac:dyDescent="0.35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" thickBot="1" x14ac:dyDescent="0.35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0" t="s">
        <v>47</v>
      </c>
      <c r="Q172" s="181"/>
      <c r="R172" s="19">
        <f t="shared" si="79"/>
        <v>0</v>
      </c>
      <c r="S172" s="19">
        <f t="shared" si="72"/>
        <v>1</v>
      </c>
      <c r="T172" s="144"/>
    </row>
    <row r="173" spans="1:20" ht="15" thickBot="1" x14ac:dyDescent="0.35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2"/>
      <c r="Q173" s="183"/>
      <c r="R173" s="19">
        <f t="shared" si="79"/>
        <v>0</v>
      </c>
      <c r="S173" s="19">
        <f t="shared" si="72"/>
        <v>1</v>
      </c>
      <c r="T173" s="144"/>
    </row>
    <row r="174" spans="1:20" ht="15" thickBot="1" x14ac:dyDescent="0.35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" thickBot="1" x14ac:dyDescent="0.35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" thickBot="1" x14ac:dyDescent="0.35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" thickBot="1" x14ac:dyDescent="0.35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 x14ac:dyDescent="0.3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 x14ac:dyDescent="0.3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42</v>
      </c>
      <c r="R179" s="19">
        <f t="shared" si="79"/>
        <v>0</v>
      </c>
      <c r="S179" s="19">
        <f t="shared" si="72"/>
        <v>1</v>
      </c>
      <c r="T179" s="144"/>
    </row>
    <row r="180" spans="1:20" x14ac:dyDescent="0.3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 x14ac:dyDescent="0.3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43</v>
      </c>
      <c r="R181" s="19">
        <f t="shared" si="79"/>
        <v>0</v>
      </c>
      <c r="S181" s="19">
        <f t="shared" si="72"/>
        <v>1</v>
      </c>
      <c r="T181" s="143"/>
    </row>
    <row r="182" spans="1:20" x14ac:dyDescent="0.3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 x14ac:dyDescent="0.3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 x14ac:dyDescent="0.3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9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 x14ac:dyDescent="0.3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40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 x14ac:dyDescent="0.3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 x14ac:dyDescent="0.3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 x14ac:dyDescent="0.3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 x14ac:dyDescent="0.3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 x14ac:dyDescent="0.3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 x14ac:dyDescent="0.3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 x14ac:dyDescent="0.3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 x14ac:dyDescent="0.3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 x14ac:dyDescent="0.3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 x14ac:dyDescent="0.3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 x14ac:dyDescent="0.3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 x14ac:dyDescent="0.3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 x14ac:dyDescent="0.3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 x14ac:dyDescent="0.3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 x14ac:dyDescent="0.3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 x14ac:dyDescent="0.3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 x14ac:dyDescent="0.3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 x14ac:dyDescent="0.3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4" t="s">
        <v>48</v>
      </c>
      <c r="Q203" s="185"/>
      <c r="R203" s="19">
        <f t="shared" si="79"/>
        <v>0</v>
      </c>
      <c r="S203" s="19">
        <f t="shared" si="81"/>
        <v>1</v>
      </c>
      <c r="T203" s="144"/>
    </row>
    <row r="204" spans="1:20" x14ac:dyDescent="0.3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2"/>
      <c r="Q204" s="183"/>
      <c r="R204" s="19">
        <f t="shared" si="79"/>
        <v>0</v>
      </c>
      <c r="S204" s="19">
        <f t="shared" si="81"/>
        <v>1</v>
      </c>
      <c r="T204" s="143"/>
    </row>
    <row r="205" spans="1:20" x14ac:dyDescent="0.3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 x14ac:dyDescent="0.3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 x14ac:dyDescent="0.3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 x14ac:dyDescent="0.3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 x14ac:dyDescent="0.3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 x14ac:dyDescent="0.3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42</v>
      </c>
      <c r="R210" s="19">
        <f t="shared" si="79"/>
        <v>0</v>
      </c>
      <c r="S210" s="19">
        <f t="shared" si="81"/>
        <v>1</v>
      </c>
      <c r="T210" s="143"/>
    </row>
    <row r="211" spans="1:20" x14ac:dyDescent="0.3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 x14ac:dyDescent="0.3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43</v>
      </c>
      <c r="R212" s="19">
        <f t="shared" si="79"/>
        <v>0</v>
      </c>
      <c r="S212" s="19">
        <f t="shared" si="81"/>
        <v>1</v>
      </c>
      <c r="T212" s="143"/>
    </row>
    <row r="213" spans="1:20" x14ac:dyDescent="0.3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 x14ac:dyDescent="0.3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 x14ac:dyDescent="0.3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9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 x14ac:dyDescent="0.3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40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 x14ac:dyDescent="0.3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 x14ac:dyDescent="0.3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 x14ac:dyDescent="0.3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 x14ac:dyDescent="0.3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 x14ac:dyDescent="0.3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 x14ac:dyDescent="0.3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 x14ac:dyDescent="0.3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 x14ac:dyDescent="0.3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 x14ac:dyDescent="0.3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 x14ac:dyDescent="0.3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 x14ac:dyDescent="0.3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 x14ac:dyDescent="0.3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 x14ac:dyDescent="0.3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 x14ac:dyDescent="0.3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 x14ac:dyDescent="0.3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 x14ac:dyDescent="0.3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 x14ac:dyDescent="0.3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 x14ac:dyDescent="0.3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4" t="s">
        <v>49</v>
      </c>
      <c r="Q234" s="185"/>
      <c r="R234" s="19">
        <f t="shared" si="86"/>
        <v>0</v>
      </c>
      <c r="S234" s="19">
        <f t="shared" si="81"/>
        <v>1</v>
      </c>
      <c r="T234" s="144"/>
    </row>
    <row r="235" spans="1:20" x14ac:dyDescent="0.3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2"/>
      <c r="Q235" s="183"/>
      <c r="R235" s="19">
        <f t="shared" si="86"/>
        <v>0</v>
      </c>
      <c r="S235" s="19">
        <f t="shared" si="81"/>
        <v>1</v>
      </c>
      <c r="T235" s="143"/>
    </row>
    <row r="236" spans="1:20" x14ac:dyDescent="0.3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 x14ac:dyDescent="0.3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 x14ac:dyDescent="0.3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 x14ac:dyDescent="0.3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 x14ac:dyDescent="0.3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 x14ac:dyDescent="0.3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42</v>
      </c>
      <c r="R241" s="19">
        <f t="shared" si="86"/>
        <v>0</v>
      </c>
      <c r="S241" s="19">
        <f t="shared" si="81"/>
        <v>1</v>
      </c>
      <c r="T241" s="143"/>
    </row>
    <row r="242" spans="1:20" x14ac:dyDescent="0.3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 x14ac:dyDescent="0.3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43</v>
      </c>
      <c r="R243" s="19">
        <f t="shared" si="86"/>
        <v>0</v>
      </c>
      <c r="S243" s="19">
        <f t="shared" si="81"/>
        <v>1</v>
      </c>
      <c r="T243" s="143"/>
    </row>
    <row r="244" spans="1:20" x14ac:dyDescent="0.3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 x14ac:dyDescent="0.3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 x14ac:dyDescent="0.3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9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 x14ac:dyDescent="0.3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40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 x14ac:dyDescent="0.3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 x14ac:dyDescent="0.3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 x14ac:dyDescent="0.3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 x14ac:dyDescent="0.3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 x14ac:dyDescent="0.3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 x14ac:dyDescent="0.3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 x14ac:dyDescent="0.3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 x14ac:dyDescent="0.3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 x14ac:dyDescent="0.3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 x14ac:dyDescent="0.3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 x14ac:dyDescent="0.3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 x14ac:dyDescent="0.3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 x14ac:dyDescent="0.3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 x14ac:dyDescent="0.3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 x14ac:dyDescent="0.3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 x14ac:dyDescent="0.3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 x14ac:dyDescent="0.3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0" t="s">
        <v>50</v>
      </c>
      <c r="Q264" s="181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 x14ac:dyDescent="0.3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2"/>
      <c r="Q265" s="183"/>
      <c r="R265" s="19">
        <f t="shared" si="89"/>
        <v>0</v>
      </c>
      <c r="S265" s="19">
        <f t="shared" si="92"/>
        <v>1</v>
      </c>
      <c r="T265" s="144"/>
    </row>
    <row r="266" spans="1:20" ht="12.75" customHeight="1" x14ac:dyDescent="0.3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 x14ac:dyDescent="0.3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 x14ac:dyDescent="0.3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 x14ac:dyDescent="0.3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 x14ac:dyDescent="0.3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 x14ac:dyDescent="0.3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42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 x14ac:dyDescent="0.3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 x14ac:dyDescent="0.3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43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 x14ac:dyDescent="0.3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 x14ac:dyDescent="0.3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 x14ac:dyDescent="0.3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9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 x14ac:dyDescent="0.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40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 x14ac:dyDescent="0.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51</v>
      </c>
    </row>
    <row r="279" spans="1:23" x14ac:dyDescent="0.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 x14ac:dyDescent="0.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 x14ac:dyDescent="0.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 x14ac:dyDescent="0.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 x14ac:dyDescent="0.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 x14ac:dyDescent="0.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 x14ac:dyDescent="0.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 x14ac:dyDescent="0.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 x14ac:dyDescent="0.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 x14ac:dyDescent="0.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 x14ac:dyDescent="0.3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 x14ac:dyDescent="0.3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 x14ac:dyDescent="0.3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 x14ac:dyDescent="0.3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 x14ac:dyDescent="0.3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 x14ac:dyDescent="0.3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 x14ac:dyDescent="0.3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0" t="s">
        <v>52</v>
      </c>
      <c r="Q295" s="181"/>
      <c r="R295" s="19">
        <f t="shared" si="89"/>
        <v>0</v>
      </c>
      <c r="S295" s="19">
        <f t="shared" si="92"/>
        <v>1</v>
      </c>
      <c r="T295" s="144"/>
    </row>
    <row r="296" spans="1:20" x14ac:dyDescent="0.3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2"/>
      <c r="Q296" s="183"/>
      <c r="R296" s="19">
        <f t="shared" si="89"/>
        <v>0</v>
      </c>
      <c r="S296" s="19">
        <f t="shared" si="92"/>
        <v>1</v>
      </c>
      <c r="T296" s="143"/>
    </row>
    <row r="297" spans="1:20" x14ac:dyDescent="0.3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 x14ac:dyDescent="0.3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 x14ac:dyDescent="0.3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 x14ac:dyDescent="0.3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 x14ac:dyDescent="0.3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 x14ac:dyDescent="0.3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42</v>
      </c>
      <c r="R302" s="19">
        <f t="shared" si="89"/>
        <v>0</v>
      </c>
      <c r="S302" s="19">
        <f t="shared" si="92"/>
        <v>1</v>
      </c>
      <c r="T302" s="143"/>
    </row>
    <row r="303" spans="1:20" x14ac:dyDescent="0.3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 x14ac:dyDescent="0.3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43</v>
      </c>
      <c r="R304" s="19">
        <f t="shared" si="89"/>
        <v>0</v>
      </c>
      <c r="S304" s="19">
        <f t="shared" si="92"/>
        <v>1</v>
      </c>
      <c r="T304" s="143"/>
    </row>
    <row r="305" spans="1:20" x14ac:dyDescent="0.3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 x14ac:dyDescent="0.3">
      <c r="A306" s="49">
        <v>45229</v>
      </c>
      <c r="D306" s="127"/>
      <c r="E306" s="161"/>
      <c r="F306" s="162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 x14ac:dyDescent="0.3">
      <c r="A307" s="49">
        <v>45230</v>
      </c>
      <c r="D307" s="152"/>
      <c r="E307" s="163"/>
      <c r="F307" s="163"/>
      <c r="G307" s="164"/>
      <c r="H307" s="164">
        <v>4140</v>
      </c>
      <c r="I307" s="164" t="str">
        <f t="shared" si="95"/>
        <v/>
      </c>
      <c r="J307" s="164" t="str">
        <f t="shared" si="95"/>
        <v/>
      </c>
      <c r="K307" s="165" t="str">
        <f t="shared" si="93"/>
        <v/>
      </c>
      <c r="L307" s="164" t="str">
        <f t="shared" si="90"/>
        <v/>
      </c>
      <c r="M307" s="176" t="str">
        <f t="shared" si="94"/>
        <v/>
      </c>
      <c r="N307" s="166"/>
      <c r="O307" s="177" t="str">
        <f t="shared" si="91"/>
        <v/>
      </c>
      <c r="P307" s="160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 x14ac:dyDescent="0.3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40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 x14ac:dyDescent="0.3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 x14ac:dyDescent="0.3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 x14ac:dyDescent="0.3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 x14ac:dyDescent="0.3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 x14ac:dyDescent="0.3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 x14ac:dyDescent="0.3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 x14ac:dyDescent="0.3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 x14ac:dyDescent="0.3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 x14ac:dyDescent="0.3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 x14ac:dyDescent="0.3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 x14ac:dyDescent="0.3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 x14ac:dyDescent="0.3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 x14ac:dyDescent="0.3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 x14ac:dyDescent="0.3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 x14ac:dyDescent="0.3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 x14ac:dyDescent="0.3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 x14ac:dyDescent="0.3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0" t="s">
        <v>53</v>
      </c>
      <c r="Q325" s="181"/>
      <c r="R325" s="19">
        <f t="shared" si="99"/>
        <v>0</v>
      </c>
      <c r="S325" s="19">
        <f t="shared" si="92"/>
        <v>1</v>
      </c>
      <c r="T325" s="144"/>
    </row>
    <row r="326" spans="1:20" x14ac:dyDescent="0.3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2"/>
      <c r="Q326" s="183"/>
      <c r="R326" s="19">
        <f t="shared" si="99"/>
        <v>0</v>
      </c>
      <c r="S326" s="19">
        <f t="shared" si="92"/>
        <v>1</v>
      </c>
      <c r="T326" s="144"/>
    </row>
    <row r="327" spans="1:20" x14ac:dyDescent="0.3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x14ac:dyDescent="0.3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8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 x14ac:dyDescent="0.3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 x14ac:dyDescent="0.3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 x14ac:dyDescent="0.3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 x14ac:dyDescent="0.3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42</v>
      </c>
      <c r="R332" s="19">
        <f t="shared" si="99"/>
        <v>0</v>
      </c>
      <c r="S332" s="19">
        <f t="shared" si="102"/>
        <v>1</v>
      </c>
      <c r="T332" s="144"/>
    </row>
    <row r="333" spans="1:20" x14ac:dyDescent="0.3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 x14ac:dyDescent="0.3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43</v>
      </c>
      <c r="R334" s="19">
        <f t="shared" si="99"/>
        <v>0</v>
      </c>
      <c r="S334" s="19">
        <f t="shared" si="102"/>
        <v>1</v>
      </c>
      <c r="T334" s="143"/>
    </row>
    <row r="335" spans="1:20" x14ac:dyDescent="0.3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 x14ac:dyDescent="0.3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 x14ac:dyDescent="0.3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7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 x14ac:dyDescent="0.3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40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 x14ac:dyDescent="0.3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 x14ac:dyDescent="0.3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 x14ac:dyDescent="0.3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 x14ac:dyDescent="0.3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 x14ac:dyDescent="0.3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 x14ac:dyDescent="0.3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 x14ac:dyDescent="0.3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 x14ac:dyDescent="0.3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 x14ac:dyDescent="0.3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 x14ac:dyDescent="0.3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 x14ac:dyDescent="0.3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 x14ac:dyDescent="0.3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 x14ac:dyDescent="0.3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 x14ac:dyDescent="0.3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 x14ac:dyDescent="0.3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 x14ac:dyDescent="0.3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 x14ac:dyDescent="0.3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 x14ac:dyDescent="0.3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0" t="s">
        <v>54</v>
      </c>
      <c r="Q356" s="181"/>
      <c r="R356" s="19">
        <f t="shared" si="99"/>
        <v>0</v>
      </c>
      <c r="S356" s="19">
        <f t="shared" si="102"/>
        <v>1</v>
      </c>
      <c r="T356" s="144"/>
    </row>
    <row r="357" spans="1:20" x14ac:dyDescent="0.3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2"/>
      <c r="Q357" s="183"/>
      <c r="R357" s="19">
        <f t="shared" si="99"/>
        <v>0</v>
      </c>
      <c r="S357" s="19">
        <f t="shared" si="102"/>
        <v>1</v>
      </c>
      <c r="T357" s="143"/>
    </row>
    <row r="358" spans="1:20" x14ac:dyDescent="0.3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 x14ac:dyDescent="0.3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 x14ac:dyDescent="0.3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 x14ac:dyDescent="0.3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 x14ac:dyDescent="0.3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 x14ac:dyDescent="0.3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42</v>
      </c>
      <c r="R363" s="19">
        <f t="shared" si="99"/>
        <v>0</v>
      </c>
      <c r="S363" s="19">
        <f t="shared" si="102"/>
        <v>1</v>
      </c>
      <c r="T363" s="143"/>
    </row>
    <row r="364" spans="1:20" x14ac:dyDescent="0.3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 x14ac:dyDescent="0.3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43</v>
      </c>
      <c r="R365" s="19">
        <f t="shared" si="99"/>
        <v>0</v>
      </c>
      <c r="S365" s="19">
        <f t="shared" si="102"/>
        <v>1</v>
      </c>
      <c r="T365" s="143"/>
    </row>
    <row r="366" spans="1:20" x14ac:dyDescent="0.3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 x14ac:dyDescent="0.3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 x14ac:dyDescent="0.3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 x14ac:dyDescent="0.3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40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10" workbookViewId="0">
      <selection activeCell="G35" sqref="G35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89"/>
      <c r="C1" s="189"/>
      <c r="D1" s="189"/>
      <c r="E1" s="189"/>
      <c r="F1" s="189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" customHeight="1" x14ac:dyDescent="0.25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" customHeight="1" x14ac:dyDescent="0.25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" customHeight="1" x14ac:dyDescent="0.25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" customHeight="1" x14ac:dyDescent="0.25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" customHeight="1" x14ac:dyDescent="0.25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" customHeight="1" x14ac:dyDescent="0.25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" customHeight="1" x14ac:dyDescent="0.25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" customHeight="1" x14ac:dyDescent="0.25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" customHeight="1" x14ac:dyDescent="0.25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" customHeight="1" x14ac:dyDescent="0.25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" customHeight="1" x14ac:dyDescent="0.25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" customHeight="1" x14ac:dyDescent="0.25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" customHeight="1" x14ac:dyDescent="0.25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" customHeight="1" x14ac:dyDescent="0.25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" customHeight="1" x14ac:dyDescent="0.25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" customHeight="1" x14ac:dyDescent="0.25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" customHeight="1" x14ac:dyDescent="0.25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" customHeight="1" x14ac:dyDescent="0.25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" customHeight="1" x14ac:dyDescent="0.25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" customHeight="1" x14ac:dyDescent="0.25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" customHeight="1" thickBot="1" x14ac:dyDescent="0.3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" customHeight="1" x14ac:dyDescent="0.25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6" t="s">
        <v>66</v>
      </c>
      <c r="O25" s="186" t="s">
        <v>67</v>
      </c>
      <c r="Q25" s="19">
        <f t="shared" si="5"/>
        <v>0</v>
      </c>
    </row>
    <row r="26" spans="2:17" s="9" customFormat="1" ht="12.9" customHeight="1" x14ac:dyDescent="0.25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7"/>
      <c r="O26" s="187"/>
      <c r="Q26" s="19">
        <f t="shared" si="5"/>
        <v>0</v>
      </c>
    </row>
    <row r="27" spans="2:17" s="9" customFormat="1" ht="12.9" customHeight="1" thickBot="1" x14ac:dyDescent="0.3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8"/>
      <c r="O27" s="188"/>
      <c r="Q27" s="19">
        <f t="shared" si="5"/>
        <v>0</v>
      </c>
    </row>
    <row r="28" spans="2:17" s="9" customFormat="1" ht="12.9" customHeight="1" thickBot="1" x14ac:dyDescent="0.3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7688</v>
      </c>
      <c r="O28" s="30">
        <f>SUM(M4:M34)</f>
        <v>83663</v>
      </c>
      <c r="Q28" s="19">
        <f t="shared" si="5"/>
        <v>0</v>
      </c>
    </row>
    <row r="29" spans="2:17" s="9" customFormat="1" ht="12.9" customHeight="1" x14ac:dyDescent="0.25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6" t="s">
        <v>68</v>
      </c>
      <c r="O29" s="186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44952</v>
      </c>
      <c r="C30" s="134">
        <v>16426772</v>
      </c>
      <c r="D30" s="135">
        <v>5831999</v>
      </c>
      <c r="E30" s="136">
        <v>316796</v>
      </c>
      <c r="F30" s="137">
        <v>56405</v>
      </c>
      <c r="G30" s="138">
        <v>394768</v>
      </c>
      <c r="H30" s="26">
        <f t="shared" si="0"/>
        <v>204</v>
      </c>
      <c r="I30" s="26">
        <f t="shared" si="6"/>
        <v>2207</v>
      </c>
      <c r="J30" s="26">
        <f t="shared" si="1"/>
        <v>118</v>
      </c>
      <c r="K30" s="26">
        <f t="shared" si="7"/>
        <v>222</v>
      </c>
      <c r="L30" s="27">
        <f t="shared" si="3"/>
        <v>217</v>
      </c>
      <c r="M30" s="28">
        <f t="shared" si="4"/>
        <v>2751</v>
      </c>
      <c r="N30" s="188"/>
      <c r="O30" s="188"/>
      <c r="Q30" s="19">
        <f t="shared" si="5"/>
        <v>0</v>
      </c>
    </row>
    <row r="31" spans="2:17" s="9" customFormat="1" ht="12.9" customHeight="1" thickBot="1" x14ac:dyDescent="0.3">
      <c r="B31" s="21">
        <v>44953</v>
      </c>
      <c r="C31" s="134">
        <v>16426772</v>
      </c>
      <c r="D31" s="135">
        <v>5834158</v>
      </c>
      <c r="E31" s="136">
        <v>316927</v>
      </c>
      <c r="F31" s="137">
        <v>56608</v>
      </c>
      <c r="G31" s="138">
        <v>394998</v>
      </c>
      <c r="H31" s="26">
        <f t="shared" si="0"/>
        <v>0</v>
      </c>
      <c r="I31" s="26">
        <f t="shared" si="6"/>
        <v>2159</v>
      </c>
      <c r="J31" s="26">
        <f t="shared" si="1"/>
        <v>131</v>
      </c>
      <c r="K31" s="26">
        <f t="shared" si="7"/>
        <v>203</v>
      </c>
      <c r="L31" s="27">
        <f t="shared" si="3"/>
        <v>230</v>
      </c>
      <c r="M31" s="28">
        <f t="shared" si="4"/>
        <v>2493</v>
      </c>
      <c r="N31" s="30">
        <f>AVERAGE(L4:L34)</f>
        <v>248</v>
      </c>
      <c r="O31" s="30">
        <f>AVERAGE(M4:M34)</f>
        <v>2698.8064516129034</v>
      </c>
      <c r="Q31" s="19">
        <f t="shared" si="5"/>
        <v>0</v>
      </c>
    </row>
    <row r="32" spans="2:17" s="9" customFormat="1" ht="12.9" customHeight="1" x14ac:dyDescent="0.25">
      <c r="B32" s="21">
        <v>44954</v>
      </c>
      <c r="C32" s="134">
        <v>16426772</v>
      </c>
      <c r="D32" s="135">
        <v>5837042</v>
      </c>
      <c r="E32" s="136">
        <v>317093</v>
      </c>
      <c r="F32" s="137">
        <v>56817</v>
      </c>
      <c r="G32" s="138">
        <v>395241</v>
      </c>
      <c r="H32" s="26">
        <f t="shared" si="0"/>
        <v>0</v>
      </c>
      <c r="I32" s="26">
        <f t="shared" si="6"/>
        <v>2884</v>
      </c>
      <c r="J32" s="26">
        <f t="shared" si="1"/>
        <v>166</v>
      </c>
      <c r="K32" s="26">
        <f t="shared" si="7"/>
        <v>209</v>
      </c>
      <c r="L32" s="27">
        <f t="shared" si="3"/>
        <v>243</v>
      </c>
      <c r="M32" s="28">
        <f t="shared" si="4"/>
        <v>3259</v>
      </c>
      <c r="O32" s="19">
        <f>IF(L32="",1,0)</f>
        <v>0</v>
      </c>
    </row>
    <row r="33" spans="2:17" s="9" customFormat="1" ht="12.9" customHeight="1" x14ac:dyDescent="0.25">
      <c r="B33" s="21">
        <v>44955</v>
      </c>
      <c r="C33" s="134">
        <v>16426772</v>
      </c>
      <c r="D33" s="135">
        <v>5840552</v>
      </c>
      <c r="E33" s="136">
        <v>317246</v>
      </c>
      <c r="F33" s="137">
        <v>57043</v>
      </c>
      <c r="G33" s="138">
        <v>395456</v>
      </c>
      <c r="H33" s="26">
        <f t="shared" si="0"/>
        <v>0</v>
      </c>
      <c r="I33" s="26">
        <f t="shared" si="6"/>
        <v>3510</v>
      </c>
      <c r="J33" s="26">
        <f t="shared" si="1"/>
        <v>153</v>
      </c>
      <c r="K33" s="26">
        <f t="shared" si="7"/>
        <v>226</v>
      </c>
      <c r="L33" s="27">
        <f t="shared" si="3"/>
        <v>215</v>
      </c>
      <c r="M33" s="28">
        <f t="shared" si="4"/>
        <v>3889</v>
      </c>
      <c r="O33" s="19">
        <f>IF(L33="",1,0)</f>
        <v>0</v>
      </c>
    </row>
    <row r="34" spans="2:17" s="9" customFormat="1" ht="12.9" customHeight="1" x14ac:dyDescent="0.25">
      <c r="B34" s="21">
        <v>44956</v>
      </c>
      <c r="C34" s="134">
        <v>16426772</v>
      </c>
      <c r="D34" s="135">
        <v>5844116</v>
      </c>
      <c r="E34" s="136">
        <v>317415</v>
      </c>
      <c r="F34" s="137">
        <v>57237</v>
      </c>
      <c r="G34" s="138">
        <v>395667</v>
      </c>
      <c r="H34" s="26">
        <f t="shared" si="0"/>
        <v>0</v>
      </c>
      <c r="I34" s="26">
        <f t="shared" si="6"/>
        <v>3564</v>
      </c>
      <c r="J34" s="26">
        <f t="shared" si="1"/>
        <v>169</v>
      </c>
      <c r="K34" s="26">
        <f t="shared" si="7"/>
        <v>194</v>
      </c>
      <c r="L34" s="27">
        <f t="shared" si="3"/>
        <v>211</v>
      </c>
      <c r="M34" s="28">
        <f t="shared" si="4"/>
        <v>3927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21">
        <v>44957</v>
      </c>
      <c r="C35" s="169"/>
      <c r="D35" s="169"/>
      <c r="E35" s="169"/>
      <c r="F35" s="169"/>
      <c r="G35" s="169"/>
      <c r="H35" s="170" t="str">
        <f t="shared" si="0"/>
        <v/>
      </c>
      <c r="I35" s="170" t="str">
        <f t="shared" si="6"/>
        <v/>
      </c>
      <c r="J35" s="170" t="str">
        <f t="shared" si="1"/>
        <v/>
      </c>
      <c r="K35" s="170" t="str">
        <f t="shared" si="7"/>
        <v/>
      </c>
      <c r="L35" s="171" t="str">
        <f t="shared" si="3"/>
        <v/>
      </c>
      <c r="M35" s="172" t="str">
        <f t="shared" si="4"/>
        <v/>
      </c>
      <c r="N35" s="8"/>
      <c r="O35" s="8"/>
      <c r="Q35" s="19"/>
    </row>
    <row r="36" spans="2:17" ht="12.9" customHeight="1" x14ac:dyDescent="0.25">
      <c r="B36" s="21">
        <v>44958</v>
      </c>
      <c r="C36" s="134"/>
      <c r="D36" s="135"/>
      <c r="E36" s="136"/>
      <c r="F36" s="137"/>
      <c r="G36" s="138"/>
      <c r="H36" s="26" t="str">
        <f t="shared" ref="H36:H52" si="8">IF(C36="","",+(C36-C35))</f>
        <v/>
      </c>
      <c r="I36" s="26" t="str">
        <f t="shared" ref="I36:I49" si="9">IF(D36="","",+(D36-D35))</f>
        <v/>
      </c>
      <c r="J36" s="26" t="str">
        <f t="shared" ref="J36:J49" si="10">IF(E36="","",+(E36-E35))</f>
        <v/>
      </c>
      <c r="K36" s="26" t="str">
        <f t="shared" ref="K36:K49" si="11">IF(F36="","",+(F36-F35))</f>
        <v/>
      </c>
      <c r="L36" s="27" t="str">
        <f t="shared" si="3"/>
        <v/>
      </c>
      <c r="M36" s="28" t="str">
        <f t="shared" si="4"/>
        <v/>
      </c>
      <c r="Q36" s="19">
        <f t="shared" si="5"/>
        <v>1</v>
      </c>
    </row>
    <row r="37" spans="2:17" ht="12.9" customHeight="1" x14ac:dyDescent="0.25">
      <c r="B37" s="21">
        <v>44959</v>
      </c>
      <c r="C37" s="134"/>
      <c r="D37" s="135"/>
      <c r="E37" s="136"/>
      <c r="F37" s="137"/>
      <c r="G37" s="138"/>
      <c r="H37" s="26" t="str">
        <f t="shared" si="8"/>
        <v/>
      </c>
      <c r="I37" s="26" t="str">
        <f t="shared" si="9"/>
        <v/>
      </c>
      <c r="J37" s="26" t="str">
        <f t="shared" si="10"/>
        <v/>
      </c>
      <c r="K37" s="26" t="str">
        <f t="shared" si="11"/>
        <v/>
      </c>
      <c r="L37" s="27" t="str">
        <f t="shared" si="3"/>
        <v/>
      </c>
      <c r="M37" s="28" t="str">
        <f t="shared" si="4"/>
        <v/>
      </c>
      <c r="Q37" s="19">
        <f t="shared" si="5"/>
        <v>1</v>
      </c>
    </row>
    <row r="38" spans="2:17" ht="12.9" customHeight="1" x14ac:dyDescent="0.25">
      <c r="B38" s="21">
        <v>44960</v>
      </c>
      <c r="C38" s="134"/>
      <c r="D38" s="135"/>
      <c r="E38" s="136"/>
      <c r="F38" s="137"/>
      <c r="G38" s="138"/>
      <c r="H38" s="26" t="str">
        <f t="shared" si="8"/>
        <v/>
      </c>
      <c r="I38" s="26" t="str">
        <f t="shared" si="9"/>
        <v/>
      </c>
      <c r="J38" s="26" t="str">
        <f t="shared" si="10"/>
        <v/>
      </c>
      <c r="K38" s="26" t="str">
        <f t="shared" si="11"/>
        <v/>
      </c>
      <c r="L38" s="27" t="str">
        <f t="shared" si="3"/>
        <v/>
      </c>
      <c r="M38" s="28" t="str">
        <f t="shared" si="4"/>
        <v/>
      </c>
      <c r="Q38" s="19">
        <f t="shared" si="5"/>
        <v>1</v>
      </c>
    </row>
    <row r="39" spans="2:17" ht="12.9" customHeight="1" x14ac:dyDescent="0.25">
      <c r="B39" s="21">
        <v>44961</v>
      </c>
      <c r="C39" s="134"/>
      <c r="D39" s="135"/>
      <c r="E39" s="136"/>
      <c r="F39" s="137"/>
      <c r="G39" s="138"/>
      <c r="H39" s="26" t="str">
        <f t="shared" si="8"/>
        <v/>
      </c>
      <c r="I39" s="26" t="str">
        <f t="shared" si="9"/>
        <v/>
      </c>
      <c r="J39" s="26" t="str">
        <f t="shared" si="10"/>
        <v/>
      </c>
      <c r="K39" s="26" t="str">
        <f t="shared" si="11"/>
        <v/>
      </c>
      <c r="L39" s="27" t="str">
        <f t="shared" si="3"/>
        <v/>
      </c>
      <c r="M39" s="28" t="str">
        <f t="shared" si="4"/>
        <v/>
      </c>
      <c r="Q39" s="19">
        <f t="shared" si="5"/>
        <v>1</v>
      </c>
    </row>
    <row r="40" spans="2:17" ht="12.9" customHeight="1" x14ac:dyDescent="0.25">
      <c r="B40" s="21">
        <v>44962</v>
      </c>
      <c r="C40" s="134"/>
      <c r="D40" s="135"/>
      <c r="E40" s="136"/>
      <c r="F40" s="137"/>
      <c r="G40" s="138"/>
      <c r="H40" s="26" t="str">
        <f t="shared" si="8"/>
        <v/>
      </c>
      <c r="I40" s="26" t="str">
        <f t="shared" si="9"/>
        <v/>
      </c>
      <c r="J40" s="26" t="str">
        <f t="shared" si="10"/>
        <v/>
      </c>
      <c r="K40" s="26" t="str">
        <f t="shared" si="11"/>
        <v/>
      </c>
      <c r="L40" s="27" t="str">
        <f t="shared" si="3"/>
        <v/>
      </c>
      <c r="M40" s="28" t="str">
        <f t="shared" si="4"/>
        <v/>
      </c>
      <c r="Q40" s="19">
        <f t="shared" si="5"/>
        <v>1</v>
      </c>
    </row>
    <row r="41" spans="2:17" ht="12.9" customHeight="1" x14ac:dyDescent="0.25">
      <c r="B41" s="21">
        <v>44963</v>
      </c>
      <c r="C41" s="134"/>
      <c r="D41" s="135"/>
      <c r="E41" s="136"/>
      <c r="F41" s="137"/>
      <c r="G41" s="138"/>
      <c r="H41" s="26" t="str">
        <f t="shared" si="8"/>
        <v/>
      </c>
      <c r="I41" s="26" t="str">
        <f t="shared" si="9"/>
        <v/>
      </c>
      <c r="J41" s="26" t="str">
        <f t="shared" si="10"/>
        <v/>
      </c>
      <c r="K41" s="26" t="str">
        <f t="shared" si="11"/>
        <v/>
      </c>
      <c r="L41" s="27" t="str">
        <f t="shared" si="3"/>
        <v/>
      </c>
      <c r="M41" s="28" t="str">
        <f t="shared" si="4"/>
        <v/>
      </c>
      <c r="Q41" s="19">
        <f t="shared" si="5"/>
        <v>1</v>
      </c>
    </row>
    <row r="42" spans="2:17" ht="12.9" customHeight="1" x14ac:dyDescent="0.25">
      <c r="B42" s="21">
        <v>44964</v>
      </c>
      <c r="C42" s="134"/>
      <c r="D42" s="135"/>
      <c r="E42" s="136"/>
      <c r="F42" s="137"/>
      <c r="G42" s="138"/>
      <c r="H42" s="26" t="str">
        <f t="shared" si="8"/>
        <v/>
      </c>
      <c r="I42" s="26" t="str">
        <f t="shared" si="9"/>
        <v/>
      </c>
      <c r="J42" s="26" t="str">
        <f t="shared" si="10"/>
        <v/>
      </c>
      <c r="K42" s="26" t="str">
        <f t="shared" si="11"/>
        <v/>
      </c>
      <c r="L42" s="27" t="str">
        <f t="shared" si="3"/>
        <v/>
      </c>
      <c r="M42" s="28" t="str">
        <f t="shared" si="4"/>
        <v/>
      </c>
      <c r="Q42" s="19">
        <f t="shared" si="5"/>
        <v>1</v>
      </c>
    </row>
    <row r="43" spans="2:17" ht="12.9" customHeight="1" x14ac:dyDescent="0.25">
      <c r="B43" s="21">
        <v>44965</v>
      </c>
      <c r="C43" s="134"/>
      <c r="D43" s="135"/>
      <c r="E43" s="136"/>
      <c r="F43" s="137"/>
      <c r="G43" s="138"/>
      <c r="H43" s="26" t="str">
        <f t="shared" si="8"/>
        <v/>
      </c>
      <c r="I43" s="26" t="str">
        <f>IF(D43="","",+(D43-D42))</f>
        <v/>
      </c>
      <c r="J43" s="26" t="str">
        <f t="shared" si="10"/>
        <v/>
      </c>
      <c r="K43" s="26" t="str">
        <f t="shared" si="11"/>
        <v/>
      </c>
      <c r="L43" s="27" t="str">
        <f t="shared" si="3"/>
        <v/>
      </c>
      <c r="M43" s="28" t="str">
        <f t="shared" si="4"/>
        <v/>
      </c>
      <c r="Q43" s="19">
        <f t="shared" si="5"/>
        <v>1</v>
      </c>
    </row>
    <row r="44" spans="2:17" ht="12.9" customHeight="1" x14ac:dyDescent="0.25">
      <c r="B44" s="21">
        <v>44966</v>
      </c>
      <c r="C44" s="134"/>
      <c r="D44" s="135"/>
      <c r="E44" s="136"/>
      <c r="F44" s="137"/>
      <c r="G44" s="138"/>
      <c r="H44" s="26" t="str">
        <f t="shared" si="8"/>
        <v/>
      </c>
      <c r="I44" s="26" t="str">
        <f>IF(D44="","",+(D44-D43))</f>
        <v/>
      </c>
      <c r="J44" s="26" t="str">
        <f>IF(E44="","",+(E44-E43))</f>
        <v/>
      </c>
      <c r="K44" s="26" t="str">
        <f>IF(F44="","",+(F44-F43))</f>
        <v/>
      </c>
      <c r="L44" s="27" t="str">
        <f t="shared" si="3"/>
        <v/>
      </c>
      <c r="M44" s="28" t="str">
        <f>IF(H44="","",+(H44+I44+J44+K44))</f>
        <v/>
      </c>
      <c r="Q44" s="19">
        <f t="shared" si="5"/>
        <v>1</v>
      </c>
    </row>
    <row r="45" spans="2:17" ht="12.9" customHeight="1" x14ac:dyDescent="0.25">
      <c r="B45" s="21">
        <v>44967</v>
      </c>
      <c r="C45" s="134"/>
      <c r="D45" s="135"/>
      <c r="E45" s="136"/>
      <c r="F45" s="137"/>
      <c r="G45" s="138"/>
      <c r="H45" s="26" t="str">
        <f t="shared" si="8"/>
        <v/>
      </c>
      <c r="I45" s="26" t="str">
        <f t="shared" si="9"/>
        <v/>
      </c>
      <c r="J45" s="26" t="str">
        <f t="shared" si="10"/>
        <v/>
      </c>
      <c r="K45" s="26" t="str">
        <f t="shared" si="11"/>
        <v/>
      </c>
      <c r="L45" s="27" t="str">
        <f t="shared" si="3"/>
        <v/>
      </c>
      <c r="M45" s="28" t="str">
        <f t="shared" si="4"/>
        <v/>
      </c>
      <c r="Q45" s="19">
        <f t="shared" si="5"/>
        <v>1</v>
      </c>
    </row>
    <row r="46" spans="2:17" ht="12.9" customHeight="1" x14ac:dyDescent="0.25">
      <c r="B46" s="21">
        <v>44968</v>
      </c>
      <c r="C46" s="134"/>
      <c r="D46" s="135"/>
      <c r="E46" s="136"/>
      <c r="F46" s="137"/>
      <c r="G46" s="138"/>
      <c r="H46" s="26" t="str">
        <f t="shared" si="8"/>
        <v/>
      </c>
      <c r="I46" s="26" t="str">
        <f t="shared" si="9"/>
        <v/>
      </c>
      <c r="J46" s="26" t="str">
        <f t="shared" si="10"/>
        <v/>
      </c>
      <c r="K46" s="26" t="str">
        <f t="shared" si="11"/>
        <v/>
      </c>
      <c r="L46" s="27" t="str">
        <f t="shared" si="3"/>
        <v/>
      </c>
      <c r="M46" s="28" t="str">
        <f t="shared" si="4"/>
        <v/>
      </c>
      <c r="Q46" s="19">
        <f t="shared" si="5"/>
        <v>1</v>
      </c>
    </row>
    <row r="47" spans="2:17" ht="12.9" customHeight="1" x14ac:dyDescent="0.25">
      <c r="B47" s="21">
        <v>44969</v>
      </c>
      <c r="C47" s="134"/>
      <c r="D47" s="135"/>
      <c r="E47" s="136"/>
      <c r="F47" s="137"/>
      <c r="G47" s="138"/>
      <c r="H47" s="26" t="str">
        <f t="shared" si="8"/>
        <v/>
      </c>
      <c r="I47" s="26" t="str">
        <f t="shared" si="9"/>
        <v/>
      </c>
      <c r="J47" s="26" t="str">
        <f t="shared" si="10"/>
        <v/>
      </c>
      <c r="K47" s="26" t="str">
        <f t="shared" si="11"/>
        <v/>
      </c>
      <c r="L47" s="27" t="str">
        <f t="shared" si="3"/>
        <v/>
      </c>
      <c r="M47" s="28" t="str">
        <f t="shared" si="4"/>
        <v/>
      </c>
      <c r="Q47" s="19">
        <f t="shared" si="5"/>
        <v>1</v>
      </c>
    </row>
    <row r="48" spans="2:17" ht="12.9" customHeight="1" x14ac:dyDescent="0.25">
      <c r="B48" s="21">
        <v>44970</v>
      </c>
      <c r="C48" s="134"/>
      <c r="D48" s="135"/>
      <c r="E48" s="136"/>
      <c r="F48" s="137"/>
      <c r="G48" s="138"/>
      <c r="H48" s="26" t="str">
        <f t="shared" si="8"/>
        <v/>
      </c>
      <c r="I48" s="26" t="str">
        <f t="shared" si="9"/>
        <v/>
      </c>
      <c r="J48" s="26" t="str">
        <f t="shared" si="10"/>
        <v/>
      </c>
      <c r="K48" s="26" t="str">
        <f t="shared" si="11"/>
        <v/>
      </c>
      <c r="L48" s="27" t="str">
        <f t="shared" si="3"/>
        <v/>
      </c>
      <c r="M48" s="28" t="str">
        <f t="shared" si="4"/>
        <v/>
      </c>
      <c r="Q48" s="19">
        <f t="shared" si="5"/>
        <v>1</v>
      </c>
    </row>
    <row r="49" spans="2:17" ht="12.9" customHeight="1" x14ac:dyDescent="0.25">
      <c r="B49" s="21">
        <v>44971</v>
      </c>
      <c r="C49" s="134"/>
      <c r="D49" s="135"/>
      <c r="E49" s="136"/>
      <c r="F49" s="137"/>
      <c r="G49" s="138"/>
      <c r="H49" s="26" t="str">
        <f t="shared" si="8"/>
        <v/>
      </c>
      <c r="I49" s="26" t="str">
        <f t="shared" si="9"/>
        <v/>
      </c>
      <c r="J49" s="26" t="str">
        <f t="shared" si="10"/>
        <v/>
      </c>
      <c r="K49" s="26" t="str">
        <f t="shared" si="11"/>
        <v/>
      </c>
      <c r="L49" s="27" t="str">
        <f t="shared" si="3"/>
        <v/>
      </c>
      <c r="M49" s="28" t="str">
        <f t="shared" si="4"/>
        <v/>
      </c>
      <c r="Q49" s="19">
        <f t="shared" si="5"/>
        <v>1</v>
      </c>
    </row>
    <row r="50" spans="2:17" ht="12.9" customHeight="1" x14ac:dyDescent="0.25">
      <c r="B50" s="21">
        <v>44972</v>
      </c>
      <c r="C50" s="134"/>
      <c r="D50" s="135"/>
      <c r="E50" s="136"/>
      <c r="F50" s="137"/>
      <c r="G50" s="138"/>
      <c r="H50" s="26" t="str">
        <f t="shared" si="8"/>
        <v/>
      </c>
      <c r="I50" s="26" t="str">
        <f t="shared" ref="I50:L51" si="12">IF(D50="","",+(D50-D49))</f>
        <v/>
      </c>
      <c r="J50" s="26" t="str">
        <f t="shared" si="12"/>
        <v/>
      </c>
      <c r="K50" s="26" t="str">
        <f t="shared" si="12"/>
        <v/>
      </c>
      <c r="L50" s="27" t="str">
        <f t="shared" si="12"/>
        <v/>
      </c>
      <c r="M50" s="28" t="str">
        <f t="shared" ref="M50:M55" si="13">IF(H50="","",+(H50+I50+J50+K50))</f>
        <v/>
      </c>
      <c r="Q50" s="19">
        <f t="shared" si="5"/>
        <v>1</v>
      </c>
    </row>
    <row r="51" spans="2:17" ht="12.9" customHeight="1" x14ac:dyDescent="0.25">
      <c r="B51" s="21">
        <v>44973</v>
      </c>
      <c r="C51" s="134"/>
      <c r="D51" s="135"/>
      <c r="E51" s="136"/>
      <c r="F51" s="137"/>
      <c r="G51" s="138"/>
      <c r="H51" s="26" t="str">
        <f t="shared" si="8"/>
        <v/>
      </c>
      <c r="I51" s="26" t="str">
        <f t="shared" si="12"/>
        <v/>
      </c>
      <c r="J51" s="26" t="str">
        <f t="shared" si="12"/>
        <v/>
      </c>
      <c r="K51" s="26" t="str">
        <f t="shared" si="12"/>
        <v/>
      </c>
      <c r="L51" s="27" t="str">
        <f t="shared" si="12"/>
        <v/>
      </c>
      <c r="M51" s="28" t="str">
        <f t="shared" si="13"/>
        <v/>
      </c>
      <c r="Q51" s="19">
        <f t="shared" si="5"/>
        <v>1</v>
      </c>
    </row>
    <row r="52" spans="2:17" ht="12.9" customHeight="1" thickBot="1" x14ac:dyDescent="0.3">
      <c r="B52" s="21">
        <v>44974</v>
      </c>
      <c r="C52" s="134"/>
      <c r="D52" s="135"/>
      <c r="E52" s="136"/>
      <c r="F52" s="137"/>
      <c r="G52" s="138"/>
      <c r="H52" s="26" t="str">
        <f t="shared" si="8"/>
        <v/>
      </c>
      <c r="I52" s="26" t="str">
        <f t="shared" ref="I52:L55" si="14">IF(D52="","",+(D52-D51))</f>
        <v/>
      </c>
      <c r="J52" s="26" t="str">
        <f t="shared" si="14"/>
        <v/>
      </c>
      <c r="K52" s="26" t="str">
        <f t="shared" si="14"/>
        <v/>
      </c>
      <c r="L52" s="27" t="str">
        <f t="shared" si="14"/>
        <v/>
      </c>
      <c r="M52" s="28" t="str">
        <f t="shared" si="13"/>
        <v/>
      </c>
      <c r="Q52" s="19">
        <f t="shared" si="5"/>
        <v>1</v>
      </c>
    </row>
    <row r="53" spans="2:17" ht="12.9" customHeight="1" x14ac:dyDescent="0.25">
      <c r="B53" s="21">
        <v>44975</v>
      </c>
      <c r="C53" s="134"/>
      <c r="D53" s="135"/>
      <c r="E53" s="136"/>
      <c r="F53" s="137"/>
      <c r="G53" s="138"/>
      <c r="H53" s="26" t="str">
        <f t="shared" ref="H53:H58" si="15">IF(C53="","",+(C53-C52))</f>
        <v/>
      </c>
      <c r="I53" s="26" t="str">
        <f t="shared" si="14"/>
        <v/>
      </c>
      <c r="J53" s="26" t="str">
        <f t="shared" si="14"/>
        <v/>
      </c>
      <c r="K53" s="26" t="str">
        <f t="shared" si="14"/>
        <v/>
      </c>
      <c r="L53" s="27" t="str">
        <f t="shared" si="14"/>
        <v/>
      </c>
      <c r="M53" s="28" t="str">
        <f t="shared" si="13"/>
        <v/>
      </c>
      <c r="N53" s="186" t="s">
        <v>66</v>
      </c>
      <c r="O53" s="186" t="s">
        <v>67</v>
      </c>
      <c r="Q53" s="19">
        <f t="shared" si="5"/>
        <v>1</v>
      </c>
    </row>
    <row r="54" spans="2:17" ht="12.9" customHeight="1" x14ac:dyDescent="0.25">
      <c r="B54" s="21">
        <v>44976</v>
      </c>
      <c r="C54" s="134"/>
      <c r="D54" s="135"/>
      <c r="E54" s="136"/>
      <c r="F54" s="137"/>
      <c r="G54" s="138"/>
      <c r="H54" s="26" t="str">
        <f t="shared" si="15"/>
        <v/>
      </c>
      <c r="I54" s="26" t="str">
        <f t="shared" si="14"/>
        <v/>
      </c>
      <c r="J54" s="26" t="str">
        <f t="shared" si="14"/>
        <v/>
      </c>
      <c r="K54" s="26" t="str">
        <f t="shared" si="14"/>
        <v/>
      </c>
      <c r="L54" s="27" t="str">
        <f t="shared" si="14"/>
        <v/>
      </c>
      <c r="M54" s="28" t="str">
        <f t="shared" si="13"/>
        <v/>
      </c>
      <c r="N54" s="187"/>
      <c r="O54" s="187"/>
      <c r="Q54" s="19">
        <f t="shared" si="5"/>
        <v>1</v>
      </c>
    </row>
    <row r="55" spans="2:17" ht="12.9" customHeight="1" thickBot="1" x14ac:dyDescent="0.3">
      <c r="B55" s="21">
        <v>44977</v>
      </c>
      <c r="C55" s="134"/>
      <c r="D55" s="135"/>
      <c r="E55" s="136"/>
      <c r="F55" s="137"/>
      <c r="G55" s="138"/>
      <c r="H55" s="26" t="str">
        <f t="shared" si="15"/>
        <v/>
      </c>
      <c r="I55" s="26" t="str">
        <f t="shared" si="14"/>
        <v/>
      </c>
      <c r="J55" s="26" t="str">
        <f t="shared" si="14"/>
        <v/>
      </c>
      <c r="K55" s="26" t="str">
        <f t="shared" si="14"/>
        <v/>
      </c>
      <c r="L55" s="27" t="str">
        <f t="shared" si="14"/>
        <v/>
      </c>
      <c r="M55" s="28" t="str">
        <f t="shared" si="13"/>
        <v/>
      </c>
      <c r="N55" s="188"/>
      <c r="O55" s="188"/>
      <c r="Q55" s="19">
        <f t="shared" si="5"/>
        <v>1</v>
      </c>
    </row>
    <row r="56" spans="2:17" ht="12.9" customHeight="1" thickBot="1" x14ac:dyDescent="0.3">
      <c r="B56" s="21">
        <v>44978</v>
      </c>
      <c r="C56" s="134"/>
      <c r="D56" s="135"/>
      <c r="E56" s="136"/>
      <c r="F56" s="137"/>
      <c r="G56" s="138"/>
      <c r="H56" s="26" t="str">
        <f t="shared" si="15"/>
        <v/>
      </c>
      <c r="I56" s="26" t="str">
        <f t="shared" ref="I56:L57" si="16">IF(D56="","",+(D56-D55))</f>
        <v/>
      </c>
      <c r="J56" s="26" t="str">
        <f t="shared" si="16"/>
        <v/>
      </c>
      <c r="K56" s="26" t="str">
        <f t="shared" si="16"/>
        <v/>
      </c>
      <c r="L56" s="27" t="str">
        <f t="shared" si="16"/>
        <v/>
      </c>
      <c r="M56" s="28" t="str">
        <f t="shared" ref="M56:M62" si="17">IF(H56="","",+(H56+I56+J56+K56))</f>
        <v/>
      </c>
      <c r="N56" s="30">
        <f>SUM(L35:L63)</f>
        <v>0</v>
      </c>
      <c r="O56" s="30">
        <f>SUM(M35:M63)</f>
        <v>0</v>
      </c>
      <c r="Q56" s="19">
        <f t="shared" si="5"/>
        <v>1</v>
      </c>
    </row>
    <row r="57" spans="2:17" ht="12.9" customHeight="1" x14ac:dyDescent="0.25">
      <c r="B57" s="21">
        <v>44979</v>
      </c>
      <c r="C57" s="134"/>
      <c r="D57" s="135"/>
      <c r="E57" s="136"/>
      <c r="F57" s="137"/>
      <c r="G57" s="138"/>
      <c r="H57" s="26" t="str">
        <f t="shared" si="15"/>
        <v/>
      </c>
      <c r="I57" s="26" t="str">
        <f t="shared" si="16"/>
        <v/>
      </c>
      <c r="J57" s="26" t="str">
        <f t="shared" si="16"/>
        <v/>
      </c>
      <c r="K57" s="26" t="str">
        <f t="shared" si="16"/>
        <v/>
      </c>
      <c r="L57" s="27" t="str">
        <f t="shared" si="16"/>
        <v/>
      </c>
      <c r="M57" s="28" t="str">
        <f t="shared" si="17"/>
        <v/>
      </c>
      <c r="N57" s="186" t="s">
        <v>68</v>
      </c>
      <c r="O57" s="186" t="s">
        <v>69</v>
      </c>
      <c r="Q57" s="19">
        <f t="shared" si="5"/>
        <v>1</v>
      </c>
    </row>
    <row r="58" spans="2:17" ht="12.9" customHeight="1" thickBot="1" x14ac:dyDescent="0.3">
      <c r="B58" s="21">
        <v>44980</v>
      </c>
      <c r="C58" s="134"/>
      <c r="D58" s="135"/>
      <c r="E58" s="136"/>
      <c r="F58" s="137"/>
      <c r="G58" s="138"/>
      <c r="H58" s="26" t="str">
        <f t="shared" si="15"/>
        <v/>
      </c>
      <c r="I58" s="26" t="str">
        <f t="shared" ref="I58:L62" si="18">IF(D58="","",+(D58-D57))</f>
        <v/>
      </c>
      <c r="J58" s="26" t="str">
        <f t="shared" si="18"/>
        <v/>
      </c>
      <c r="K58" s="26" t="str">
        <f t="shared" si="18"/>
        <v/>
      </c>
      <c r="L58" s="27" t="str">
        <f t="shared" si="18"/>
        <v/>
      </c>
      <c r="M58" s="28" t="str">
        <f t="shared" si="17"/>
        <v/>
      </c>
      <c r="N58" s="188"/>
      <c r="O58" s="188"/>
      <c r="Q58" s="19">
        <f t="shared" si="5"/>
        <v>1</v>
      </c>
    </row>
    <row r="59" spans="2:17" ht="12.9" customHeight="1" thickBot="1" x14ac:dyDescent="0.3">
      <c r="B59" s="21">
        <v>44981</v>
      </c>
      <c r="C59" s="134"/>
      <c r="D59" s="135"/>
      <c r="E59" s="136"/>
      <c r="F59" s="137"/>
      <c r="G59" s="138"/>
      <c r="H59" s="26" t="str">
        <f t="shared" ref="H59:H60" si="19">IF(C59="","",+(C59-C58))</f>
        <v/>
      </c>
      <c r="I59" s="26" t="str">
        <f t="shared" si="18"/>
        <v/>
      </c>
      <c r="J59" s="26" t="str">
        <f t="shared" si="18"/>
        <v/>
      </c>
      <c r="K59" s="26" t="str">
        <f t="shared" si="18"/>
        <v/>
      </c>
      <c r="L59" s="27" t="str">
        <f t="shared" si="18"/>
        <v/>
      </c>
      <c r="M59" s="28" t="str">
        <f t="shared" si="17"/>
        <v/>
      </c>
      <c r="N59" s="30" t="e">
        <f>AVERAGE(L35:L63)</f>
        <v>#DIV/0!</v>
      </c>
      <c r="O59" s="30" t="e">
        <f>AVERAGE(M35:M63)</f>
        <v>#DIV/0!</v>
      </c>
      <c r="Q59" s="19">
        <f t="shared" si="5"/>
        <v>1</v>
      </c>
    </row>
    <row r="60" spans="2:17" ht="12.9" customHeight="1" x14ac:dyDescent="0.25">
      <c r="B60" s="21">
        <v>44982</v>
      </c>
      <c r="C60" s="134"/>
      <c r="D60" s="135"/>
      <c r="E60" s="136"/>
      <c r="F60" s="137"/>
      <c r="G60" s="138"/>
      <c r="H60" s="26" t="str">
        <f t="shared" si="19"/>
        <v/>
      </c>
      <c r="I60" s="26" t="str">
        <f t="shared" si="18"/>
        <v/>
      </c>
      <c r="J60" s="26" t="str">
        <f t="shared" si="18"/>
        <v/>
      </c>
      <c r="K60" s="26" t="str">
        <f t="shared" si="18"/>
        <v/>
      </c>
      <c r="L60" s="27" t="str">
        <f t="shared" si="18"/>
        <v/>
      </c>
      <c r="M60" s="28" t="str">
        <f t="shared" si="17"/>
        <v/>
      </c>
      <c r="N60" s="186" t="s">
        <v>70</v>
      </c>
      <c r="O60" s="186" t="s">
        <v>71</v>
      </c>
      <c r="Q60" s="19">
        <f t="shared" si="5"/>
        <v>1</v>
      </c>
    </row>
    <row r="61" spans="2:17" ht="12.9" customHeight="1" thickBot="1" x14ac:dyDescent="0.3">
      <c r="B61" s="21">
        <v>44983</v>
      </c>
      <c r="C61" s="134"/>
      <c r="D61" s="135"/>
      <c r="E61" s="136"/>
      <c r="F61" s="137"/>
      <c r="G61" s="138"/>
      <c r="H61" s="26" t="str">
        <f t="shared" ref="H61" si="20">IF(C61="","",+(C61-C60))</f>
        <v/>
      </c>
      <c r="I61" s="26" t="str">
        <f t="shared" si="18"/>
        <v/>
      </c>
      <c r="J61" s="26" t="str">
        <f t="shared" si="18"/>
        <v/>
      </c>
      <c r="K61" s="26" t="str">
        <f t="shared" si="18"/>
        <v/>
      </c>
      <c r="L61" s="27" t="str">
        <f t="shared" si="18"/>
        <v/>
      </c>
      <c r="M61" s="28" t="str">
        <f t="shared" si="17"/>
        <v/>
      </c>
      <c r="N61" s="188"/>
      <c r="O61" s="188"/>
      <c r="Q61" s="19">
        <f t="shared" si="5"/>
        <v>1</v>
      </c>
    </row>
    <row r="62" spans="2:17" ht="12.9" customHeight="1" thickBot="1" x14ac:dyDescent="0.3">
      <c r="B62" s="21">
        <v>44984</v>
      </c>
      <c r="C62" s="169"/>
      <c r="D62" s="173"/>
      <c r="E62" s="173"/>
      <c r="F62" s="173"/>
      <c r="G62" s="173"/>
      <c r="H62" s="170" t="str">
        <f t="shared" ref="H62" si="21">IF(C62="","",+(C62-C61))</f>
        <v/>
      </c>
      <c r="I62" s="170" t="str">
        <f t="shared" si="18"/>
        <v/>
      </c>
      <c r="J62" s="170" t="str">
        <f t="shared" si="18"/>
        <v/>
      </c>
      <c r="K62" s="170" t="str">
        <f t="shared" si="18"/>
        <v/>
      </c>
      <c r="L62" s="171" t="str">
        <f t="shared" si="18"/>
        <v/>
      </c>
      <c r="M62" s="172" t="str">
        <f t="shared" si="17"/>
        <v/>
      </c>
      <c r="N62" s="30" t="e">
        <f>N56+(N59*SUM(Q35:Q63))</f>
        <v>#DIV/0!</v>
      </c>
      <c r="O62" s="30" t="e">
        <f>O56+(O59*SUM(Q35:Q63))</f>
        <v>#DIV/0!</v>
      </c>
      <c r="Q62" s="19">
        <f t="shared" si="5"/>
        <v>1</v>
      </c>
    </row>
    <row r="63" spans="2:17" ht="12.9" customHeight="1" x14ac:dyDescent="0.25">
      <c r="B63" s="21">
        <v>44985</v>
      </c>
      <c r="C63" s="134"/>
      <c r="D63" s="139"/>
      <c r="E63" s="140"/>
      <c r="F63" s="141"/>
      <c r="G63" s="142"/>
      <c r="H63" s="26" t="str">
        <f t="shared" ref="H63" si="22">IF(C63="","",+(C63-C62))</f>
        <v/>
      </c>
      <c r="I63" s="26" t="str">
        <f t="shared" ref="I63:L65" si="23">IF(D63="","",+(D63-D62))</f>
        <v/>
      </c>
      <c r="J63" s="26" t="str">
        <f t="shared" si="23"/>
        <v/>
      </c>
      <c r="K63" s="26" t="str">
        <f t="shared" si="23"/>
        <v/>
      </c>
      <c r="L63" s="27" t="str">
        <f t="shared" si="23"/>
        <v/>
      </c>
      <c r="M63" s="28" t="str">
        <f t="shared" ref="M63:M69" si="24">IF(H63="","",+(H63+I63+J63+K63))</f>
        <v/>
      </c>
      <c r="Q63" s="19">
        <f t="shared" si="5"/>
        <v>1</v>
      </c>
    </row>
    <row r="64" spans="2:17" ht="12.9" customHeight="1" x14ac:dyDescent="0.25">
      <c r="B64" s="21">
        <v>44986</v>
      </c>
      <c r="C64" s="134"/>
      <c r="D64" s="139"/>
      <c r="E64" s="140"/>
      <c r="F64" s="141"/>
      <c r="G64" s="142"/>
      <c r="H64" s="26" t="str">
        <f t="shared" ref="H64" si="25">IF(C64="","",+(C64-C63))</f>
        <v/>
      </c>
      <c r="I64" s="26" t="str">
        <f t="shared" si="23"/>
        <v/>
      </c>
      <c r="J64" s="26" t="str">
        <f t="shared" si="23"/>
        <v/>
      </c>
      <c r="K64" s="26" t="str">
        <f t="shared" si="23"/>
        <v/>
      </c>
      <c r="L64" s="27" t="str">
        <f t="shared" si="23"/>
        <v/>
      </c>
      <c r="M64" s="28" t="str">
        <f t="shared" si="24"/>
        <v/>
      </c>
      <c r="Q64" s="19">
        <f t="shared" si="5"/>
        <v>1</v>
      </c>
    </row>
    <row r="65" spans="2:17" ht="12.9" customHeight="1" x14ac:dyDescent="0.25">
      <c r="B65" s="21">
        <v>44987</v>
      </c>
      <c r="C65" s="134"/>
      <c r="D65" s="139"/>
      <c r="E65" s="140"/>
      <c r="F65" s="141"/>
      <c r="G65" s="142"/>
      <c r="H65" s="26" t="str">
        <f t="shared" ref="H65" si="26">IF(C65="","",+(C65-C64))</f>
        <v/>
      </c>
      <c r="I65" s="26" t="str">
        <f t="shared" si="23"/>
        <v/>
      </c>
      <c r="J65" s="26" t="str">
        <f t="shared" si="23"/>
        <v/>
      </c>
      <c r="K65" s="26" t="str">
        <f t="shared" si="23"/>
        <v/>
      </c>
      <c r="L65" s="27" t="str">
        <f t="shared" si="23"/>
        <v/>
      </c>
      <c r="M65" s="28" t="str">
        <f t="shared" si="24"/>
        <v/>
      </c>
      <c r="Q65" s="19">
        <f t="shared" si="5"/>
        <v>1</v>
      </c>
    </row>
    <row r="66" spans="2:17" ht="12.9" customHeight="1" x14ac:dyDescent="0.25">
      <c r="B66" s="21">
        <v>44988</v>
      </c>
      <c r="C66" s="134"/>
      <c r="D66" s="139"/>
      <c r="E66" s="140"/>
      <c r="F66" s="141"/>
      <c r="G66" s="142"/>
      <c r="H66" s="26" t="str">
        <f t="shared" ref="H66" si="27">IF(C66="","",+(C66-C65))</f>
        <v/>
      </c>
      <c r="I66" s="26" t="str">
        <f t="shared" ref="I66:L69" si="28">IF(D66="","",+(D66-D65))</f>
        <v/>
      </c>
      <c r="J66" s="26" t="str">
        <f t="shared" si="28"/>
        <v/>
      </c>
      <c r="K66" s="26" t="str">
        <f t="shared" si="28"/>
        <v/>
      </c>
      <c r="L66" s="27" t="str">
        <f t="shared" si="28"/>
        <v/>
      </c>
      <c r="M66" s="28" t="str">
        <f t="shared" si="24"/>
        <v/>
      </c>
      <c r="Q66" s="19">
        <f t="shared" si="5"/>
        <v>1</v>
      </c>
    </row>
    <row r="67" spans="2:17" ht="12.9" customHeight="1" x14ac:dyDescent="0.25">
      <c r="B67" s="21">
        <v>44989</v>
      </c>
      <c r="C67" s="134"/>
      <c r="D67" s="139"/>
      <c r="E67" s="140"/>
      <c r="F67" s="141"/>
      <c r="G67" s="142"/>
      <c r="H67" s="26" t="str">
        <f t="shared" ref="H67" si="29">IF(C67="","",+(C67-C66))</f>
        <v/>
      </c>
      <c r="I67" s="26" t="str">
        <f t="shared" si="28"/>
        <v/>
      </c>
      <c r="J67" s="26" t="str">
        <f t="shared" si="28"/>
        <v/>
      </c>
      <c r="K67" s="26" t="str">
        <f t="shared" si="28"/>
        <v/>
      </c>
      <c r="L67" s="27" t="str">
        <f t="shared" si="28"/>
        <v/>
      </c>
      <c r="M67" s="28" t="str">
        <f t="shared" si="24"/>
        <v/>
      </c>
      <c r="Q67" s="19">
        <f t="shared" si="5"/>
        <v>1</v>
      </c>
    </row>
    <row r="68" spans="2:17" ht="12.9" customHeight="1" x14ac:dyDescent="0.25">
      <c r="B68" s="21">
        <v>44990</v>
      </c>
      <c r="C68" s="134"/>
      <c r="D68" s="139"/>
      <c r="E68" s="140"/>
      <c r="F68" s="141"/>
      <c r="G68" s="142"/>
      <c r="H68" s="26" t="str">
        <f t="shared" ref="H68" si="30">IF(C68="","",+(C68-C67))</f>
        <v/>
      </c>
      <c r="I68" s="26" t="str">
        <f t="shared" si="28"/>
        <v/>
      </c>
      <c r="J68" s="26" t="str">
        <f t="shared" si="28"/>
        <v/>
      </c>
      <c r="K68" s="26" t="str">
        <f t="shared" si="28"/>
        <v/>
      </c>
      <c r="L68" s="27" t="str">
        <f t="shared" si="28"/>
        <v/>
      </c>
      <c r="M68" s="28" t="str">
        <f t="shared" si="24"/>
        <v/>
      </c>
      <c r="Q68" s="19">
        <f t="shared" si="5"/>
        <v>1</v>
      </c>
    </row>
    <row r="69" spans="2:17" ht="12.9" customHeight="1" x14ac:dyDescent="0.25">
      <c r="B69" s="21">
        <v>44991</v>
      </c>
      <c r="C69" s="134"/>
      <c r="D69" s="139"/>
      <c r="E69" s="140"/>
      <c r="F69" s="141"/>
      <c r="G69" s="142"/>
      <c r="H69" s="26" t="str">
        <f t="shared" ref="H69" si="31">IF(C69="","",+(C69-C68))</f>
        <v/>
      </c>
      <c r="I69" s="26" t="str">
        <f t="shared" si="28"/>
        <v/>
      </c>
      <c r="J69" s="26" t="str">
        <f t="shared" si="28"/>
        <v/>
      </c>
      <c r="K69" s="26" t="str">
        <f t="shared" si="28"/>
        <v/>
      </c>
      <c r="L69" s="27" t="str">
        <f t="shared" si="28"/>
        <v/>
      </c>
      <c r="M69" s="28" t="str">
        <f t="shared" si="24"/>
        <v/>
      </c>
      <c r="Q69" s="19">
        <f t="shared" si="5"/>
        <v>1</v>
      </c>
    </row>
    <row r="70" spans="2:17" ht="12.9" customHeight="1" x14ac:dyDescent="0.25">
      <c r="B70" s="21">
        <v>44992</v>
      </c>
      <c r="C70" s="134"/>
      <c r="D70" s="139"/>
      <c r="E70" s="140"/>
      <c r="F70" s="141"/>
      <c r="G70" s="142"/>
      <c r="H70" s="26" t="str">
        <f t="shared" ref="H70" si="32">IF(C70="","",+(C70-C69))</f>
        <v/>
      </c>
      <c r="I70" s="26" t="str">
        <f t="shared" ref="I70:L71" si="33">IF(D70="","",+(D70-D69))</f>
        <v/>
      </c>
      <c r="J70" s="26" t="str">
        <f t="shared" si="33"/>
        <v/>
      </c>
      <c r="K70" s="26" t="str">
        <f t="shared" si="33"/>
        <v/>
      </c>
      <c r="L70" s="27" t="str">
        <f t="shared" si="33"/>
        <v/>
      </c>
      <c r="M70" s="28" t="str">
        <f t="shared" ref="M70:M76" si="34">IF(H70="","",+(H70+I70+J70+K70))</f>
        <v/>
      </c>
      <c r="Q70" s="19">
        <f t="shared" ref="Q70:Q133" si="35">IF(L70="",1,0)</f>
        <v>1</v>
      </c>
    </row>
    <row r="71" spans="2:17" ht="12.9" customHeight="1" x14ac:dyDescent="0.25">
      <c r="B71" s="21">
        <v>44993</v>
      </c>
      <c r="C71" s="134"/>
      <c r="D71" s="139"/>
      <c r="E71" s="140"/>
      <c r="F71" s="141"/>
      <c r="G71" s="142"/>
      <c r="H71" s="26" t="str">
        <f t="shared" ref="H71" si="36">IF(C71="","",+(C71-C70))</f>
        <v/>
      </c>
      <c r="I71" s="26" t="str">
        <f t="shared" si="33"/>
        <v/>
      </c>
      <c r="J71" s="26" t="str">
        <f t="shared" si="33"/>
        <v/>
      </c>
      <c r="K71" s="26" t="str">
        <f t="shared" si="33"/>
        <v/>
      </c>
      <c r="L71" s="27" t="str">
        <f t="shared" si="33"/>
        <v/>
      </c>
      <c r="M71" s="28" t="str">
        <f t="shared" si="34"/>
        <v/>
      </c>
      <c r="O71" s="8" t="s">
        <v>72</v>
      </c>
      <c r="Q71" s="19">
        <f t="shared" si="35"/>
        <v>1</v>
      </c>
    </row>
    <row r="72" spans="2:17" ht="12.9" customHeight="1" x14ac:dyDescent="0.25">
      <c r="B72" s="21">
        <v>44994</v>
      </c>
      <c r="C72" s="134"/>
      <c r="D72" s="139"/>
      <c r="E72" s="140"/>
      <c r="F72" s="141"/>
      <c r="G72" s="142"/>
      <c r="H72" s="26" t="str">
        <f t="shared" ref="H72" si="37">IF(C72="","",+(C72-C71))</f>
        <v/>
      </c>
      <c r="I72" s="26" t="str">
        <f t="shared" ref="I72:L73" si="38">IF(D72="","",+(D72-D71))</f>
        <v/>
      </c>
      <c r="J72" s="26" t="str">
        <f t="shared" si="38"/>
        <v/>
      </c>
      <c r="K72" s="26" t="str">
        <f t="shared" si="38"/>
        <v/>
      </c>
      <c r="L72" s="27" t="str">
        <f t="shared" si="38"/>
        <v/>
      </c>
      <c r="M72" s="28" t="str">
        <f t="shared" si="34"/>
        <v/>
      </c>
      <c r="Q72" s="19">
        <f t="shared" si="35"/>
        <v>1</v>
      </c>
    </row>
    <row r="73" spans="2:17" ht="12.9" customHeight="1" x14ac:dyDescent="0.25">
      <c r="B73" s="21">
        <v>44995</v>
      </c>
      <c r="C73" s="134"/>
      <c r="D73" s="139"/>
      <c r="E73" s="140"/>
      <c r="F73" s="141"/>
      <c r="G73" s="142"/>
      <c r="H73" s="26" t="str">
        <f t="shared" ref="H73" si="39">IF(C73="","",+(C73-C72))</f>
        <v/>
      </c>
      <c r="I73" s="26" t="str">
        <f t="shared" si="38"/>
        <v/>
      </c>
      <c r="J73" s="26" t="str">
        <f t="shared" si="38"/>
        <v/>
      </c>
      <c r="K73" s="26" t="str">
        <f t="shared" si="38"/>
        <v/>
      </c>
      <c r="L73" s="27" t="str">
        <f t="shared" si="38"/>
        <v/>
      </c>
      <c r="M73" s="28" t="str">
        <f t="shared" si="34"/>
        <v/>
      </c>
      <c r="Q73" s="19">
        <f t="shared" si="35"/>
        <v>1</v>
      </c>
    </row>
    <row r="74" spans="2:17" ht="12.9" customHeight="1" x14ac:dyDescent="0.25">
      <c r="B74" s="21">
        <v>44996</v>
      </c>
      <c r="C74" s="134"/>
      <c r="D74" s="139"/>
      <c r="E74" s="140"/>
      <c r="F74" s="141"/>
      <c r="G74" s="142"/>
      <c r="H74" s="26" t="str">
        <f t="shared" ref="H74" si="40">IF(C74="","",+(C74-C73))</f>
        <v/>
      </c>
      <c r="I74" s="26" t="str">
        <f t="shared" ref="I74:L76" si="41">IF(D74="","",+(D74-D73))</f>
        <v/>
      </c>
      <c r="J74" s="26" t="str">
        <f t="shared" si="41"/>
        <v/>
      </c>
      <c r="K74" s="26" t="str">
        <f t="shared" si="41"/>
        <v/>
      </c>
      <c r="L74" s="27" t="str">
        <f t="shared" si="41"/>
        <v/>
      </c>
      <c r="M74" s="28" t="str">
        <f t="shared" si="34"/>
        <v/>
      </c>
      <c r="Q74" s="19">
        <f t="shared" si="35"/>
        <v>1</v>
      </c>
    </row>
    <row r="75" spans="2:17" ht="12.9" customHeight="1" x14ac:dyDescent="0.25">
      <c r="B75" s="21">
        <v>44997</v>
      </c>
      <c r="C75" s="134"/>
      <c r="D75" s="139"/>
      <c r="E75" s="140"/>
      <c r="F75" s="141"/>
      <c r="G75" s="142"/>
      <c r="H75" s="26" t="str">
        <f t="shared" ref="H75" si="42">IF(C75="","",+(C75-C74))</f>
        <v/>
      </c>
      <c r="I75" s="26" t="str">
        <f t="shared" si="41"/>
        <v/>
      </c>
      <c r="J75" s="26" t="str">
        <f t="shared" si="41"/>
        <v/>
      </c>
      <c r="K75" s="26" t="str">
        <f t="shared" si="41"/>
        <v/>
      </c>
      <c r="L75" s="27" t="str">
        <f t="shared" si="41"/>
        <v/>
      </c>
      <c r="M75" s="28" t="str">
        <f t="shared" si="34"/>
        <v/>
      </c>
      <c r="Q75" s="19">
        <f t="shared" si="35"/>
        <v>1</v>
      </c>
    </row>
    <row r="76" spans="2:17" ht="12.9" customHeight="1" x14ac:dyDescent="0.25">
      <c r="B76" s="21">
        <v>44998</v>
      </c>
      <c r="C76" s="134"/>
      <c r="D76" s="139"/>
      <c r="E76" s="140"/>
      <c r="F76" s="141"/>
      <c r="G76" s="142"/>
      <c r="H76" s="26" t="str">
        <f t="shared" ref="H76" si="43">IF(C76="","",+(C76-C75))</f>
        <v/>
      </c>
      <c r="I76" s="26" t="str">
        <f t="shared" si="41"/>
        <v/>
      </c>
      <c r="J76" s="26" t="str">
        <f t="shared" si="41"/>
        <v/>
      </c>
      <c r="K76" s="26" t="str">
        <f t="shared" si="41"/>
        <v/>
      </c>
      <c r="L76" s="27" t="str">
        <f t="shared" si="41"/>
        <v/>
      </c>
      <c r="M76" s="28" t="str">
        <f t="shared" si="34"/>
        <v/>
      </c>
      <c r="Q76" s="19">
        <f t="shared" si="35"/>
        <v>1</v>
      </c>
    </row>
    <row r="77" spans="2:17" ht="12.9" customHeight="1" x14ac:dyDescent="0.25">
      <c r="B77" s="21">
        <v>44999</v>
      </c>
      <c r="C77" s="134"/>
      <c r="D77" s="139"/>
      <c r="E77" s="140"/>
      <c r="F77" s="141"/>
      <c r="G77" s="142"/>
      <c r="H77" s="26" t="str">
        <f t="shared" ref="H77" si="44">IF(C77="","",+(C77-C76))</f>
        <v/>
      </c>
      <c r="I77" s="26" t="str">
        <f t="shared" ref="I77:L78" si="45">IF(D77="","",+(D77-D76))</f>
        <v/>
      </c>
      <c r="J77" s="26" t="str">
        <f t="shared" si="45"/>
        <v/>
      </c>
      <c r="K77" s="26" t="str">
        <f t="shared" si="45"/>
        <v/>
      </c>
      <c r="L77" s="27" t="str">
        <f t="shared" si="45"/>
        <v/>
      </c>
      <c r="M77" s="28" t="str">
        <f t="shared" ref="M77:M83" si="46">IF(H77="","",+(H77+I77+J77+K77))</f>
        <v/>
      </c>
      <c r="Q77" s="19">
        <f t="shared" si="35"/>
        <v>1</v>
      </c>
    </row>
    <row r="78" spans="2:17" ht="12.9" customHeight="1" x14ac:dyDescent="0.25">
      <c r="B78" s="21">
        <v>45000</v>
      </c>
      <c r="C78" s="134"/>
      <c r="D78" s="22"/>
      <c r="E78" s="23"/>
      <c r="F78" s="24"/>
      <c r="G78" s="25"/>
      <c r="H78" s="26" t="str">
        <f t="shared" ref="H78" si="47">IF(C78="","",+(C78-C77))</f>
        <v/>
      </c>
      <c r="I78" s="26" t="str">
        <f t="shared" si="45"/>
        <v/>
      </c>
      <c r="J78" s="26" t="str">
        <f t="shared" si="45"/>
        <v/>
      </c>
      <c r="K78" s="26" t="str">
        <f t="shared" si="45"/>
        <v/>
      </c>
      <c r="L78" s="27" t="str">
        <f t="shared" si="45"/>
        <v/>
      </c>
      <c r="M78" s="28" t="str">
        <f t="shared" si="46"/>
        <v/>
      </c>
      <c r="Q78" s="19">
        <f t="shared" si="35"/>
        <v>1</v>
      </c>
    </row>
    <row r="79" spans="2:17" ht="12.9" customHeight="1" x14ac:dyDescent="0.25">
      <c r="B79" s="21">
        <v>45001</v>
      </c>
      <c r="C79" s="134"/>
      <c r="D79" s="22"/>
      <c r="E79" s="23"/>
      <c r="F79" s="24"/>
      <c r="G79" s="25"/>
      <c r="H79" s="26" t="str">
        <f t="shared" ref="H79" si="48">IF(C79="","",+(C79-C78))</f>
        <v/>
      </c>
      <c r="I79" s="26" t="str">
        <f t="shared" ref="I79:L80" si="49">IF(D79="","",+(D79-D78))</f>
        <v/>
      </c>
      <c r="J79" s="26" t="str">
        <f t="shared" si="49"/>
        <v/>
      </c>
      <c r="K79" s="26" t="str">
        <f t="shared" si="49"/>
        <v/>
      </c>
      <c r="L79" s="27" t="str">
        <f t="shared" si="49"/>
        <v/>
      </c>
      <c r="M79" s="28" t="str">
        <f t="shared" si="46"/>
        <v/>
      </c>
      <c r="Q79" s="19">
        <f t="shared" si="35"/>
        <v>1</v>
      </c>
    </row>
    <row r="80" spans="2:17" ht="12.9" customHeight="1" x14ac:dyDescent="0.25">
      <c r="B80" s="21">
        <v>45002</v>
      </c>
      <c r="C80" s="134"/>
      <c r="D80" s="22"/>
      <c r="E80" s="23"/>
      <c r="F80" s="24"/>
      <c r="G80" s="25"/>
      <c r="H80" s="26" t="str">
        <f t="shared" ref="H80" si="50">IF(C80="","",+(C80-C79))</f>
        <v/>
      </c>
      <c r="I80" s="26" t="str">
        <f t="shared" si="49"/>
        <v/>
      </c>
      <c r="J80" s="26" t="str">
        <f t="shared" si="49"/>
        <v/>
      </c>
      <c r="K80" s="26" t="str">
        <f t="shared" si="49"/>
        <v/>
      </c>
      <c r="L80" s="27" t="str">
        <f t="shared" si="49"/>
        <v/>
      </c>
      <c r="M80" s="28" t="str">
        <f t="shared" si="46"/>
        <v/>
      </c>
      <c r="Q80" s="19">
        <f t="shared" si="35"/>
        <v>1</v>
      </c>
    </row>
    <row r="81" spans="2:18" ht="12.9" customHeight="1" x14ac:dyDescent="0.25">
      <c r="B81" s="21">
        <v>45003</v>
      </c>
      <c r="C81" s="134"/>
      <c r="D81" s="22"/>
      <c r="E81" s="23"/>
      <c r="F81" s="24"/>
      <c r="G81" s="25"/>
      <c r="H81" s="26" t="str">
        <f t="shared" ref="H81" si="51">IF(C81="","",+(C81-C80))</f>
        <v/>
      </c>
      <c r="I81" s="26" t="str">
        <f t="shared" ref="I81:L83" si="52">IF(D81="","",+(D81-D80))</f>
        <v/>
      </c>
      <c r="J81" s="26" t="str">
        <f t="shared" si="52"/>
        <v/>
      </c>
      <c r="K81" s="26" t="str">
        <f t="shared" si="52"/>
        <v/>
      </c>
      <c r="L81" s="27" t="str">
        <f t="shared" si="52"/>
        <v/>
      </c>
      <c r="M81" s="28" t="str">
        <f t="shared" si="46"/>
        <v/>
      </c>
      <c r="Q81" s="19">
        <f t="shared" si="35"/>
        <v>1</v>
      </c>
    </row>
    <row r="82" spans="2:18" ht="12.9" customHeight="1" x14ac:dyDescent="0.25">
      <c r="B82" s="21">
        <v>45004</v>
      </c>
      <c r="C82" s="134"/>
      <c r="D82" s="22"/>
      <c r="E82" s="23"/>
      <c r="F82" s="24"/>
      <c r="G82" s="25"/>
      <c r="H82" s="26" t="str">
        <f t="shared" ref="H82" si="53">IF(C82="","",+(C82-C81))</f>
        <v/>
      </c>
      <c r="I82" s="26" t="str">
        <f t="shared" si="52"/>
        <v/>
      </c>
      <c r="J82" s="26" t="str">
        <f t="shared" si="52"/>
        <v/>
      </c>
      <c r="K82" s="26" t="str">
        <f t="shared" si="52"/>
        <v/>
      </c>
      <c r="L82" s="27" t="str">
        <f t="shared" si="52"/>
        <v/>
      </c>
      <c r="M82" s="28" t="str">
        <f t="shared" si="46"/>
        <v/>
      </c>
      <c r="Q82" s="19">
        <f t="shared" si="35"/>
        <v>1</v>
      </c>
    </row>
    <row r="83" spans="2:18" ht="14.25" customHeight="1" thickBot="1" x14ac:dyDescent="0.3">
      <c r="B83" s="21">
        <v>45005</v>
      </c>
      <c r="C83" s="134"/>
      <c r="D83" s="22"/>
      <c r="E83" s="23"/>
      <c r="F83" s="24"/>
      <c r="G83" s="25"/>
      <c r="H83" s="26" t="str">
        <f t="shared" ref="H83" si="54">IF(C83="","",+(C83-C82))</f>
        <v/>
      </c>
      <c r="I83" s="26" t="str">
        <f t="shared" si="52"/>
        <v/>
      </c>
      <c r="J83" s="26" t="str">
        <f t="shared" si="52"/>
        <v/>
      </c>
      <c r="K83" s="26" t="str">
        <f t="shared" si="52"/>
        <v/>
      </c>
      <c r="L83" s="27" t="str">
        <f t="shared" si="52"/>
        <v/>
      </c>
      <c r="M83" s="28" t="str">
        <f t="shared" si="46"/>
        <v/>
      </c>
      <c r="Q83" s="19">
        <f t="shared" si="35"/>
        <v>1</v>
      </c>
    </row>
    <row r="84" spans="2:18" ht="12.9" customHeight="1" x14ac:dyDescent="0.25">
      <c r="B84" s="21">
        <v>45006</v>
      </c>
      <c r="C84" s="134"/>
      <c r="D84" s="22"/>
      <c r="E84" s="23"/>
      <c r="F84" s="24"/>
      <c r="G84" s="25"/>
      <c r="H84" s="26" t="str">
        <f t="shared" ref="H84" si="55">IF(C84="","",+(C84-C83))</f>
        <v/>
      </c>
      <c r="I84" s="26" t="str">
        <f t="shared" ref="I84:L85" si="56">IF(D84="","",+(D84-D83))</f>
        <v/>
      </c>
      <c r="J84" s="26" t="str">
        <f t="shared" si="56"/>
        <v/>
      </c>
      <c r="K84" s="26" t="str">
        <f t="shared" si="56"/>
        <v/>
      </c>
      <c r="L84" s="27" t="str">
        <f t="shared" si="56"/>
        <v/>
      </c>
      <c r="M84" s="28" t="str">
        <f t="shared" ref="M84:M90" si="57">IF(H84="","",+(H84+I84+J84+K84))</f>
        <v/>
      </c>
      <c r="N84" s="186" t="s">
        <v>66</v>
      </c>
      <c r="O84" s="186" t="s">
        <v>67</v>
      </c>
      <c r="Q84" s="19">
        <f t="shared" si="35"/>
        <v>1</v>
      </c>
    </row>
    <row r="85" spans="2:18" ht="12.9" customHeight="1" x14ac:dyDescent="0.25">
      <c r="B85" s="21">
        <v>45007</v>
      </c>
      <c r="C85" s="134"/>
      <c r="D85" s="22"/>
      <c r="E85" s="23"/>
      <c r="F85" s="24"/>
      <c r="G85" s="25"/>
      <c r="H85" s="26" t="str">
        <f t="shared" ref="H85" si="58">IF(C85="","",+(C85-C84))</f>
        <v/>
      </c>
      <c r="I85" s="26" t="str">
        <f t="shared" si="56"/>
        <v/>
      </c>
      <c r="J85" s="26" t="str">
        <f t="shared" si="56"/>
        <v/>
      </c>
      <c r="K85" s="26" t="str">
        <f t="shared" si="56"/>
        <v/>
      </c>
      <c r="L85" s="27" t="str">
        <f t="shared" si="56"/>
        <v/>
      </c>
      <c r="M85" s="28" t="str">
        <f t="shared" si="57"/>
        <v/>
      </c>
      <c r="N85" s="187"/>
      <c r="O85" s="187"/>
      <c r="Q85" s="19">
        <f t="shared" si="35"/>
        <v>1</v>
      </c>
    </row>
    <row r="86" spans="2:18" ht="12.9" customHeight="1" thickBot="1" x14ac:dyDescent="0.3">
      <c r="B86" s="21">
        <v>45008</v>
      </c>
      <c r="C86" s="134"/>
      <c r="D86" s="22"/>
      <c r="E86" s="23"/>
      <c r="F86" s="24"/>
      <c r="G86" s="25"/>
      <c r="H86" s="26" t="str">
        <f t="shared" ref="H86" si="59">IF(C86="","",+(C86-C85))</f>
        <v/>
      </c>
      <c r="I86" s="26" t="str">
        <f t="shared" ref="I86:L87" si="60">IF(D86="","",+(D86-D85))</f>
        <v/>
      </c>
      <c r="J86" s="26" t="str">
        <f t="shared" si="60"/>
        <v/>
      </c>
      <c r="K86" s="26" t="str">
        <f t="shared" si="60"/>
        <v/>
      </c>
      <c r="L86" s="27" t="str">
        <f t="shared" si="60"/>
        <v/>
      </c>
      <c r="M86" s="28" t="str">
        <f t="shared" si="57"/>
        <v/>
      </c>
      <c r="N86" s="188"/>
      <c r="O86" s="188"/>
      <c r="Q86" s="19">
        <f t="shared" si="35"/>
        <v>1</v>
      </c>
    </row>
    <row r="87" spans="2:18" ht="12.9" customHeight="1" thickBot="1" x14ac:dyDescent="0.3">
      <c r="B87" s="21">
        <v>45009</v>
      </c>
      <c r="C87" s="134"/>
      <c r="D87" s="22"/>
      <c r="E87" s="23"/>
      <c r="F87" s="24"/>
      <c r="G87" s="25"/>
      <c r="H87" s="26" t="str">
        <f t="shared" ref="H87" si="61">IF(C87="","",+(C87-C86))</f>
        <v/>
      </c>
      <c r="I87" s="26" t="str">
        <f t="shared" si="60"/>
        <v/>
      </c>
      <c r="J87" s="26" t="str">
        <f t="shared" si="60"/>
        <v/>
      </c>
      <c r="K87" s="26" t="str">
        <f t="shared" si="60"/>
        <v/>
      </c>
      <c r="L87" s="27" t="str">
        <f t="shared" si="60"/>
        <v/>
      </c>
      <c r="M87" s="28" t="str">
        <f t="shared" si="57"/>
        <v/>
      </c>
      <c r="N87" s="30">
        <f>SUM(L64:L94)</f>
        <v>0</v>
      </c>
      <c r="O87" s="30">
        <f>SUM(M64:M94)</f>
        <v>0</v>
      </c>
      <c r="Q87" s="19">
        <f t="shared" si="35"/>
        <v>1</v>
      </c>
    </row>
    <row r="88" spans="2:18" ht="12.9" customHeight="1" x14ac:dyDescent="0.25">
      <c r="B88" s="21">
        <v>45010</v>
      </c>
      <c r="C88" s="134"/>
      <c r="D88" s="22"/>
      <c r="E88" s="23"/>
      <c r="F88" s="24"/>
      <c r="G88" s="25"/>
      <c r="H88" s="26" t="str">
        <f t="shared" ref="H88" si="62">IF(C88="","",+(C88-C87))</f>
        <v/>
      </c>
      <c r="I88" s="26" t="str">
        <f t="shared" ref="I88:L90" si="63">IF(D88="","",+(D88-D87))</f>
        <v/>
      </c>
      <c r="J88" s="26" t="str">
        <f t="shared" si="63"/>
        <v/>
      </c>
      <c r="K88" s="26" t="str">
        <f t="shared" si="63"/>
        <v/>
      </c>
      <c r="L88" s="27" t="str">
        <f t="shared" si="63"/>
        <v/>
      </c>
      <c r="M88" s="28" t="str">
        <f t="shared" si="57"/>
        <v/>
      </c>
      <c r="N88" s="186" t="s">
        <v>68</v>
      </c>
      <c r="O88" s="186" t="s">
        <v>69</v>
      </c>
      <c r="Q88" s="19">
        <f t="shared" si="35"/>
        <v>1</v>
      </c>
    </row>
    <row r="89" spans="2:18" ht="12.9" customHeight="1" thickBot="1" x14ac:dyDescent="0.3">
      <c r="B89" s="21">
        <v>45011</v>
      </c>
      <c r="C89" s="134"/>
      <c r="D89" s="22"/>
      <c r="E89" s="23"/>
      <c r="F89" s="24"/>
      <c r="G89" s="25"/>
      <c r="H89" s="26" t="str">
        <f t="shared" ref="H89" si="64">IF(C89="","",+(C89-C88))</f>
        <v/>
      </c>
      <c r="I89" s="26" t="str">
        <f t="shared" si="63"/>
        <v/>
      </c>
      <c r="J89" s="26" t="str">
        <f t="shared" si="63"/>
        <v/>
      </c>
      <c r="K89" s="26" t="str">
        <f t="shared" si="63"/>
        <v/>
      </c>
      <c r="L89" s="27" t="str">
        <f t="shared" si="63"/>
        <v/>
      </c>
      <c r="M89" s="28" t="str">
        <f t="shared" si="57"/>
        <v/>
      </c>
      <c r="N89" s="188"/>
      <c r="O89" s="188"/>
      <c r="Q89" s="19">
        <f t="shared" si="35"/>
        <v>1</v>
      </c>
    </row>
    <row r="90" spans="2:18" ht="12.9" customHeight="1" thickBot="1" x14ac:dyDescent="0.3">
      <c r="B90" s="21">
        <v>45012</v>
      </c>
      <c r="C90" s="134"/>
      <c r="D90" s="22"/>
      <c r="E90" s="23"/>
      <c r="F90" s="24"/>
      <c r="G90" s="25"/>
      <c r="H90" s="26" t="str">
        <f t="shared" ref="H90" si="65">IF(C90="","",+(C90-C89))</f>
        <v/>
      </c>
      <c r="I90" s="26" t="str">
        <f t="shared" si="63"/>
        <v/>
      </c>
      <c r="J90" s="26" t="str">
        <f t="shared" si="63"/>
        <v/>
      </c>
      <c r="K90" s="26" t="str">
        <f t="shared" si="63"/>
        <v/>
      </c>
      <c r="L90" s="27" t="str">
        <f t="shared" si="63"/>
        <v/>
      </c>
      <c r="M90" s="28" t="str">
        <f t="shared" si="57"/>
        <v/>
      </c>
      <c r="N90" s="30" t="e">
        <f>AVERAGE(L64:L94)</f>
        <v>#DIV/0!</v>
      </c>
      <c r="O90" s="30" t="e">
        <f>AVERAGE(M64:M94)</f>
        <v>#DIV/0!</v>
      </c>
      <c r="Q90" s="19">
        <f t="shared" si="35"/>
        <v>1</v>
      </c>
    </row>
    <row r="91" spans="2:18" ht="12.9" customHeight="1" x14ac:dyDescent="0.25">
      <c r="B91" s="21">
        <v>45013</v>
      </c>
      <c r="C91" s="134"/>
      <c r="D91" s="22"/>
      <c r="E91" s="23"/>
      <c r="F91" s="24"/>
      <c r="G91" s="25"/>
      <c r="H91" s="26" t="str">
        <f t="shared" ref="H91" si="66">IF(C91="","",+(C91-C90))</f>
        <v/>
      </c>
      <c r="I91" s="26" t="str">
        <f t="shared" ref="I91:L92" si="67">IF(D91="","",+(D91-D90))</f>
        <v/>
      </c>
      <c r="J91" s="26" t="str">
        <f t="shared" si="67"/>
        <v/>
      </c>
      <c r="K91" s="26" t="str">
        <f t="shared" si="67"/>
        <v/>
      </c>
      <c r="L91" s="27" t="str">
        <f t="shared" si="67"/>
        <v/>
      </c>
      <c r="M91" s="28" t="str">
        <f t="shared" ref="M91:M97" si="68">IF(H91="","",+(H91+I91+J91+K91))</f>
        <v/>
      </c>
      <c r="N91" s="186" t="s">
        <v>70</v>
      </c>
      <c r="O91" s="186" t="s">
        <v>71</v>
      </c>
      <c r="Q91" s="19">
        <f t="shared" si="35"/>
        <v>1</v>
      </c>
    </row>
    <row r="92" spans="2:18" ht="12.9" customHeight="1" thickBot="1" x14ac:dyDescent="0.3">
      <c r="B92" s="21">
        <v>45014</v>
      </c>
      <c r="C92" s="134"/>
      <c r="D92" s="22"/>
      <c r="E92" s="23"/>
      <c r="F92" s="24"/>
      <c r="G92" s="25"/>
      <c r="H92" s="26" t="str">
        <f t="shared" ref="H92" si="69">IF(C92="","",+(C92-C91))</f>
        <v/>
      </c>
      <c r="I92" s="26" t="str">
        <f t="shared" si="67"/>
        <v/>
      </c>
      <c r="J92" s="26" t="str">
        <f t="shared" si="67"/>
        <v/>
      </c>
      <c r="K92" s="26" t="str">
        <f t="shared" si="67"/>
        <v/>
      </c>
      <c r="L92" s="27" t="str">
        <f t="shared" si="67"/>
        <v/>
      </c>
      <c r="M92" s="28" t="str">
        <f t="shared" si="68"/>
        <v/>
      </c>
      <c r="N92" s="188"/>
      <c r="O92" s="188"/>
      <c r="Q92" s="19">
        <f t="shared" si="35"/>
        <v>1</v>
      </c>
    </row>
    <row r="93" spans="2:18" ht="12.9" customHeight="1" thickBot="1" x14ac:dyDescent="0.3">
      <c r="B93" s="21">
        <v>45015</v>
      </c>
      <c r="C93" s="134"/>
      <c r="D93" s="22"/>
      <c r="E93" s="23"/>
      <c r="F93" s="24"/>
      <c r="G93" s="25"/>
      <c r="H93" s="26" t="str">
        <f t="shared" ref="H93" si="70">IF(C93="","",+(C93-C92))</f>
        <v/>
      </c>
      <c r="I93" s="26" t="str">
        <f t="shared" ref="I93:L94" si="71">IF(D93="","",+(D93-D92))</f>
        <v/>
      </c>
      <c r="J93" s="26" t="str">
        <f t="shared" si="71"/>
        <v/>
      </c>
      <c r="K93" s="26" t="str">
        <f t="shared" si="71"/>
        <v/>
      </c>
      <c r="L93" s="27" t="str">
        <f t="shared" si="71"/>
        <v/>
      </c>
      <c r="M93" s="28" t="str">
        <f t="shared" si="68"/>
        <v/>
      </c>
      <c r="N93" s="30" t="e">
        <f>N87+(N90*SUM(Q64:Q94))</f>
        <v>#DIV/0!</v>
      </c>
      <c r="O93" s="30" t="e">
        <f>O87+(O90*SUM(Q64:Q94))</f>
        <v>#DIV/0!</v>
      </c>
      <c r="Q93" s="19">
        <f t="shared" si="35"/>
        <v>1</v>
      </c>
      <c r="R93" s="38"/>
    </row>
    <row r="94" spans="2:18" ht="12.9" customHeight="1" x14ac:dyDescent="0.25">
      <c r="B94" s="21">
        <v>45016</v>
      </c>
      <c r="C94" s="169"/>
      <c r="D94" s="174"/>
      <c r="E94" s="174"/>
      <c r="F94" s="174"/>
      <c r="G94" s="174"/>
      <c r="H94" s="170" t="str">
        <f t="shared" ref="H94" si="72">IF(C94="","",+(C94-C93))</f>
        <v/>
      </c>
      <c r="I94" s="170" t="str">
        <f t="shared" si="71"/>
        <v/>
      </c>
      <c r="J94" s="170" t="str">
        <f t="shared" si="71"/>
        <v/>
      </c>
      <c r="K94" s="170" t="str">
        <f t="shared" si="71"/>
        <v/>
      </c>
      <c r="L94" s="171" t="str">
        <f t="shared" si="71"/>
        <v/>
      </c>
      <c r="M94" s="172" t="str">
        <f t="shared" si="68"/>
        <v/>
      </c>
      <c r="Q94" s="19">
        <f t="shared" si="35"/>
        <v>1</v>
      </c>
    </row>
    <row r="95" spans="2:18" ht="12.9" customHeight="1" x14ac:dyDescent="0.25">
      <c r="B95" s="21">
        <v>45017</v>
      </c>
      <c r="C95" s="134"/>
      <c r="D95" s="22"/>
      <c r="E95" s="23"/>
      <c r="F95" s="24"/>
      <c r="G95" s="25"/>
      <c r="H95" s="26" t="str">
        <f t="shared" ref="H95" si="73">IF(C95="","",+(C95-C94))</f>
        <v/>
      </c>
      <c r="I95" s="26" t="str">
        <f t="shared" ref="I95:L97" si="74">IF(D95="","",+(D95-D94))</f>
        <v/>
      </c>
      <c r="J95" s="26" t="str">
        <f t="shared" si="74"/>
        <v/>
      </c>
      <c r="K95" s="26" t="str">
        <f t="shared" si="74"/>
        <v/>
      </c>
      <c r="L95" s="27" t="str">
        <f t="shared" si="74"/>
        <v/>
      </c>
      <c r="M95" s="28" t="str">
        <f t="shared" si="68"/>
        <v/>
      </c>
      <c r="Q95" s="19">
        <f t="shared" si="35"/>
        <v>1</v>
      </c>
    </row>
    <row r="96" spans="2:18" ht="12.9" customHeight="1" x14ac:dyDescent="0.25">
      <c r="B96" s="21">
        <v>45018</v>
      </c>
      <c r="C96" s="134"/>
      <c r="D96" s="22"/>
      <c r="E96" s="23"/>
      <c r="F96" s="24"/>
      <c r="G96" s="25"/>
      <c r="H96" s="26" t="str">
        <f t="shared" ref="H96" si="75">IF(C96="","",+(C96-C95))</f>
        <v/>
      </c>
      <c r="I96" s="26" t="str">
        <f t="shared" si="74"/>
        <v/>
      </c>
      <c r="J96" s="26" t="str">
        <f t="shared" si="74"/>
        <v/>
      </c>
      <c r="K96" s="26" t="str">
        <f t="shared" si="74"/>
        <v/>
      </c>
      <c r="L96" s="27" t="str">
        <f t="shared" si="74"/>
        <v/>
      </c>
      <c r="M96" s="28" t="str">
        <f t="shared" si="68"/>
        <v/>
      </c>
      <c r="Q96" s="19">
        <f t="shared" si="35"/>
        <v>1</v>
      </c>
    </row>
    <row r="97" spans="2:17" ht="12.9" customHeight="1" x14ac:dyDescent="0.25">
      <c r="B97" s="21">
        <v>45019</v>
      </c>
      <c r="C97" s="134"/>
      <c r="D97" s="22"/>
      <c r="E97" s="23"/>
      <c r="F97" s="24"/>
      <c r="G97" s="25"/>
      <c r="H97" s="26" t="str">
        <f t="shared" ref="H97" si="76">IF(C97="","",+(C97-C96))</f>
        <v/>
      </c>
      <c r="I97" s="26" t="str">
        <f t="shared" si="74"/>
        <v/>
      </c>
      <c r="J97" s="26" t="str">
        <f t="shared" si="74"/>
        <v/>
      </c>
      <c r="K97" s="26" t="str">
        <f t="shared" si="74"/>
        <v/>
      </c>
      <c r="L97" s="27" t="str">
        <f t="shared" si="74"/>
        <v/>
      </c>
      <c r="M97" s="28" t="str">
        <f t="shared" si="68"/>
        <v/>
      </c>
      <c r="Q97" s="19">
        <f t="shared" si="35"/>
        <v>1</v>
      </c>
    </row>
    <row r="98" spans="2:17" ht="12.9" customHeight="1" x14ac:dyDescent="0.25">
      <c r="B98" s="21">
        <v>45020</v>
      </c>
      <c r="C98" s="134"/>
      <c r="D98" s="22"/>
      <c r="E98" s="23"/>
      <c r="F98" s="24"/>
      <c r="G98" s="25"/>
      <c r="H98" s="26" t="str">
        <f t="shared" ref="H98" si="77">IF(C98="","",+(C98-C97))</f>
        <v/>
      </c>
      <c r="I98" s="26" t="str">
        <f t="shared" ref="I98:L100" si="78">IF(D98="","",+(D98-D97))</f>
        <v/>
      </c>
      <c r="J98" s="26" t="str">
        <f t="shared" si="78"/>
        <v/>
      </c>
      <c r="K98" s="26" t="str">
        <f t="shared" si="78"/>
        <v/>
      </c>
      <c r="L98" s="27" t="str">
        <f t="shared" si="78"/>
        <v/>
      </c>
      <c r="M98" s="28" t="str">
        <f t="shared" ref="M98:M104" si="79">IF(H98="","",+(H98+I98+J98+K98))</f>
        <v/>
      </c>
      <c r="Q98" s="19">
        <f t="shared" si="35"/>
        <v>1</v>
      </c>
    </row>
    <row r="99" spans="2:17" ht="12.9" customHeight="1" x14ac:dyDescent="0.25">
      <c r="B99" s="21">
        <v>45021</v>
      </c>
      <c r="C99" s="134"/>
      <c r="D99" s="22"/>
      <c r="E99" s="23"/>
      <c r="F99" s="24"/>
      <c r="G99" s="25"/>
      <c r="H99" s="26" t="str">
        <f t="shared" ref="H99" si="80">IF(C99="","",+(C99-C98))</f>
        <v/>
      </c>
      <c r="I99" s="26" t="str">
        <f t="shared" si="78"/>
        <v/>
      </c>
      <c r="J99" s="26" t="str">
        <f t="shared" si="78"/>
        <v/>
      </c>
      <c r="K99" s="26" t="str">
        <f t="shared" si="78"/>
        <v/>
      </c>
      <c r="L99" s="27" t="str">
        <f t="shared" si="78"/>
        <v/>
      </c>
      <c r="M99" s="28" t="str">
        <f t="shared" si="79"/>
        <v/>
      </c>
      <c r="Q99" s="19">
        <f t="shared" si="35"/>
        <v>1</v>
      </c>
    </row>
    <row r="100" spans="2:17" ht="12.9" customHeight="1" x14ac:dyDescent="0.25">
      <c r="B100" s="21">
        <v>45022</v>
      </c>
      <c r="C100" s="134"/>
      <c r="D100" s="22"/>
      <c r="E100" s="23"/>
      <c r="F100" s="24"/>
      <c r="G100" s="25"/>
      <c r="H100" s="26" t="str">
        <f t="shared" ref="H100:H102" si="81">IF(C100="","",+(C100-C99))</f>
        <v/>
      </c>
      <c r="I100" s="26" t="str">
        <f t="shared" si="78"/>
        <v/>
      </c>
      <c r="J100" s="26" t="str">
        <f t="shared" si="78"/>
        <v/>
      </c>
      <c r="K100" s="26" t="str">
        <f t="shared" si="78"/>
        <v/>
      </c>
      <c r="L100" s="27" t="str">
        <f t="shared" si="78"/>
        <v/>
      </c>
      <c r="M100" s="28" t="str">
        <f t="shared" si="79"/>
        <v/>
      </c>
      <c r="Q100" s="19">
        <f t="shared" si="35"/>
        <v>1</v>
      </c>
    </row>
    <row r="101" spans="2:17" ht="12.9" customHeight="1" x14ac:dyDescent="0.25">
      <c r="B101" s="21">
        <v>45023</v>
      </c>
      <c r="C101" s="134"/>
      <c r="D101" s="22"/>
      <c r="E101" s="23"/>
      <c r="F101" s="24"/>
      <c r="G101" s="25"/>
      <c r="H101" s="26" t="str">
        <f t="shared" si="81"/>
        <v/>
      </c>
      <c r="I101" s="26" t="str">
        <f t="shared" ref="I101:L102" si="82">IF(D101="","",+(D101-D100))</f>
        <v/>
      </c>
      <c r="J101" s="26" t="str">
        <f t="shared" si="82"/>
        <v/>
      </c>
      <c r="K101" s="26" t="str">
        <f t="shared" si="82"/>
        <v/>
      </c>
      <c r="L101" s="27" t="str">
        <f t="shared" si="82"/>
        <v/>
      </c>
      <c r="M101" s="28" t="str">
        <f t="shared" si="79"/>
        <v/>
      </c>
      <c r="Q101" s="19">
        <f t="shared" si="35"/>
        <v>1</v>
      </c>
    </row>
    <row r="102" spans="2:17" ht="12.9" customHeight="1" x14ac:dyDescent="0.25">
      <c r="B102" s="21">
        <v>45024</v>
      </c>
      <c r="C102" s="134"/>
      <c r="D102" s="22"/>
      <c r="E102" s="23"/>
      <c r="F102" s="24"/>
      <c r="G102" s="25"/>
      <c r="H102" s="26" t="str">
        <f t="shared" si="81"/>
        <v/>
      </c>
      <c r="I102" s="26" t="str">
        <f t="shared" si="82"/>
        <v/>
      </c>
      <c r="J102" s="26" t="str">
        <f t="shared" si="82"/>
        <v/>
      </c>
      <c r="K102" s="26" t="str">
        <f t="shared" si="82"/>
        <v/>
      </c>
      <c r="L102" s="27" t="str">
        <f t="shared" si="82"/>
        <v/>
      </c>
      <c r="M102" s="28" t="str">
        <f t="shared" si="79"/>
        <v/>
      </c>
      <c r="Q102" s="19">
        <f t="shared" si="35"/>
        <v>1</v>
      </c>
    </row>
    <row r="103" spans="2:17" ht="12.9" customHeight="1" x14ac:dyDescent="0.25">
      <c r="B103" s="21">
        <v>45025</v>
      </c>
      <c r="C103" s="134"/>
      <c r="D103" s="22"/>
      <c r="E103" s="23"/>
      <c r="F103" s="24"/>
      <c r="G103" s="25"/>
      <c r="H103" s="26" t="str">
        <f t="shared" ref="H103:L104" si="83">IF(C103="","",+(C103-C102))</f>
        <v/>
      </c>
      <c r="I103" s="26" t="str">
        <f t="shared" si="83"/>
        <v/>
      </c>
      <c r="J103" s="26" t="str">
        <f t="shared" si="83"/>
        <v/>
      </c>
      <c r="K103" s="26" t="str">
        <f t="shared" si="83"/>
        <v/>
      </c>
      <c r="L103" s="27" t="str">
        <f t="shared" si="83"/>
        <v/>
      </c>
      <c r="M103" s="28" t="str">
        <f t="shared" si="79"/>
        <v/>
      </c>
      <c r="Q103" s="19">
        <f t="shared" si="35"/>
        <v>1</v>
      </c>
    </row>
    <row r="104" spans="2:17" ht="12.9" customHeight="1" x14ac:dyDescent="0.25">
      <c r="B104" s="21">
        <v>45026</v>
      </c>
      <c r="C104" s="134"/>
      <c r="D104" s="22"/>
      <c r="E104" s="23"/>
      <c r="F104" s="24"/>
      <c r="G104" s="25"/>
      <c r="H104" s="26" t="str">
        <f t="shared" si="83"/>
        <v/>
      </c>
      <c r="I104" s="26" t="str">
        <f t="shared" si="83"/>
        <v/>
      </c>
      <c r="J104" s="26" t="str">
        <f t="shared" si="83"/>
        <v/>
      </c>
      <c r="K104" s="26" t="str">
        <f t="shared" si="83"/>
        <v/>
      </c>
      <c r="L104" s="27" t="str">
        <f t="shared" si="83"/>
        <v/>
      </c>
      <c r="M104" s="28" t="str">
        <f t="shared" si="79"/>
        <v/>
      </c>
      <c r="Q104" s="19">
        <f t="shared" si="35"/>
        <v>1</v>
      </c>
    </row>
    <row r="105" spans="2:17" ht="12.9" customHeight="1" x14ac:dyDescent="0.25">
      <c r="B105" s="21">
        <v>45027</v>
      </c>
      <c r="C105" s="134"/>
      <c r="D105" s="22"/>
      <c r="E105" s="23"/>
      <c r="F105" s="24"/>
      <c r="G105" s="25"/>
      <c r="H105" s="26" t="str">
        <f t="shared" ref="H105:L106" si="84">IF(C105="","",+(C105-C104))</f>
        <v/>
      </c>
      <c r="I105" s="26" t="str">
        <f t="shared" si="84"/>
        <v/>
      </c>
      <c r="J105" s="26" t="str">
        <f t="shared" si="84"/>
        <v/>
      </c>
      <c r="K105" s="26" t="str">
        <f t="shared" si="84"/>
        <v/>
      </c>
      <c r="L105" s="27" t="str">
        <f t="shared" si="84"/>
        <v/>
      </c>
      <c r="M105" s="28" t="str">
        <f>IF(H105="","",+(H105+I105+J105+K105))</f>
        <v/>
      </c>
      <c r="Q105" s="19">
        <f t="shared" si="35"/>
        <v>1</v>
      </c>
    </row>
    <row r="106" spans="2:17" ht="12.9" customHeight="1" x14ac:dyDescent="0.25">
      <c r="B106" s="21">
        <v>45028</v>
      </c>
      <c r="C106" s="134"/>
      <c r="D106" s="22"/>
      <c r="E106" s="23"/>
      <c r="F106" s="24"/>
      <c r="G106" s="25"/>
      <c r="H106" s="26" t="str">
        <f t="shared" si="84"/>
        <v/>
      </c>
      <c r="I106" s="26" t="str">
        <f t="shared" si="84"/>
        <v/>
      </c>
      <c r="J106" s="26" t="str">
        <f t="shared" si="84"/>
        <v/>
      </c>
      <c r="K106" s="26" t="str">
        <f t="shared" si="84"/>
        <v/>
      </c>
      <c r="L106" s="27" t="str">
        <f t="shared" si="84"/>
        <v/>
      </c>
      <c r="M106" s="28" t="str">
        <f>IF(H106="","",+(H106+I106+J106+K106))</f>
        <v/>
      </c>
      <c r="Q106" s="19">
        <f t="shared" si="35"/>
        <v>1</v>
      </c>
    </row>
    <row r="107" spans="2:17" ht="12.9" customHeight="1" x14ac:dyDescent="0.25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35"/>
        <v>1</v>
      </c>
    </row>
    <row r="108" spans="2:17" ht="12.9" customHeight="1" x14ac:dyDescent="0.25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85">IF(D108="","",+(D108-D107))</f>
        <v/>
      </c>
      <c r="J108" s="26" t="str">
        <f t="shared" si="85"/>
        <v/>
      </c>
      <c r="K108" s="26" t="str">
        <f t="shared" si="85"/>
        <v/>
      </c>
      <c r="L108" s="27" t="str">
        <f t="shared" ref="L108:L144" si="86">IF(G108="","",+(G108-G107))</f>
        <v/>
      </c>
      <c r="M108" s="28" t="str">
        <f t="shared" ref="M108:M133" si="87">IF(H108="","",+(H108+I108+J108+K108))</f>
        <v/>
      </c>
      <c r="Q108" s="19">
        <f t="shared" si="35"/>
        <v>1</v>
      </c>
    </row>
    <row r="109" spans="2:17" ht="12.9" customHeight="1" x14ac:dyDescent="0.25">
      <c r="B109" s="21">
        <v>45031</v>
      </c>
      <c r="C109" s="134"/>
      <c r="D109" s="22"/>
      <c r="E109" s="23"/>
      <c r="F109" s="24"/>
      <c r="G109" s="25"/>
      <c r="H109" s="26" t="str">
        <f t="shared" si="85"/>
        <v/>
      </c>
      <c r="I109" s="26" t="str">
        <f t="shared" si="85"/>
        <v/>
      </c>
      <c r="J109" s="26" t="str">
        <f t="shared" si="85"/>
        <v/>
      </c>
      <c r="K109" s="26" t="str">
        <f t="shared" si="85"/>
        <v/>
      </c>
      <c r="L109" s="27" t="str">
        <f t="shared" si="86"/>
        <v/>
      </c>
      <c r="M109" s="28" t="str">
        <f t="shared" si="87"/>
        <v/>
      </c>
      <c r="Q109" s="19">
        <f t="shared" si="35"/>
        <v>1</v>
      </c>
    </row>
    <row r="110" spans="2:17" ht="12.9" customHeight="1" x14ac:dyDescent="0.25">
      <c r="B110" s="21">
        <v>45032</v>
      </c>
      <c r="C110" s="134"/>
      <c r="D110" s="22"/>
      <c r="E110" s="23"/>
      <c r="F110" s="24"/>
      <c r="G110" s="25"/>
      <c r="H110" s="26" t="str">
        <f t="shared" si="85"/>
        <v/>
      </c>
      <c r="I110" s="26" t="str">
        <f t="shared" si="85"/>
        <v/>
      </c>
      <c r="J110" s="26" t="str">
        <f t="shared" si="85"/>
        <v/>
      </c>
      <c r="K110" s="26" t="str">
        <f t="shared" si="85"/>
        <v/>
      </c>
      <c r="L110" s="27" t="str">
        <f t="shared" si="86"/>
        <v/>
      </c>
      <c r="M110" s="28" t="str">
        <f t="shared" si="87"/>
        <v/>
      </c>
      <c r="Q110" s="19">
        <f t="shared" si="35"/>
        <v>1</v>
      </c>
    </row>
    <row r="111" spans="2:17" ht="12.9" customHeight="1" x14ac:dyDescent="0.25">
      <c r="B111" s="21">
        <v>45033</v>
      </c>
      <c r="C111" s="134"/>
      <c r="D111" s="22"/>
      <c r="E111" s="23"/>
      <c r="F111" s="24"/>
      <c r="G111" s="25"/>
      <c r="H111" s="26" t="str">
        <f t="shared" si="85"/>
        <v/>
      </c>
      <c r="I111" s="26" t="str">
        <f t="shared" si="85"/>
        <v/>
      </c>
      <c r="J111" s="26" t="str">
        <f t="shared" si="85"/>
        <v/>
      </c>
      <c r="K111" s="26" t="str">
        <f t="shared" si="85"/>
        <v/>
      </c>
      <c r="L111" s="27" t="str">
        <f t="shared" si="86"/>
        <v/>
      </c>
      <c r="M111" s="28" t="str">
        <f t="shared" si="87"/>
        <v/>
      </c>
      <c r="Q111" s="19">
        <f t="shared" si="35"/>
        <v>1</v>
      </c>
    </row>
    <row r="112" spans="2:17" ht="12.9" customHeight="1" x14ac:dyDescent="0.25">
      <c r="B112" s="21">
        <v>45034</v>
      </c>
      <c r="C112" s="134"/>
      <c r="D112" s="22"/>
      <c r="E112" s="23"/>
      <c r="F112" s="24"/>
      <c r="G112" s="25"/>
      <c r="H112" s="26" t="str">
        <f t="shared" si="85"/>
        <v/>
      </c>
      <c r="I112" s="26" t="str">
        <f t="shared" si="85"/>
        <v/>
      </c>
      <c r="J112" s="26" t="str">
        <f t="shared" si="85"/>
        <v/>
      </c>
      <c r="K112" s="26" t="str">
        <f t="shared" si="85"/>
        <v/>
      </c>
      <c r="L112" s="27" t="str">
        <f t="shared" si="86"/>
        <v/>
      </c>
      <c r="M112" s="28" t="str">
        <f t="shared" si="87"/>
        <v/>
      </c>
      <c r="Q112" s="19">
        <f t="shared" si="35"/>
        <v>1</v>
      </c>
    </row>
    <row r="113" spans="2:17" ht="12.9" customHeight="1" thickBot="1" x14ac:dyDescent="0.3">
      <c r="B113" s="21">
        <v>45035</v>
      </c>
      <c r="C113" s="134"/>
      <c r="D113" s="22"/>
      <c r="E113" s="23"/>
      <c r="F113" s="24"/>
      <c r="G113" s="25"/>
      <c r="H113" s="26" t="str">
        <f t="shared" si="85"/>
        <v/>
      </c>
      <c r="I113" s="26" t="str">
        <f t="shared" si="85"/>
        <v/>
      </c>
      <c r="J113" s="26" t="str">
        <f t="shared" si="85"/>
        <v/>
      </c>
      <c r="K113" s="26" t="str">
        <f t="shared" si="85"/>
        <v/>
      </c>
      <c r="L113" s="27" t="str">
        <f t="shared" si="86"/>
        <v/>
      </c>
      <c r="M113" s="28" t="str">
        <f t="shared" si="87"/>
        <v/>
      </c>
      <c r="Q113" s="19">
        <f t="shared" si="35"/>
        <v>1</v>
      </c>
    </row>
    <row r="114" spans="2:17" ht="12.9" customHeight="1" x14ac:dyDescent="0.25">
      <c r="B114" s="21">
        <v>45036</v>
      </c>
      <c r="C114" s="134"/>
      <c r="D114" s="22"/>
      <c r="E114" s="23"/>
      <c r="F114" s="24"/>
      <c r="G114" s="25"/>
      <c r="H114" s="26" t="str">
        <f t="shared" si="85"/>
        <v/>
      </c>
      <c r="I114" s="26" t="str">
        <f t="shared" si="85"/>
        <v/>
      </c>
      <c r="J114" s="26" t="str">
        <f t="shared" si="85"/>
        <v/>
      </c>
      <c r="K114" s="26" t="str">
        <f t="shared" si="85"/>
        <v/>
      </c>
      <c r="L114" s="27" t="str">
        <f t="shared" si="86"/>
        <v/>
      </c>
      <c r="M114" s="28" t="str">
        <f t="shared" si="87"/>
        <v/>
      </c>
      <c r="N114" s="186" t="s">
        <v>66</v>
      </c>
      <c r="O114" s="186" t="s">
        <v>67</v>
      </c>
      <c r="Q114" s="19">
        <f t="shared" si="35"/>
        <v>1</v>
      </c>
    </row>
    <row r="115" spans="2:17" ht="13.8" x14ac:dyDescent="0.25">
      <c r="B115" s="21">
        <v>45037</v>
      </c>
      <c r="C115" s="134"/>
      <c r="D115" s="22"/>
      <c r="E115" s="23"/>
      <c r="F115" s="24"/>
      <c r="G115" s="25"/>
      <c r="H115" s="26" t="str">
        <f t="shared" si="85"/>
        <v/>
      </c>
      <c r="I115" s="26" t="str">
        <f t="shared" si="85"/>
        <v/>
      </c>
      <c r="J115" s="26" t="str">
        <f t="shared" si="85"/>
        <v/>
      </c>
      <c r="K115" s="26" t="str">
        <f t="shared" si="85"/>
        <v/>
      </c>
      <c r="L115" s="27" t="str">
        <f t="shared" si="86"/>
        <v/>
      </c>
      <c r="M115" s="28" t="str">
        <f t="shared" si="87"/>
        <v/>
      </c>
      <c r="N115" s="187"/>
      <c r="O115" s="187"/>
      <c r="Q115" s="19">
        <f t="shared" si="35"/>
        <v>1</v>
      </c>
    </row>
    <row r="116" spans="2:17" ht="12.9" customHeight="1" thickBot="1" x14ac:dyDescent="0.3">
      <c r="B116" s="21">
        <v>45038</v>
      </c>
      <c r="C116" s="134"/>
      <c r="D116" s="22"/>
      <c r="E116" s="23"/>
      <c r="F116" s="24"/>
      <c r="G116" s="25"/>
      <c r="H116" s="26" t="str">
        <f t="shared" si="85"/>
        <v/>
      </c>
      <c r="I116" s="26" t="str">
        <f t="shared" si="85"/>
        <v/>
      </c>
      <c r="J116" s="26" t="str">
        <f t="shared" si="85"/>
        <v/>
      </c>
      <c r="K116" s="26" t="str">
        <f t="shared" si="85"/>
        <v/>
      </c>
      <c r="L116" s="27" t="str">
        <f t="shared" si="86"/>
        <v/>
      </c>
      <c r="M116" s="28" t="str">
        <f t="shared" si="87"/>
        <v/>
      </c>
      <c r="N116" s="188"/>
      <c r="O116" s="188"/>
      <c r="Q116" s="19">
        <f t="shared" si="35"/>
        <v>1</v>
      </c>
    </row>
    <row r="117" spans="2:17" ht="12.9" customHeight="1" thickBot="1" x14ac:dyDescent="0.3">
      <c r="B117" s="21">
        <v>45039</v>
      </c>
      <c r="C117" s="134"/>
      <c r="D117" s="22"/>
      <c r="E117" s="23"/>
      <c r="F117" s="24"/>
      <c r="G117" s="25"/>
      <c r="H117" s="26" t="str">
        <f t="shared" si="85"/>
        <v/>
      </c>
      <c r="I117" s="26" t="str">
        <f t="shared" si="85"/>
        <v/>
      </c>
      <c r="J117" s="26" t="str">
        <f t="shared" si="85"/>
        <v/>
      </c>
      <c r="K117" s="26" t="str">
        <f t="shared" si="85"/>
        <v/>
      </c>
      <c r="L117" s="27" t="str">
        <f t="shared" si="86"/>
        <v/>
      </c>
      <c r="M117" s="28" t="str">
        <f t="shared" si="87"/>
        <v/>
      </c>
      <c r="N117" s="30">
        <f>SUM(L95:L124)</f>
        <v>0</v>
      </c>
      <c r="O117" s="30">
        <f>SUM(M95:M124)</f>
        <v>0</v>
      </c>
      <c r="Q117" s="19">
        <f t="shared" si="35"/>
        <v>1</v>
      </c>
    </row>
    <row r="118" spans="2:17" ht="12.9" customHeight="1" x14ac:dyDescent="0.25">
      <c r="B118" s="21">
        <v>45040</v>
      </c>
      <c r="C118" s="134"/>
      <c r="D118" s="22"/>
      <c r="E118" s="23"/>
      <c r="F118" s="24"/>
      <c r="G118" s="25"/>
      <c r="H118" s="26" t="str">
        <f t="shared" si="85"/>
        <v/>
      </c>
      <c r="I118" s="26" t="str">
        <f t="shared" si="85"/>
        <v/>
      </c>
      <c r="J118" s="26" t="str">
        <f t="shared" si="85"/>
        <v/>
      </c>
      <c r="K118" s="26" t="str">
        <f t="shared" si="85"/>
        <v/>
      </c>
      <c r="L118" s="27" t="str">
        <f t="shared" si="86"/>
        <v/>
      </c>
      <c r="M118" s="28" t="str">
        <f t="shared" si="87"/>
        <v/>
      </c>
      <c r="N118" s="186" t="s">
        <v>68</v>
      </c>
      <c r="O118" s="186" t="s">
        <v>69</v>
      </c>
      <c r="Q118" s="19">
        <f t="shared" si="35"/>
        <v>1</v>
      </c>
    </row>
    <row r="119" spans="2:17" ht="12.9" customHeight="1" thickBot="1" x14ac:dyDescent="0.3">
      <c r="B119" s="21">
        <v>45041</v>
      </c>
      <c r="C119" s="134"/>
      <c r="D119" s="22"/>
      <c r="E119" s="23"/>
      <c r="F119" s="24"/>
      <c r="G119" s="25"/>
      <c r="H119" s="26" t="str">
        <f t="shared" si="85"/>
        <v/>
      </c>
      <c r="I119" s="26" t="str">
        <f t="shared" si="85"/>
        <v/>
      </c>
      <c r="J119" s="26" t="str">
        <f t="shared" si="85"/>
        <v/>
      </c>
      <c r="K119" s="26" t="str">
        <f t="shared" si="85"/>
        <v/>
      </c>
      <c r="L119" s="27" t="str">
        <f t="shared" si="86"/>
        <v/>
      </c>
      <c r="M119" s="28" t="str">
        <f t="shared" si="87"/>
        <v/>
      </c>
      <c r="N119" s="188"/>
      <c r="O119" s="188"/>
      <c r="Q119" s="19">
        <f t="shared" si="35"/>
        <v>1</v>
      </c>
    </row>
    <row r="120" spans="2:17" ht="12.9" customHeight="1" thickBot="1" x14ac:dyDescent="0.3">
      <c r="B120" s="21">
        <v>45042</v>
      </c>
      <c r="C120" s="134"/>
      <c r="D120" s="22"/>
      <c r="E120" s="23"/>
      <c r="F120" s="24"/>
      <c r="G120" s="25"/>
      <c r="H120" s="26" t="str">
        <f t="shared" si="85"/>
        <v/>
      </c>
      <c r="I120" s="26" t="str">
        <f t="shared" si="85"/>
        <v/>
      </c>
      <c r="J120" s="26" t="str">
        <f t="shared" si="85"/>
        <v/>
      </c>
      <c r="K120" s="26" t="str">
        <f t="shared" si="85"/>
        <v/>
      </c>
      <c r="L120" s="27" t="str">
        <f t="shared" si="86"/>
        <v/>
      </c>
      <c r="M120" s="28" t="str">
        <f t="shared" si="87"/>
        <v/>
      </c>
      <c r="N120" s="30" t="e">
        <f>AVERAGE(L95:L124)</f>
        <v>#DIV/0!</v>
      </c>
      <c r="O120" s="30" t="e">
        <f>AVERAGE(M95:M124)</f>
        <v>#DIV/0!</v>
      </c>
      <c r="Q120" s="19">
        <f t="shared" si="35"/>
        <v>1</v>
      </c>
    </row>
    <row r="121" spans="2:17" ht="12.9" customHeight="1" x14ac:dyDescent="0.25">
      <c r="B121" s="21">
        <v>45043</v>
      </c>
      <c r="C121" s="134"/>
      <c r="D121" s="22"/>
      <c r="E121" s="23"/>
      <c r="F121" s="24"/>
      <c r="G121" s="25"/>
      <c r="H121" s="26" t="str">
        <f t="shared" si="85"/>
        <v/>
      </c>
      <c r="I121" s="26" t="str">
        <f t="shared" si="85"/>
        <v/>
      </c>
      <c r="J121" s="26" t="str">
        <f t="shared" si="85"/>
        <v/>
      </c>
      <c r="K121" s="26" t="str">
        <f t="shared" si="85"/>
        <v/>
      </c>
      <c r="L121" s="27" t="str">
        <f t="shared" si="86"/>
        <v/>
      </c>
      <c r="M121" s="28" t="str">
        <f t="shared" si="87"/>
        <v/>
      </c>
      <c r="O121" s="19">
        <f>IF(L121="",1,0)</f>
        <v>1</v>
      </c>
    </row>
    <row r="122" spans="2:17" ht="12.9" customHeight="1" x14ac:dyDescent="0.25">
      <c r="B122" s="21">
        <v>45044</v>
      </c>
      <c r="C122" s="134"/>
      <c r="D122" s="22"/>
      <c r="E122" s="23"/>
      <c r="F122" s="24"/>
      <c r="G122" s="25"/>
      <c r="H122" s="26" t="str">
        <f t="shared" si="85"/>
        <v/>
      </c>
      <c r="I122" s="26" t="str">
        <f t="shared" si="85"/>
        <v/>
      </c>
      <c r="J122" s="26" t="str">
        <f t="shared" si="85"/>
        <v/>
      </c>
      <c r="K122" s="26" t="str">
        <f>IF(F122="","",+(F122-F121))</f>
        <v/>
      </c>
      <c r="L122" s="27" t="str">
        <f t="shared" si="86"/>
        <v/>
      </c>
      <c r="M122" s="28" t="str">
        <f t="shared" si="87"/>
        <v/>
      </c>
      <c r="O122" s="19">
        <f>IF(L122="",1,0)</f>
        <v>1</v>
      </c>
    </row>
    <row r="123" spans="2:17" ht="12.9" customHeight="1" x14ac:dyDescent="0.25">
      <c r="B123" s="21">
        <v>45045</v>
      </c>
      <c r="C123" s="134"/>
      <c r="D123" s="22"/>
      <c r="E123" s="23"/>
      <c r="F123" s="24"/>
      <c r="G123" s="25"/>
      <c r="H123" s="26" t="str">
        <f t="shared" si="85"/>
        <v/>
      </c>
      <c r="I123" s="26" t="str">
        <f>IF(D123="","",+(D123-D122))</f>
        <v/>
      </c>
      <c r="J123" s="26" t="str">
        <f t="shared" si="85"/>
        <v/>
      </c>
      <c r="K123" s="26" t="str">
        <f t="shared" si="85"/>
        <v/>
      </c>
      <c r="L123" s="27" t="str">
        <f t="shared" si="86"/>
        <v/>
      </c>
      <c r="M123" s="28" t="str">
        <f t="shared" si="87"/>
        <v/>
      </c>
      <c r="O123" s="19">
        <f>IF(L123="",1,0)</f>
        <v>1</v>
      </c>
      <c r="P123" s="38"/>
    </row>
    <row r="124" spans="2:17" ht="12.9" customHeight="1" x14ac:dyDescent="0.25">
      <c r="B124" s="21">
        <v>45046</v>
      </c>
      <c r="C124" s="169"/>
      <c r="D124" s="31"/>
      <c r="E124" s="31"/>
      <c r="F124" s="31"/>
      <c r="G124" s="31"/>
      <c r="H124" s="33" t="str">
        <f t="shared" si="85"/>
        <v/>
      </c>
      <c r="I124" s="33" t="str">
        <f>IF(D124="","",+(D124-D123))</f>
        <v/>
      </c>
      <c r="J124" s="33" t="str">
        <f t="shared" si="85"/>
        <v/>
      </c>
      <c r="K124" s="33" t="str">
        <f t="shared" si="85"/>
        <v/>
      </c>
      <c r="L124" s="171" t="str">
        <f t="shared" si="86"/>
        <v/>
      </c>
      <c r="M124" s="33" t="str">
        <f t="shared" si="87"/>
        <v/>
      </c>
      <c r="Q124" s="19">
        <f t="shared" si="35"/>
        <v>1</v>
      </c>
    </row>
    <row r="125" spans="2:17" ht="12.9" customHeight="1" x14ac:dyDescent="0.25">
      <c r="B125" s="21">
        <v>45047</v>
      </c>
      <c r="C125" s="134"/>
      <c r="D125" s="22"/>
      <c r="E125" s="23"/>
      <c r="F125" s="24"/>
      <c r="G125" s="25"/>
      <c r="H125" s="26" t="str">
        <f t="shared" si="85"/>
        <v/>
      </c>
      <c r="I125" s="26" t="str">
        <f>IF(D125="","",+(D125-D124))</f>
        <v/>
      </c>
      <c r="J125" s="26" t="str">
        <f t="shared" si="85"/>
        <v/>
      </c>
      <c r="K125" s="26" t="str">
        <f t="shared" si="85"/>
        <v/>
      </c>
      <c r="L125" s="27" t="str">
        <f t="shared" si="86"/>
        <v/>
      </c>
      <c r="M125" s="28" t="str">
        <f t="shared" si="87"/>
        <v/>
      </c>
      <c r="Q125" s="19">
        <f t="shared" si="35"/>
        <v>1</v>
      </c>
    </row>
    <row r="126" spans="2:17" ht="12.9" customHeight="1" x14ac:dyDescent="0.25">
      <c r="B126" s="21">
        <v>45048</v>
      </c>
      <c r="C126" s="134"/>
      <c r="D126" s="22"/>
      <c r="E126" s="23"/>
      <c r="F126" s="24"/>
      <c r="G126" s="25"/>
      <c r="H126" s="36" t="str">
        <f t="shared" si="85"/>
        <v/>
      </c>
      <c r="I126" s="26" t="str">
        <f t="shared" si="85"/>
        <v/>
      </c>
      <c r="J126" s="26" t="str">
        <f t="shared" si="85"/>
        <v/>
      </c>
      <c r="K126" s="26" t="str">
        <f t="shared" si="85"/>
        <v/>
      </c>
      <c r="L126" s="27" t="str">
        <f t="shared" si="86"/>
        <v/>
      </c>
      <c r="M126" s="28" t="str">
        <f t="shared" si="87"/>
        <v/>
      </c>
      <c r="Q126" s="19">
        <f t="shared" si="35"/>
        <v>1</v>
      </c>
    </row>
    <row r="127" spans="2:17" ht="12.9" customHeight="1" x14ac:dyDescent="0.25">
      <c r="B127" s="21">
        <v>45049</v>
      </c>
      <c r="C127" s="134"/>
      <c r="D127" s="22"/>
      <c r="E127" s="23"/>
      <c r="F127" s="24"/>
      <c r="G127" s="25"/>
      <c r="H127" s="26" t="str">
        <f t="shared" si="85"/>
        <v/>
      </c>
      <c r="I127" s="26" t="str">
        <f t="shared" si="85"/>
        <v/>
      </c>
      <c r="J127" s="26" t="str">
        <f t="shared" si="85"/>
        <v/>
      </c>
      <c r="K127" s="26" t="str">
        <f t="shared" si="85"/>
        <v/>
      </c>
      <c r="L127" s="27" t="str">
        <f t="shared" si="86"/>
        <v/>
      </c>
      <c r="M127" s="28" t="str">
        <f t="shared" si="87"/>
        <v/>
      </c>
      <c r="Q127" s="19">
        <f t="shared" si="35"/>
        <v>1</v>
      </c>
    </row>
    <row r="128" spans="2:17" ht="12.9" customHeight="1" x14ac:dyDescent="0.25">
      <c r="B128" s="21">
        <v>45050</v>
      </c>
      <c r="C128" s="134"/>
      <c r="D128" s="22"/>
      <c r="E128" s="23"/>
      <c r="F128" s="24"/>
      <c r="G128" s="25"/>
      <c r="H128" s="36" t="str">
        <f t="shared" si="85"/>
        <v/>
      </c>
      <c r="I128" s="26" t="str">
        <f t="shared" si="85"/>
        <v/>
      </c>
      <c r="J128" s="26" t="str">
        <f t="shared" si="85"/>
        <v/>
      </c>
      <c r="K128" s="26" t="str">
        <f t="shared" si="85"/>
        <v/>
      </c>
      <c r="L128" s="27" t="str">
        <f t="shared" si="86"/>
        <v/>
      </c>
      <c r="M128" s="28" t="str">
        <f t="shared" si="87"/>
        <v/>
      </c>
      <c r="Q128" s="19">
        <f t="shared" si="35"/>
        <v>1</v>
      </c>
    </row>
    <row r="129" spans="2:17" ht="12.9" customHeight="1" x14ac:dyDescent="0.25">
      <c r="B129" s="21">
        <v>45051</v>
      </c>
      <c r="C129" s="134"/>
      <c r="D129" s="22"/>
      <c r="E129" s="23"/>
      <c r="F129" s="24"/>
      <c r="G129" s="25"/>
      <c r="H129" s="26" t="str">
        <f t="shared" si="85"/>
        <v/>
      </c>
      <c r="I129" s="26" t="str">
        <f t="shared" si="85"/>
        <v/>
      </c>
      <c r="J129" s="26" t="str">
        <f t="shared" si="85"/>
        <v/>
      </c>
      <c r="K129" s="26" t="str">
        <f t="shared" si="85"/>
        <v/>
      </c>
      <c r="L129" s="27" t="str">
        <f t="shared" si="86"/>
        <v/>
      </c>
      <c r="M129" s="28" t="str">
        <f t="shared" si="87"/>
        <v/>
      </c>
      <c r="Q129" s="19">
        <f t="shared" si="35"/>
        <v>1</v>
      </c>
    </row>
    <row r="130" spans="2:17" ht="12.9" customHeight="1" x14ac:dyDescent="0.25">
      <c r="B130" s="21">
        <v>45052</v>
      </c>
      <c r="C130" s="134"/>
      <c r="D130" s="22"/>
      <c r="E130" s="23"/>
      <c r="F130" s="24"/>
      <c r="G130" s="25"/>
      <c r="H130" s="26" t="str">
        <f t="shared" si="85"/>
        <v/>
      </c>
      <c r="I130" s="26" t="str">
        <f t="shared" si="85"/>
        <v/>
      </c>
      <c r="J130" s="26" t="str">
        <f t="shared" si="85"/>
        <v/>
      </c>
      <c r="K130" s="26" t="str">
        <f t="shared" si="85"/>
        <v/>
      </c>
      <c r="L130" s="27" t="str">
        <f t="shared" si="86"/>
        <v/>
      </c>
      <c r="M130" s="28" t="str">
        <f t="shared" si="87"/>
        <v/>
      </c>
      <c r="Q130" s="19">
        <f t="shared" si="35"/>
        <v>1</v>
      </c>
    </row>
    <row r="131" spans="2:17" ht="12.9" customHeight="1" x14ac:dyDescent="0.25">
      <c r="B131" s="21">
        <v>45053</v>
      </c>
      <c r="C131" s="134"/>
      <c r="D131" s="22"/>
      <c r="E131" s="23"/>
      <c r="F131" s="24"/>
      <c r="G131" s="25"/>
      <c r="H131" s="26" t="str">
        <f t="shared" si="85"/>
        <v/>
      </c>
      <c r="I131" s="26" t="str">
        <f t="shared" si="85"/>
        <v/>
      </c>
      <c r="J131" s="26" t="str">
        <f t="shared" si="85"/>
        <v/>
      </c>
      <c r="K131" s="26" t="str">
        <f t="shared" si="85"/>
        <v/>
      </c>
      <c r="L131" s="27" t="str">
        <f t="shared" si="86"/>
        <v/>
      </c>
      <c r="M131" s="28" t="str">
        <f t="shared" si="87"/>
        <v/>
      </c>
      <c r="Q131" s="19">
        <f t="shared" si="35"/>
        <v>1</v>
      </c>
    </row>
    <row r="132" spans="2:17" ht="12.9" customHeight="1" x14ac:dyDescent="0.25">
      <c r="B132" s="21">
        <v>45054</v>
      </c>
      <c r="C132" s="134"/>
      <c r="D132" s="22"/>
      <c r="E132" s="23"/>
      <c r="F132" s="24"/>
      <c r="G132" s="25"/>
      <c r="H132" s="26" t="str">
        <f t="shared" si="85"/>
        <v/>
      </c>
      <c r="I132" s="26" t="str">
        <f t="shared" si="85"/>
        <v/>
      </c>
      <c r="J132" s="26" t="str">
        <f t="shared" si="85"/>
        <v/>
      </c>
      <c r="K132" s="26" t="str">
        <f t="shared" si="85"/>
        <v/>
      </c>
      <c r="L132" s="27" t="str">
        <f t="shared" si="86"/>
        <v/>
      </c>
      <c r="M132" s="28" t="str">
        <f t="shared" si="87"/>
        <v/>
      </c>
      <c r="Q132" s="19">
        <f t="shared" si="35"/>
        <v>1</v>
      </c>
    </row>
    <row r="133" spans="2:17" ht="12.9" customHeight="1" x14ac:dyDescent="0.25">
      <c r="B133" s="21">
        <v>45055</v>
      </c>
      <c r="C133" s="134"/>
      <c r="D133" s="22"/>
      <c r="E133" s="23"/>
      <c r="F133" s="24"/>
      <c r="G133" s="25"/>
      <c r="H133" s="26" t="str">
        <f t="shared" si="85"/>
        <v/>
      </c>
      <c r="I133" s="26" t="str">
        <f t="shared" si="85"/>
        <v/>
      </c>
      <c r="J133" s="26" t="str">
        <f t="shared" si="85"/>
        <v/>
      </c>
      <c r="K133" s="26" t="str">
        <f t="shared" si="85"/>
        <v/>
      </c>
      <c r="L133" s="27" t="str">
        <f t="shared" si="86"/>
        <v/>
      </c>
      <c r="M133" s="28" t="str">
        <f t="shared" si="87"/>
        <v/>
      </c>
      <c r="Q133" s="19">
        <f t="shared" si="35"/>
        <v>1</v>
      </c>
    </row>
    <row r="134" spans="2:17" ht="12.9" customHeight="1" x14ac:dyDescent="0.25">
      <c r="B134" s="21">
        <v>45056</v>
      </c>
      <c r="C134" s="134"/>
      <c r="D134" s="22"/>
      <c r="E134" s="23"/>
      <c r="F134" s="24"/>
      <c r="G134" s="25"/>
      <c r="H134" s="26" t="str">
        <f t="shared" ref="H134:K185" si="88">IF(C134="","",+(C134-C133))</f>
        <v/>
      </c>
      <c r="I134" s="26" t="str">
        <f t="shared" si="88"/>
        <v/>
      </c>
      <c r="J134" s="26" t="str">
        <f t="shared" si="88"/>
        <v/>
      </c>
      <c r="K134" s="26" t="str">
        <f t="shared" si="88"/>
        <v/>
      </c>
      <c r="L134" s="27" t="str">
        <f t="shared" si="86"/>
        <v/>
      </c>
      <c r="M134" s="28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" customHeight="1" x14ac:dyDescent="0.25">
      <c r="B135" s="21">
        <v>45057</v>
      </c>
      <c r="C135" s="134"/>
      <c r="D135" s="22"/>
      <c r="E135" s="23"/>
      <c r="F135" s="24"/>
      <c r="G135" s="25"/>
      <c r="H135" s="26" t="str">
        <f t="shared" si="88"/>
        <v/>
      </c>
      <c r="I135" s="26" t="str">
        <f t="shared" si="88"/>
        <v/>
      </c>
      <c r="J135" s="26" t="str">
        <f t="shared" si="88"/>
        <v/>
      </c>
      <c r="K135" s="26" t="str">
        <f t="shared" si="88"/>
        <v/>
      </c>
      <c r="L135" s="27" t="str">
        <f t="shared" si="86"/>
        <v/>
      </c>
      <c r="M135" s="28" t="str">
        <f t="shared" si="89"/>
        <v/>
      </c>
      <c r="Q135" s="19">
        <f t="shared" si="90"/>
        <v>1</v>
      </c>
    </row>
    <row r="136" spans="2:17" ht="12.9" customHeight="1" x14ac:dyDescent="0.25">
      <c r="B136" s="21">
        <v>45058</v>
      </c>
      <c r="C136" s="134"/>
      <c r="D136" s="22"/>
      <c r="E136" s="23"/>
      <c r="F136" s="24"/>
      <c r="G136" s="25"/>
      <c r="H136" s="26" t="str">
        <f t="shared" si="88"/>
        <v/>
      </c>
      <c r="I136" s="26" t="str">
        <f t="shared" si="88"/>
        <v/>
      </c>
      <c r="J136" s="26" t="str">
        <f t="shared" si="88"/>
        <v/>
      </c>
      <c r="K136" s="26" t="str">
        <f t="shared" si="88"/>
        <v/>
      </c>
      <c r="L136" s="27" t="str">
        <f t="shared" si="86"/>
        <v/>
      </c>
      <c r="M136" s="28" t="str">
        <f t="shared" si="89"/>
        <v/>
      </c>
      <c r="Q136" s="19">
        <f t="shared" si="90"/>
        <v>1</v>
      </c>
    </row>
    <row r="137" spans="2:17" ht="12.9" customHeight="1" x14ac:dyDescent="0.25">
      <c r="B137" s="21">
        <v>45059</v>
      </c>
      <c r="C137" s="134"/>
      <c r="D137" s="22"/>
      <c r="E137" s="23"/>
      <c r="F137" s="24"/>
      <c r="G137" s="25"/>
      <c r="H137" s="26" t="str">
        <f t="shared" si="88"/>
        <v/>
      </c>
      <c r="I137" s="26" t="str">
        <f t="shared" si="88"/>
        <v/>
      </c>
      <c r="J137" s="26" t="str">
        <f t="shared" si="88"/>
        <v/>
      </c>
      <c r="K137" s="26" t="str">
        <f t="shared" si="88"/>
        <v/>
      </c>
      <c r="L137" s="27" t="str">
        <f t="shared" si="86"/>
        <v/>
      </c>
      <c r="M137" s="28" t="str">
        <f t="shared" si="89"/>
        <v/>
      </c>
      <c r="Q137" s="19">
        <f t="shared" si="90"/>
        <v>1</v>
      </c>
    </row>
    <row r="138" spans="2:17" ht="12.9" customHeight="1" x14ac:dyDescent="0.25">
      <c r="B138" s="21">
        <v>45060</v>
      </c>
      <c r="C138" s="134"/>
      <c r="D138" s="22"/>
      <c r="E138" s="23"/>
      <c r="F138" s="24"/>
      <c r="G138" s="25"/>
      <c r="H138" s="26" t="str">
        <f t="shared" si="88"/>
        <v/>
      </c>
      <c r="I138" s="26" t="str">
        <f t="shared" si="88"/>
        <v/>
      </c>
      <c r="J138" s="26" t="str">
        <f t="shared" si="88"/>
        <v/>
      </c>
      <c r="K138" s="26" t="str">
        <f t="shared" si="88"/>
        <v/>
      </c>
      <c r="L138" s="27" t="str">
        <f t="shared" si="86"/>
        <v/>
      </c>
      <c r="M138" s="28" t="str">
        <f t="shared" si="89"/>
        <v/>
      </c>
      <c r="Q138" s="19">
        <f t="shared" si="90"/>
        <v>1</v>
      </c>
    </row>
    <row r="139" spans="2:17" ht="12.9" customHeight="1" x14ac:dyDescent="0.25">
      <c r="B139" s="21">
        <v>45061</v>
      </c>
      <c r="C139" s="134"/>
      <c r="D139" s="22"/>
      <c r="E139" s="23"/>
      <c r="F139" s="24"/>
      <c r="G139" s="25"/>
      <c r="H139" s="26" t="str">
        <f t="shared" si="88"/>
        <v/>
      </c>
      <c r="I139" s="26" t="str">
        <f t="shared" si="88"/>
        <v/>
      </c>
      <c r="J139" s="26" t="str">
        <f t="shared" si="88"/>
        <v/>
      </c>
      <c r="K139" s="26" t="str">
        <f t="shared" si="88"/>
        <v/>
      </c>
      <c r="L139" s="27" t="str">
        <f t="shared" si="86"/>
        <v/>
      </c>
      <c r="M139" s="28" t="str">
        <f t="shared" si="89"/>
        <v/>
      </c>
      <c r="Q139" s="19">
        <f t="shared" si="90"/>
        <v>1</v>
      </c>
    </row>
    <row r="140" spans="2:17" ht="12.9" customHeight="1" x14ac:dyDescent="0.25">
      <c r="B140" s="21">
        <v>45062</v>
      </c>
      <c r="C140" s="134"/>
      <c r="D140" s="22"/>
      <c r="E140" s="23"/>
      <c r="F140" s="24"/>
      <c r="G140" s="25"/>
      <c r="H140" s="26" t="str">
        <f t="shared" si="88"/>
        <v/>
      </c>
      <c r="I140" s="26" t="str">
        <f t="shared" si="88"/>
        <v/>
      </c>
      <c r="J140" s="26" t="str">
        <f t="shared" si="88"/>
        <v/>
      </c>
      <c r="K140" s="26" t="str">
        <f t="shared" si="88"/>
        <v/>
      </c>
      <c r="L140" s="27" t="str">
        <f t="shared" si="86"/>
        <v/>
      </c>
      <c r="M140" s="28" t="str">
        <f t="shared" si="89"/>
        <v/>
      </c>
      <c r="Q140" s="19">
        <f t="shared" si="90"/>
        <v>1</v>
      </c>
    </row>
    <row r="141" spans="2:17" ht="12.9" customHeight="1" x14ac:dyDescent="0.25">
      <c r="B141" s="21">
        <v>45063</v>
      </c>
      <c r="C141" s="134"/>
      <c r="D141" s="22"/>
      <c r="E141" s="23"/>
      <c r="F141" s="24"/>
      <c r="G141" s="25"/>
      <c r="H141" s="26" t="str">
        <f t="shared" si="88"/>
        <v/>
      </c>
      <c r="I141" s="26" t="str">
        <f t="shared" si="88"/>
        <v/>
      </c>
      <c r="J141" s="26" t="str">
        <f t="shared" si="88"/>
        <v/>
      </c>
      <c r="K141" s="26" t="str">
        <f t="shared" si="88"/>
        <v/>
      </c>
      <c r="L141" s="27" t="str">
        <f t="shared" si="86"/>
        <v/>
      </c>
      <c r="M141" s="28" t="str">
        <f t="shared" si="89"/>
        <v/>
      </c>
      <c r="Q141" s="19">
        <f t="shared" si="90"/>
        <v>1</v>
      </c>
    </row>
    <row r="142" spans="2:17" ht="12.9" customHeight="1" x14ac:dyDescent="0.25">
      <c r="B142" s="21">
        <v>45064</v>
      </c>
      <c r="C142" s="134"/>
      <c r="D142" s="22"/>
      <c r="E142" s="23"/>
      <c r="F142" s="24"/>
      <c r="G142" s="25"/>
      <c r="H142" s="26" t="str">
        <f t="shared" si="88"/>
        <v/>
      </c>
      <c r="I142" s="26" t="str">
        <f t="shared" si="88"/>
        <v/>
      </c>
      <c r="J142" s="26" t="str">
        <f t="shared" si="88"/>
        <v/>
      </c>
      <c r="K142" s="26" t="str">
        <f t="shared" si="88"/>
        <v/>
      </c>
      <c r="L142" s="27" t="str">
        <f t="shared" si="86"/>
        <v/>
      </c>
      <c r="M142" s="28" t="str">
        <f t="shared" si="89"/>
        <v/>
      </c>
      <c r="Q142" s="19">
        <f t="shared" si="90"/>
        <v>1</v>
      </c>
    </row>
    <row r="143" spans="2:17" ht="12.9" customHeight="1" x14ac:dyDescent="0.25">
      <c r="B143" s="21">
        <v>45065</v>
      </c>
      <c r="C143" s="134"/>
      <c r="D143" s="22"/>
      <c r="E143" s="23"/>
      <c r="F143" s="24"/>
      <c r="G143" s="25"/>
      <c r="H143" s="26" t="str">
        <f t="shared" si="88"/>
        <v/>
      </c>
      <c r="I143" s="26" t="str">
        <f t="shared" si="88"/>
        <v/>
      </c>
      <c r="J143" s="26" t="str">
        <f t="shared" si="88"/>
        <v/>
      </c>
      <c r="K143" s="26" t="str">
        <f t="shared" si="88"/>
        <v/>
      </c>
      <c r="L143" s="27" t="str">
        <f t="shared" si="86"/>
        <v/>
      </c>
      <c r="M143" s="28" t="str">
        <f t="shared" si="89"/>
        <v/>
      </c>
      <c r="O143" s="8" t="s">
        <v>73</v>
      </c>
      <c r="Q143" s="19">
        <f t="shared" si="90"/>
        <v>1</v>
      </c>
    </row>
    <row r="144" spans="2:17" ht="12.9" customHeight="1" thickBot="1" x14ac:dyDescent="0.3">
      <c r="B144" s="21">
        <v>45066</v>
      </c>
      <c r="C144" s="134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" customHeight="1" x14ac:dyDescent="0.25">
      <c r="B145" s="21">
        <v>45067</v>
      </c>
      <c r="C145" s="134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86" t="s">
        <v>66</v>
      </c>
      <c r="O145" s="186" t="s">
        <v>67</v>
      </c>
      <c r="Q145" s="19">
        <f t="shared" si="90"/>
        <v>1</v>
      </c>
    </row>
    <row r="146" spans="2:18" ht="12.9" customHeight="1" x14ac:dyDescent="0.25">
      <c r="B146" s="21">
        <v>45068</v>
      </c>
      <c r="C146" s="134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87"/>
      <c r="O146" s="187"/>
      <c r="Q146" s="19">
        <f t="shared" si="90"/>
        <v>1</v>
      </c>
    </row>
    <row r="147" spans="2:18" ht="12.9" customHeight="1" thickBot="1" x14ac:dyDescent="0.3">
      <c r="B147" s="21">
        <v>45069</v>
      </c>
      <c r="C147" s="134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88"/>
      <c r="O147" s="188"/>
      <c r="Q147" s="19">
        <f>IF(L147="",1,0)</f>
        <v>1</v>
      </c>
    </row>
    <row r="148" spans="2:18" ht="12.9" customHeight="1" thickBot="1" x14ac:dyDescent="0.3">
      <c r="B148" s="21">
        <v>45070</v>
      </c>
      <c r="C148" s="134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60265</v>
      </c>
      <c r="Q148" s="19">
        <f>IF(L148="",1,0)</f>
        <v>1</v>
      </c>
    </row>
    <row r="149" spans="2:18" ht="12.9" customHeight="1" x14ac:dyDescent="0.25">
      <c r="B149" s="21">
        <v>45071</v>
      </c>
      <c r="C149" s="134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86" t="s">
        <v>68</v>
      </c>
      <c r="O149" s="186" t="s">
        <v>69</v>
      </c>
      <c r="Q149" s="19">
        <f>IF(L149="",1,0)</f>
        <v>1</v>
      </c>
    </row>
    <row r="150" spans="2:18" ht="12.9" customHeight="1" thickBot="1" x14ac:dyDescent="0.3">
      <c r="B150" s="21">
        <v>45072</v>
      </c>
      <c r="C150" s="134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88"/>
      <c r="O150" s="188"/>
      <c r="Q150" s="19">
        <f>IF(L150="",1,0)</f>
        <v>1</v>
      </c>
    </row>
    <row r="151" spans="2:18" ht="12.9" customHeight="1" thickBot="1" x14ac:dyDescent="0.3">
      <c r="B151" s="21">
        <v>45073</v>
      </c>
      <c r="C151" s="134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" customHeight="1" x14ac:dyDescent="0.25">
      <c r="B152" s="21">
        <v>45074</v>
      </c>
      <c r="C152" s="134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" customHeight="1" x14ac:dyDescent="0.25">
      <c r="B153" s="21">
        <v>45075</v>
      </c>
      <c r="C153" s="134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" customHeight="1" x14ac:dyDescent="0.25">
      <c r="B154" s="21">
        <v>45076</v>
      </c>
      <c r="C154" s="134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" customHeight="1" x14ac:dyDescent="0.25">
      <c r="B155" s="21">
        <v>45077</v>
      </c>
      <c r="C155" s="169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" customHeight="1" x14ac:dyDescent="0.25">
      <c r="B156" s="21">
        <v>45078</v>
      </c>
      <c r="C156" s="134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" customHeight="1" x14ac:dyDescent="0.25">
      <c r="B157" s="21">
        <v>45079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" customHeight="1" x14ac:dyDescent="0.25">
      <c r="B158" s="21">
        <v>45080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" customHeight="1" x14ac:dyDescent="0.25">
      <c r="B159" s="21">
        <v>45081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" customHeight="1" x14ac:dyDescent="0.25">
      <c r="B160" s="21">
        <v>45082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" customHeight="1" x14ac:dyDescent="0.25">
      <c r="B161" s="21">
        <v>45083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" customHeight="1" x14ac:dyDescent="0.25">
      <c r="B162" s="21">
        <v>45084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" customHeight="1" x14ac:dyDescent="0.25">
      <c r="B163" s="21">
        <v>45085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" customHeight="1" x14ac:dyDescent="0.25">
      <c r="B164" s="21">
        <v>45086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" customHeight="1" x14ac:dyDescent="0.25">
      <c r="B165" s="21">
        <v>45087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" customHeight="1" x14ac:dyDescent="0.25">
      <c r="B166" s="21">
        <v>45088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" customHeight="1" x14ac:dyDescent="0.25">
      <c r="B167" s="21">
        <v>45089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" customHeight="1" x14ac:dyDescent="0.25">
      <c r="B168" s="21">
        <v>45090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150" t="e">
        <f>IF(F168="","",+(F168-F167))+671477</f>
        <v>#VALUE!</v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" customHeight="1" x14ac:dyDescent="0.25">
      <c r="B169" s="21">
        <v>45091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" customHeight="1" x14ac:dyDescent="0.25">
      <c r="B170" s="21">
        <v>45092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" customHeight="1" x14ac:dyDescent="0.25">
      <c r="B171" s="21">
        <v>45093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" customHeight="1" x14ac:dyDescent="0.25">
      <c r="B172" s="21">
        <v>45094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" customHeight="1" x14ac:dyDescent="0.25">
      <c r="B173" s="21">
        <v>45095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" customHeight="1" thickBot="1" x14ac:dyDescent="0.3">
      <c r="B174" s="21">
        <v>45096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" customHeight="1" x14ac:dyDescent="0.25">
      <c r="B175" s="21">
        <v>45097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86" t="s">
        <v>66</v>
      </c>
      <c r="O175" s="186" t="s">
        <v>67</v>
      </c>
      <c r="Q175" s="19">
        <f t="shared" si="90"/>
        <v>1</v>
      </c>
    </row>
    <row r="176" spans="2:20" ht="12.9" customHeight="1" x14ac:dyDescent="0.25">
      <c r="B176" s="21">
        <v>45098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87"/>
      <c r="O176" s="187"/>
      <c r="Q176" s="19">
        <f t="shared" si="90"/>
        <v>1</v>
      </c>
    </row>
    <row r="177" spans="2:17" ht="12.9" customHeight="1" thickBot="1" x14ac:dyDescent="0.3">
      <c r="B177" s="21">
        <v>45099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88"/>
      <c r="O177" s="188"/>
      <c r="Q177" s="19">
        <f t="shared" si="90"/>
        <v>1</v>
      </c>
    </row>
    <row r="178" spans="2:17" ht="12.9" customHeight="1" thickBot="1" x14ac:dyDescent="0.3">
      <c r="B178" s="21">
        <v>45100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" customHeight="1" x14ac:dyDescent="0.25">
      <c r="B179" s="21">
        <v>45101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86" t="s">
        <v>68</v>
      </c>
      <c r="O179" s="186" t="s">
        <v>69</v>
      </c>
      <c r="Q179" s="19">
        <f t="shared" si="90"/>
        <v>1</v>
      </c>
    </row>
    <row r="180" spans="2:17" ht="14.4" thickBot="1" x14ac:dyDescent="0.3">
      <c r="B180" s="21">
        <v>45102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88"/>
      <c r="O180" s="188"/>
      <c r="Q180" s="19">
        <f t="shared" si="90"/>
        <v>1</v>
      </c>
    </row>
    <row r="181" spans="2:17" ht="12.9" customHeight="1" thickBot="1" x14ac:dyDescent="0.3">
      <c r="B181" s="21">
        <v>45103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" customHeight="1" x14ac:dyDescent="0.25">
      <c r="B182" s="21">
        <v>45104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" customHeight="1" x14ac:dyDescent="0.25">
      <c r="B183" s="21">
        <v>45105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" customHeight="1" x14ac:dyDescent="0.25">
      <c r="B184" s="21">
        <v>45106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" customHeight="1" x14ac:dyDescent="0.25">
      <c r="B185" s="21">
        <v>45107</v>
      </c>
      <c r="C185" s="168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175" t="str">
        <f t="shared" si="88"/>
        <v/>
      </c>
      <c r="L185" s="171" t="str">
        <f t="shared" si="92"/>
        <v/>
      </c>
      <c r="M185" s="175" t="str">
        <f t="shared" si="89"/>
        <v/>
      </c>
      <c r="Q185" s="19">
        <f t="shared" si="90"/>
        <v>1</v>
      </c>
    </row>
    <row r="186" spans="2:17" ht="12.9" customHeight="1" x14ac:dyDescent="0.25">
      <c r="B186" s="21">
        <v>45108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" customHeight="1" x14ac:dyDescent="0.25">
      <c r="B187" s="21">
        <v>45109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" customHeight="1" x14ac:dyDescent="0.25">
      <c r="B188" s="21">
        <v>45110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" customHeight="1" x14ac:dyDescent="0.25">
      <c r="B189" s="21">
        <v>45111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" customHeight="1" x14ac:dyDescent="0.25">
      <c r="B190" s="21">
        <v>45112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" customHeight="1" x14ac:dyDescent="0.25">
      <c r="B191" s="21">
        <v>45113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" customHeight="1" x14ac:dyDescent="0.25">
      <c r="B192" s="21">
        <v>45114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" customHeight="1" x14ac:dyDescent="0.25">
      <c r="B193" s="21">
        <v>45115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1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" customHeight="1" x14ac:dyDescent="0.25">
      <c r="B194" s="21">
        <v>45116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" customHeight="1" x14ac:dyDescent="0.25">
      <c r="B195" s="21">
        <v>45117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" customHeight="1" x14ac:dyDescent="0.25">
      <c r="B196" s="21">
        <v>45118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" customHeight="1" x14ac:dyDescent="0.25">
      <c r="B197" s="21">
        <v>45119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" customHeight="1" x14ac:dyDescent="0.25">
      <c r="B198" s="21">
        <v>45120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" customHeight="1" x14ac:dyDescent="0.25">
      <c r="B199" s="21">
        <v>45121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" customHeight="1" x14ac:dyDescent="0.25">
      <c r="B200" s="21">
        <v>45122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" customHeight="1" x14ac:dyDescent="0.25">
      <c r="B201" s="21">
        <v>45123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" customHeight="1" x14ac:dyDescent="0.25">
      <c r="B202" s="21">
        <v>45124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Q202" s="19">
        <f t="shared" si="96"/>
        <v>1</v>
      </c>
    </row>
    <row r="203" spans="2:17" ht="12.9" customHeight="1" x14ac:dyDescent="0.25">
      <c r="B203" s="21">
        <v>45125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" customHeight="1" x14ac:dyDescent="0.25">
      <c r="B204" s="21">
        <v>45126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" customHeight="1" thickBot="1" x14ac:dyDescent="0.3">
      <c r="B205" s="21">
        <v>45127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" customHeight="1" x14ac:dyDescent="0.25">
      <c r="B206" s="21">
        <v>45128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86" t="s">
        <v>66</v>
      </c>
      <c r="O206" s="186" t="s">
        <v>67</v>
      </c>
      <c r="Q206" s="19">
        <f t="shared" si="96"/>
        <v>1</v>
      </c>
    </row>
    <row r="207" spans="2:17" ht="12.9" customHeight="1" x14ac:dyDescent="0.25">
      <c r="B207" s="21">
        <v>45129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87"/>
      <c r="O207" s="187"/>
      <c r="Q207" s="19">
        <f t="shared" si="96"/>
        <v>1</v>
      </c>
    </row>
    <row r="208" spans="2:17" ht="12.9" customHeight="1" thickBot="1" x14ac:dyDescent="0.3">
      <c r="B208" s="21">
        <v>45130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88"/>
      <c r="O208" s="188"/>
      <c r="Q208" s="19">
        <f t="shared" si="96"/>
        <v>1</v>
      </c>
    </row>
    <row r="209" spans="2:17" ht="12.9" customHeight="1" thickBot="1" x14ac:dyDescent="0.3">
      <c r="B209" s="21">
        <v>45131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" customHeight="1" x14ac:dyDescent="0.25">
      <c r="B210" s="21">
        <v>45132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86" t="s">
        <v>68</v>
      </c>
      <c r="O210" s="186" t="s">
        <v>69</v>
      </c>
      <c r="Q210" s="19">
        <f t="shared" si="96"/>
        <v>1</v>
      </c>
    </row>
    <row r="211" spans="2:17" ht="12.9" customHeight="1" thickBot="1" x14ac:dyDescent="0.3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88"/>
      <c r="O211" s="188"/>
      <c r="Q211" s="19">
        <f t="shared" si="96"/>
        <v>1</v>
      </c>
    </row>
    <row r="212" spans="2:17" ht="12.9" customHeight="1" thickBot="1" x14ac:dyDescent="0.3">
      <c r="B212" s="21">
        <v>45134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" customHeight="1" x14ac:dyDescent="0.25">
      <c r="B213" s="21">
        <v>45135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" customHeight="1" x14ac:dyDescent="0.25">
      <c r="B214" s="21">
        <v>45136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" customHeight="1" x14ac:dyDescent="0.25">
      <c r="B215" s="21">
        <v>45137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" customHeight="1" x14ac:dyDescent="0.25">
      <c r="B216" s="21">
        <v>45138</v>
      </c>
      <c r="C216" s="168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" customHeight="1" x14ac:dyDescent="0.25">
      <c r="B217" s="21">
        <v>45139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" customHeight="1" x14ac:dyDescent="0.25">
      <c r="B218" s="21">
        <v>45140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" customHeight="1" x14ac:dyDescent="0.25">
      <c r="B219" s="21">
        <v>45141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" customHeight="1" x14ac:dyDescent="0.25">
      <c r="B220" s="21">
        <v>45142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" customHeight="1" x14ac:dyDescent="0.25">
      <c r="B221" s="21">
        <v>45143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" customHeight="1" x14ac:dyDescent="0.25">
      <c r="B222" s="21">
        <v>45144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" customHeight="1" x14ac:dyDescent="0.25">
      <c r="B223" s="21">
        <v>45145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" customHeight="1" x14ac:dyDescent="0.25">
      <c r="B224" s="21">
        <v>45146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" customHeight="1" x14ac:dyDescent="0.25">
      <c r="B225" s="21">
        <v>45147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" customHeight="1" x14ac:dyDescent="0.25">
      <c r="B226" s="21">
        <v>45148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" customHeight="1" x14ac:dyDescent="0.25">
      <c r="B227" s="21">
        <v>45149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" customHeight="1" x14ac:dyDescent="0.25">
      <c r="B228" s="21">
        <v>45150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" customHeight="1" x14ac:dyDescent="0.25">
      <c r="B229" s="21">
        <v>45151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" customHeight="1" x14ac:dyDescent="0.25">
      <c r="B230" s="21">
        <v>45152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" customHeight="1" x14ac:dyDescent="0.25">
      <c r="B231" s="21">
        <v>45153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" customHeight="1" x14ac:dyDescent="0.25">
      <c r="B232" s="21">
        <v>45154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" customHeight="1" x14ac:dyDescent="0.25">
      <c r="B233" s="21">
        <v>45155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" customHeight="1" x14ac:dyDescent="0.25">
      <c r="B234" s="21">
        <v>45156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" customHeight="1" x14ac:dyDescent="0.25">
      <c r="B235" s="21">
        <v>45157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" customHeight="1" thickBot="1" x14ac:dyDescent="0.3">
      <c r="B236" s="21">
        <v>45158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" customHeight="1" x14ac:dyDescent="0.25">
      <c r="B237" s="21">
        <v>45159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86" t="s">
        <v>66</v>
      </c>
      <c r="O237" s="186" t="s">
        <v>67</v>
      </c>
      <c r="Q237" s="19">
        <f t="shared" si="98"/>
        <v>1</v>
      </c>
    </row>
    <row r="238" spans="2:17" ht="12.9" customHeight="1" x14ac:dyDescent="0.25">
      <c r="B238" s="21">
        <v>45160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87"/>
      <c r="O238" s="187"/>
      <c r="Q238" s="19">
        <f t="shared" si="98"/>
        <v>1</v>
      </c>
    </row>
    <row r="239" spans="2:17" ht="12.9" customHeight="1" thickBot="1" x14ac:dyDescent="0.3">
      <c r="B239" s="21">
        <v>45161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88"/>
      <c r="O239" s="188"/>
      <c r="Q239" s="19">
        <f t="shared" si="98"/>
        <v>1</v>
      </c>
    </row>
    <row r="240" spans="2:17" ht="12.9" customHeight="1" thickBot="1" x14ac:dyDescent="0.3">
      <c r="B240" s="21">
        <v>45162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730</v>
      </c>
      <c r="O240" s="30">
        <f>SUM(M217:M247)</f>
        <v>0</v>
      </c>
      <c r="Q240" s="19">
        <f t="shared" si="98"/>
        <v>1</v>
      </c>
    </row>
    <row r="241" spans="2:17" ht="12.9" customHeight="1" x14ac:dyDescent="0.25">
      <c r="B241" s="21">
        <v>45163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86" t="s">
        <v>68</v>
      </c>
      <c r="O241" s="186" t="s">
        <v>69</v>
      </c>
      <c r="Q241" s="19">
        <f t="shared" si="98"/>
        <v>1</v>
      </c>
    </row>
    <row r="242" spans="2:17" ht="12.9" customHeight="1" thickBot="1" x14ac:dyDescent="0.3">
      <c r="B242" s="21">
        <v>45164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88"/>
      <c r="O242" s="188"/>
      <c r="Q242" s="19">
        <f t="shared" si="98"/>
        <v>1</v>
      </c>
    </row>
    <row r="243" spans="2:17" ht="12.9" customHeight="1" thickBot="1" x14ac:dyDescent="0.3">
      <c r="B243" s="21">
        <v>45165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>
        <v>340</v>
      </c>
      <c r="M243" s="28" t="str">
        <f t="shared" si="95"/>
        <v/>
      </c>
      <c r="N243" s="30">
        <f>AVERAGE(L217:L247)</f>
        <v>365</v>
      </c>
      <c r="O243" s="30" t="e">
        <f>AVERAGE(M217:M247)</f>
        <v>#DIV/0!</v>
      </c>
      <c r="Q243" s="19">
        <f t="shared" si="98"/>
        <v>0</v>
      </c>
    </row>
    <row r="244" spans="2:17" ht="12.9" customHeight="1" x14ac:dyDescent="0.25">
      <c r="B244" s="21">
        <v>45166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>
        <v>390</v>
      </c>
      <c r="M244" s="28" t="str">
        <f t="shared" si="95"/>
        <v/>
      </c>
      <c r="O244" s="19">
        <f>IF(L244="",1,0)</f>
        <v>0</v>
      </c>
    </row>
    <row r="245" spans="2:17" ht="12.9" customHeight="1" x14ac:dyDescent="0.25">
      <c r="B245" s="21">
        <v>45167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" customHeight="1" x14ac:dyDescent="0.25">
      <c r="B246" s="21">
        <v>45168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" customHeight="1" x14ac:dyDescent="0.25">
      <c r="B247" s="21">
        <v>45169</v>
      </c>
      <c r="C247" s="168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" customHeight="1" x14ac:dyDescent="0.25">
      <c r="B248" s="21">
        <v>45170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" customHeight="1" x14ac:dyDescent="0.25">
      <c r="B249" s="21">
        <v>45171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" customHeight="1" x14ac:dyDescent="0.25">
      <c r="B250" s="21">
        <v>45172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" customHeight="1" x14ac:dyDescent="0.25">
      <c r="B251" s="21">
        <v>45173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" customHeight="1" x14ac:dyDescent="0.25">
      <c r="B252" s="21">
        <v>45174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" customHeight="1" x14ac:dyDescent="0.25">
      <c r="B253" s="21">
        <v>45175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" customHeight="1" x14ac:dyDescent="0.25">
      <c r="B254" s="21">
        <v>45176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" customHeight="1" x14ac:dyDescent="0.25">
      <c r="B255" s="21">
        <v>45177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" customHeight="1" x14ac:dyDescent="0.25">
      <c r="B256" s="21">
        <v>45178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" customHeight="1" x14ac:dyDescent="0.25">
      <c r="B257" s="21">
        <v>45179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" customHeight="1" x14ac:dyDescent="0.25">
      <c r="B258" s="21">
        <v>45180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" customHeight="1" x14ac:dyDescent="0.25">
      <c r="B259" s="21">
        <v>45181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" customHeight="1" x14ac:dyDescent="0.25">
      <c r="B260" s="21">
        <v>45182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" customHeight="1" x14ac:dyDescent="0.25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" customHeight="1" x14ac:dyDescent="0.25">
      <c r="B262" s="21">
        <v>45184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" customHeight="1" x14ac:dyDescent="0.25">
      <c r="B263" s="21">
        <v>45185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" customHeight="1" x14ac:dyDescent="0.25">
      <c r="B264" s="21">
        <v>45186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" customHeight="1" x14ac:dyDescent="0.25">
      <c r="B265" s="21">
        <v>45187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" customHeight="1" thickBot="1" x14ac:dyDescent="0.3">
      <c r="B266" s="21">
        <v>45188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" customHeight="1" x14ac:dyDescent="0.25">
      <c r="B267" s="21">
        <v>45189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86" t="s">
        <v>66</v>
      </c>
      <c r="O267" s="186" t="s">
        <v>67</v>
      </c>
      <c r="Q267" s="19">
        <f t="shared" si="98"/>
        <v>1</v>
      </c>
    </row>
    <row r="268" spans="2:17" ht="12.9" customHeight="1" x14ac:dyDescent="0.25">
      <c r="B268" s="21">
        <v>45190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87"/>
      <c r="O268" s="187"/>
      <c r="Q268" s="19">
        <f t="shared" si="98"/>
        <v>1</v>
      </c>
    </row>
    <row r="269" spans="2:17" ht="12.9" customHeight="1" thickBot="1" x14ac:dyDescent="0.3">
      <c r="B269" s="21">
        <v>45191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88"/>
      <c r="O269" s="188"/>
      <c r="Q269" s="19">
        <f t="shared" si="98"/>
        <v>1</v>
      </c>
    </row>
    <row r="270" spans="2:17" ht="12.9" customHeight="1" thickBot="1" x14ac:dyDescent="0.3">
      <c r="B270" s="21">
        <v>45192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ref="J270:J272" si="103">IF(E270="","",+(E270-E269))</f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" customHeight="1" x14ac:dyDescent="0.25">
      <c r="B271" s="21">
        <v>45193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>IF(D271="","",+(D271-D270))</f>
        <v/>
      </c>
      <c r="J271" s="26" t="str">
        <f t="shared" si="103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86" t="s">
        <v>68</v>
      </c>
      <c r="O271" s="186" t="s">
        <v>69</v>
      </c>
      <c r="Q271" s="19">
        <f t="shared" si="98"/>
        <v>1</v>
      </c>
    </row>
    <row r="272" spans="2:17" ht="12.9" customHeight="1" thickBot="1" x14ac:dyDescent="0.3">
      <c r="B272" s="21">
        <v>45194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3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88"/>
      <c r="O272" s="188"/>
      <c r="Q272" s="19">
        <f t="shared" si="98"/>
        <v>1</v>
      </c>
    </row>
    <row r="273" spans="2:17" ht="12.9" customHeight="1" thickBot="1" x14ac:dyDescent="0.3">
      <c r="B273" s="21">
        <v>45195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" customHeight="1" x14ac:dyDescent="0.25">
      <c r="B274" s="21">
        <v>45196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" customHeight="1" x14ac:dyDescent="0.25">
      <c r="B275" s="21">
        <v>45197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" customHeight="1" x14ac:dyDescent="0.25">
      <c r="B276" s="21">
        <v>45198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" customHeight="1" x14ac:dyDescent="0.25">
      <c r="B277" s="21">
        <v>45199</v>
      </c>
      <c r="C277" s="168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" customHeight="1" x14ac:dyDescent="0.25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" customHeight="1" x14ac:dyDescent="0.25">
      <c r="B279" s="21">
        <v>45201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" customHeight="1" x14ac:dyDescent="0.25">
      <c r="B280" s="21">
        <v>45202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" customHeight="1" x14ac:dyDescent="0.25">
      <c r="B281" s="21">
        <v>45203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" customHeight="1" x14ac:dyDescent="0.25">
      <c r="B282" s="21">
        <v>45204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" customHeight="1" x14ac:dyDescent="0.25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" customHeight="1" x14ac:dyDescent="0.25">
      <c r="B284" s="21">
        <v>45206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" customHeight="1" x14ac:dyDescent="0.25">
      <c r="B285" s="21">
        <v>45207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" customHeight="1" x14ac:dyDescent="0.25">
      <c r="B286" s="21">
        <v>45208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" customHeight="1" x14ac:dyDescent="0.25">
      <c r="B287" s="21">
        <v>45209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" customHeight="1" x14ac:dyDescent="0.25">
      <c r="B288" s="21">
        <v>45210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" customHeight="1" x14ac:dyDescent="0.25">
      <c r="B289" s="21">
        <v>45211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" customHeight="1" x14ac:dyDescent="0.25">
      <c r="B290" s="21">
        <v>45212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" customHeight="1" x14ac:dyDescent="0.25">
      <c r="B291" s="21">
        <v>45213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" customHeight="1" x14ac:dyDescent="0.25">
      <c r="B292" s="21">
        <v>45214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" customHeight="1" x14ac:dyDescent="0.25">
      <c r="B293" s="21">
        <v>45215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" customHeight="1" x14ac:dyDescent="0.25">
      <c r="B294" s="21">
        <v>45216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" customHeight="1" x14ac:dyDescent="0.25">
      <c r="B295" s="21">
        <v>45217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" customHeight="1" x14ac:dyDescent="0.25">
      <c r="B296" s="21">
        <v>45218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" customHeight="1" thickBot="1" x14ac:dyDescent="0.3">
      <c r="B297" s="21">
        <v>45219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" customHeight="1" x14ac:dyDescent="0.25">
      <c r="B298" s="21">
        <v>45220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6" t="s">
        <v>66</v>
      </c>
      <c r="O298" s="186" t="s">
        <v>67</v>
      </c>
      <c r="Q298" s="19">
        <f t="shared" si="104"/>
        <v>1</v>
      </c>
    </row>
    <row r="299" spans="2:17" ht="12.9" customHeight="1" x14ac:dyDescent="0.25">
      <c r="B299" s="21">
        <v>45221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7"/>
      <c r="O299" s="187"/>
      <c r="Q299" s="19">
        <f t="shared" si="104"/>
        <v>1</v>
      </c>
    </row>
    <row r="300" spans="2:17" ht="12.9" customHeight="1" thickBot="1" x14ac:dyDescent="0.3">
      <c r="B300" s="21">
        <v>45222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8"/>
      <c r="O300" s="188"/>
      <c r="Q300" s="19">
        <f t="shared" si="104"/>
        <v>1</v>
      </c>
    </row>
    <row r="301" spans="2:17" ht="12.9" customHeight="1" thickBot="1" x14ac:dyDescent="0.3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" customHeight="1" x14ac:dyDescent="0.25">
      <c r="B302" s="21">
        <v>45224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6" t="s">
        <v>68</v>
      </c>
      <c r="O302" s="186" t="s">
        <v>69</v>
      </c>
      <c r="Q302" s="19">
        <f t="shared" si="104"/>
        <v>1</v>
      </c>
    </row>
    <row r="303" spans="2:17" ht="12.9" customHeight="1" thickBot="1" x14ac:dyDescent="0.3">
      <c r="B303" s="21">
        <v>45225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8"/>
      <c r="O303" s="188"/>
      <c r="Q303" s="19">
        <f t="shared" si="104"/>
        <v>1</v>
      </c>
    </row>
    <row r="304" spans="2:17" ht="12.9" customHeight="1" thickBot="1" x14ac:dyDescent="0.3">
      <c r="B304" s="21">
        <v>45226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" customHeight="1" x14ac:dyDescent="0.25">
      <c r="B305" s="21">
        <v>45227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45228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45229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45230</v>
      </c>
      <c r="C308" s="168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" customHeight="1" x14ac:dyDescent="0.25">
      <c r="B309" s="21">
        <v>45231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" customHeight="1" x14ac:dyDescent="0.25">
      <c r="B310" s="21">
        <v>45232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" customHeight="1" x14ac:dyDescent="0.25">
      <c r="B311" s="21">
        <v>45233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" customHeight="1" x14ac:dyDescent="0.25">
      <c r="B312" s="21">
        <v>45234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" customHeight="1" x14ac:dyDescent="0.25">
      <c r="A313" s="8" t="s">
        <v>74</v>
      </c>
      <c r="B313" s="21">
        <v>45235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" customHeight="1" x14ac:dyDescent="0.25">
      <c r="B314" s="21">
        <v>45236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" customHeight="1" x14ac:dyDescent="0.25">
      <c r="B315" s="21">
        <v>45237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" customHeight="1" x14ac:dyDescent="0.25">
      <c r="B316" s="21">
        <v>45238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" customHeight="1" x14ac:dyDescent="0.25">
      <c r="B317" s="21">
        <v>45239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" customHeight="1" x14ac:dyDescent="0.25">
      <c r="B318" s="21">
        <v>45240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" customHeight="1" x14ac:dyDescent="0.25">
      <c r="B319" s="21">
        <v>45241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" customHeight="1" x14ac:dyDescent="0.25">
      <c r="B320" s="21">
        <v>45242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" customHeight="1" x14ac:dyDescent="0.25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" customHeight="1" x14ac:dyDescent="0.25">
      <c r="B322" s="21">
        <v>45244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" customHeight="1" x14ac:dyDescent="0.25">
      <c r="B323" s="21">
        <v>45245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" customHeight="1" x14ac:dyDescent="0.25">
      <c r="A324" s="8" t="s">
        <v>75</v>
      </c>
      <c r="B324" s="21">
        <v>45246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" customHeight="1" x14ac:dyDescent="0.25">
      <c r="B325" s="21">
        <v>45247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" customHeight="1" x14ac:dyDescent="0.25">
      <c r="B326" s="21">
        <v>45248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9" si="106">IF(H326="","",+(H326+I326+J326+K326))</f>
        <v/>
      </c>
      <c r="Q326" s="19">
        <f t="shared" si="104"/>
        <v>1</v>
      </c>
    </row>
    <row r="327" spans="1:17" ht="12.9" customHeight="1" thickBot="1" x14ac:dyDescent="0.3">
      <c r="B327" s="21">
        <v>45249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" customHeight="1" x14ac:dyDescent="0.25">
      <c r="B328" s="21">
        <v>45250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6" t="s">
        <v>66</v>
      </c>
      <c r="O328" s="186" t="s">
        <v>67</v>
      </c>
      <c r="Q328" s="19">
        <f t="shared" si="104"/>
        <v>1</v>
      </c>
    </row>
    <row r="329" spans="1:17" ht="12.9" customHeight="1" x14ac:dyDescent="0.25">
      <c r="B329" s="21">
        <v>45251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7"/>
      <c r="O329" s="187"/>
      <c r="Q329" s="19">
        <f t="shared" si="104"/>
        <v>1</v>
      </c>
    </row>
    <row r="330" spans="1:17" ht="12.9" customHeight="1" thickBot="1" x14ac:dyDescent="0.3">
      <c r="B330" s="21">
        <v>45252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8"/>
      <c r="O330" s="188"/>
      <c r="Q330" s="19">
        <f t="shared" si="104"/>
        <v>1</v>
      </c>
    </row>
    <row r="331" spans="1:17" ht="12.9" customHeight="1" thickBot="1" x14ac:dyDescent="0.3">
      <c r="B331" s="21">
        <v>45253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" customHeight="1" x14ac:dyDescent="0.25">
      <c r="B332" s="21">
        <v>45254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6" t="s">
        <v>68</v>
      </c>
      <c r="O332" s="186" t="s">
        <v>69</v>
      </c>
      <c r="Q332" s="19">
        <f t="shared" si="104"/>
        <v>1</v>
      </c>
    </row>
    <row r="333" spans="1:17" ht="12.9" customHeight="1" thickBot="1" x14ac:dyDescent="0.3">
      <c r="B333" s="21">
        <v>45255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8"/>
      <c r="O333" s="188"/>
      <c r="Q333" s="19">
        <f t="shared" si="104"/>
        <v>1</v>
      </c>
    </row>
    <row r="334" spans="1:17" ht="12.9" customHeight="1" thickBot="1" x14ac:dyDescent="0.3">
      <c r="B334" s="21">
        <v>45256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" customHeight="1" x14ac:dyDescent="0.25">
      <c r="B335" s="21">
        <v>45257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" customHeight="1" x14ac:dyDescent="0.25">
      <c r="B336" s="21">
        <v>45258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9" ht="12.9" customHeight="1" x14ac:dyDescent="0.25">
      <c r="B337" s="21">
        <v>45259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9" ht="12.9" customHeight="1" x14ac:dyDescent="0.25">
      <c r="B338" s="21">
        <v>45260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9" ht="12.9" customHeight="1" x14ac:dyDescent="0.25">
      <c r="B339" s="21">
        <v>45261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9" ht="12.9" customHeight="1" x14ac:dyDescent="0.25">
      <c r="B340" s="21">
        <v>45262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9" ht="12.9" customHeight="1" x14ac:dyDescent="0.25">
      <c r="B341" s="21">
        <v>45263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9" ht="12.9" customHeight="1" x14ac:dyDescent="0.25">
      <c r="B342" s="21">
        <v>45264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9" ht="12.9" customHeight="1" x14ac:dyDescent="0.25">
      <c r="B343" s="21">
        <v>45265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9" ht="12.9" customHeight="1" x14ac:dyDescent="0.25">
      <c r="B344" s="21">
        <v>45266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9" ht="12.9" customHeight="1" x14ac:dyDescent="0.25">
      <c r="B345" s="21">
        <v>45267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9" ht="12.9" customHeight="1" x14ac:dyDescent="0.25">
      <c r="B346" s="21">
        <v>45268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9" ht="12.9" customHeight="1" x14ac:dyDescent="0.25">
      <c r="B347" s="21">
        <v>45269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9" ht="12.9" customHeight="1" x14ac:dyDescent="0.25">
      <c r="B348" s="21">
        <v>45270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9" ht="12.9" customHeight="1" x14ac:dyDescent="0.25">
      <c r="B349" s="21">
        <v>45271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  <c r="S349" s="179" t="s">
        <v>76</v>
      </c>
    </row>
    <row r="350" spans="2:19" ht="12.9" customHeight="1" x14ac:dyDescent="0.25">
      <c r="B350" s="21">
        <v>45272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9" ht="12.9" customHeight="1" x14ac:dyDescent="0.25">
      <c r="B351" s="21">
        <v>45273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9" ht="12.9" customHeight="1" x14ac:dyDescent="0.25">
      <c r="B352" s="21">
        <v>45274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" customHeight="1" x14ac:dyDescent="0.25">
      <c r="B353" s="21">
        <v>45275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" customHeight="1" x14ac:dyDescent="0.25">
      <c r="B354" s="21">
        <v>45276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" customHeight="1" x14ac:dyDescent="0.25">
      <c r="B355" s="21">
        <v>45277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" customHeight="1" x14ac:dyDescent="0.25">
      <c r="B356" s="21">
        <v>45278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" customHeight="1" x14ac:dyDescent="0.25">
      <c r="B357" s="21">
        <v>45279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" customHeight="1" thickBot="1" x14ac:dyDescent="0.3">
      <c r="B358" s="21">
        <v>45280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" customHeight="1" x14ac:dyDescent="0.25">
      <c r="B359" s="21">
        <v>45281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6" t="s">
        <v>66</v>
      </c>
      <c r="O359" s="186" t="s">
        <v>67</v>
      </c>
      <c r="Q359" s="19">
        <f t="shared" si="108"/>
        <v>1</v>
      </c>
    </row>
    <row r="360" spans="2:17" ht="12.9" customHeight="1" x14ac:dyDescent="0.25">
      <c r="B360" s="21">
        <v>45282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7"/>
      <c r="O360" s="187"/>
      <c r="Q360" s="19">
        <f t="shared" si="108"/>
        <v>1</v>
      </c>
    </row>
    <row r="361" spans="2:17" ht="12.9" customHeight="1" thickBot="1" x14ac:dyDescent="0.3">
      <c r="B361" s="21">
        <v>45283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8"/>
      <c r="O361" s="188"/>
      <c r="Q361" s="19">
        <f t="shared" si="108"/>
        <v>1</v>
      </c>
    </row>
    <row r="362" spans="2:17" ht="12.9" customHeight="1" thickBot="1" x14ac:dyDescent="0.3">
      <c r="B362" s="21">
        <v>45284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" customHeight="1" x14ac:dyDescent="0.25">
      <c r="B363" s="21">
        <v>45285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6" t="s">
        <v>68</v>
      </c>
      <c r="O363" s="186" t="s">
        <v>69</v>
      </c>
      <c r="Q363" s="19">
        <f t="shared" si="108"/>
        <v>1</v>
      </c>
    </row>
    <row r="364" spans="2:17" ht="12.9" customHeight="1" thickBot="1" x14ac:dyDescent="0.3">
      <c r="B364" s="21">
        <v>45286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8"/>
      <c r="O364" s="188"/>
      <c r="Q364" s="19">
        <f t="shared" si="108"/>
        <v>1</v>
      </c>
    </row>
    <row r="365" spans="2:17" ht="12.9" customHeight="1" thickBot="1" x14ac:dyDescent="0.3">
      <c r="B365" s="21">
        <v>45287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" customHeight="1" x14ac:dyDescent="0.25">
      <c r="B366" s="21">
        <v>45288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" customHeight="1" x14ac:dyDescent="0.25">
      <c r="B367" s="21">
        <v>45289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" customHeight="1" x14ac:dyDescent="0.25">
      <c r="B368" s="21">
        <v>45290</v>
      </c>
      <c r="C368" s="39"/>
      <c r="D368" s="22"/>
      <c r="E368" s="23"/>
      <c r="F368" s="24"/>
      <c r="G368" s="25"/>
      <c r="H368" s="26" t="str">
        <f t="shared" ref="H368:L369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" customHeight="1" x14ac:dyDescent="0.25">
      <c r="B369" s="21">
        <v>45291</v>
      </c>
      <c r="C369" s="168"/>
      <c r="D369" s="174"/>
      <c r="E369" s="174"/>
      <c r="F369" s="174"/>
      <c r="G369" s="174"/>
      <c r="H369" s="26" t="str">
        <f t="shared" si="109"/>
        <v/>
      </c>
      <c r="I369" s="26" t="str">
        <f t="shared" si="109"/>
        <v/>
      </c>
      <c r="J369" s="26" t="str">
        <f t="shared" si="109"/>
        <v/>
      </c>
      <c r="K369" s="26" t="str">
        <f t="shared" si="109"/>
        <v/>
      </c>
      <c r="L369" s="27" t="str">
        <f t="shared" si="109"/>
        <v/>
      </c>
      <c r="M369" s="28" t="str">
        <f t="shared" si="106"/>
        <v/>
      </c>
      <c r="Q369" s="19">
        <f t="shared" si="108"/>
        <v>1</v>
      </c>
    </row>
    <row r="383" spans="2:17" x14ac:dyDescent="0.3">
      <c r="C383" s="179"/>
    </row>
    <row r="391" ht="12.75" customHeight="1" x14ac:dyDescent="0.3"/>
    <row r="395" ht="12.75" customHeight="1" x14ac:dyDescent="0.3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80EBA-6510-467D-A9A6-755C99433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http://schemas.microsoft.com/office/infopath/2007/PartnerControls"/>
    <ds:schemaRef ds:uri="d07fdfd0-8ece-48a6-a46c-61dc91b6cdb1"/>
    <ds:schemaRef ds:uri="d3bc10bb-75bd-4551-a23f-828185d5ce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Khoury</cp:lastModifiedBy>
  <cp:revision/>
  <dcterms:created xsi:type="dcterms:W3CDTF">2021-02-26T04:38:42Z</dcterms:created>
  <dcterms:modified xsi:type="dcterms:W3CDTF">2023-01-31T08:52:59Z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