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460" tabRatio="579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D26" i="73" l="1"/>
  <c r="D25" i="73"/>
  <c r="D24" i="73"/>
  <c r="D23" i="73"/>
  <c r="D22" i="73"/>
  <c r="F19" i="2" l="1"/>
  <c r="F20" i="2" s="1"/>
  <c r="AC4" i="1" l="1"/>
  <c r="AF14" i="1"/>
  <c r="AF15" i="1"/>
  <c r="AF16" i="1"/>
  <c r="AF17" i="1"/>
  <c r="J2" i="3" l="1"/>
  <c r="B2" i="3"/>
  <c r="B4" i="3" l="1"/>
  <c r="C3" i="76" l="1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AR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S5" i="7"/>
  <c r="AT5" i="7"/>
  <c r="AU5" i="7"/>
  <c r="AV5" i="7"/>
  <c r="AW5" i="7"/>
  <c r="AX5" i="7"/>
  <c r="AQ5" i="7"/>
  <c r="C2" i="3"/>
  <c r="D2" i="3"/>
  <c r="E2" i="3"/>
  <c r="F2" i="3"/>
  <c r="G2" i="3"/>
  <c r="H2" i="3"/>
  <c r="I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AT5" i="5"/>
  <c r="AT6" i="5" s="1"/>
  <c r="AT7" i="5" s="1"/>
  <c r="AT8" i="5" s="1"/>
  <c r="AT13" i="5" s="1"/>
  <c r="AT14" i="5" s="1"/>
  <c r="AT15" i="5" s="1"/>
  <c r="AT19" i="5" s="1"/>
  <c r="AT20" i="5" s="1"/>
  <c r="AT21" i="5" s="1"/>
  <c r="AT22" i="5" s="1"/>
  <c r="AT28" i="5" s="1"/>
  <c r="AT29" i="5" s="1"/>
  <c r="AT30" i="5" s="1"/>
  <c r="AT32" i="5" s="1"/>
  <c r="AT33" i="5" s="1"/>
  <c r="AT34" i="5" s="1"/>
  <c r="AT35" i="5" s="1"/>
  <c r="AT36" i="5" s="1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B4" i="1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E3" i="2"/>
  <c r="D3" i="2"/>
  <c r="C20" i="77" l="1"/>
  <c r="C18" i="77"/>
  <c r="C16" i="77"/>
  <c r="C15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W15" i="76"/>
  <c r="X15" i="76"/>
  <c r="Y15" i="76"/>
  <c r="W4" i="76"/>
  <c r="AC11" i="76"/>
  <c r="AC12" i="76"/>
  <c r="AC13" i="76"/>
  <c r="AC14" i="76"/>
  <c r="AC15" i="76"/>
  <c r="AC16" i="76"/>
  <c r="AC17" i="76"/>
  <c r="AC18" i="76"/>
  <c r="AC19" i="76"/>
  <c r="AB11" i="76"/>
  <c r="AB12" i="76"/>
  <c r="AB13" i="76"/>
  <c r="AB14" i="76"/>
  <c r="AB15" i="76"/>
  <c r="AB16" i="76"/>
  <c r="AB17" i="76"/>
  <c r="AB18" i="76"/>
  <c r="AB19" i="76"/>
  <c r="AA11" i="76"/>
  <c r="AA12" i="76"/>
  <c r="AA13" i="76"/>
  <c r="AA14" i="76"/>
  <c r="AA15" i="76"/>
  <c r="AA16" i="76"/>
  <c r="AA17" i="76"/>
  <c r="AA18" i="76"/>
  <c r="V10" i="76"/>
  <c r="W10" i="76"/>
  <c r="X10" i="76"/>
  <c r="Y10" i="76"/>
  <c r="Z10" i="76"/>
  <c r="AA10" i="76"/>
  <c r="AB10" i="76"/>
  <c r="AC10" i="76"/>
  <c r="AD10" i="76"/>
  <c r="AE10" i="76"/>
  <c r="AF10" i="76"/>
  <c r="V11" i="76"/>
  <c r="W11" i="76"/>
  <c r="X11" i="76"/>
  <c r="Y11" i="76"/>
  <c r="Z11" i="76"/>
  <c r="AD11" i="76"/>
  <c r="AE11" i="76"/>
  <c r="AF11" i="76"/>
  <c r="W9" i="76"/>
  <c r="X9" i="76"/>
  <c r="Y9" i="76"/>
  <c r="Z9" i="76"/>
  <c r="AA9" i="76"/>
  <c r="AB9" i="76"/>
  <c r="AC9" i="76"/>
  <c r="AD9" i="76"/>
  <c r="AE9" i="76"/>
  <c r="AF9" i="76"/>
  <c r="V9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6" i="76" s="1"/>
  <c r="B27" i="76" s="1"/>
  <c r="B28" i="76" s="1"/>
  <c r="B29" i="76" s="1"/>
  <c r="B30" i="76" s="1"/>
  <c r="B31" i="76" s="1"/>
  <c r="B32" i="76" s="1"/>
  <c r="B33" i="76" s="1"/>
  <c r="B34" i="76" s="1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6" i="76" s="1"/>
  <c r="H27" i="76" s="1"/>
  <c r="H28" i="76" s="1"/>
  <c r="H29" i="76" s="1"/>
  <c r="H30" i="76" s="1"/>
  <c r="H31" i="76" s="1"/>
  <c r="H32" i="76" s="1"/>
  <c r="H33" i="76" s="1"/>
  <c r="H34" i="76" s="1"/>
  <c r="A3" i="76"/>
  <c r="AY5" i="7"/>
  <c r="AZ5" i="7"/>
  <c r="BA5" i="7"/>
  <c r="BB5" i="7"/>
  <c r="A5" i="7"/>
  <c r="B5" i="3"/>
  <c r="B11" i="3" s="1"/>
  <c r="B12" i="3" s="1"/>
  <c r="B18" i="3" s="1"/>
  <c r="B19" i="3" s="1"/>
  <c r="B24" i="3" s="1"/>
  <c r="B25" i="3" s="1"/>
  <c r="B26" i="3" s="1"/>
  <c r="B28" i="3" s="1"/>
  <c r="B29" i="3" s="1"/>
  <c r="B30" i="3" s="1"/>
  <c r="B31" i="3" s="1"/>
  <c r="B32" i="3" s="1"/>
  <c r="B33" i="3" s="1"/>
  <c r="A2" i="3"/>
  <c r="AV7" i="5"/>
  <c r="AV8" i="5" s="1"/>
  <c r="AV9" i="5" s="1"/>
  <c r="AV14" i="5" s="1"/>
  <c r="AV15" i="5" s="1"/>
  <c r="AV20" i="5" s="1"/>
  <c r="AV21" i="5" s="1"/>
  <c r="AV22" i="5" s="1"/>
  <c r="AV24" i="5" s="1"/>
  <c r="AV27" i="5" s="1"/>
  <c r="AV28" i="5" s="1"/>
  <c r="AV29" i="5" s="1"/>
  <c r="AV30" i="5" s="1"/>
  <c r="AV32" i="5" s="1"/>
  <c r="AV33" i="5" s="1"/>
  <c r="AV34" i="5" s="1"/>
  <c r="AV35" i="5" s="1"/>
  <c r="AV36" i="5" s="1"/>
  <c r="AX7" i="5"/>
  <c r="AX8" i="5" s="1"/>
  <c r="AX14" i="5" s="1"/>
  <c r="AX15" i="5" s="1"/>
  <c r="AX20" i="5" s="1"/>
  <c r="AX21" i="5" s="1"/>
  <c r="AX22" i="5" s="1"/>
  <c r="AX24" i="5" s="1"/>
  <c r="AX28" i="5" s="1"/>
  <c r="AX29" i="5" s="1"/>
  <c r="AX30" i="5" s="1"/>
  <c r="AX32" i="5" s="1"/>
  <c r="AX33" i="5" s="1"/>
  <c r="AX34" i="5" s="1"/>
  <c r="AX35" i="5" s="1"/>
  <c r="AX36" i="5" s="1"/>
  <c r="AS5" i="5"/>
  <c r="AR5" i="5"/>
  <c r="A5" i="5"/>
  <c r="Q5" i="1"/>
  <c r="Q6" i="1" s="1"/>
  <c r="Q7" i="1" s="1"/>
  <c r="Q8" i="1" s="1"/>
  <c r="Q9" i="1" s="1"/>
  <c r="Q10" i="1" s="1"/>
  <c r="Q11" i="1" s="1"/>
  <c r="Q12" i="1" s="1"/>
  <c r="Q13" i="1" s="1"/>
  <c r="Q14" i="1" s="1"/>
  <c r="Q19" i="1" s="1"/>
  <c r="Q20" i="1" s="1"/>
  <c r="Q21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P5" i="1"/>
  <c r="P6" i="1" s="1"/>
  <c r="P7" i="1" s="1"/>
  <c r="P8" i="1" s="1"/>
  <c r="P9" i="1" s="1"/>
  <c r="P10" i="1" s="1"/>
  <c r="P11" i="1" s="1"/>
  <c r="P12" i="1" s="1"/>
  <c r="P13" i="1" s="1"/>
  <c r="P14" i="1" s="1"/>
  <c r="P16" i="1" s="1"/>
  <c r="P17" i="1" s="1"/>
  <c r="P19" i="1" s="1"/>
  <c r="P20" i="1" s="1"/>
  <c r="P21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C6" i="1"/>
  <c r="C7" i="1" s="1"/>
  <c r="C13" i="1" s="1"/>
  <c r="C14" i="1" s="1"/>
  <c r="C20" i="1" s="1"/>
  <c r="C21" i="1" s="1"/>
  <c r="C27" i="1" s="1"/>
  <c r="C28" i="1" s="1"/>
  <c r="C30" i="1" s="1"/>
  <c r="C31" i="1" s="1"/>
  <c r="C32" i="1" s="1"/>
  <c r="C33" i="1" s="1"/>
  <c r="C34" i="1" s="1"/>
  <c r="C35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7" i="1" s="1"/>
  <c r="H28" i="1" s="1"/>
  <c r="H30" i="1" s="1"/>
  <c r="H31" i="1" s="1"/>
  <c r="H32" i="1" s="1"/>
  <c r="H33" i="1" s="1"/>
  <c r="H34" i="1" s="1"/>
  <c r="H35" i="1" s="1"/>
  <c r="K5" i="1"/>
  <c r="K6" i="1" s="1"/>
  <c r="K7" i="1" s="1"/>
  <c r="K12" i="1" s="1"/>
  <c r="K13" i="1" s="1"/>
  <c r="K14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M6" i="1"/>
  <c r="M7" i="1" s="1"/>
  <c r="M12" i="1" s="1"/>
  <c r="M13" i="1" s="1"/>
  <c r="M14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8" i="1" s="1"/>
  <c r="X19" i="1" s="1"/>
  <c r="X20" i="1" s="1"/>
  <c r="X21" i="1" s="1"/>
  <c r="X22" i="1" s="1"/>
  <c r="X23" i="1" s="1"/>
  <c r="X24" i="1" s="1"/>
  <c r="X25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8" i="1" s="1"/>
  <c r="Z19" i="1" s="1"/>
  <c r="Z20" i="1" s="1"/>
  <c r="Z21" i="1" s="1"/>
  <c r="Z22" i="1" s="1"/>
  <c r="Z23" i="1" s="1"/>
  <c r="Z24" i="1" s="1"/>
  <c r="Z25" i="1" s="1"/>
  <c r="Z27" i="1" s="1"/>
  <c r="Z28" i="1" s="1"/>
  <c r="Z29" i="1" s="1"/>
  <c r="Z30" i="1" s="1"/>
  <c r="Z31" i="1" s="1"/>
  <c r="Z32" i="1" s="1"/>
  <c r="Z33" i="1" s="1"/>
  <c r="Z34" i="1" s="1"/>
  <c r="Z35" i="1" s="1"/>
  <c r="AC5" i="1"/>
  <c r="AE5" i="1"/>
  <c r="AX4" i="1"/>
  <c r="B6" i="1"/>
  <c r="B7" i="1" s="1"/>
  <c r="B13" i="1" s="1"/>
  <c r="B14" i="1" s="1"/>
  <c r="B20" i="1" s="1"/>
  <c r="B21" i="1" s="1"/>
  <c r="B27" i="1" s="1"/>
  <c r="B28" i="1" s="1"/>
  <c r="B30" i="1" s="1"/>
  <c r="B31" i="1" s="1"/>
  <c r="B32" i="1" s="1"/>
  <c r="B33" i="1" s="1"/>
  <c r="B34" i="1" s="1"/>
  <c r="B35" i="1" s="1"/>
  <c r="A4" i="1"/>
  <c r="J5" i="2"/>
  <c r="J6" i="2" s="1"/>
  <c r="J12" i="2" s="1"/>
  <c r="J13" i="2" s="1"/>
  <c r="J19" i="2" s="1"/>
  <c r="J20" i="2" s="1"/>
  <c r="J26" i="2" s="1"/>
  <c r="J27" i="2" s="1"/>
  <c r="J29" i="2" s="1"/>
  <c r="J30" i="2" s="1"/>
  <c r="J31" i="2" s="1"/>
  <c r="J32" i="2" s="1"/>
  <c r="J33" i="2" s="1"/>
  <c r="J34" i="2" s="1"/>
  <c r="L5" i="2"/>
  <c r="L6" i="2" s="1"/>
  <c r="L12" i="2" s="1"/>
  <c r="L13" i="2" s="1"/>
  <c r="L19" i="2" s="1"/>
  <c r="L20" i="2" s="1"/>
  <c r="L26" i="2" s="1"/>
  <c r="L27" i="2" s="1"/>
  <c r="L29" i="2" s="1"/>
  <c r="L30" i="2" s="1"/>
  <c r="L31" i="2" s="1"/>
  <c r="L32" i="2" s="1"/>
  <c r="L33" i="2" s="1"/>
  <c r="L34" i="2" s="1"/>
  <c r="D5" i="2"/>
  <c r="D6" i="2" s="1"/>
  <c r="D12" i="2" s="1"/>
  <c r="D13" i="2" s="1"/>
  <c r="D19" i="2" s="1"/>
  <c r="D20" i="2" s="1"/>
  <c r="D26" i="2" s="1"/>
  <c r="D27" i="2" s="1"/>
  <c r="D29" i="2" s="1"/>
  <c r="D30" i="2" s="1"/>
  <c r="D31" i="2" s="1"/>
  <c r="D32" i="2" s="1"/>
  <c r="D33" i="2" s="1"/>
  <c r="D34" i="2" s="1"/>
  <c r="C3" i="2"/>
  <c r="P5" i="2"/>
  <c r="P6" i="2" s="1"/>
  <c r="P12" i="2" s="1"/>
  <c r="P13" i="2" s="1"/>
  <c r="P18" i="2" s="1"/>
  <c r="P19" i="2" s="1"/>
  <c r="P20" i="2" s="1"/>
  <c r="P26" i="2" s="1"/>
  <c r="P27" i="2" s="1"/>
  <c r="P29" i="2" s="1"/>
  <c r="P30" i="2" s="1"/>
  <c r="P31" i="2" s="1"/>
  <c r="P32" i="2" s="1"/>
  <c r="P33" i="2" s="1"/>
  <c r="P34" i="2" s="1"/>
  <c r="H5" i="2"/>
  <c r="H6" i="2" s="1"/>
  <c r="H12" i="2" s="1"/>
  <c r="H13" i="2" s="1"/>
  <c r="H19" i="2" s="1"/>
  <c r="H20" i="2" s="1"/>
  <c r="H26" i="2" s="1"/>
  <c r="H27" i="2" s="1"/>
  <c r="H29" i="2" s="1"/>
  <c r="H30" i="2" s="1"/>
  <c r="H31" i="2" s="1"/>
  <c r="H32" i="2" s="1"/>
  <c r="H33" i="2" s="1"/>
  <c r="H34" i="2" s="1"/>
  <c r="F5" i="2"/>
  <c r="F6" i="2" s="1"/>
  <c r="F12" i="2" s="1"/>
  <c r="F13" i="2" s="1"/>
  <c r="F26" i="2" s="1"/>
  <c r="F27" i="2" s="1"/>
  <c r="F29" i="2" s="1"/>
  <c r="F30" i="2" s="1"/>
  <c r="F31" i="2" s="1"/>
  <c r="F32" i="2" s="1"/>
  <c r="F33" i="2" s="1"/>
  <c r="F34" i="2" s="1"/>
  <c r="V28" i="76" l="1"/>
  <c r="V27" i="76"/>
  <c r="V26" i="76"/>
  <c r="C17" i="77" l="1"/>
  <c r="C19" i="77"/>
  <c r="B49" i="74" l="1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C5" i="7"/>
  <c r="BD5" i="7"/>
  <c r="BE5" i="7"/>
  <c r="BF5" i="7"/>
  <c r="BG5" i="7"/>
  <c r="BH5" i="7"/>
  <c r="BI5" i="7"/>
  <c r="AE6" i="1"/>
  <c r="AE7" i="1" s="1"/>
  <c r="AE8" i="1" s="1"/>
  <c r="AE9" i="1" s="1"/>
  <c r="AE10" i="1" s="1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7" i="3" s="1"/>
  <c r="R8" i="3" s="1"/>
  <c r="R9" i="3" s="1"/>
  <c r="R10" i="3" s="1"/>
  <c r="R12" i="3" s="1"/>
  <c r="R15" i="3" s="1"/>
  <c r="R16" i="3" s="1"/>
  <c r="R17" i="3" s="1"/>
  <c r="R18" i="3" s="1"/>
  <c r="R19" i="3" s="1"/>
  <c r="R20" i="3" s="1"/>
  <c r="R21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10" i="3" s="1"/>
  <c r="J11" i="3" s="1"/>
  <c r="J12" i="3" s="1"/>
  <c r="J13" i="3" s="1"/>
  <c r="J14" i="3" s="1"/>
  <c r="J15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G10" i="5" s="1"/>
  <c r="G11" i="5" s="1"/>
  <c r="G13" i="5" s="1"/>
  <c r="G14" i="5" s="1"/>
  <c r="G15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T6" i="5"/>
  <c r="T7" i="5" s="1"/>
  <c r="T8" i="5" s="1"/>
  <c r="T9" i="5" s="1"/>
  <c r="T10" i="5" s="1"/>
  <c r="T11" i="5" s="1"/>
  <c r="T12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C6" i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C24" i="1" l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14" i="1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D33" i="73"/>
  <c r="BA34" i="7" s="1"/>
  <c r="G33" i="73"/>
  <c r="K33" i="73"/>
  <c r="A34" i="73"/>
  <c r="D34" i="73"/>
  <c r="AM35" i="5" s="1"/>
  <c r="G34" i="73"/>
  <c r="K34" i="73"/>
  <c r="A35" i="73"/>
  <c r="D35" i="73"/>
  <c r="AM36" i="5" s="1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Z34" i="7"/>
  <c r="J33" i="1" l="1"/>
  <c r="AI31" i="3"/>
  <c r="S33" i="3"/>
  <c r="U33" i="3" s="1"/>
  <c r="AB34" i="7"/>
  <c r="B36" i="7"/>
  <c r="B35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Z35" i="7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Z36" i="7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D28" i="73"/>
  <c r="D29" i="73"/>
  <c r="D30" i="73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B6" i="7"/>
  <c r="N30" i="2" l="1"/>
  <c r="R30" i="2" s="1"/>
  <c r="O34" i="79"/>
  <c r="M35" i="79"/>
  <c r="Q31" i="2"/>
  <c r="M31" i="2"/>
  <c r="G31" i="2"/>
  <c r="K31" i="2"/>
  <c r="I31" i="2"/>
  <c r="B7" i="7"/>
  <c r="I4" i="2"/>
  <c r="G4" i="2"/>
  <c r="M36" i="79" l="1"/>
  <c r="O36" i="79" s="1"/>
  <c r="O35" i="79"/>
  <c r="N31" i="2"/>
  <c r="R31" i="2" s="1"/>
  <c r="B8" i="7"/>
  <c r="G5" i="2"/>
  <c r="B9" i="7" l="1"/>
  <c r="B10" i="7" l="1"/>
  <c r="B11" i="7" l="1"/>
  <c r="F38" i="5"/>
  <c r="B12" i="7" l="1"/>
  <c r="B13" i="7" l="1"/>
  <c r="B14" i="7" l="1"/>
  <c r="A19" i="76"/>
  <c r="B15" i="7" l="1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B16" i="7" l="1"/>
  <c r="B17" i="7" l="1"/>
  <c r="B18" i="7" l="1"/>
  <c r="B19" i="7" l="1"/>
  <c r="AA32" i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B20" i="7"/>
  <c r="U32" i="1"/>
  <c r="B21" i="7" l="1"/>
  <c r="H13" i="82" l="1"/>
  <c r="B22" i="7"/>
  <c r="A14" i="5"/>
  <c r="H14" i="82" l="1"/>
  <c r="B23" i="7"/>
  <c r="H15" i="82" l="1"/>
  <c r="B24" i="7"/>
  <c r="B25" i="7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B32" i="7" l="1"/>
  <c r="H24" i="82"/>
  <c r="I17" i="79"/>
  <c r="L17" i="1"/>
  <c r="B33" i="7" l="1"/>
  <c r="H25" i="82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C25" i="76" l="1"/>
  <c r="G19" i="76"/>
  <c r="L19" i="76" s="1"/>
  <c r="I19" i="76"/>
  <c r="M19" i="76" s="1"/>
  <c r="K18" i="76"/>
  <c r="N18" i="76" s="1"/>
  <c r="D18" i="76" l="1"/>
  <c r="E18" i="76" s="1"/>
  <c r="C26" i="76"/>
  <c r="I20" i="76"/>
  <c r="M18" i="76"/>
  <c r="L18" i="76"/>
  <c r="K19" i="76"/>
  <c r="N19" i="76" s="1"/>
  <c r="D19" i="76" l="1"/>
  <c r="E19" i="76" s="1"/>
  <c r="C27" i="76"/>
  <c r="I21" i="76"/>
  <c r="G20" i="76"/>
  <c r="K20" i="76"/>
  <c r="N20" i="76" s="1"/>
  <c r="D20" i="76" l="1"/>
  <c r="E20" i="76" s="1"/>
  <c r="C28" i="76"/>
  <c r="M20" i="76"/>
  <c r="L20" i="76"/>
  <c r="G21" i="76"/>
  <c r="K21" i="76"/>
  <c r="N21" i="76" s="1"/>
  <c r="D21" i="76" l="1"/>
  <c r="E21" i="76" s="1"/>
  <c r="C29" i="76"/>
  <c r="M21" i="76"/>
  <c r="K22" i="76"/>
  <c r="D22" i="76" s="1"/>
  <c r="E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AM18" i="5" s="1"/>
  <c r="D18" i="73"/>
  <c r="D20" i="73"/>
  <c r="D21" i="73"/>
  <c r="BA23" i="7"/>
  <c r="BA24" i="7"/>
  <c r="BA25" i="7"/>
  <c r="BA26" i="7"/>
  <c r="BA27" i="7"/>
  <c r="BA28" i="7"/>
  <c r="BA29" i="7"/>
  <c r="BA30" i="7"/>
  <c r="BA31" i="7"/>
  <c r="D31" i="73"/>
  <c r="D32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Z7" i="7"/>
  <c r="D6" i="1"/>
  <c r="E6" i="1" s="1"/>
  <c r="D5" i="1"/>
  <c r="E5" i="1" s="1"/>
  <c r="Z6" i="7"/>
  <c r="AB6" i="7" s="1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Z8" i="7"/>
  <c r="F4" i="82"/>
  <c r="G5" i="82"/>
  <c r="G6" i="1"/>
  <c r="I6" i="1"/>
  <c r="G7" i="1"/>
  <c r="K8" i="76"/>
  <c r="N8" i="76" s="1"/>
  <c r="I8" i="76"/>
  <c r="G8" i="76"/>
  <c r="Y10" i="5"/>
  <c r="R9" i="1"/>
  <c r="S8" i="1"/>
  <c r="Z9" i="7"/>
  <c r="AB9" i="7" s="1"/>
  <c r="D8" i="1"/>
  <c r="E8" i="1" s="1"/>
  <c r="E5" i="82"/>
  <c r="F5" i="82"/>
  <c r="I8" i="2"/>
  <c r="G6" i="82" s="1"/>
  <c r="G8" i="2"/>
  <c r="I6" i="82" s="1"/>
  <c r="I7" i="1"/>
  <c r="G8" i="1"/>
  <c r="R10" i="1"/>
  <c r="Z10" i="7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Z14" i="7"/>
  <c r="AB14" i="7" s="1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Z13" i="7"/>
  <c r="Z12" i="7"/>
  <c r="Z11" i="7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Z15" i="7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D37" i="73"/>
  <c r="B16" i="77" s="1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Z16" i="7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Z17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Z15" i="5"/>
  <c r="BC15" i="5" s="1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Z20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Z24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Z27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Z30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Z32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Z33" i="7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AD5" i="1"/>
  <c r="F5" i="75"/>
  <c r="G5" i="75" s="1"/>
  <c r="C5" i="65" l="1"/>
  <c r="E5" i="65" s="1"/>
  <c r="AI5" i="1"/>
  <c r="AD6" i="1"/>
  <c r="AG5" i="1"/>
  <c r="AM5" i="1"/>
  <c r="AF6" i="1"/>
  <c r="AH6" i="1" s="1"/>
  <c r="AD7" i="1" l="1"/>
  <c r="AF7" i="1"/>
  <c r="AH7" i="1" s="1"/>
  <c r="C6" i="65"/>
  <c r="E6" i="65" s="1"/>
  <c r="AI6" i="1"/>
  <c r="AW7" i="7" s="1"/>
  <c r="AW6" i="7"/>
  <c r="F6" i="75"/>
  <c r="G6" i="75" s="1"/>
  <c r="AM6" i="1"/>
  <c r="F7" i="75" s="1"/>
  <c r="G7" i="75" s="1"/>
  <c r="AG6" i="1"/>
  <c r="AF8" i="1" l="1"/>
  <c r="AH8" i="1" s="1"/>
  <c r="AI7" i="1"/>
  <c r="AW8" i="7" s="1"/>
  <c r="C7" i="65"/>
  <c r="E7" i="65" s="1"/>
  <c r="AD8" i="1"/>
  <c r="AJ6" i="1"/>
  <c r="AK6" i="1" s="1"/>
  <c r="G3" i="81"/>
  <c r="AX7" i="7"/>
  <c r="AX6" i="7"/>
  <c r="Q4" i="76" s="1"/>
  <c r="G2" i="81"/>
  <c r="AJ5" i="1"/>
  <c r="AK5" i="1" s="1"/>
  <c r="AM7" i="1"/>
  <c r="AG7" i="1"/>
  <c r="AG8" i="1" l="1"/>
  <c r="AM8" i="1"/>
  <c r="F9" i="75" s="1"/>
  <c r="G9" i="75" s="1"/>
  <c r="AF9" i="1"/>
  <c r="AH9" i="1" s="1"/>
  <c r="C8" i="65"/>
  <c r="E8" i="65" s="1"/>
  <c r="AI8" i="1"/>
  <c r="F8" i="75"/>
  <c r="G8" i="75" s="1"/>
  <c r="BJ7" i="7"/>
  <c r="AY7" i="7"/>
  <c r="Q5" i="76"/>
  <c r="G4" i="81"/>
  <c r="AJ7" i="1"/>
  <c r="AK7" i="1" s="1"/>
  <c r="AX8" i="7"/>
  <c r="AD9" i="1"/>
  <c r="BJ6" i="7"/>
  <c r="AY6" i="7"/>
  <c r="C9" i="65" l="1"/>
  <c r="E9" i="65" s="1"/>
  <c r="AI9" i="1"/>
  <c r="AW10" i="7" s="1"/>
  <c r="AW9" i="7"/>
  <c r="AD10" i="1"/>
  <c r="AF10" i="1"/>
  <c r="AH10" i="1" s="1"/>
  <c r="Q6" i="76"/>
  <c r="BJ8" i="7"/>
  <c r="AY8" i="7"/>
  <c r="AG9" i="1"/>
  <c r="AM9" i="1"/>
  <c r="F10" i="75" s="1"/>
  <c r="G10" i="75" s="1"/>
  <c r="AI10" i="1" l="1"/>
  <c r="C10" i="65"/>
  <c r="E10" i="65" s="1"/>
  <c r="AJ9" i="1"/>
  <c r="AK9" i="1" s="1"/>
  <c r="AX10" i="7"/>
  <c r="G6" i="81"/>
  <c r="AD11" i="1"/>
  <c r="AG10" i="1"/>
  <c r="AM10" i="1"/>
  <c r="F11" i="75" s="1"/>
  <c r="G11" i="75" s="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AM11" i="1"/>
  <c r="AG11" i="1"/>
  <c r="Q8" i="76"/>
  <c r="BJ10" i="7"/>
  <c r="AY10" i="7"/>
  <c r="AY9" i="7"/>
  <c r="Q7" i="76"/>
  <c r="BJ9" i="7"/>
  <c r="AD12" i="1"/>
  <c r="AG12" i="1" l="1"/>
  <c r="AM12" i="1"/>
  <c r="F13" i="75" s="1"/>
  <c r="G13" i="75" s="1"/>
  <c r="AX11" i="7"/>
  <c r="AJ10" i="1"/>
  <c r="AK10" i="1" s="1"/>
  <c r="G7" i="81"/>
  <c r="AJ11" i="1"/>
  <c r="AK11" i="1" s="1"/>
  <c r="AX12" i="7"/>
  <c r="G8" i="81"/>
  <c r="F12" i="75"/>
  <c r="G12" i="75" s="1"/>
  <c r="AF13" i="1"/>
  <c r="AH13" i="1" s="1"/>
  <c r="AI12" i="1"/>
  <c r="C12" i="65"/>
  <c r="E12" i="65" s="1"/>
  <c r="AD13" i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G13" i="1"/>
  <c r="AM13" i="1"/>
  <c r="F14" i="75" s="1"/>
  <c r="G14" i="75" s="1"/>
  <c r="AI14" i="1" l="1"/>
  <c r="AW15" i="7" s="1"/>
  <c r="C14" i="65"/>
  <c r="E14" i="65" s="1"/>
  <c r="AG14" i="1"/>
  <c r="AM14" i="1"/>
  <c r="F15" i="75" s="1"/>
  <c r="G15" i="75" s="1"/>
  <c r="AD15" i="1"/>
  <c r="AX14" i="7"/>
  <c r="AJ13" i="1"/>
  <c r="AK13" i="1" s="1"/>
  <c r="G10" i="81"/>
  <c r="AH15" i="1"/>
  <c r="AX13" i="7"/>
  <c r="Q11" i="76" s="1"/>
  <c r="AJ12" i="1"/>
  <c r="AK12" i="1" s="1"/>
  <c r="G9" i="81"/>
  <c r="AD16" i="1" l="1"/>
  <c r="Q12" i="76"/>
  <c r="AY14" i="7"/>
  <c r="BJ14" i="7"/>
  <c r="C15" i="65"/>
  <c r="E15" i="65" s="1"/>
  <c r="AI15" i="1"/>
  <c r="AW16" i="7" s="1"/>
  <c r="AM15" i="1"/>
  <c r="F16" i="75" s="1"/>
  <c r="G16" i="75" s="1"/>
  <c r="AG15" i="1"/>
  <c r="G11" i="81"/>
  <c r="AJ14" i="1"/>
  <c r="AK14" i="1" s="1"/>
  <c r="AX15" i="7"/>
  <c r="Q13" i="76" s="1"/>
  <c r="BJ13" i="7"/>
  <c r="AY13" i="7"/>
  <c r="AH16" i="1"/>
  <c r="AM16" i="1" l="1"/>
  <c r="F17" i="75" s="1"/>
  <c r="G17" i="75" s="1"/>
  <c r="AG16" i="1"/>
  <c r="C16" i="65"/>
  <c r="E16" i="65" s="1"/>
  <c r="AI16" i="1"/>
  <c r="AW17" i="7" s="1"/>
  <c r="AD17" i="1"/>
  <c r="AH17" i="1"/>
  <c r="BJ15" i="7"/>
  <c r="AY15" i="7"/>
  <c r="AX16" i="7"/>
  <c r="AJ15" i="1"/>
  <c r="AK15" i="1" s="1"/>
  <c r="G12" i="81"/>
  <c r="AD18" i="1" l="1"/>
  <c r="AY16" i="7"/>
  <c r="BJ16" i="7"/>
  <c r="Q14" i="76"/>
  <c r="AM17" i="1"/>
  <c r="F18" i="75" s="1"/>
  <c r="G18" i="75" s="1"/>
  <c r="AG17" i="1"/>
  <c r="AX17" i="7"/>
  <c r="AJ16" i="1"/>
  <c r="AK16" i="1" s="1"/>
  <c r="G13" i="81"/>
  <c r="AI17" i="1"/>
  <c r="AW18" i="7" s="1"/>
  <c r="C17" i="65"/>
  <c r="E17" i="65" s="1"/>
  <c r="AF18" i="1"/>
  <c r="AH18" i="1" s="1"/>
  <c r="AD19" i="1" l="1"/>
  <c r="G14" i="81"/>
  <c r="AJ17" i="1"/>
  <c r="AK17" i="1" s="1"/>
  <c r="AX18" i="7"/>
  <c r="BJ17" i="7"/>
  <c r="Q15" i="76"/>
  <c r="AY17" i="7"/>
  <c r="AG18" i="1"/>
  <c r="AM18" i="1"/>
  <c r="F19" i="75" s="1"/>
  <c r="G19" i="75" s="1"/>
  <c r="AF19" i="1"/>
  <c r="AH19" i="1" s="1"/>
  <c r="AI18" i="1"/>
  <c r="AW19" i="7" s="1"/>
  <c r="C18" i="65"/>
  <c r="E18" i="65" s="1"/>
  <c r="AX19" i="7" l="1"/>
  <c r="G15" i="81"/>
  <c r="AJ18" i="1"/>
  <c r="AK18" i="1" s="1"/>
  <c r="AG19" i="1"/>
  <c r="AM19" i="1"/>
  <c r="F20" i="75" s="1"/>
  <c r="G20" i="75" s="1"/>
  <c r="AF20" i="1"/>
  <c r="AH20" i="1" s="1"/>
  <c r="AD20" i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AG20" i="1"/>
  <c r="AM20" i="1"/>
  <c r="F21" i="75" s="1"/>
  <c r="G21" i="75" s="1"/>
  <c r="AD21" i="1"/>
  <c r="C20" i="65"/>
  <c r="E20" i="65" s="1"/>
  <c r="AI20" i="1"/>
  <c r="AW21" i="7" s="1"/>
  <c r="AJ19" i="1"/>
  <c r="AK19" i="1" s="1"/>
  <c r="G16" i="81"/>
  <c r="AD22" i="1" l="1"/>
  <c r="AX21" i="7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AM21" i="1"/>
  <c r="F22" i="75" s="1"/>
  <c r="G22" i="75" s="1"/>
  <c r="AG21" i="1"/>
  <c r="C22" i="65" l="1"/>
  <c r="E22" i="65" s="1"/>
  <c r="AI22" i="1"/>
  <c r="AW23" i="7" s="1"/>
  <c r="Q19" i="76"/>
  <c r="AY21" i="7"/>
  <c r="BJ21" i="7"/>
  <c r="AF23" i="1"/>
  <c r="AH23" i="1" s="1"/>
  <c r="AG22" i="1"/>
  <c r="AM22" i="1"/>
  <c r="F23" i="75" s="1"/>
  <c r="G23" i="75" s="1"/>
  <c r="AJ21" i="1"/>
  <c r="AK21" i="1" s="1"/>
  <c r="G18" i="81"/>
  <c r="AD23" i="1"/>
  <c r="AF24" i="1" l="1"/>
  <c r="AH24" i="1" s="1"/>
  <c r="AM23" i="1"/>
  <c r="F24" i="75" s="1"/>
  <c r="G24" i="75" s="1"/>
  <c r="AG23" i="1"/>
  <c r="AY22" i="7"/>
  <c r="Q20" i="76"/>
  <c r="BJ22" i="7"/>
  <c r="AX23" i="7"/>
  <c r="AJ22" i="1"/>
  <c r="AK22" i="1" s="1"/>
  <c r="G19" i="81"/>
  <c r="AD24" i="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D25" i="1"/>
  <c r="AM25" i="1" s="1"/>
  <c r="AG24" i="1"/>
  <c r="AM24" i="1"/>
  <c r="F25" i="75" s="1"/>
  <c r="G25" i="75" s="1"/>
  <c r="AX24" i="7"/>
  <c r="AJ23" i="1"/>
  <c r="AK23" i="1" s="1"/>
  <c r="G20" i="81"/>
  <c r="AF26" i="1" l="1"/>
  <c r="AH26" i="1" s="1"/>
  <c r="AD26" i="1"/>
  <c r="AG25" i="1"/>
  <c r="F26" i="75"/>
  <c r="G26" i="75" s="1"/>
  <c r="AX25" i="7"/>
  <c r="G21" i="81"/>
  <c r="AJ24" i="1"/>
  <c r="AK24" i="1" s="1"/>
  <c r="AI25" i="1"/>
  <c r="AW26" i="7" s="1"/>
  <c r="C25" i="65"/>
  <c r="E25" i="65" s="1"/>
  <c r="AY24" i="7"/>
  <c r="Q22" i="76"/>
  <c r="BJ24" i="7"/>
  <c r="AD27" i="1" l="1"/>
  <c r="AF27" i="1"/>
  <c r="AH27" i="1" s="1"/>
  <c r="AG26" i="1"/>
  <c r="AM26" i="1"/>
  <c r="F27" i="75" s="1"/>
  <c r="G27" i="75" s="1"/>
  <c r="C26" i="65"/>
  <c r="E26" i="65" s="1"/>
  <c r="AI26" i="1"/>
  <c r="AW27" i="7" s="1"/>
  <c r="AX26" i="7"/>
  <c r="AJ25" i="1"/>
  <c r="AK25" i="1" s="1"/>
  <c r="G22" i="81"/>
  <c r="AY25" i="7"/>
  <c r="BJ25" i="7"/>
  <c r="Q23" i="76"/>
  <c r="AD28" i="1" l="1"/>
  <c r="BJ26" i="7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AM27" i="1"/>
  <c r="F28" i="75" s="1"/>
  <c r="G28" i="75" s="1"/>
  <c r="AG27" i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AD29" i="1"/>
  <c r="W7" i="5"/>
  <c r="AL7" i="5" s="1"/>
  <c r="AF29" i="1"/>
  <c r="AH29" i="1" s="1"/>
  <c r="AG28" i="1"/>
  <c r="AM28" i="1"/>
  <c r="F29" i="75" s="1"/>
  <c r="G29" i="75" s="1"/>
  <c r="AF30" i="1" l="1"/>
  <c r="AH30" i="1" s="1"/>
  <c r="Q26" i="76"/>
  <c r="AY28" i="7"/>
  <c r="BJ28" i="7"/>
  <c r="AI29" i="1"/>
  <c r="AW30" i="7" s="1"/>
  <c r="C29" i="65"/>
  <c r="E29" i="65" s="1"/>
  <c r="AG29" i="1"/>
  <c r="AM29" i="1"/>
  <c r="F30" i="75" s="1"/>
  <c r="G30" i="75" s="1"/>
  <c r="AD30" i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AD31" i="1"/>
  <c r="W9" i="5"/>
  <c r="AL9" i="5" s="1"/>
  <c r="BJ29" i="7"/>
  <c r="AY29" i="7"/>
  <c r="Q27" i="76"/>
  <c r="AM30" i="1"/>
  <c r="F31" i="75" s="1"/>
  <c r="G31" i="75" s="1"/>
  <c r="AG30" i="1"/>
  <c r="AD32" i="1" l="1"/>
  <c r="AG32" i="1" s="1"/>
  <c r="AF32" i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G31" i="1"/>
  <c r="AM31" i="1"/>
  <c r="F32" i="75" s="1"/>
  <c r="G32" i="75" s="1"/>
  <c r="AI31" i="1"/>
  <c r="AW32" i="7" s="1"/>
  <c r="C31" i="65"/>
  <c r="E31" i="65" s="1"/>
  <c r="AI32" i="1" l="1"/>
  <c r="AW33" i="7" s="1"/>
  <c r="AD33" i="1"/>
  <c r="AF33" i="1"/>
  <c r="AH33" i="1" s="1"/>
  <c r="AI33" i="1" s="1"/>
  <c r="AM32" i="1"/>
  <c r="F33" i="75" s="1"/>
  <c r="G33" i="75" s="1"/>
  <c r="AY31" i="7"/>
  <c r="Q29" i="76"/>
  <c r="BJ31" i="7"/>
  <c r="G28" i="81"/>
  <c r="AJ31" i="1"/>
  <c r="AK31" i="1" s="1"/>
  <c r="AX32" i="7"/>
  <c r="W11" i="5"/>
  <c r="AL11" i="5" s="1"/>
  <c r="AW34" i="7" l="1"/>
  <c r="AG33" i="1"/>
  <c r="AM33" i="1"/>
  <c r="AD34" i="1"/>
  <c r="AD35" i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G34" i="1"/>
  <c r="AM34" i="1"/>
  <c r="AG35" i="1"/>
  <c r="AM35" i="1"/>
  <c r="AI34" i="1"/>
  <c r="AW35" i="7" s="1"/>
  <c r="AH36" i="1"/>
  <c r="W13" i="5"/>
  <c r="AL13" i="5" s="1"/>
  <c r="BJ33" i="7"/>
  <c r="AY33" i="7"/>
  <c r="Q31" i="76"/>
  <c r="AM36" i="1" l="1"/>
  <c r="G31" i="8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A4" i="2" l="1"/>
  <c r="AB4" i="2" l="1"/>
  <c r="AA5" i="2"/>
  <c r="AB5" i="2" l="1"/>
  <c r="AA6" i="2"/>
  <c r="AB6" i="2" l="1"/>
  <c r="AB7" i="2" l="1"/>
  <c r="AA8" i="2"/>
  <c r="AB8" i="2" l="1"/>
  <c r="AA9" i="2"/>
  <c r="AB9" i="2" l="1"/>
  <c r="AB10" i="2" l="1"/>
  <c r="AA11" i="2"/>
  <c r="AB11" i="2" l="1"/>
  <c r="AA12" i="2"/>
  <c r="AB12" i="2" l="1"/>
  <c r="AA13" i="2"/>
  <c r="AB13" i="2" l="1"/>
  <c r="AA14" i="2"/>
  <c r="AB14" i="2" l="1"/>
  <c r="AA15" i="2"/>
  <c r="AB15" i="2" l="1"/>
  <c r="AA16" i="2"/>
  <c r="AB16" i="2" l="1"/>
  <c r="AA17" i="2"/>
  <c r="AB17" i="2" l="1"/>
  <c r="AA18" i="2"/>
  <c r="AB18" i="2" l="1"/>
  <c r="AA19" i="2"/>
  <c r="AB19" i="2" l="1"/>
  <c r="AA20" i="2"/>
  <c r="AB20" i="2" l="1"/>
  <c r="AA21" i="2"/>
  <c r="AB21" i="2" l="1"/>
  <c r="AA22" i="2"/>
  <c r="AB22" i="2" l="1"/>
  <c r="AB23" i="2" l="1"/>
  <c r="AA24" i="2"/>
  <c r="AB24" i="2" l="1"/>
  <c r="AA25" i="2"/>
  <c r="AB25" i="2" l="1"/>
  <c r="AA26" i="2"/>
  <c r="AB26" i="2" l="1"/>
  <c r="AA27" i="2"/>
  <c r="AB27" i="2" l="1"/>
  <c r="AA28" i="2"/>
  <c r="AB28" i="2" l="1"/>
  <c r="AA29" i="2"/>
  <c r="AB29" i="2" l="1"/>
  <c r="AA30" i="2"/>
  <c r="AB30" i="2" l="1"/>
  <c r="AA31" i="2"/>
  <c r="AB31" i="2" l="1"/>
  <c r="AA32" i="2"/>
  <c r="AA33" i="2" l="1"/>
  <c r="AB32" i="2"/>
  <c r="AB33" i="2" l="1"/>
  <c r="AA34" i="2"/>
  <c r="AB34" i="2" s="1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C4" i="2" l="1"/>
  <c r="AC5" i="2" l="1"/>
  <c r="AD4" i="2"/>
  <c r="AC6" i="2" l="1"/>
  <c r="AD5" i="2"/>
  <c r="AD6" i="2" l="1"/>
  <c r="AD7" i="2" l="1"/>
  <c r="AC8" i="2"/>
  <c r="AD8" i="2" l="1"/>
  <c r="AC9" i="2"/>
  <c r="AD9" i="2" l="1"/>
  <c r="AD10" i="2" l="1"/>
  <c r="AC11" i="2"/>
  <c r="AC12" i="2" l="1"/>
  <c r="AD11" i="2"/>
  <c r="AC13" i="2" l="1"/>
  <c r="AD12" i="2"/>
  <c r="AC14" i="2" l="1"/>
  <c r="AD13" i="2"/>
  <c r="AC15" i="2" l="1"/>
  <c r="AD14" i="2"/>
  <c r="AC16" i="2" l="1"/>
  <c r="AD15" i="2"/>
  <c r="AD16" i="2" l="1"/>
  <c r="AC17" i="2"/>
  <c r="AC18" i="2" l="1"/>
  <c r="AD17" i="2"/>
  <c r="AC19" i="2" l="1"/>
  <c r="AD18" i="2"/>
  <c r="AD19" i="2" l="1"/>
  <c r="AC20" i="2"/>
  <c r="AC21" i="2" l="1"/>
  <c r="AC22" i="2" s="1"/>
  <c r="AD20" i="2"/>
  <c r="AD21" i="2" l="1"/>
  <c r="AD22" i="2" l="1"/>
  <c r="AC24" i="2" l="1"/>
  <c r="AD23" i="2"/>
  <c r="AD24" i="2" l="1"/>
  <c r="AC25" i="2"/>
  <c r="AC26" i="2" l="1"/>
  <c r="AD25" i="2"/>
  <c r="AD26" i="2" l="1"/>
  <c r="AC27" i="2"/>
  <c r="AD27" i="2" l="1"/>
  <c r="AC28" i="2"/>
  <c r="AC29" i="2" l="1"/>
  <c r="AD28" i="2"/>
  <c r="AC30" i="2" l="1"/>
  <c r="AD29" i="2"/>
  <c r="AC31" i="2" l="1"/>
  <c r="AD30" i="2"/>
  <c r="AC32" i="2" l="1"/>
  <c r="AD31" i="2"/>
  <c r="AD32" i="2" l="1"/>
  <c r="AC33" i="2"/>
  <c r="AC34" i="2" l="1"/>
  <c r="AD34" i="2" s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i="81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F11" i="5" l="1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Y4" i="2" l="1"/>
  <c r="W4" i="2"/>
  <c r="Y5" i="2" l="1"/>
  <c r="Z4" i="2"/>
  <c r="W5" i="2"/>
  <c r="X4" i="2"/>
  <c r="W6" i="2" l="1"/>
  <c r="X5" i="2"/>
  <c r="Y6" i="2"/>
  <c r="Z5" i="2"/>
  <c r="W7" i="2" l="1"/>
  <c r="X6" i="2"/>
  <c r="Y7" i="2"/>
  <c r="Z6" i="2"/>
  <c r="W8" i="2" l="1"/>
  <c r="X7" i="2"/>
  <c r="Y8" i="2"/>
  <c r="Z7" i="2"/>
  <c r="AC27" i="76"/>
  <c r="AC28" i="76"/>
  <c r="AC26" i="76"/>
  <c r="AC29" i="76" l="1"/>
  <c r="X8" i="2"/>
  <c r="Z8" i="2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O29" i="76" l="1"/>
  <c r="P29" i="76" s="1"/>
  <c r="R29" i="76" s="1"/>
  <c r="T29" i="76" s="1"/>
  <c r="F27" i="81" s="1"/>
  <c r="O4" i="76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P4" i="76"/>
  <c r="R4" i="76" s="1"/>
  <c r="T4" i="76" s="1"/>
  <c r="F2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Y11" i="2"/>
  <c r="Z10" i="2"/>
  <c r="W11" i="2"/>
  <c r="X10" i="2"/>
  <c r="E12" i="77"/>
  <c r="G10" i="77"/>
  <c r="G12" i="77" s="1"/>
  <c r="F10" i="77"/>
  <c r="F12" i="77" s="1"/>
  <c r="Y12" i="2" l="1"/>
  <c r="Z11" i="2"/>
  <c r="I14" i="77"/>
  <c r="H14" i="77"/>
  <c r="W12" i="2"/>
  <c r="X11" i="2"/>
  <c r="Y13" i="2" l="1"/>
  <c r="Z12" i="2"/>
  <c r="W13" i="2"/>
  <c r="X12" i="2"/>
  <c r="Z13" i="2" l="1"/>
  <c r="X13" i="2"/>
  <c r="Y15" i="2" l="1"/>
  <c r="Z14" i="2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W15" i="2"/>
  <c r="X14" i="2"/>
  <c r="Y16" i="2" l="1"/>
  <c r="Z15" i="2"/>
  <c r="AD7" i="5"/>
  <c r="W16" i="2"/>
  <c r="X15" i="2"/>
  <c r="Y17" i="2" l="1"/>
  <c r="Z16" i="2"/>
  <c r="AD8" i="5"/>
  <c r="W17" i="2"/>
  <c r="X16" i="2"/>
  <c r="Z17" i="2" l="1"/>
  <c r="Y18" i="2"/>
  <c r="AD9" i="5"/>
  <c r="W18" i="2"/>
  <c r="X17" i="2"/>
  <c r="AD10" i="5" l="1"/>
  <c r="Y19" i="2"/>
  <c r="Z18" i="2"/>
  <c r="W19" i="2"/>
  <c r="X18" i="2"/>
  <c r="Y20" i="2" l="1"/>
  <c r="Z19" i="2"/>
  <c r="AD11" i="5"/>
  <c r="W20" i="2"/>
  <c r="X19" i="2"/>
  <c r="AD12" i="5" l="1"/>
  <c r="Z20" i="2"/>
  <c r="X20" i="2"/>
  <c r="W22" i="2" l="1"/>
  <c r="X21" i="2"/>
  <c r="AD13" i="5"/>
  <c r="Y22" i="2"/>
  <c r="Z21" i="2"/>
  <c r="Y23" i="2" l="1"/>
  <c r="Z22" i="2"/>
  <c r="X22" i="2"/>
  <c r="AD14" i="5"/>
  <c r="Z23" i="2" l="1"/>
  <c r="X23" i="2"/>
  <c r="AD15" i="5"/>
  <c r="Y25" i="2" l="1"/>
  <c r="Z24" i="2"/>
  <c r="W25" i="2"/>
  <c r="X24" i="2"/>
  <c r="AD16" i="5"/>
  <c r="W26" i="2" l="1"/>
  <c r="X25" i="2"/>
  <c r="Y26" i="2"/>
  <c r="Z25" i="2"/>
  <c r="AD17" i="5"/>
  <c r="W27" i="2" l="1"/>
  <c r="X26" i="2"/>
  <c r="Z26" i="2"/>
  <c r="Y27" i="2"/>
  <c r="AD18" i="5"/>
  <c r="W28" i="2" l="1"/>
  <c r="X27" i="2"/>
  <c r="Y28" i="2"/>
  <c r="Z27" i="2"/>
  <c r="AD19" i="5"/>
  <c r="W29" i="2" l="1"/>
  <c r="X28" i="2"/>
  <c r="Y29" i="2"/>
  <c r="Z28" i="2"/>
  <c r="AD20" i="5"/>
  <c r="Y30" i="2" l="1"/>
  <c r="Z29" i="2"/>
  <c r="W30" i="2"/>
  <c r="X29" i="2"/>
  <c r="AD21" i="5"/>
  <c r="Y31" i="2" l="1"/>
  <c r="Z30" i="2"/>
  <c r="W31" i="2"/>
  <c r="X30" i="2"/>
  <c r="AD22" i="5"/>
  <c r="Y32" i="2" l="1"/>
  <c r="Z31" i="2"/>
  <c r="W32" i="2"/>
  <c r="X31" i="2"/>
  <c r="AD23" i="5"/>
  <c r="Y33" i="2" l="1"/>
  <c r="Z32" i="2"/>
  <c r="W33" i="2"/>
  <c r="X32" i="2"/>
  <c r="AD24" i="5"/>
  <c r="Z33" i="2" l="1"/>
  <c r="Y34" i="2"/>
  <c r="Z34" i="2" s="1"/>
  <c r="X33" i="2"/>
  <c r="W34" i="2"/>
  <c r="X34" i="2" s="1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BB12" i="5" s="1"/>
  <c r="M9" i="5"/>
  <c r="N8" i="5"/>
  <c r="V28" i="2"/>
  <c r="AF28" i="2" s="1"/>
  <c r="U29" i="2"/>
  <c r="P8" i="5"/>
  <c r="O9" i="5"/>
  <c r="Q7" i="5"/>
  <c r="M10" i="5" l="1"/>
  <c r="N9" i="5"/>
  <c r="BE12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L3" i="3"/>
  <c r="BF19" i="5" l="1"/>
  <c r="BG19" i="5" s="1"/>
  <c r="G19" i="65" s="1"/>
  <c r="I15" i="63"/>
  <c r="BB20" i="5"/>
  <c r="BE20" i="5" s="1"/>
  <c r="Q17" i="5"/>
  <c r="M13" i="81" s="1"/>
  <c r="M3" i="3"/>
  <c r="L4" i="3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M4" i="3"/>
  <c r="L5" i="3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L6" i="3"/>
  <c r="M5" i="3"/>
  <c r="AY23" i="5"/>
  <c r="AS24" i="5"/>
  <c r="BF22" i="5" l="1"/>
  <c r="BG22" i="5" s="1"/>
  <c r="G22" i="65" s="1"/>
  <c r="I18" i="63"/>
  <c r="BB23" i="5"/>
  <c r="BE23" i="5" s="1"/>
  <c r="N21" i="5"/>
  <c r="M22" i="5"/>
  <c r="L7" i="3"/>
  <c r="M6" i="3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M7" i="3"/>
  <c r="L8" i="3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M8" i="3"/>
  <c r="L9" i="3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M9" i="3"/>
  <c r="L10" i="3"/>
  <c r="I22" i="63" l="1"/>
  <c r="BF26" i="5"/>
  <c r="BG26" i="5" s="1"/>
  <c r="G26" i="65" s="1"/>
  <c r="BB27" i="5"/>
  <c r="BE27" i="5" s="1"/>
  <c r="Q24" i="5"/>
  <c r="M20" i="81" s="1"/>
  <c r="M26" i="5"/>
  <c r="N25" i="5"/>
  <c r="L11" i="3"/>
  <c r="M10" i="3"/>
  <c r="P25" i="5"/>
  <c r="O26" i="5"/>
  <c r="AS29" i="5"/>
  <c r="AY28" i="5"/>
  <c r="BF27" i="5" l="1"/>
  <c r="BG27" i="5" s="1"/>
  <c r="G27" i="65" s="1"/>
  <c r="I23" i="63"/>
  <c r="BB28" i="5"/>
  <c r="BE28" i="5" s="1"/>
  <c r="M11" i="3"/>
  <c r="L12" i="3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M12" i="3"/>
  <c r="L13" i="3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M13" i="3"/>
  <c r="L14" i="3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M14" i="3"/>
  <c r="L15" i="3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M15" i="3"/>
  <c r="L16" i="3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M16" i="3"/>
  <c r="L17" i="3"/>
  <c r="BF33" i="5" l="1"/>
  <c r="BG33" i="5" s="1"/>
  <c r="G33" i="65" s="1"/>
  <c r="I29" i="63"/>
  <c r="BB34" i="5"/>
  <c r="BE34" i="5" s="1"/>
  <c r="BF34" i="5" s="1"/>
  <c r="BG34" i="5" s="1"/>
  <c r="M17" i="3"/>
  <c r="L18" i="3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18" i="3"/>
  <c r="L19" i="3"/>
  <c r="M34" i="5"/>
  <c r="N33" i="5"/>
  <c r="O34" i="5"/>
  <c r="P33" i="5"/>
  <c r="Q32" i="5"/>
  <c r="M28" i="81" s="1"/>
  <c r="M35" i="5" l="1"/>
  <c r="N34" i="5"/>
  <c r="M19" i="3"/>
  <c r="L20" i="3"/>
  <c r="O35" i="5"/>
  <c r="P34" i="5"/>
  <c r="Q33" i="5"/>
  <c r="M29" i="81" s="1"/>
  <c r="M36" i="5" l="1"/>
  <c r="N36" i="5" s="1"/>
  <c r="N35" i="5"/>
  <c r="M20" i="3"/>
  <c r="L21" i="3"/>
  <c r="P35" i="5"/>
  <c r="O36" i="5"/>
  <c r="P36" i="5" s="1"/>
  <c r="Q34" i="5"/>
  <c r="M30" i="81" s="1"/>
  <c r="Q36" i="5" l="1"/>
  <c r="M21" i="3"/>
  <c r="L22" i="3"/>
  <c r="Q35" i="5"/>
  <c r="M31" i="81" s="1"/>
  <c r="M32" i="81" l="1"/>
  <c r="Q37" i="5"/>
  <c r="O38" i="5" s="1"/>
  <c r="M22" i="3"/>
  <c r="L23" i="3"/>
  <c r="D3" i="3"/>
  <c r="M23" i="3" l="1"/>
  <c r="L24" i="3"/>
  <c r="D4" i="3"/>
  <c r="E3" i="3"/>
  <c r="AA3" i="3" l="1"/>
  <c r="AC3" i="3" s="1"/>
  <c r="AH3" i="3" s="1"/>
  <c r="F3" i="3"/>
  <c r="AB3" i="3" s="1"/>
  <c r="M24" i="3"/>
  <c r="L25" i="3"/>
  <c r="D5" i="3"/>
  <c r="E4" i="3"/>
  <c r="AA4" i="3" l="1"/>
  <c r="AC4" i="3" s="1"/>
  <c r="AH4" i="3" s="1"/>
  <c r="F4" i="3"/>
  <c r="AB4" i="3" s="1"/>
  <c r="M25" i="3"/>
  <c r="L26" i="3"/>
  <c r="D6" i="3"/>
  <c r="E5" i="3"/>
  <c r="AA5" i="3" l="1"/>
  <c r="AC5" i="3" s="1"/>
  <c r="AH5" i="3" s="1"/>
  <c r="F5" i="3"/>
  <c r="AB5" i="3" s="1"/>
  <c r="M26" i="3"/>
  <c r="L27" i="3"/>
  <c r="D7" i="3"/>
  <c r="E6" i="3"/>
  <c r="M27" i="3" l="1"/>
  <c r="L28" i="3"/>
  <c r="D8" i="3"/>
  <c r="E7" i="3"/>
  <c r="F6" i="3"/>
  <c r="AB6" i="3" s="1"/>
  <c r="AA6" i="3"/>
  <c r="AC6" i="3" s="1"/>
  <c r="AH6" i="3" s="1"/>
  <c r="D9" i="3" l="1"/>
  <c r="E8" i="3"/>
  <c r="M28" i="3"/>
  <c r="L29" i="3"/>
  <c r="F7" i="3"/>
  <c r="AB7" i="3" s="1"/>
  <c r="AA7" i="3"/>
  <c r="AC7" i="3" s="1"/>
  <c r="AH7" i="3" s="1"/>
  <c r="AA8" i="3" l="1"/>
  <c r="AC8" i="3" s="1"/>
  <c r="AH8" i="3" s="1"/>
  <c r="F8" i="3"/>
  <c r="AB8" i="3" s="1"/>
  <c r="D10" i="3"/>
  <c r="E9" i="3"/>
  <c r="M29" i="3"/>
  <c r="L30" i="3"/>
  <c r="AA9" i="3" l="1"/>
  <c r="AC9" i="3" s="1"/>
  <c r="AH9" i="3" s="1"/>
  <c r="F9" i="3"/>
  <c r="AB9" i="3" s="1"/>
  <c r="M30" i="3"/>
  <c r="L31" i="3"/>
  <c r="D11" i="3"/>
  <c r="E10" i="3"/>
  <c r="AA10" i="3" l="1"/>
  <c r="AC10" i="3" s="1"/>
  <c r="AH10" i="3" s="1"/>
  <c r="F10" i="3"/>
  <c r="AB10" i="3" s="1"/>
  <c r="D12" i="3"/>
  <c r="E11" i="3"/>
  <c r="M31" i="3"/>
  <c r="L32" i="3"/>
  <c r="AA11" i="3" l="1"/>
  <c r="AC11" i="3" s="1"/>
  <c r="AH11" i="3" s="1"/>
  <c r="F11" i="3"/>
  <c r="AB11" i="3" s="1"/>
  <c r="D13" i="3"/>
  <c r="E12" i="3"/>
  <c r="M32" i="3"/>
  <c r="L33" i="3"/>
  <c r="M33" i="3" s="1"/>
  <c r="AA12" i="3" l="1"/>
  <c r="AC12" i="3" s="1"/>
  <c r="AH12" i="3" s="1"/>
  <c r="F12" i="3"/>
  <c r="AB12" i="3" s="1"/>
  <c r="D14" i="3"/>
  <c r="E13" i="3"/>
  <c r="AA13" i="3" l="1"/>
  <c r="AC13" i="3" s="1"/>
  <c r="AH13" i="3" s="1"/>
  <c r="F13" i="3"/>
  <c r="AB13" i="3" s="1"/>
  <c r="D15" i="3"/>
  <c r="E14" i="3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9" i="3" s="1"/>
  <c r="E18" i="3"/>
  <c r="AA18" i="3" l="1"/>
  <c r="AC18" i="3" s="1"/>
  <c r="AH18" i="3" s="1"/>
  <c r="F18" i="3"/>
  <c r="AB18" i="3" s="1"/>
  <c r="D20" i="3"/>
  <c r="E20" i="3" s="1"/>
  <c r="AA19" i="3" l="1"/>
  <c r="AC19" i="3" s="1"/>
  <c r="AH19" i="3" s="1"/>
  <c r="F19" i="3"/>
  <c r="AB19" i="3" s="1"/>
  <c r="D21" i="3"/>
  <c r="E21" i="3" s="1"/>
  <c r="AA20" i="3" l="1"/>
  <c r="AC20" i="3" s="1"/>
  <c r="AH20" i="3" s="1"/>
  <c r="F20" i="3"/>
  <c r="AB20" i="3" s="1"/>
  <c r="D22" i="3"/>
  <c r="E22" i="3" s="1"/>
  <c r="AA22" i="3" l="1"/>
  <c r="AC22" i="3" s="1"/>
  <c r="AH22" i="3" s="1"/>
  <c r="F22" i="3"/>
  <c r="AB22" i="3" s="1"/>
  <c r="D23" i="3"/>
  <c r="AA21" i="3"/>
  <c r="AC21" i="3" s="1"/>
  <c r="AH21" i="3" s="1"/>
  <c r="F21" i="3"/>
  <c r="AB21" i="3" s="1"/>
  <c r="D24" i="3" l="1"/>
  <c r="E24" i="3" s="1"/>
  <c r="E23" i="3"/>
  <c r="D25" i="3" l="1"/>
  <c r="E25" i="3" s="1"/>
  <c r="AA25" i="3" s="1"/>
  <c r="AC25" i="3" s="1"/>
  <c r="AH25" i="3" s="1"/>
  <c r="F23" i="3"/>
  <c r="AB23" i="3" s="1"/>
  <c r="AA23" i="3"/>
  <c r="AC23" i="3" s="1"/>
  <c r="AH23" i="3" s="1"/>
  <c r="F25" i="3"/>
  <c r="AB25" i="3" s="1"/>
  <c r="AA24" i="3"/>
  <c r="AC24" i="3" s="1"/>
  <c r="AH24" i="3" s="1"/>
  <c r="F24" i="3"/>
  <c r="AB24" i="3" s="1"/>
  <c r="D26" i="3" l="1"/>
  <c r="E26" i="3" s="1"/>
  <c r="D27" i="3"/>
  <c r="E27" i="3" s="1"/>
  <c r="AA26" i="3"/>
  <c r="AC26" i="3" s="1"/>
  <c r="AH26" i="3" s="1"/>
  <c r="F26" i="3"/>
  <c r="AB26" i="3" s="1"/>
  <c r="D28" i="3" l="1"/>
  <c r="E28" i="3" s="1"/>
  <c r="AA27" i="3"/>
  <c r="AC27" i="3" s="1"/>
  <c r="AH27" i="3" s="1"/>
  <c r="F27" i="3"/>
  <c r="AB27" i="3" s="1"/>
  <c r="D29" i="3" l="1"/>
  <c r="E29" i="3" s="1"/>
  <c r="AA28" i="3"/>
  <c r="AC28" i="3" s="1"/>
  <c r="AH28" i="3" s="1"/>
  <c r="F28" i="3"/>
  <c r="AB28" i="3" s="1"/>
  <c r="D30" i="3" l="1"/>
  <c r="E30" i="3" s="1"/>
  <c r="F30" i="3" s="1"/>
  <c r="AB30" i="3" s="1"/>
  <c r="AA29" i="3"/>
  <c r="AC29" i="3" s="1"/>
  <c r="AH29" i="3" s="1"/>
  <c r="F29" i="3"/>
  <c r="AB29" i="3" s="1"/>
  <c r="D31" i="3" l="1"/>
  <c r="E31" i="3" s="1"/>
  <c r="F31" i="3" s="1"/>
  <c r="AB31" i="3" s="1"/>
  <c r="AA30" i="3"/>
  <c r="AC30" i="3" s="1"/>
  <c r="AH30" i="3" s="1"/>
  <c r="D32" i="3" l="1"/>
  <c r="E32" i="3" s="1"/>
  <c r="AA32" i="3" s="1"/>
  <c r="AC32" i="3" s="1"/>
  <c r="AH32" i="3" s="1"/>
  <c r="AA31" i="3"/>
  <c r="AC31" i="3" s="1"/>
  <c r="AH31" i="3" s="1"/>
  <c r="D33" i="3" l="1"/>
  <c r="E33" i="3"/>
  <c r="AA33" i="3" s="1"/>
  <c r="AC33" i="3" s="1"/>
  <c r="AH33" i="3" s="1"/>
  <c r="P3" i="3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<sst xmlns="http://schemas.openxmlformats.org/spreadsheetml/2006/main" count="666" uniqueCount="418">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</sst>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0" xfId="0" applyFill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3873</c:v>
                </c:pt>
                <c:pt idx="2">
                  <c:v>0</c:v>
                </c:pt>
                <c:pt idx="3">
                  <c:v>0</c:v>
                </c:pt>
                <c:pt idx="4">
                  <c:v>3120</c:v>
                </c:pt>
                <c:pt idx="5">
                  <c:v>3326</c:v>
                </c:pt>
                <c:pt idx="6">
                  <c:v>5010</c:v>
                </c:pt>
                <c:pt idx="7">
                  <c:v>4771</c:v>
                </c:pt>
                <c:pt idx="8">
                  <c:v>3693</c:v>
                </c:pt>
                <c:pt idx="9">
                  <c:v>0</c:v>
                </c:pt>
                <c:pt idx="10">
                  <c:v>0</c:v>
                </c:pt>
                <c:pt idx="11">
                  <c:v>4209.3999999999069</c:v>
                </c:pt>
                <c:pt idx="12">
                  <c:v>3162.6000000000931</c:v>
                </c:pt>
                <c:pt idx="13">
                  <c:v>2901</c:v>
                </c:pt>
                <c:pt idx="14">
                  <c:v>2980.3999999999069</c:v>
                </c:pt>
                <c:pt idx="15">
                  <c:v>2919.6000000000931</c:v>
                </c:pt>
                <c:pt idx="16">
                  <c:v>0</c:v>
                </c:pt>
                <c:pt idx="17">
                  <c:v>0</c:v>
                </c:pt>
                <c:pt idx="18">
                  <c:v>3174</c:v>
                </c:pt>
                <c:pt idx="19">
                  <c:v>2762</c:v>
                </c:pt>
                <c:pt idx="20">
                  <c:v>3770</c:v>
                </c:pt>
                <c:pt idx="21">
                  <c:v>2856</c:v>
                </c:pt>
                <c:pt idx="22">
                  <c:v>2510</c:v>
                </c:pt>
                <c:pt idx="23">
                  <c:v>0</c:v>
                </c:pt>
                <c:pt idx="24">
                  <c:v>0</c:v>
                </c:pt>
                <c:pt idx="25">
                  <c:v>3135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202880"/>
        <c:axId val="181027024"/>
      </c:lineChart>
      <c:catAx>
        <c:axId val="44520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027024"/>
        <c:crosses val="autoZero"/>
        <c:auto val="1"/>
        <c:lblAlgn val="ctr"/>
        <c:lblOffset val="100"/>
        <c:noMultiLvlLbl val="0"/>
      </c:catAx>
      <c:valAx>
        <c:axId val="1810270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20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49936"/>
        <c:axId val="182158520"/>
      </c:lineChart>
      <c:catAx>
        <c:axId val="182149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58520"/>
        <c:crosses val="autoZero"/>
        <c:auto val="1"/>
        <c:lblAlgn val="ctr"/>
        <c:lblOffset val="100"/>
        <c:noMultiLvlLbl val="0"/>
      </c:catAx>
      <c:valAx>
        <c:axId val="182158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4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780568"/>
        <c:axId val="445780952"/>
      </c:lineChart>
      <c:catAx>
        <c:axId val="445780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780952"/>
        <c:crosses val="autoZero"/>
        <c:auto val="1"/>
        <c:lblAlgn val="ctr"/>
        <c:lblOffset val="100"/>
        <c:noMultiLvlLbl val="0"/>
      </c:catAx>
      <c:valAx>
        <c:axId val="44578095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780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20656"/>
        <c:axId val="444925600"/>
      </c:lineChart>
      <c:catAx>
        <c:axId val="18212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925600"/>
        <c:crosses val="autoZero"/>
        <c:auto val="1"/>
        <c:lblAlgn val="ctr"/>
        <c:lblOffset val="100"/>
        <c:noMultiLvlLbl val="0"/>
      </c:catAx>
      <c:valAx>
        <c:axId val="44492560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2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218</c:v>
                </c:pt>
                <c:pt idx="6">
                  <c:v>279.66666666666669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158.33333333333334</c:v>
                </c:pt>
                <c:pt idx="20">
                  <c:v>499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925992"/>
        <c:axId val="444926776"/>
      </c:lineChart>
      <c:catAx>
        <c:axId val="444925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926776"/>
        <c:crosses val="autoZero"/>
        <c:auto val="1"/>
        <c:lblAlgn val="ctr"/>
        <c:lblOffset val="100"/>
        <c:noMultiLvlLbl val="0"/>
      </c:catAx>
      <c:valAx>
        <c:axId val="44492677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925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650856"/>
        <c:axId val="444654776"/>
      </c:lineChart>
      <c:catAx>
        <c:axId val="444650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54776"/>
        <c:crosses val="autoZero"/>
        <c:auto val="1"/>
        <c:lblAlgn val="ctr"/>
        <c:lblOffset val="100"/>
        <c:noMultiLvlLbl val="0"/>
      </c:catAx>
      <c:valAx>
        <c:axId val="444654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50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657128"/>
        <c:axId val="444655168"/>
      </c:lineChart>
      <c:catAx>
        <c:axId val="444657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55168"/>
        <c:crosses val="autoZero"/>
        <c:auto val="1"/>
        <c:lblAlgn val="ctr"/>
        <c:lblOffset val="100"/>
        <c:noMultiLvlLbl val="0"/>
      </c:catAx>
      <c:valAx>
        <c:axId val="444655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57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134</c:v>
                </c:pt>
                <c:pt idx="4">
                  <c:v>0</c:v>
                </c:pt>
                <c:pt idx="5">
                  <c:v>0</c:v>
                </c:pt>
                <c:pt idx="6">
                  <c:v>112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651248"/>
        <c:axId val="444654384"/>
      </c:lineChart>
      <c:catAx>
        <c:axId val="44465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54384"/>
        <c:crosses val="autoZero"/>
        <c:auto val="1"/>
        <c:lblAlgn val="ctr"/>
        <c:lblOffset val="100"/>
        <c:noMultiLvlLbl val="0"/>
      </c:catAx>
      <c:valAx>
        <c:axId val="444654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5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28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26</c:v>
                </c:pt>
                <c:pt idx="19">
                  <c:v>25.5</c:v>
                </c:pt>
                <c:pt idx="20">
                  <c:v>26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27.5</c:v>
                </c:pt>
                <c:pt idx="25">
                  <c:v>26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656736"/>
        <c:axId val="444651640"/>
      </c:lineChart>
      <c:catAx>
        <c:axId val="444656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51640"/>
        <c:crosses val="autoZero"/>
        <c:auto val="1"/>
        <c:lblAlgn val="ctr"/>
        <c:lblOffset val="100"/>
        <c:noMultiLvlLbl val="0"/>
      </c:catAx>
      <c:valAx>
        <c:axId val="4446516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5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657912"/>
        <c:axId val="444653208"/>
      </c:lineChart>
      <c:catAx>
        <c:axId val="444657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53208"/>
        <c:crosses val="autoZero"/>
        <c:auto val="1"/>
        <c:lblAlgn val="ctr"/>
        <c:lblOffset val="100"/>
        <c:noMultiLvlLbl val="0"/>
      </c:catAx>
      <c:valAx>
        <c:axId val="444653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57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</c:v>
                </c:pt>
                <c:pt idx="9">
                  <c:v>0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11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10</c:v>
                </c:pt>
                <c:pt idx="19">
                  <c:v>12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655952"/>
        <c:axId val="444655560"/>
      </c:lineChart>
      <c:catAx>
        <c:axId val="44465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55560"/>
        <c:crosses val="autoZero"/>
        <c:auto val="1"/>
        <c:lblAlgn val="ctr"/>
        <c:lblOffset val="100"/>
        <c:noMultiLvlLbl val="0"/>
      </c:catAx>
      <c:valAx>
        <c:axId val="44465556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5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652816"/>
        <c:axId val="444656344"/>
      </c:lineChart>
      <c:catAx>
        <c:axId val="44465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56344"/>
        <c:crosses val="autoZero"/>
        <c:auto val="1"/>
        <c:lblAlgn val="ctr"/>
        <c:lblOffset val="100"/>
        <c:noMultiLvlLbl val="0"/>
      </c:catAx>
      <c:valAx>
        <c:axId val="444656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5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144</c:v>
                </c:pt>
                <c:pt idx="1">
                  <c:v>25</c:v>
                </c:pt>
                <c:pt idx="2">
                  <c:v>0</c:v>
                </c:pt>
                <c:pt idx="3">
                  <c:v>0</c:v>
                </c:pt>
                <c:pt idx="4">
                  <c:v>148</c:v>
                </c:pt>
                <c:pt idx="5">
                  <c:v>113</c:v>
                </c:pt>
                <c:pt idx="6">
                  <c:v>74</c:v>
                </c:pt>
                <c:pt idx="7">
                  <c:v>90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217</c:v>
                </c:pt>
                <c:pt idx="12">
                  <c:v>8</c:v>
                </c:pt>
                <c:pt idx="13">
                  <c:v>187</c:v>
                </c:pt>
                <c:pt idx="14">
                  <c:v>81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113</c:v>
                </c:pt>
                <c:pt idx="19">
                  <c:v>113</c:v>
                </c:pt>
                <c:pt idx="20">
                  <c:v>31</c:v>
                </c:pt>
                <c:pt idx="21">
                  <c:v>119</c:v>
                </c:pt>
                <c:pt idx="22">
                  <c:v>101</c:v>
                </c:pt>
                <c:pt idx="23">
                  <c:v>0</c:v>
                </c:pt>
                <c:pt idx="24">
                  <c:v>0</c:v>
                </c:pt>
                <c:pt idx="25">
                  <c:v>197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924816"/>
        <c:axId val="444926384"/>
      </c:lineChart>
      <c:catAx>
        <c:axId val="444924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926384"/>
        <c:crosses val="autoZero"/>
        <c:auto val="1"/>
        <c:lblAlgn val="ctr"/>
        <c:lblOffset val="100"/>
        <c:noMultiLvlLbl val="0"/>
      </c:catAx>
      <c:valAx>
        <c:axId val="444926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92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924424"/>
        <c:axId val="446530160"/>
      </c:lineChart>
      <c:catAx>
        <c:axId val="444924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530160"/>
        <c:crosses val="autoZero"/>
        <c:auto val="1"/>
        <c:lblAlgn val="ctr"/>
        <c:lblOffset val="100"/>
        <c:noMultiLvlLbl val="0"/>
      </c:catAx>
      <c:valAx>
        <c:axId val="4465301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924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3873</c:v>
                </c:pt>
                <c:pt idx="2">
                  <c:v>0</c:v>
                </c:pt>
                <c:pt idx="3">
                  <c:v>0</c:v>
                </c:pt>
                <c:pt idx="4">
                  <c:v>3120</c:v>
                </c:pt>
                <c:pt idx="5">
                  <c:v>3326</c:v>
                </c:pt>
                <c:pt idx="6">
                  <c:v>5010</c:v>
                </c:pt>
                <c:pt idx="7">
                  <c:v>4771</c:v>
                </c:pt>
                <c:pt idx="8">
                  <c:v>3693</c:v>
                </c:pt>
                <c:pt idx="9">
                  <c:v>0</c:v>
                </c:pt>
                <c:pt idx="10">
                  <c:v>0</c:v>
                </c:pt>
                <c:pt idx="11">
                  <c:v>4209.3999999999069</c:v>
                </c:pt>
                <c:pt idx="12">
                  <c:v>3162.6000000000931</c:v>
                </c:pt>
                <c:pt idx="13">
                  <c:v>2901</c:v>
                </c:pt>
                <c:pt idx="14">
                  <c:v>2980.3999999999069</c:v>
                </c:pt>
                <c:pt idx="15">
                  <c:v>2919.6000000000931</c:v>
                </c:pt>
                <c:pt idx="16">
                  <c:v>0</c:v>
                </c:pt>
                <c:pt idx="17">
                  <c:v>0</c:v>
                </c:pt>
                <c:pt idx="18">
                  <c:v>3174</c:v>
                </c:pt>
                <c:pt idx="19">
                  <c:v>2762</c:v>
                </c:pt>
                <c:pt idx="20">
                  <c:v>3770</c:v>
                </c:pt>
                <c:pt idx="21">
                  <c:v>2856</c:v>
                </c:pt>
                <c:pt idx="22">
                  <c:v>2510</c:v>
                </c:pt>
                <c:pt idx="23">
                  <c:v>0</c:v>
                </c:pt>
                <c:pt idx="24">
                  <c:v>0</c:v>
                </c:pt>
                <c:pt idx="25">
                  <c:v>3135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533688"/>
        <c:axId val="446536432"/>
      </c:lineChart>
      <c:catAx>
        <c:axId val="446533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536432"/>
        <c:crosses val="autoZero"/>
        <c:auto val="1"/>
        <c:lblAlgn val="ctr"/>
        <c:lblOffset val="100"/>
        <c:noMultiLvlLbl val="0"/>
      </c:catAx>
      <c:valAx>
        <c:axId val="4465364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533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536040"/>
        <c:axId val="446530944"/>
      </c:lineChart>
      <c:catAx>
        <c:axId val="446536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530944"/>
        <c:crosses val="autoZero"/>
        <c:auto val="1"/>
        <c:lblAlgn val="ctr"/>
        <c:lblOffset val="100"/>
        <c:noMultiLvlLbl val="0"/>
      </c:catAx>
      <c:valAx>
        <c:axId val="446530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536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</c:v>
                </c:pt>
                <c:pt idx="9">
                  <c:v>0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11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10</c:v>
                </c:pt>
                <c:pt idx="19">
                  <c:v>12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531728"/>
        <c:axId val="446530552"/>
      </c:lineChart>
      <c:catAx>
        <c:axId val="446531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530552"/>
        <c:crosses val="autoZero"/>
        <c:auto val="1"/>
        <c:lblAlgn val="ctr"/>
        <c:lblOffset val="100"/>
        <c:noMultiLvlLbl val="0"/>
      </c:catAx>
      <c:valAx>
        <c:axId val="4465305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53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-1415.0483870967728</c:v>
                </c:pt>
                <c:pt idx="1">
                  <c:v>0</c:v>
                </c:pt>
                <c:pt idx="2">
                  <c:v>0</c:v>
                </c:pt>
                <c:pt idx="3">
                  <c:v>-1156.7096774193778</c:v>
                </c:pt>
                <c:pt idx="4">
                  <c:v>-1178.3709677419174</c:v>
                </c:pt>
                <c:pt idx="5">
                  <c:v>-2076.7419354838712</c:v>
                </c:pt>
                <c:pt idx="6">
                  <c:v>-1933.2258064516282</c:v>
                </c:pt>
                <c:pt idx="7">
                  <c:v>-990.03225806450064</c:v>
                </c:pt>
                <c:pt idx="8">
                  <c:v>0</c:v>
                </c:pt>
                <c:pt idx="9">
                  <c:v>0</c:v>
                </c:pt>
                <c:pt idx="10">
                  <c:v>-1345.0483870967655</c:v>
                </c:pt>
                <c:pt idx="11">
                  <c:v>1089.2096774193487</c:v>
                </c:pt>
                <c:pt idx="12">
                  <c:v>-1156.7096774193487</c:v>
                </c:pt>
                <c:pt idx="13">
                  <c:v>-990.03225806451519</c:v>
                </c:pt>
                <c:pt idx="14">
                  <c:v>-920.03225806452974</c:v>
                </c:pt>
                <c:pt idx="15">
                  <c:v>0</c:v>
                </c:pt>
                <c:pt idx="16">
                  <c:v>0</c:v>
                </c:pt>
                <c:pt idx="17">
                  <c:v>4906.8387096774095</c:v>
                </c:pt>
                <c:pt idx="18">
                  <c:v>-1226.7096774193487</c:v>
                </c:pt>
                <c:pt idx="19">
                  <c:v>-1226.7096774193487</c:v>
                </c:pt>
                <c:pt idx="20">
                  <c:v>-1226.7096774193487</c:v>
                </c:pt>
                <c:pt idx="21">
                  <c:v>630.87096774193924</c:v>
                </c:pt>
                <c:pt idx="22">
                  <c:v>0</c:v>
                </c:pt>
                <c:pt idx="23">
                  <c:v>0</c:v>
                </c:pt>
                <c:pt idx="24">
                  <c:v>-1700.0645161290304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531336"/>
        <c:axId val="446534472"/>
      </c:lineChart>
      <c:catAx>
        <c:axId val="446531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534472"/>
        <c:crosses val="autoZero"/>
        <c:auto val="1"/>
        <c:lblAlgn val="ctr"/>
        <c:lblOffset val="100"/>
        <c:noMultiLvlLbl val="0"/>
      </c:catAx>
      <c:valAx>
        <c:axId val="44653447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531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536824"/>
        <c:axId val="446532120"/>
      </c:lineChart>
      <c:catAx>
        <c:axId val="446536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532120"/>
        <c:crosses val="autoZero"/>
        <c:auto val="1"/>
        <c:lblAlgn val="ctr"/>
        <c:lblOffset val="100"/>
        <c:noMultiLvlLbl val="0"/>
      </c:catAx>
      <c:valAx>
        <c:axId val="446532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536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535648"/>
        <c:axId val="446529376"/>
      </c:lineChart>
      <c:catAx>
        <c:axId val="446535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529376"/>
        <c:crosses val="autoZero"/>
        <c:auto val="1"/>
        <c:lblAlgn val="ctr"/>
        <c:lblOffset val="100"/>
        <c:noMultiLvlLbl val="0"/>
      </c:catAx>
      <c:valAx>
        <c:axId val="44652937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53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541560"/>
        <c:axId val="447539208"/>
      </c:lineChart>
      <c:catAx>
        <c:axId val="447541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539208"/>
        <c:crosses val="autoZero"/>
        <c:auto val="1"/>
        <c:lblAlgn val="ctr"/>
        <c:lblOffset val="100"/>
        <c:noMultiLvlLbl val="0"/>
      </c:catAx>
      <c:valAx>
        <c:axId val="4475392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541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542344"/>
        <c:axId val="447541168"/>
      </c:lineChart>
      <c:catAx>
        <c:axId val="447542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541168"/>
        <c:crosses val="autoZero"/>
        <c:auto val="1"/>
        <c:lblAlgn val="ctr"/>
        <c:lblOffset val="100"/>
        <c:noMultiLvlLbl val="0"/>
      </c:catAx>
      <c:valAx>
        <c:axId val="447541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542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134</c:v>
                </c:pt>
                <c:pt idx="4">
                  <c:v>0</c:v>
                </c:pt>
                <c:pt idx="5">
                  <c:v>0</c:v>
                </c:pt>
                <c:pt idx="6">
                  <c:v>112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544696"/>
        <c:axId val="447537248"/>
      </c:lineChart>
      <c:catAx>
        <c:axId val="447544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537248"/>
        <c:crosses val="autoZero"/>
        <c:auto val="1"/>
        <c:lblAlgn val="ctr"/>
        <c:lblOffset val="100"/>
        <c:noMultiLvlLbl val="0"/>
      </c:catAx>
      <c:valAx>
        <c:axId val="447537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544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28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26</c:v>
                </c:pt>
                <c:pt idx="19">
                  <c:v>25.5</c:v>
                </c:pt>
                <c:pt idx="20">
                  <c:v>26</c:v>
                </c:pt>
                <c:pt idx="21">
                  <c:v>26</c:v>
                </c:pt>
                <c:pt idx="23">
                  <c:v>0</c:v>
                </c:pt>
                <c:pt idx="24">
                  <c:v>27.5</c:v>
                </c:pt>
                <c:pt idx="25">
                  <c:v>26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544304"/>
        <c:axId val="447543520"/>
      </c:lineChart>
      <c:catAx>
        <c:axId val="44754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543520"/>
        <c:crosses val="autoZero"/>
        <c:auto val="1"/>
        <c:lblAlgn val="ctr"/>
        <c:lblOffset val="100"/>
        <c:noMultiLvlLbl val="0"/>
      </c:catAx>
      <c:valAx>
        <c:axId val="447543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54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542736"/>
        <c:axId val="447543912"/>
      </c:lineChart>
      <c:catAx>
        <c:axId val="4475427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543912"/>
        <c:crosses val="autoZero"/>
        <c:auto val="1"/>
        <c:lblAlgn val="ctr"/>
        <c:lblOffset val="100"/>
        <c:noMultiLvlLbl val="0"/>
      </c:catAx>
      <c:valAx>
        <c:axId val="447543912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542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218</c:v>
                </c:pt>
                <c:pt idx="6">
                  <c:v>279.66666666666669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158.33333333333334</c:v>
                </c:pt>
                <c:pt idx="20">
                  <c:v>499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538032"/>
        <c:axId val="447539600"/>
      </c:lineChart>
      <c:catAx>
        <c:axId val="44753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539600"/>
        <c:crosses val="autoZero"/>
        <c:auto val="1"/>
        <c:lblAlgn val="ctr"/>
        <c:lblOffset val="100"/>
        <c:noMultiLvlLbl val="0"/>
      </c:catAx>
      <c:valAx>
        <c:axId val="44753960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53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28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26</c:v>
                </c:pt>
                <c:pt idx="19">
                  <c:v>25.5</c:v>
                </c:pt>
                <c:pt idx="20">
                  <c:v>26</c:v>
                </c:pt>
                <c:pt idx="21">
                  <c:v>26</c:v>
                </c:pt>
                <c:pt idx="23">
                  <c:v>0</c:v>
                </c:pt>
                <c:pt idx="24">
                  <c:v>27.5</c:v>
                </c:pt>
                <c:pt idx="25">
                  <c:v>26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538424"/>
        <c:axId val="447538816"/>
      </c:lineChart>
      <c:catAx>
        <c:axId val="447538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538816"/>
        <c:crosses val="autoZero"/>
        <c:auto val="1"/>
        <c:lblAlgn val="ctr"/>
        <c:lblOffset val="100"/>
        <c:noMultiLvlLbl val="0"/>
      </c:catAx>
      <c:valAx>
        <c:axId val="447538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538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232088"/>
        <c:axId val="446232480"/>
      </c:lineChart>
      <c:catAx>
        <c:axId val="4462320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232480"/>
        <c:crosses val="autoZero"/>
        <c:auto val="1"/>
        <c:lblAlgn val="ctr"/>
        <c:lblOffset val="100"/>
        <c:noMultiLvlLbl val="0"/>
      </c:catAx>
      <c:valAx>
        <c:axId val="44623248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232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44804</v>
          </cell>
          <cell r="D34">
            <v>356220</v>
          </cell>
          <cell r="E34">
            <v>920</v>
          </cell>
          <cell r="F34">
            <v>4159064</v>
          </cell>
          <cell r="G34">
            <v>602.79999999981374</v>
          </cell>
          <cell r="H34">
            <v>18074738</v>
          </cell>
          <cell r="I34">
            <v>568</v>
          </cell>
          <cell r="J34">
            <v>29843550</v>
          </cell>
          <cell r="K34">
            <v>878</v>
          </cell>
          <cell r="L34">
            <v>24651582</v>
          </cell>
          <cell r="M34">
            <v>1110</v>
          </cell>
          <cell r="N34">
            <v>4078.7999999998137</v>
          </cell>
          <cell r="O34">
            <v>0</v>
          </cell>
          <cell r="P34">
            <v>19463.367999999999</v>
          </cell>
          <cell r="Q34">
            <v>4102.999999999156</v>
          </cell>
          <cell r="R34">
            <v>-24.199999999342253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33489</v>
          </cell>
          <cell r="X34">
            <v>0</v>
          </cell>
          <cell r="Y34">
            <v>998162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44804</v>
          </cell>
          <cell r="B35">
            <v>199</v>
          </cell>
          <cell r="C35">
            <v>206</v>
          </cell>
          <cell r="D35">
            <v>5</v>
          </cell>
          <cell r="E35">
            <v>41.900000000000006</v>
          </cell>
          <cell r="F35">
            <v>2278</v>
          </cell>
          <cell r="G35">
            <v>0</v>
          </cell>
          <cell r="H35">
            <v>46144</v>
          </cell>
          <cell r="I35">
            <v>0</v>
          </cell>
          <cell r="J35">
            <v>0</v>
          </cell>
          <cell r="K35">
            <v>2453</v>
          </cell>
          <cell r="L35">
            <v>1</v>
          </cell>
          <cell r="M35">
            <v>182416</v>
          </cell>
          <cell r="N35">
            <v>79</v>
          </cell>
          <cell r="O35">
            <v>1869</v>
          </cell>
          <cell r="P35">
            <v>2226</v>
          </cell>
          <cell r="Q35">
            <v>186049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79</v>
          </cell>
          <cell r="W35"/>
          <cell r="X35">
            <v>2492</v>
          </cell>
          <cell r="Y35">
            <v>1</v>
          </cell>
          <cell r="Z35">
            <v>140886</v>
          </cell>
          <cell r="AA35">
            <v>65</v>
          </cell>
          <cell r="AB35">
            <v>0</v>
          </cell>
          <cell r="AC35">
            <v>1948</v>
          </cell>
          <cell r="AD35">
            <v>0</v>
          </cell>
          <cell r="AE35">
            <v>366628</v>
          </cell>
          <cell r="AF35">
            <v>0</v>
          </cell>
          <cell r="AG35">
            <v>0</v>
          </cell>
          <cell r="AH35">
            <v>65</v>
          </cell>
          <cell r="AI35">
            <v>144</v>
          </cell>
          <cell r="AJ35">
            <v>144</v>
          </cell>
          <cell r="AK35">
            <v>0</v>
          </cell>
          <cell r="AL35">
            <v>1</v>
          </cell>
          <cell r="AM35">
            <v>1</v>
          </cell>
          <cell r="AN35">
            <v>66</v>
          </cell>
          <cell r="AO35">
            <v>1980</v>
          </cell>
          <cell r="AP35">
            <v>31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A36">
            <v>44804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G36">
            <v>630225</v>
          </cell>
          <cell r="H36">
            <v>122</v>
          </cell>
          <cell r="I36">
            <v>122</v>
          </cell>
          <cell r="J36">
            <v>1.9830777366472765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T36">
            <v>5190</v>
          </cell>
          <cell r="U36">
            <v>0</v>
          </cell>
          <cell r="V36">
            <v>499</v>
          </cell>
          <cell r="W36">
            <v>1</v>
          </cell>
          <cell r="X36">
            <v>155837</v>
          </cell>
          <cell r="Y36">
            <v>90</v>
          </cell>
          <cell r="Z36">
            <v>99668</v>
          </cell>
          <cell r="AA36">
            <v>110</v>
          </cell>
          <cell r="AB36">
            <v>258</v>
          </cell>
          <cell r="AC36">
            <v>855</v>
          </cell>
          <cell r="AD36">
            <v>125</v>
          </cell>
          <cell r="AE36">
            <v>248.42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110</v>
          </cell>
          <cell r="AK36">
            <v>90</v>
          </cell>
          <cell r="AL36">
            <v>109</v>
          </cell>
          <cell r="AM36">
            <v>29.5</v>
          </cell>
          <cell r="AN36">
            <v>0</v>
          </cell>
          <cell r="AO36"/>
          <cell r="AP36">
            <v>0</v>
          </cell>
          <cell r="AR36">
            <v>44804</v>
          </cell>
          <cell r="AS36">
            <v>0.9</v>
          </cell>
          <cell r="AT36">
            <v>59</v>
          </cell>
          <cell r="AU36">
            <v>1.1000000000000001</v>
          </cell>
          <cell r="AV36">
            <v>153</v>
          </cell>
          <cell r="AW36">
            <v>2.9</v>
          </cell>
          <cell r="AX36">
            <v>102</v>
          </cell>
          <cell r="AY36">
            <v>53.1</v>
          </cell>
          <cell r="AZ36">
            <v>168.3</v>
          </cell>
          <cell r="BA36">
            <v>295.8</v>
          </cell>
          <cell r="BB36">
            <v>-26.9</v>
          </cell>
          <cell r="BC36">
            <v>85.800000000000011</v>
          </cell>
          <cell r="BD36">
            <v>60.900000000000006</v>
          </cell>
          <cell r="BE36">
            <v>119.80000000000001</v>
          </cell>
          <cell r="BF36">
            <v>2.1999999999999886</v>
          </cell>
          <cell r="BG36">
            <v>119.80000000000001</v>
          </cell>
        </row>
      </sheetData>
      <sheetData sheetId="5">
        <row r="33">
          <cell r="A33">
            <v>44804</v>
          </cell>
          <cell r="B33">
            <v>837</v>
          </cell>
          <cell r="C33">
            <v>15</v>
          </cell>
          <cell r="D33">
            <v>744446</v>
          </cell>
          <cell r="E33">
            <v>1275</v>
          </cell>
          <cell r="F33">
            <v>85</v>
          </cell>
          <cell r="G33"/>
          <cell r="H33">
            <v>12231</v>
          </cell>
          <cell r="I33" t="str">
            <v>ok</v>
          </cell>
          <cell r="J33">
            <v>125</v>
          </cell>
          <cell r="K33">
            <v>0</v>
          </cell>
          <cell r="L33">
            <v>388191</v>
          </cell>
          <cell r="M33">
            <v>0</v>
          </cell>
          <cell r="N33">
            <v>250</v>
          </cell>
          <cell r="O33"/>
          <cell r="P33">
            <v>10873</v>
          </cell>
          <cell r="Q33" t="str">
            <v>ok</v>
          </cell>
          <cell r="R33">
            <v>13908</v>
          </cell>
          <cell r="S33">
            <v>0</v>
          </cell>
          <cell r="T33">
            <v>416512</v>
          </cell>
          <cell r="U33">
            <v>0</v>
          </cell>
          <cell r="V33">
            <v>250</v>
          </cell>
          <cell r="W33"/>
          <cell r="X33">
            <v>14593</v>
          </cell>
          <cell r="Y33" t="str">
            <v>ok</v>
          </cell>
          <cell r="Z33">
            <v>15</v>
          </cell>
          <cell r="AA33">
            <v>1275</v>
          </cell>
          <cell r="AB33">
            <v>585</v>
          </cell>
          <cell r="AC33">
            <v>85</v>
          </cell>
          <cell r="AD33">
            <v>4102.999999999156</v>
          </cell>
          <cell r="AE33">
            <v>273.53333333327708</v>
          </cell>
          <cell r="AF33">
            <v>0.17095833333329818</v>
          </cell>
          <cell r="AG33">
            <v>1.0684895833331137E-4</v>
          </cell>
          <cell r="AH33">
            <v>84.999893151041661</v>
          </cell>
          <cell r="AI33">
            <v>1056.0464135018926</v>
          </cell>
          <cell r="AJ33">
            <v>0.25738396624472576</v>
          </cell>
          <cell r="AK33">
            <v>70.403094233459512</v>
          </cell>
          <cell r="AL33">
            <v>1</v>
          </cell>
        </row>
      </sheetData>
      <sheetData sheetId="6">
        <row r="36">
          <cell r="A36">
            <v>44804</v>
          </cell>
          <cell r="B36">
            <v>199</v>
          </cell>
          <cell r="C36">
            <v>4281.7096774193551</v>
          </cell>
          <cell r="D36">
            <v>199</v>
          </cell>
          <cell r="E36">
            <v>4281.7096774193551</v>
          </cell>
          <cell r="F36">
            <v>199</v>
          </cell>
          <cell r="G36">
            <v>4281.7096774193551</v>
          </cell>
          <cell r="H36">
            <v>199</v>
          </cell>
          <cell r="I36">
            <v>4281.7096774193551</v>
          </cell>
          <cell r="J36">
            <v>199</v>
          </cell>
          <cell r="K36">
            <v>4281.7096774193551</v>
          </cell>
          <cell r="L36">
            <v>199</v>
          </cell>
          <cell r="M36">
            <v>4281.7096774193551</v>
          </cell>
          <cell r="N36">
            <v>199</v>
          </cell>
          <cell r="O36">
            <v>4281.7096774193551</v>
          </cell>
          <cell r="P36">
            <v>199</v>
          </cell>
          <cell r="Q36">
            <v>4281.7096774193551</v>
          </cell>
          <cell r="R36">
            <v>199</v>
          </cell>
          <cell r="S36">
            <v>4281.7096774193551</v>
          </cell>
          <cell r="T36">
            <v>199</v>
          </cell>
          <cell r="U36">
            <v>4281.7096774193551</v>
          </cell>
          <cell r="V36">
            <v>199</v>
          </cell>
          <cell r="W36">
            <v>4281.7096774193551</v>
          </cell>
          <cell r="X36">
            <v>0.64193548387096777</v>
          </cell>
          <cell r="Y36">
            <v>47098.806451612909</v>
          </cell>
          <cell r="Z36">
            <v>206</v>
          </cell>
          <cell r="AA36">
            <v>2060</v>
          </cell>
          <cell r="AB36">
            <v>206</v>
          </cell>
          <cell r="AC36">
            <v>2060</v>
          </cell>
          <cell r="AD36">
            <v>206</v>
          </cell>
          <cell r="AE36">
            <v>2060</v>
          </cell>
          <cell r="AF36">
            <v>206</v>
          </cell>
          <cell r="AG36">
            <v>2060</v>
          </cell>
          <cell r="AH36">
            <v>206</v>
          </cell>
          <cell r="AI36">
            <v>2060</v>
          </cell>
          <cell r="AJ36">
            <v>206</v>
          </cell>
          <cell r="AK36">
            <v>2060</v>
          </cell>
          <cell r="AL36">
            <v>206</v>
          </cell>
          <cell r="AM36">
            <v>2060</v>
          </cell>
          <cell r="AN36">
            <v>0.73571428571428577</v>
          </cell>
          <cell r="AO36">
            <v>14420</v>
          </cell>
          <cell r="AQ36">
            <v>0.6617059960375703</v>
          </cell>
          <cell r="AR36">
            <v>61518.806451612909</v>
          </cell>
          <cell r="AS36">
            <v>-1533.3870967741823</v>
          </cell>
          <cell r="AT36"/>
          <cell r="AU36"/>
          <cell r="AV36">
            <v>0</v>
          </cell>
          <cell r="AW36">
            <v>-144</v>
          </cell>
          <cell r="AX36">
            <v>-1389.3870967741823</v>
          </cell>
          <cell r="AY36">
            <v>-1533.3870967741823</v>
          </cell>
          <cell r="AZ36">
            <v>0</v>
          </cell>
          <cell r="BA36">
            <v>29.5</v>
          </cell>
          <cell r="BB36">
            <v>0.8</v>
          </cell>
        </row>
      </sheetData>
      <sheetData sheetId="7">
        <row r="21">
          <cell r="W21">
            <v>44795</v>
          </cell>
        </row>
        <row r="26">
          <cell r="V26">
            <v>401847</v>
          </cell>
          <cell r="W26">
            <v>401903</v>
          </cell>
          <cell r="X26" t="str">
            <v>Night</v>
          </cell>
          <cell r="Y26">
            <v>80</v>
          </cell>
          <cell r="Z26">
            <v>1</v>
          </cell>
          <cell r="AA26">
            <v>56</v>
          </cell>
          <cell r="AB26">
            <v>4480</v>
          </cell>
          <cell r="AC26">
            <v>1033333</v>
          </cell>
          <cell r="AD26">
            <v>5.185185185185185E-2</v>
          </cell>
        </row>
        <row r="27">
          <cell r="V27">
            <v>560074</v>
          </cell>
          <cell r="W27">
            <v>561097</v>
          </cell>
          <cell r="X27" t="str">
            <v>day</v>
          </cell>
          <cell r="Y27">
            <v>112</v>
          </cell>
          <cell r="Z27">
            <v>1</v>
          </cell>
          <cell r="AA27">
            <v>1023</v>
          </cell>
          <cell r="AB27">
            <v>114576</v>
          </cell>
          <cell r="AC27">
            <v>6200000</v>
          </cell>
          <cell r="AD27">
            <v>0.94722222222222219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1079</v>
          </cell>
          <cell r="AB29">
            <v>119056</v>
          </cell>
          <cell r="AC29">
            <v>7234333</v>
          </cell>
        </row>
        <row r="30">
          <cell r="W30">
            <v>0</v>
          </cell>
          <cell r="AA30"/>
          <cell r="AB30">
            <v>7353389</v>
          </cell>
          <cell r="AC30"/>
        </row>
        <row r="31">
          <cell r="AA31"/>
          <cell r="AB31"/>
          <cell r="AC31"/>
        </row>
        <row r="32">
          <cell r="W32">
            <v>219</v>
          </cell>
          <cell r="X32">
            <v>54.75</v>
          </cell>
          <cell r="Y32">
            <v>54.75</v>
          </cell>
          <cell r="AA32"/>
          <cell r="AB32"/>
          <cell r="AC32"/>
        </row>
        <row r="33">
          <cell r="AA33">
            <v>0.11</v>
          </cell>
          <cell r="AB33">
            <v>808872.79</v>
          </cell>
          <cell r="AC33">
            <v>7234333</v>
          </cell>
        </row>
        <row r="34">
          <cell r="A34">
            <v>44804</v>
          </cell>
          <cell r="B34">
            <v>1124410</v>
          </cell>
          <cell r="C34">
            <v>0</v>
          </cell>
          <cell r="D34">
            <v>0</v>
          </cell>
          <cell r="E34">
            <v>1124410</v>
          </cell>
          <cell r="F34">
            <v>161410</v>
          </cell>
          <cell r="G34">
            <v>0</v>
          </cell>
          <cell r="H34">
            <v>561097</v>
          </cell>
          <cell r="I34">
            <v>0</v>
          </cell>
          <cell r="J34">
            <v>401903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1460.9405322580526</v>
          </cell>
          <cell r="R34">
            <v>1615.7435708286405</v>
          </cell>
          <cell r="S34">
            <v>4078.7999999998137</v>
          </cell>
          <cell r="T34">
            <v>0.39613209052385856</v>
          </cell>
          <cell r="AA34"/>
          <cell r="AB34">
            <v>8162261.79</v>
          </cell>
          <cell r="AC34">
            <v>0</v>
          </cell>
        </row>
        <row r="35">
          <cell r="AA35"/>
          <cell r="AB35"/>
          <cell r="AC35"/>
        </row>
        <row r="36">
          <cell r="AB36">
            <v>4877.8699834162517</v>
          </cell>
          <cell r="AC36"/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</row>
      </sheetData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36.200000000000003</v>
          </cell>
        </row>
        <row r="18">
          <cell r="B18">
            <v>325</v>
          </cell>
        </row>
        <row r="19">
          <cell r="B19">
            <v>21.666666666666668</v>
          </cell>
        </row>
      </sheetData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7">
          <cell r="B17">
            <v>0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G14" sqref="G14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2" t="s">
        <v>338</v>
      </c>
      <c r="B1" s="572" t="s">
        <v>198</v>
      </c>
      <c r="C1" s="572" t="s">
        <v>339</v>
      </c>
      <c r="D1" s="572" t="s">
        <v>340</v>
      </c>
      <c r="E1" s="573" t="s">
        <v>350</v>
      </c>
      <c r="F1" s="573" t="s">
        <v>351</v>
      </c>
      <c r="G1" s="573" t="s">
        <v>411</v>
      </c>
      <c r="H1" s="573" t="s">
        <v>352</v>
      </c>
      <c r="I1" s="573" t="s">
        <v>353</v>
      </c>
      <c r="J1" s="573" t="s">
        <v>354</v>
      </c>
      <c r="K1" s="573" t="s">
        <v>355</v>
      </c>
      <c r="L1" s="573" t="s">
        <v>356</v>
      </c>
      <c r="M1" s="574" t="s">
        <v>397</v>
      </c>
      <c r="N1" s="468" t="s">
        <v>398</v>
      </c>
      <c r="O1" s="573" t="s">
        <v>341</v>
      </c>
    </row>
    <row r="2" spans="1:15">
      <c r="A2" t="s">
        <v>342</v>
      </c>
      <c r="B2">
        <v>1</v>
      </c>
      <c r="C2">
        <v>9</v>
      </c>
      <c r="D2">
        <v>2022</v>
      </c>
      <c r="E2" s="203">
        <f>ELEC!N4</f>
        <v>3873</v>
      </c>
      <c r="F2" s="315">
        <f>SUM('EDl log'!T4)</f>
        <v>0.30139036174517653</v>
      </c>
      <c r="G2" s="203">
        <f>-tanks!AW6</f>
        <v>25</v>
      </c>
      <c r="H2" s="315">
        <f>tanks!AV6</f>
        <v>0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9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0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9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0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9</v>
      </c>
      <c r="D5">
        <f t="shared" si="1"/>
        <v>2022</v>
      </c>
      <c r="E5" s="203">
        <f>ELEC!N7</f>
        <v>3120</v>
      </c>
      <c r="F5" s="315">
        <f>SUM('EDl log'!T7)</f>
        <v>0.28555814725198186</v>
      </c>
      <c r="G5" s="203">
        <f>-tanks!AW9</f>
        <v>148</v>
      </c>
      <c r="H5" s="315">
        <f>tanks!AV9</f>
        <v>0</v>
      </c>
      <c r="I5" s="10">
        <f>('B5'!AU8)*0.51</f>
        <v>0</v>
      </c>
      <c r="J5" s="296">
        <f>'B5'!AX8/0.51</f>
        <v>1.5686274509803921</v>
      </c>
      <c r="K5" s="203">
        <f>WATER!I9</f>
        <v>134</v>
      </c>
      <c r="L5" s="316">
        <f>SUM(WATER!J9)</f>
        <v>1.8656716417910448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9</v>
      </c>
      <c r="D6">
        <f t="shared" si="1"/>
        <v>2022</v>
      </c>
      <c r="E6" s="203">
        <f>ELEC!N8</f>
        <v>3326</v>
      </c>
      <c r="F6" s="315">
        <f>SUM('EDl log'!T8)</f>
        <v>0.2802170678933405</v>
      </c>
      <c r="G6" s="203">
        <f>-tanks!AW10</f>
        <v>113</v>
      </c>
      <c r="H6" s="315">
        <f>tanks!AV10</f>
        <v>0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9</v>
      </c>
      <c r="D7">
        <f t="shared" si="1"/>
        <v>2022</v>
      </c>
      <c r="E7" s="203">
        <f>ELEC!N9</f>
        <v>5010</v>
      </c>
      <c r="F7" s="315">
        <f>SUM('EDl log'!T9)</f>
        <v>0.32161346555627135</v>
      </c>
      <c r="G7" s="203">
        <f>-tanks!AW11</f>
        <v>74</v>
      </c>
      <c r="H7" s="315">
        <f>tanks!AV11</f>
        <v>0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9</v>
      </c>
      <c r="D8">
        <f t="shared" si="1"/>
        <v>2022</v>
      </c>
      <c r="E8" s="203">
        <f>ELEC!N10</f>
        <v>4771</v>
      </c>
      <c r="F8" s="315">
        <f>SUM('EDl log'!T10)</f>
        <v>0.31349558602631611</v>
      </c>
      <c r="G8" s="203">
        <f>-tanks!AW12</f>
        <v>90</v>
      </c>
      <c r="H8" s="315">
        <f>tanks!AV12</f>
        <v>1.111</v>
      </c>
      <c r="I8" s="10">
        <f>('B5'!AU11)*0.51</f>
        <v>-45.9</v>
      </c>
      <c r="J8" s="296">
        <f>'B5'!AX11/0.51</f>
        <v>1.5686274509803921</v>
      </c>
      <c r="K8" s="203">
        <f>WATER!I12</f>
        <v>112</v>
      </c>
      <c r="L8" s="316">
        <f>SUM(WATER!J12)</f>
        <v>2.2321428571428572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9</v>
      </c>
      <c r="D9">
        <f t="shared" si="1"/>
        <v>2022</v>
      </c>
      <c r="E9" s="203">
        <f>ELEC!N11</f>
        <v>3693</v>
      </c>
      <c r="F9" s="315">
        <f>SUM('EDl log'!T11)</f>
        <v>0.23758638402392337</v>
      </c>
      <c r="G9" s="203">
        <f>-tanks!AW13</f>
        <v>0</v>
      </c>
      <c r="H9" s="315">
        <f>tanks!AV13</f>
        <v>1.111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9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1.111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9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1.111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9</v>
      </c>
      <c r="D12">
        <f t="shared" si="1"/>
        <v>2022</v>
      </c>
      <c r="E12" s="203">
        <f>ELEC!N14</f>
        <v>4209.3999999999069</v>
      </c>
      <c r="F12" s="315">
        <f>SUM('EDl log'!T14)</f>
        <v>0.23219988700822414</v>
      </c>
      <c r="G12" s="203">
        <f>-tanks!AW16</f>
        <v>217</v>
      </c>
      <c r="H12" s="315">
        <f>tanks!AV16</f>
        <v>1.111</v>
      </c>
      <c r="I12" s="10">
        <f>('B5'!AU15)*0.51</f>
        <v>0</v>
      </c>
      <c r="J12" s="296">
        <f>'B5'!AX15/0.51</f>
        <v>1.5686274509803921</v>
      </c>
      <c r="K12" s="203">
        <f>WATER!I16</f>
        <v>97</v>
      </c>
      <c r="L12" s="316">
        <f>SUM(WATER!J16)</f>
        <v>2.5773195876288661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9</v>
      </c>
      <c r="D13">
        <f t="shared" si="1"/>
        <v>2022</v>
      </c>
      <c r="E13" s="203">
        <f>ELEC!N15</f>
        <v>3162.6000000000931</v>
      </c>
      <c r="F13" s="315">
        <f>SUM('EDl log'!T15)</f>
        <v>-0.20083100604363346</v>
      </c>
      <c r="G13" s="203">
        <f>-tanks!AW17</f>
        <v>8</v>
      </c>
      <c r="H13" s="315">
        <f>tanks!AV17</f>
        <v>1.0629999999999999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9</v>
      </c>
      <c r="D14">
        <f t="shared" si="1"/>
        <v>2022</v>
      </c>
      <c r="E14" s="203">
        <f>ELEC!N16</f>
        <v>2901</v>
      </c>
      <c r="F14" s="315">
        <f>SUM('EDl log'!T16)</f>
        <v>0.29737311941611938</v>
      </c>
      <c r="G14" s="203">
        <f>-tanks!AW18</f>
        <v>187</v>
      </c>
      <c r="H14" s="315">
        <f>tanks!AV18</f>
        <v>1.0629999999999999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9</v>
      </c>
      <c r="D15">
        <f t="shared" si="1"/>
        <v>2022</v>
      </c>
      <c r="E15" s="203">
        <f>ELEC!N17</f>
        <v>2980.3999999999069</v>
      </c>
      <c r="F15" s="315">
        <f>SUM('EDl log'!T17)</f>
        <v>0.27469752925794699</v>
      </c>
      <c r="G15" s="203">
        <f>-tanks!AW19</f>
        <v>81</v>
      </c>
      <c r="H15" s="315">
        <f>tanks!AV19</f>
        <v>1.0629999999999999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9</v>
      </c>
      <c r="D16">
        <f t="shared" si="1"/>
        <v>2022</v>
      </c>
      <c r="E16" s="203">
        <f>ELEC!N18</f>
        <v>2919.6000000000931</v>
      </c>
      <c r="F16" s="315">
        <f>SUM('EDl log'!T18)</f>
        <v>0.28314832495330766</v>
      </c>
      <c r="G16" s="203">
        <f>-tanks!AW20</f>
        <v>0</v>
      </c>
      <c r="H16" s="315">
        <f>tanks!AV20</f>
        <v>1.0629999999999999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9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1.0629999999999999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9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1.0629999999999999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9</v>
      </c>
      <c r="D19">
        <f t="shared" si="1"/>
        <v>2022</v>
      </c>
      <c r="E19" s="203">
        <f>ELEC!N21</f>
        <v>3174</v>
      </c>
      <c r="F19" s="315">
        <f>SUM('EDl log'!T21)</f>
        <v>-1.0956983758947558</v>
      </c>
      <c r="G19" s="203">
        <f>-tanks!AW23</f>
        <v>113</v>
      </c>
      <c r="H19" s="315">
        <f>tanks!AV23</f>
        <v>1.0629999999999999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9</v>
      </c>
      <c r="D20">
        <f t="shared" si="1"/>
        <v>2022</v>
      </c>
      <c r="E20" s="203">
        <f>ELEC!N22</f>
        <v>2762</v>
      </c>
      <c r="F20" s="315">
        <f>SUM('EDl log'!T22)</f>
        <v>0.35011999255110871</v>
      </c>
      <c r="G20" s="203">
        <f>-tanks!AW24</f>
        <v>113</v>
      </c>
      <c r="H20" s="315">
        <f>tanks!AV24</f>
        <v>1.0629999999999999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9</v>
      </c>
      <c r="D21">
        <f t="shared" si="1"/>
        <v>2022</v>
      </c>
      <c r="E21" s="203">
        <f>ELEC!N23</f>
        <v>3770</v>
      </c>
      <c r="F21" s="315">
        <f>SUM('EDl log'!T23)</f>
        <v>0.27226898835353552</v>
      </c>
      <c r="G21" s="203">
        <f>-tanks!AW25</f>
        <v>31</v>
      </c>
      <c r="H21" s="315">
        <f>tanks!AV25</f>
        <v>1.0629999999999999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9</v>
      </c>
      <c r="D22">
        <f t="shared" si="1"/>
        <v>2022</v>
      </c>
      <c r="E22" s="203">
        <f>ELEC!N24</f>
        <v>2856</v>
      </c>
      <c r="F22" s="315">
        <f>SUM('EDl log'!T24)</f>
        <v>0.33707402640972067</v>
      </c>
      <c r="G22" s="203">
        <f>-tanks!AW26</f>
        <v>119</v>
      </c>
      <c r="H22" s="315">
        <f>tanks!AV26</f>
        <v>1.0629999999999999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9</v>
      </c>
      <c r="D23">
        <f t="shared" si="1"/>
        <v>2022</v>
      </c>
      <c r="E23" s="203">
        <f>ELEC!N25</f>
        <v>2510</v>
      </c>
      <c r="F23" s="315">
        <f>SUM('EDl log'!T25)</f>
        <v>-0.14144233079273807</v>
      </c>
      <c r="G23" s="203">
        <f>-tanks!AW27</f>
        <v>101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9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9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9</v>
      </c>
      <c r="D26">
        <f t="shared" si="1"/>
        <v>2022</v>
      </c>
      <c r="E26" s="203">
        <f>ELEC!N28</f>
        <v>3135</v>
      </c>
      <c r="F26" s="315">
        <f>SUM('EDl log'!T28)</f>
        <v>0.39846376157717539</v>
      </c>
      <c r="G26" s="203">
        <f>-tanks!AW30</f>
        <v>197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9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9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9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9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9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9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K18" sqref="K18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9</v>
      </c>
      <c r="D2">
        <v>2022</v>
      </c>
      <c r="E2" s="203">
        <f>ELEC!M4</f>
        <v>1168</v>
      </c>
      <c r="F2" s="203">
        <f>ELEC!K4</f>
        <v>888</v>
      </c>
      <c r="G2" s="203">
        <f>ELEC!I4</f>
        <v>488</v>
      </c>
      <c r="H2" s="203">
        <f>ELEC!E4</f>
        <v>770</v>
      </c>
      <c r="I2" s="203">
        <f>ELEC!G4</f>
        <v>559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9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9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9</v>
      </c>
      <c r="D5">
        <v>2022</v>
      </c>
      <c r="E5" s="203">
        <f>ELEC!M7</f>
        <v>856</v>
      </c>
      <c r="F5" s="203">
        <f>ELEC!K7</f>
        <v>652</v>
      </c>
      <c r="G5" s="203">
        <f>ELEC!I7</f>
        <v>434</v>
      </c>
      <c r="H5" s="203">
        <f>ELEC!E7</f>
        <v>730</v>
      </c>
      <c r="I5" s="203">
        <f>ELEC!G7</f>
        <v>448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9</v>
      </c>
      <c r="D6">
        <v>2022</v>
      </c>
      <c r="E6" s="203">
        <f>ELEC!M8</f>
        <v>1090</v>
      </c>
      <c r="F6" s="203">
        <f>ELEC!K8</f>
        <v>568</v>
      </c>
      <c r="G6" s="203">
        <f>ELEC!I8</f>
        <v>442</v>
      </c>
      <c r="H6" s="203">
        <f>ELEC!E8</f>
        <v>760</v>
      </c>
      <c r="I6" s="203">
        <f>ELEC!G8</f>
        <v>466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9</v>
      </c>
      <c r="D7">
        <v>2022</v>
      </c>
      <c r="E7" s="203">
        <f>ELEC!M9</f>
        <v>1136</v>
      </c>
      <c r="F7" s="203">
        <f>ELEC!K9</f>
        <v>1512</v>
      </c>
      <c r="G7" s="203">
        <f>ELEC!I9</f>
        <v>454</v>
      </c>
      <c r="H7" s="203">
        <f>ELEC!E9</f>
        <v>1400</v>
      </c>
      <c r="I7" s="203">
        <f>ELEC!G9</f>
        <v>508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9</v>
      </c>
      <c r="D8">
        <v>2022</v>
      </c>
      <c r="E8" s="203">
        <f>ELEC!M10</f>
        <v>954</v>
      </c>
      <c r="F8" s="203">
        <f>ELEC!K10</f>
        <v>932</v>
      </c>
      <c r="G8" s="203">
        <f>ELEC!I10</f>
        <v>326</v>
      </c>
      <c r="H8" s="203">
        <f>ELEC!E10</f>
        <v>2080</v>
      </c>
      <c r="I8" s="203">
        <f>ELEC!G10</f>
        <v>479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9</v>
      </c>
      <c r="D9">
        <v>2022</v>
      </c>
      <c r="E9" s="203">
        <f>ELEC!M11</f>
        <v>844</v>
      </c>
      <c r="F9" s="203">
        <f>ELEC!K11</f>
        <v>530</v>
      </c>
      <c r="G9" s="203">
        <f>ELEC!I11</f>
        <v>246</v>
      </c>
      <c r="H9" s="203">
        <f>ELEC!E11</f>
        <v>1570</v>
      </c>
      <c r="I9" s="203">
        <f>ELEC!G11</f>
        <v>503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9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9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9</v>
      </c>
      <c r="D12">
        <v>2022</v>
      </c>
      <c r="E12" s="203">
        <f>ELEC!M14</f>
        <v>892</v>
      </c>
      <c r="F12" s="203">
        <f>ELEC!K14</f>
        <v>882</v>
      </c>
      <c r="G12" s="203">
        <f>ELEC!I14</f>
        <v>262</v>
      </c>
      <c r="H12" s="203">
        <f>ELEC!E14</f>
        <v>1680</v>
      </c>
      <c r="I12" s="203">
        <f>ELEC!G14</f>
        <v>493.39999999990687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9</v>
      </c>
      <c r="D13">
        <v>2022</v>
      </c>
      <c r="E13" s="203">
        <f>ELEC!M15</f>
        <v>1050</v>
      </c>
      <c r="F13" s="203">
        <f>ELEC!K15</f>
        <v>480</v>
      </c>
      <c r="G13" s="203">
        <f>ELEC!I15</f>
        <v>316</v>
      </c>
      <c r="H13" s="203">
        <f>ELEC!E15</f>
        <v>820</v>
      </c>
      <c r="I13" s="203">
        <f>ELEC!G15</f>
        <v>496.60000000009313</v>
      </c>
      <c r="J13" s="203">
        <f>WATER!Y17</f>
        <v>123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9</v>
      </c>
      <c r="D14">
        <v>2022</v>
      </c>
      <c r="E14" s="203">
        <f>ELEC!M16</f>
        <v>990</v>
      </c>
      <c r="F14" s="203">
        <f>ELEC!K16</f>
        <v>464</v>
      </c>
      <c r="G14" s="203">
        <f>ELEC!I16</f>
        <v>282</v>
      </c>
      <c r="H14" s="203">
        <f>ELEC!E16</f>
        <v>730</v>
      </c>
      <c r="I14" s="203">
        <f>ELEC!G16</f>
        <v>435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9</v>
      </c>
      <c r="D15">
        <v>2022</v>
      </c>
      <c r="E15" s="203">
        <f>ELEC!M17</f>
        <v>1000</v>
      </c>
      <c r="F15" s="203">
        <f>ELEC!K17</f>
        <v>540</v>
      </c>
      <c r="G15" s="203">
        <f>ELEC!I17</f>
        <v>298</v>
      </c>
      <c r="H15" s="203">
        <f>ELEC!E17</f>
        <v>770</v>
      </c>
      <c r="I15" s="203">
        <f>ELEC!G17</f>
        <v>372.39999999990687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9</v>
      </c>
      <c r="D16">
        <v>2022</v>
      </c>
      <c r="E16" s="203">
        <f>ELEC!M18</f>
        <v>988</v>
      </c>
      <c r="F16" s="203">
        <f>ELEC!K18</f>
        <v>334</v>
      </c>
      <c r="G16" s="203">
        <f>ELEC!I18</f>
        <v>292</v>
      </c>
      <c r="H16" s="203">
        <f>ELEC!E18</f>
        <v>750</v>
      </c>
      <c r="I16" s="203">
        <f>ELEC!G18</f>
        <v>555.60000000009313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9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9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9</v>
      </c>
      <c r="D19">
        <v>2022</v>
      </c>
      <c r="E19" s="203">
        <f>ELEC!M21</f>
        <v>1048</v>
      </c>
      <c r="F19" s="203">
        <f>ELEC!K21</f>
        <v>502</v>
      </c>
      <c r="G19" s="203">
        <f>ELEC!I21</f>
        <v>332</v>
      </c>
      <c r="H19" s="203">
        <f>ELEC!E21</f>
        <v>800</v>
      </c>
      <c r="I19" s="203">
        <f>ELEC!G21</f>
        <v>492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9</v>
      </c>
      <c r="D20">
        <v>2022</v>
      </c>
      <c r="E20" s="203">
        <f>ELEC!M22</f>
        <v>824</v>
      </c>
      <c r="F20" s="203">
        <f>ELEC!K22</f>
        <v>480</v>
      </c>
      <c r="G20" s="203">
        <f>ELEC!I22</f>
        <v>286</v>
      </c>
      <c r="H20" s="203">
        <f>ELEC!E22</f>
        <v>730</v>
      </c>
      <c r="I20" s="203">
        <f>ELEC!G22</f>
        <v>442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9</v>
      </c>
      <c r="D21">
        <v>2022</v>
      </c>
      <c r="E21" s="203">
        <f>ELEC!M23</f>
        <v>936</v>
      </c>
      <c r="F21" s="203">
        <f>ELEC!K23</f>
        <v>778</v>
      </c>
      <c r="G21" s="203">
        <f>ELEC!I23</f>
        <v>288</v>
      </c>
      <c r="H21" s="203">
        <f>ELEC!E23</f>
        <v>1320</v>
      </c>
      <c r="I21" s="203">
        <f>ELEC!G23</f>
        <v>448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9</v>
      </c>
      <c r="D22">
        <v>2022</v>
      </c>
      <c r="E22" s="203">
        <f>ELEC!M24</f>
        <v>768</v>
      </c>
      <c r="F22" s="203">
        <f>ELEC!K24</f>
        <v>616</v>
      </c>
      <c r="G22" s="203">
        <f>ELEC!I24</f>
        <v>274</v>
      </c>
      <c r="H22" s="203">
        <f>ELEC!E24</f>
        <v>810</v>
      </c>
      <c r="I22" s="203">
        <f>ELEC!G24</f>
        <v>388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9</v>
      </c>
      <c r="D23">
        <v>2022</v>
      </c>
      <c r="E23" s="203">
        <f>ELEC!M25</f>
        <v>750</v>
      </c>
      <c r="F23" s="203">
        <f>ELEC!K25</f>
        <v>610</v>
      </c>
      <c r="G23" s="203">
        <f>ELEC!I25</f>
        <v>264</v>
      </c>
      <c r="H23" s="203">
        <f>ELEC!E25</f>
        <v>710</v>
      </c>
      <c r="I23" s="203">
        <f>ELEC!G25</f>
        <v>176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9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9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9</v>
      </c>
      <c r="D26">
        <v>2022</v>
      </c>
      <c r="E26" s="203">
        <f>ELEC!M28</f>
        <v>808</v>
      </c>
      <c r="F26" s="203">
        <f>ELEC!K28</f>
        <v>688</v>
      </c>
      <c r="G26" s="203">
        <f>ELEC!I28</f>
        <v>284</v>
      </c>
      <c r="H26" s="203">
        <f>ELEC!E28</f>
        <v>730</v>
      </c>
      <c r="I26" s="203">
        <f>ELEC!G28</f>
        <v>625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9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9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9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9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9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9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topLeftCell="C1" zoomScale="60" zoomScaleNormal="60" zoomScaleSheetLayoutView="100" workbookViewId="0">
      <pane ySplit="2" topLeftCell="A3" activePane="bottomLeft" state="frozen"/>
      <selection activeCell="C1" sqref="C1"/>
      <selection pane="bottomLeft" activeCell="Z28" sqref="Z28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22.140625" style="444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44804</v>
      </c>
      <c r="D3" s="586">
        <f>[2]ELEC!D34</f>
        <v>356220</v>
      </c>
      <c r="E3" s="586">
        <f>[2]ELEC!E34</f>
        <v>920</v>
      </c>
      <c r="F3" s="586">
        <f>[2]ELEC!F34</f>
        <v>4159064</v>
      </c>
      <c r="G3" s="586">
        <f>[2]ELEC!G34</f>
        <v>602.79999999981374</v>
      </c>
      <c r="H3" s="586">
        <f>[2]ELEC!H34</f>
        <v>18074738</v>
      </c>
      <c r="I3" s="586">
        <f>[2]ELEC!I34</f>
        <v>568</v>
      </c>
      <c r="J3" s="586">
        <f>[2]ELEC!J34</f>
        <v>29843550</v>
      </c>
      <c r="K3" s="586">
        <f>[2]ELEC!K34</f>
        <v>878</v>
      </c>
      <c r="L3" s="586">
        <f>[2]ELEC!L34</f>
        <v>24651582</v>
      </c>
      <c r="M3" s="586">
        <f>[2]ELEC!M34</f>
        <v>1110</v>
      </c>
      <c r="N3" s="586">
        <f>[2]ELEC!N34</f>
        <v>4078.7999999998137</v>
      </c>
      <c r="O3" s="586">
        <f>[2]ELEC!O34</f>
        <v>0</v>
      </c>
      <c r="P3" s="586">
        <f>[2]ELEC!P34</f>
        <v>19463.367999999999</v>
      </c>
      <c r="Q3" s="586">
        <f>[2]ELEC!Q34</f>
        <v>4102.999999999156</v>
      </c>
      <c r="R3" s="586">
        <f>[2]ELEC!R34</f>
        <v>-24.199999999342253</v>
      </c>
      <c r="S3" s="586">
        <f>[2]ELEC!S34</f>
        <v>10175</v>
      </c>
      <c r="T3" s="586">
        <f>[2]ELEC!T34</f>
        <v>0</v>
      </c>
      <c r="U3" s="586">
        <f>[2]ELEC!U34</f>
        <v>429166</v>
      </c>
      <c r="V3" s="586">
        <f>[2]ELEC!V34</f>
        <v>0</v>
      </c>
      <c r="W3" s="586">
        <f>[2]ELEC!W34</f>
        <v>33489</v>
      </c>
      <c r="X3" s="586">
        <f>[2]ELEC!X34</f>
        <v>0</v>
      </c>
      <c r="Y3" s="586">
        <f>[2]ELEC!Y34</f>
        <v>998162</v>
      </c>
      <c r="Z3" s="586">
        <f>[2]ELEC!Z34</f>
        <v>0</v>
      </c>
      <c r="AA3" s="586">
        <f>[2]ELEC!AA34</f>
        <v>36796</v>
      </c>
      <c r="AB3" s="586">
        <f>[2]ELEC!AB34</f>
        <v>0</v>
      </c>
      <c r="AC3" s="586">
        <f>[2]ELEC!AC34</f>
        <v>1170516</v>
      </c>
      <c r="AD3" s="586">
        <f>[2]ELEC!AD34</f>
        <v>0</v>
      </c>
      <c r="AE3" s="586">
        <f>[2]ELEC!AE34</f>
        <v>0</v>
      </c>
      <c r="AF3" s="586">
        <f>[2]ELEC!AF34</f>
        <v>0</v>
      </c>
      <c r="AG3" s="586">
        <f>[2]ELEC!AG34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44805</v>
      </c>
      <c r="D4" s="587">
        <v>356990</v>
      </c>
      <c r="E4" s="575">
        <f>D4-D3</f>
        <v>770</v>
      </c>
      <c r="F4" s="567">
        <v>4159623</v>
      </c>
      <c r="G4" s="576">
        <f>F4-F3</f>
        <v>559</v>
      </c>
      <c r="H4" s="426">
        <v>18075226</v>
      </c>
      <c r="I4" s="576">
        <f>H4-H3</f>
        <v>488</v>
      </c>
      <c r="J4" s="426">
        <v>29844438</v>
      </c>
      <c r="K4" s="576">
        <f>J4-J3</f>
        <v>888</v>
      </c>
      <c r="L4" s="426">
        <v>24652750</v>
      </c>
      <c r="M4" s="576">
        <f>L4-L3</f>
        <v>1168</v>
      </c>
      <c r="N4" s="427">
        <f>M4+K4+I4+G4+E4</f>
        <v>3873</v>
      </c>
      <c r="O4" s="438">
        <f t="shared" ref="O4:O10" si="0">IF(B4&gt;0,N4/B4,0)</f>
        <v>0</v>
      </c>
      <c r="P4" s="561">
        <v>19467.342000000001</v>
      </c>
      <c r="Q4" s="446">
        <f t="shared" ref="Q4:Q31" si="1">(P4-P3)*1000</f>
        <v>3974.0000000019791</v>
      </c>
      <c r="R4" s="545">
        <f>+N4-Q4</f>
        <v>-101.00000000197906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33489</v>
      </c>
      <c r="X4" s="439">
        <f t="shared" ref="X4:X9" si="3">W4-W3</f>
        <v>0</v>
      </c>
      <c r="Y4" s="426">
        <f>Y3</f>
        <v>998162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44806</v>
      </c>
      <c r="D5" s="587">
        <f t="shared" ref="D5:D34" si="7">D4</f>
        <v>356990</v>
      </c>
      <c r="E5" s="575">
        <f t="shared" ref="E5:E34" si="8">D5-D4</f>
        <v>0</v>
      </c>
      <c r="F5" s="567">
        <f t="shared" ref="F5:F34" si="9">F4</f>
        <v>4159623</v>
      </c>
      <c r="G5" s="449">
        <f>F5-F4</f>
        <v>0</v>
      </c>
      <c r="H5" s="426">
        <f t="shared" ref="H5:H34" si="10">H4</f>
        <v>18075226</v>
      </c>
      <c r="I5" s="449">
        <f>H5-H4</f>
        <v>0</v>
      </c>
      <c r="J5" s="426">
        <f t="shared" ref="J5:J34" si="11">J4</f>
        <v>29844438</v>
      </c>
      <c r="K5" s="449">
        <f>J5-J4</f>
        <v>0</v>
      </c>
      <c r="L5" s="426">
        <f t="shared" ref="L5:L34" si="12">L4</f>
        <v>24652750</v>
      </c>
      <c r="M5" s="449">
        <f>L5-L4</f>
        <v>0</v>
      </c>
      <c r="N5" s="297">
        <f>M5+K5+I5+G5+E5</f>
        <v>0</v>
      </c>
      <c r="O5" s="445">
        <f t="shared" si="0"/>
        <v>0</v>
      </c>
      <c r="P5" s="561">
        <f t="shared" ref="P5:P34" si="13">P4</f>
        <v>19467.342000000001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33489</v>
      </c>
      <c r="X5" s="428">
        <f t="shared" si="3"/>
        <v>0</v>
      </c>
      <c r="Y5" s="426">
        <f t="shared" ref="Y5:Y34" si="17">Y4</f>
        <v>998162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1170516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44807</v>
      </c>
      <c r="D6" s="587">
        <f t="shared" si="7"/>
        <v>356990</v>
      </c>
      <c r="E6" s="575">
        <f t="shared" ref="E6:E7" si="21">D6-D5</f>
        <v>0</v>
      </c>
      <c r="F6" s="567">
        <f t="shared" si="9"/>
        <v>4159623</v>
      </c>
      <c r="G6" s="449">
        <f t="shared" ref="G6:G7" si="22">F6-F5</f>
        <v>0</v>
      </c>
      <c r="H6" s="426">
        <f t="shared" si="10"/>
        <v>18075226</v>
      </c>
      <c r="I6" s="449">
        <f t="shared" ref="I6:I7" si="23">H6-H5</f>
        <v>0</v>
      </c>
      <c r="J6" s="426">
        <f t="shared" si="11"/>
        <v>29844438</v>
      </c>
      <c r="K6" s="449">
        <f t="shared" ref="K6:K7" si="24">J6-J5</f>
        <v>0</v>
      </c>
      <c r="L6" s="426">
        <f t="shared" si="12"/>
        <v>24652750</v>
      </c>
      <c r="M6" s="449">
        <f t="shared" ref="M6:M7" si="25">L6-L5</f>
        <v>0</v>
      </c>
      <c r="N6" s="297">
        <f t="shared" ref="N6:N7" si="26">M6+K6+I6+G6+E6</f>
        <v>0</v>
      </c>
      <c r="O6" s="445">
        <f t="shared" ref="O6:O7" si="27">IF(B6&gt;0,N6/B6,0)</f>
        <v>0</v>
      </c>
      <c r="P6" s="561">
        <f t="shared" si="13"/>
        <v>19467.342000000001</v>
      </c>
      <c r="Q6" s="446">
        <f t="shared" ref="Q6:Q7" si="28">(P6-P5)*1000</f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33489</v>
      </c>
      <c r="X6" s="428">
        <f t="shared" si="3"/>
        <v>0</v>
      </c>
      <c r="Y6" s="426">
        <f t="shared" si="17"/>
        <v>998162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1170516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44808</v>
      </c>
      <c r="D7" s="587">
        <v>357720</v>
      </c>
      <c r="E7" s="575">
        <f t="shared" si="21"/>
        <v>730</v>
      </c>
      <c r="F7" s="567">
        <v>4160071</v>
      </c>
      <c r="G7" s="449">
        <f t="shared" si="22"/>
        <v>448</v>
      </c>
      <c r="H7" s="426">
        <v>18075660</v>
      </c>
      <c r="I7" s="449">
        <f t="shared" si="23"/>
        <v>434</v>
      </c>
      <c r="J7" s="426">
        <v>29845090</v>
      </c>
      <c r="K7" s="449">
        <f t="shared" si="24"/>
        <v>652</v>
      </c>
      <c r="L7" s="426">
        <v>24653606</v>
      </c>
      <c r="M7" s="449">
        <f t="shared" si="25"/>
        <v>856</v>
      </c>
      <c r="N7" s="297">
        <f t="shared" si="26"/>
        <v>3120</v>
      </c>
      <c r="O7" s="445">
        <f t="shared" si="27"/>
        <v>0</v>
      </c>
      <c r="P7" s="561">
        <v>19470.544000000002</v>
      </c>
      <c r="Q7" s="446">
        <f t="shared" si="28"/>
        <v>3202.000000001135</v>
      </c>
      <c r="R7" s="428">
        <f t="shared" ref="R7:R18" si="32">N7-Q7</f>
        <v>-82.000000001135049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33489</v>
      </c>
      <c r="X7" s="428">
        <f t="shared" si="3"/>
        <v>0</v>
      </c>
      <c r="Y7" s="426">
        <f t="shared" si="17"/>
        <v>998162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44809</v>
      </c>
      <c r="D8" s="587">
        <v>358480</v>
      </c>
      <c r="E8" s="575">
        <f t="shared" si="8"/>
        <v>760</v>
      </c>
      <c r="F8" s="567">
        <v>4160537</v>
      </c>
      <c r="G8" s="449">
        <f t="shared" ref="G8:G34" si="34">F8-F7</f>
        <v>466</v>
      </c>
      <c r="H8" s="426">
        <v>18076102</v>
      </c>
      <c r="I8" s="449">
        <f t="shared" ref="I8:I34" si="35">H8-H7</f>
        <v>442</v>
      </c>
      <c r="J8" s="426">
        <v>29845658</v>
      </c>
      <c r="K8" s="449">
        <f t="shared" ref="K8:K34" si="36">J8-J7</f>
        <v>568</v>
      </c>
      <c r="L8" s="426">
        <v>24654696</v>
      </c>
      <c r="M8" s="449">
        <f t="shared" ref="M8:M31" si="37">L8-L7</f>
        <v>1090</v>
      </c>
      <c r="N8" s="297">
        <f t="shared" ref="N8:N31" si="38">M8+K8+I8+G8+E8</f>
        <v>3326</v>
      </c>
      <c r="O8" s="445">
        <f t="shared" si="0"/>
        <v>0</v>
      </c>
      <c r="P8" s="561">
        <v>19473.965</v>
      </c>
      <c r="Q8" s="446">
        <f t="shared" si="1"/>
        <v>3420.9999999984575</v>
      </c>
      <c r="R8" s="428">
        <f t="shared" si="32"/>
        <v>-94.999999998457497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33489</v>
      </c>
      <c r="X8" s="428">
        <f t="shared" si="3"/>
        <v>0</v>
      </c>
      <c r="Y8" s="426">
        <f t="shared" si="17"/>
        <v>998162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44810</v>
      </c>
      <c r="D9" s="587">
        <v>359880</v>
      </c>
      <c r="E9" s="575">
        <f t="shared" si="8"/>
        <v>1400</v>
      </c>
      <c r="F9" s="567">
        <v>4161045</v>
      </c>
      <c r="G9" s="449">
        <f t="shared" si="34"/>
        <v>508</v>
      </c>
      <c r="H9" s="426">
        <v>18076556</v>
      </c>
      <c r="I9" s="449">
        <f t="shared" si="35"/>
        <v>454</v>
      </c>
      <c r="J9" s="426">
        <v>29847170</v>
      </c>
      <c r="K9" s="449">
        <f t="shared" si="36"/>
        <v>1512</v>
      </c>
      <c r="L9" s="426">
        <v>24655832</v>
      </c>
      <c r="M9" s="449">
        <f t="shared" si="37"/>
        <v>1136</v>
      </c>
      <c r="N9" s="297">
        <f t="shared" si="38"/>
        <v>5010</v>
      </c>
      <c r="O9" s="445">
        <f t="shared" si="0"/>
        <v>0</v>
      </c>
      <c r="P9" s="561">
        <v>19479.101999999999</v>
      </c>
      <c r="Q9" s="446">
        <f t="shared" si="1"/>
        <v>5136.9999999988067</v>
      </c>
      <c r="R9" s="428">
        <f t="shared" si="32"/>
        <v>-126.99999999880674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v>33492</v>
      </c>
      <c r="X9" s="428">
        <f t="shared" si="3"/>
        <v>3</v>
      </c>
      <c r="Y9" s="426">
        <v>998816</v>
      </c>
      <c r="Z9" s="428">
        <f t="shared" si="33"/>
        <v>654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3</v>
      </c>
      <c r="AF9" s="451">
        <f t="shared" si="4"/>
        <v>654</v>
      </c>
      <c r="AG9" s="443">
        <f>IF(AE9&gt;0,AF9/AE9,0)</f>
        <v>218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44811</v>
      </c>
      <c r="D10" s="587">
        <v>361960</v>
      </c>
      <c r="E10" s="575">
        <f t="shared" si="8"/>
        <v>2080</v>
      </c>
      <c r="F10" s="567">
        <v>4161524</v>
      </c>
      <c r="G10" s="449">
        <f t="shared" si="34"/>
        <v>479</v>
      </c>
      <c r="H10" s="426">
        <v>18076882</v>
      </c>
      <c r="I10" s="449">
        <f t="shared" si="35"/>
        <v>326</v>
      </c>
      <c r="J10" s="426">
        <v>29848102</v>
      </c>
      <c r="K10" s="449">
        <f t="shared" si="36"/>
        <v>932</v>
      </c>
      <c r="L10" s="426">
        <v>24656786</v>
      </c>
      <c r="M10" s="449">
        <f t="shared" si="37"/>
        <v>954</v>
      </c>
      <c r="N10" s="297">
        <f t="shared" si="38"/>
        <v>4771</v>
      </c>
      <c r="O10" s="445">
        <f t="shared" si="0"/>
        <v>0</v>
      </c>
      <c r="P10" s="561">
        <v>19483.965</v>
      </c>
      <c r="Q10" s="446">
        <f t="shared" si="1"/>
        <v>4863.0000000011933</v>
      </c>
      <c r="R10" s="428">
        <f t="shared" si="32"/>
        <v>-92.000000001193257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v>33493</v>
      </c>
      <c r="X10" s="428">
        <f t="shared" ref="X10:X31" si="39">W10-W9</f>
        <v>1</v>
      </c>
      <c r="Y10" s="426">
        <v>999111</v>
      </c>
      <c r="Z10" s="428">
        <f t="shared" si="33"/>
        <v>295</v>
      </c>
      <c r="AA10" s="426">
        <v>36798</v>
      </c>
      <c r="AB10" s="428">
        <f t="shared" si="30"/>
        <v>2</v>
      </c>
      <c r="AC10" s="426">
        <v>1171060</v>
      </c>
      <c r="AD10" s="428">
        <f t="shared" si="31"/>
        <v>544</v>
      </c>
      <c r="AE10" s="450">
        <f t="shared" si="20"/>
        <v>3</v>
      </c>
      <c r="AF10" s="451">
        <f t="shared" si="4"/>
        <v>839</v>
      </c>
      <c r="AG10" s="443">
        <f t="shared" si="5"/>
        <v>279.66666666666669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44812</v>
      </c>
      <c r="D11" s="587">
        <v>363530</v>
      </c>
      <c r="E11" s="575">
        <f t="shared" si="8"/>
        <v>1570</v>
      </c>
      <c r="F11" s="567">
        <v>4162027</v>
      </c>
      <c r="G11" s="449">
        <f t="shared" si="34"/>
        <v>503</v>
      </c>
      <c r="H11" s="426">
        <v>18077128</v>
      </c>
      <c r="I11" s="449">
        <f t="shared" si="35"/>
        <v>246</v>
      </c>
      <c r="J11" s="426">
        <v>29848632</v>
      </c>
      <c r="K11" s="449">
        <f t="shared" si="36"/>
        <v>530</v>
      </c>
      <c r="L11" s="426">
        <v>24657630</v>
      </c>
      <c r="M11" s="449">
        <f t="shared" si="37"/>
        <v>844</v>
      </c>
      <c r="N11" s="297">
        <f t="shared" si="38"/>
        <v>3693</v>
      </c>
      <c r="O11" s="445">
        <f t="shared" ref="O11:O31" si="40">IF(B11&gt;0,N11/B11,0)</f>
        <v>0</v>
      </c>
      <c r="P11" s="561">
        <v>19487.754000000001</v>
      </c>
      <c r="Q11" s="446">
        <f t="shared" si="1"/>
        <v>3789.0000000006694</v>
      </c>
      <c r="R11" s="428">
        <f t="shared" si="32"/>
        <v>-96.000000000669388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33493</v>
      </c>
      <c r="X11" s="428">
        <f t="shared" si="39"/>
        <v>0</v>
      </c>
      <c r="Y11" s="426">
        <f t="shared" si="17"/>
        <v>999111</v>
      </c>
      <c r="Z11" s="428">
        <f t="shared" si="33"/>
        <v>0</v>
      </c>
      <c r="AA11" s="426">
        <f t="shared" si="18"/>
        <v>36798</v>
      </c>
      <c r="AB11" s="428">
        <f t="shared" si="30"/>
        <v>0</v>
      </c>
      <c r="AC11" s="426">
        <f t="shared" si="19"/>
        <v>1171060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44813</v>
      </c>
      <c r="D12" s="587">
        <f t="shared" si="7"/>
        <v>363530</v>
      </c>
      <c r="E12" s="575">
        <f>D12-D11</f>
        <v>0</v>
      </c>
      <c r="F12" s="567">
        <f t="shared" si="9"/>
        <v>4162027</v>
      </c>
      <c r="G12" s="449">
        <f t="shared" si="34"/>
        <v>0</v>
      </c>
      <c r="H12" s="426">
        <f t="shared" si="10"/>
        <v>18077128</v>
      </c>
      <c r="I12" s="449">
        <f t="shared" si="35"/>
        <v>0</v>
      </c>
      <c r="J12" s="426">
        <f t="shared" si="11"/>
        <v>29848632</v>
      </c>
      <c r="K12" s="449">
        <f t="shared" si="36"/>
        <v>0</v>
      </c>
      <c r="L12" s="426">
        <f t="shared" si="12"/>
        <v>24657630</v>
      </c>
      <c r="M12" s="449">
        <f t="shared" si="37"/>
        <v>0</v>
      </c>
      <c r="N12" s="297">
        <f>M12+K12+I12+G12+E12</f>
        <v>0</v>
      </c>
      <c r="O12" s="445">
        <f t="shared" si="40"/>
        <v>0</v>
      </c>
      <c r="P12" s="561">
        <f t="shared" si="13"/>
        <v>19487.754000000001</v>
      </c>
      <c r="Q12" s="446">
        <f t="shared" si="1"/>
        <v>0</v>
      </c>
      <c r="R12" s="588">
        <f>N12-Q12</f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33493</v>
      </c>
      <c r="X12" s="428">
        <f t="shared" si="39"/>
        <v>0</v>
      </c>
      <c r="Y12" s="426">
        <f t="shared" si="17"/>
        <v>999111</v>
      </c>
      <c r="Z12" s="428">
        <f t="shared" si="33"/>
        <v>0</v>
      </c>
      <c r="AA12" s="426">
        <f t="shared" si="18"/>
        <v>36798</v>
      </c>
      <c r="AB12" s="428">
        <f t="shared" si="30"/>
        <v>0</v>
      </c>
      <c r="AC12" s="426">
        <f t="shared" si="19"/>
        <v>1171060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44814</v>
      </c>
      <c r="D13" s="587">
        <f t="shared" si="7"/>
        <v>363530</v>
      </c>
      <c r="E13" s="575">
        <f t="shared" si="8"/>
        <v>0</v>
      </c>
      <c r="F13" s="567">
        <f t="shared" si="9"/>
        <v>4162027</v>
      </c>
      <c r="G13" s="449">
        <f t="shared" si="34"/>
        <v>0</v>
      </c>
      <c r="H13" s="426">
        <f t="shared" si="10"/>
        <v>18077128</v>
      </c>
      <c r="I13" s="449">
        <f t="shared" si="35"/>
        <v>0</v>
      </c>
      <c r="J13" s="426">
        <f t="shared" si="11"/>
        <v>29848632</v>
      </c>
      <c r="K13" s="449">
        <f t="shared" si="36"/>
        <v>0</v>
      </c>
      <c r="L13" s="426">
        <f t="shared" si="12"/>
        <v>24657630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1">
        <f t="shared" si="13"/>
        <v>19487.754000000001</v>
      </c>
      <c r="Q13" s="446">
        <f t="shared" si="1"/>
        <v>0</v>
      </c>
      <c r="R13" s="428">
        <f t="shared" si="32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33493</v>
      </c>
      <c r="X13" s="428">
        <f t="shared" si="39"/>
        <v>0</v>
      </c>
      <c r="Y13" s="426">
        <f t="shared" si="17"/>
        <v>999111</v>
      </c>
      <c r="Z13" s="428">
        <f t="shared" si="33"/>
        <v>0</v>
      </c>
      <c r="AA13" s="426">
        <f t="shared" si="18"/>
        <v>36798</v>
      </c>
      <c r="AB13" s="428">
        <f t="shared" si="30"/>
        <v>0</v>
      </c>
      <c r="AC13" s="426">
        <f t="shared" si="19"/>
        <v>1171060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44815</v>
      </c>
      <c r="D14" s="587">
        <v>365210</v>
      </c>
      <c r="E14" s="575">
        <f t="shared" si="8"/>
        <v>1680</v>
      </c>
      <c r="F14" s="567">
        <v>4162520.4</v>
      </c>
      <c r="G14" s="449">
        <f t="shared" si="34"/>
        <v>493.39999999990687</v>
      </c>
      <c r="H14" s="426">
        <v>18077390</v>
      </c>
      <c r="I14" s="449">
        <f t="shared" si="35"/>
        <v>262</v>
      </c>
      <c r="J14" s="426">
        <v>29849514</v>
      </c>
      <c r="K14" s="449">
        <f t="shared" si="36"/>
        <v>882</v>
      </c>
      <c r="L14" s="426">
        <v>24658522</v>
      </c>
      <c r="M14" s="449">
        <f t="shared" si="37"/>
        <v>892</v>
      </c>
      <c r="N14" s="297">
        <f>M14+K14+I14+G14+E14</f>
        <v>4209.3999999999069</v>
      </c>
      <c r="O14" s="445">
        <f t="shared" si="40"/>
        <v>0</v>
      </c>
      <c r="P14" s="561">
        <v>19492.050999999999</v>
      </c>
      <c r="Q14" s="446">
        <f t="shared" si="1"/>
        <v>4296.9999999986612</v>
      </c>
      <c r="R14" s="428">
        <f t="shared" si="32"/>
        <v>-87.599999998754356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v>33495</v>
      </c>
      <c r="X14" s="428">
        <f t="shared" si="39"/>
        <v>2</v>
      </c>
      <c r="Y14" s="426">
        <v>999495</v>
      </c>
      <c r="Z14" s="428">
        <f t="shared" si="33"/>
        <v>384</v>
      </c>
      <c r="AA14" s="426">
        <f t="shared" si="18"/>
        <v>36798</v>
      </c>
      <c r="AB14" s="428">
        <f t="shared" si="30"/>
        <v>0</v>
      </c>
      <c r="AC14" s="426">
        <f t="shared" si="19"/>
        <v>1171060</v>
      </c>
      <c r="AD14" s="428">
        <f t="shared" si="31"/>
        <v>0</v>
      </c>
      <c r="AE14" s="450">
        <f t="shared" si="20"/>
        <v>2</v>
      </c>
      <c r="AF14" s="451">
        <f t="shared" si="4"/>
        <v>384</v>
      </c>
      <c r="AG14" s="443">
        <f t="shared" si="41"/>
        <v>192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44816</v>
      </c>
      <c r="D15" s="587">
        <v>366030</v>
      </c>
      <c r="E15" s="575">
        <f t="shared" si="8"/>
        <v>820</v>
      </c>
      <c r="F15" s="567">
        <v>4163017</v>
      </c>
      <c r="G15" s="449">
        <f t="shared" si="34"/>
        <v>496.60000000009313</v>
      </c>
      <c r="H15" s="426">
        <v>18077706</v>
      </c>
      <c r="I15" s="449">
        <f t="shared" si="35"/>
        <v>316</v>
      </c>
      <c r="J15" s="426">
        <v>29849994</v>
      </c>
      <c r="K15" s="449">
        <f t="shared" si="36"/>
        <v>480</v>
      </c>
      <c r="L15" s="426">
        <v>24659572</v>
      </c>
      <c r="M15" s="449">
        <f t="shared" si="37"/>
        <v>1050</v>
      </c>
      <c r="N15" s="297">
        <f t="shared" si="38"/>
        <v>3162.6000000000931</v>
      </c>
      <c r="O15" s="445">
        <f t="shared" si="40"/>
        <v>0</v>
      </c>
      <c r="P15" s="561">
        <v>19495.307000000001</v>
      </c>
      <c r="Q15" s="446">
        <f t="shared" si="1"/>
        <v>3256.0000000012224</v>
      </c>
      <c r="R15" s="588">
        <f>N15-Q15</f>
        <v>-93.400000001129229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33495</v>
      </c>
      <c r="X15" s="428">
        <f t="shared" si="39"/>
        <v>0</v>
      </c>
      <c r="Y15" s="426">
        <f t="shared" si="17"/>
        <v>999495</v>
      </c>
      <c r="Z15" s="428">
        <f t="shared" si="33"/>
        <v>0</v>
      </c>
      <c r="AA15" s="426">
        <f t="shared" si="18"/>
        <v>36798</v>
      </c>
      <c r="AB15" s="428">
        <f t="shared" si="30"/>
        <v>0</v>
      </c>
      <c r="AC15" s="426">
        <f t="shared" si="19"/>
        <v>1171060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44817</v>
      </c>
      <c r="D16" s="587">
        <v>366760</v>
      </c>
      <c r="E16" s="575">
        <f t="shared" si="8"/>
        <v>730</v>
      </c>
      <c r="F16" s="567">
        <v>4163452</v>
      </c>
      <c r="G16" s="449">
        <f t="shared" si="34"/>
        <v>435</v>
      </c>
      <c r="H16" s="426">
        <v>18077988</v>
      </c>
      <c r="I16" s="449">
        <f t="shared" si="35"/>
        <v>282</v>
      </c>
      <c r="J16" s="426">
        <v>29850458</v>
      </c>
      <c r="K16" s="449">
        <f t="shared" si="36"/>
        <v>464</v>
      </c>
      <c r="L16" s="426">
        <v>24660562</v>
      </c>
      <c r="M16" s="449">
        <f t="shared" si="37"/>
        <v>990</v>
      </c>
      <c r="N16" s="297">
        <f t="shared" si="38"/>
        <v>2901</v>
      </c>
      <c r="O16" s="445">
        <f t="shared" si="40"/>
        <v>0</v>
      </c>
      <c r="P16" s="561">
        <v>19498.302</v>
      </c>
      <c r="Q16" s="446">
        <f t="shared" si="1"/>
        <v>2994.9999999989814</v>
      </c>
      <c r="R16" s="428">
        <f t="shared" si="32"/>
        <v>-93.999999998981366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33495</v>
      </c>
      <c r="X16" s="428">
        <f t="shared" si="39"/>
        <v>0</v>
      </c>
      <c r="Y16" s="426">
        <f t="shared" si="17"/>
        <v>999495</v>
      </c>
      <c r="Z16" s="428">
        <f t="shared" si="33"/>
        <v>0</v>
      </c>
      <c r="AA16" s="426">
        <f t="shared" si="18"/>
        <v>36798</v>
      </c>
      <c r="AB16" s="428">
        <f t="shared" si="30"/>
        <v>0</v>
      </c>
      <c r="AC16" s="426">
        <f t="shared" si="19"/>
        <v>1171060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44818</v>
      </c>
      <c r="D17" s="587">
        <v>367530</v>
      </c>
      <c r="E17" s="575">
        <f t="shared" si="8"/>
        <v>770</v>
      </c>
      <c r="F17" s="567">
        <v>4163824.4</v>
      </c>
      <c r="G17" s="449">
        <f t="shared" si="34"/>
        <v>372.39999999990687</v>
      </c>
      <c r="H17" s="426">
        <v>18078286</v>
      </c>
      <c r="I17" s="449">
        <f t="shared" si="35"/>
        <v>298</v>
      </c>
      <c r="J17" s="426">
        <v>29850998</v>
      </c>
      <c r="K17" s="449">
        <f t="shared" si="36"/>
        <v>540</v>
      </c>
      <c r="L17" s="426">
        <v>24661562</v>
      </c>
      <c r="M17" s="449">
        <f t="shared" si="37"/>
        <v>1000</v>
      </c>
      <c r="N17" s="297">
        <f t="shared" si="38"/>
        <v>2980.3999999999069</v>
      </c>
      <c r="O17" s="445">
        <f t="shared" si="40"/>
        <v>0</v>
      </c>
      <c r="P17" s="561">
        <v>19501.460999999999</v>
      </c>
      <c r="Q17" s="446">
        <f t="shared" si="1"/>
        <v>3158.9999999996508</v>
      </c>
      <c r="R17" s="428">
        <f t="shared" si="32"/>
        <v>-178.59999999974389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33495</v>
      </c>
      <c r="X17" s="428">
        <f>W17-W16</f>
        <v>0</v>
      </c>
      <c r="Y17" s="426">
        <f t="shared" si="17"/>
        <v>999495</v>
      </c>
      <c r="Z17" s="428">
        <f>Y17-Y16</f>
        <v>0</v>
      </c>
      <c r="AA17" s="426">
        <f t="shared" si="18"/>
        <v>36798</v>
      </c>
      <c r="AB17" s="428">
        <f>AA17-AA16</f>
        <v>0</v>
      </c>
      <c r="AC17" s="426">
        <f t="shared" si="19"/>
        <v>1171060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44819</v>
      </c>
      <c r="D18" s="587">
        <v>368280</v>
      </c>
      <c r="E18" s="575">
        <f t="shared" si="8"/>
        <v>750</v>
      </c>
      <c r="F18" s="567">
        <v>4164380</v>
      </c>
      <c r="G18" s="449">
        <f t="shared" si="34"/>
        <v>555.60000000009313</v>
      </c>
      <c r="H18" s="426">
        <v>18078578</v>
      </c>
      <c r="I18" s="449">
        <f t="shared" si="35"/>
        <v>292</v>
      </c>
      <c r="J18" s="426">
        <v>29851332</v>
      </c>
      <c r="K18" s="449">
        <f t="shared" si="36"/>
        <v>334</v>
      </c>
      <c r="L18" s="426">
        <v>24662550</v>
      </c>
      <c r="M18" s="449">
        <f t="shared" si="37"/>
        <v>988</v>
      </c>
      <c r="N18" s="297">
        <f>M18+K18+I18+G18+E18</f>
        <v>2919.6000000000931</v>
      </c>
      <c r="O18" s="445">
        <f t="shared" si="40"/>
        <v>0</v>
      </c>
      <c r="P18" s="561">
        <f t="shared" si="13"/>
        <v>19501.460999999999</v>
      </c>
      <c r="Q18" s="446">
        <f t="shared" si="1"/>
        <v>0</v>
      </c>
      <c r="R18" s="428">
        <f t="shared" si="32"/>
        <v>2919.6000000000931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33495</v>
      </c>
      <c r="X18" s="428">
        <f t="shared" si="39"/>
        <v>0</v>
      </c>
      <c r="Y18" s="426">
        <f t="shared" si="17"/>
        <v>999495</v>
      </c>
      <c r="Z18" s="428">
        <f t="shared" si="33"/>
        <v>0</v>
      </c>
      <c r="AA18" s="426">
        <f t="shared" si="18"/>
        <v>36798</v>
      </c>
      <c r="AB18" s="428">
        <f t="shared" si="30"/>
        <v>0</v>
      </c>
      <c r="AC18" s="426">
        <f t="shared" si="19"/>
        <v>1171060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44820</v>
      </c>
      <c r="D19" s="587">
        <f t="shared" si="7"/>
        <v>368280</v>
      </c>
      <c r="E19" s="575">
        <f t="shared" si="8"/>
        <v>0</v>
      </c>
      <c r="F19" s="567">
        <f t="shared" si="9"/>
        <v>4164380</v>
      </c>
      <c r="G19" s="449">
        <f t="shared" si="34"/>
        <v>0</v>
      </c>
      <c r="H19" s="426">
        <f t="shared" si="10"/>
        <v>18078578</v>
      </c>
      <c r="I19" s="449">
        <f t="shared" si="35"/>
        <v>0</v>
      </c>
      <c r="J19" s="426">
        <f t="shared" si="11"/>
        <v>29851332</v>
      </c>
      <c r="K19" s="449">
        <f t="shared" si="36"/>
        <v>0</v>
      </c>
      <c r="L19" s="426">
        <f t="shared" si="12"/>
        <v>24662550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1">
        <f t="shared" si="13"/>
        <v>19501.460999999999</v>
      </c>
      <c r="Q19" s="446">
        <f>(P19-P18)*1000</f>
        <v>0</v>
      </c>
      <c r="R19" s="588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33495</v>
      </c>
      <c r="X19" s="428">
        <f t="shared" si="39"/>
        <v>0</v>
      </c>
      <c r="Y19" s="426">
        <f t="shared" si="17"/>
        <v>999495</v>
      </c>
      <c r="Z19" s="428">
        <f t="shared" si="33"/>
        <v>0</v>
      </c>
      <c r="AA19" s="426">
        <f t="shared" si="18"/>
        <v>36798</v>
      </c>
      <c r="AB19" s="428">
        <f t="shared" si="30"/>
        <v>0</v>
      </c>
      <c r="AC19" s="426">
        <f t="shared" si="19"/>
        <v>1171060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44821</v>
      </c>
      <c r="D20" s="587">
        <f t="shared" si="7"/>
        <v>368280</v>
      </c>
      <c r="E20" s="575">
        <f t="shared" si="8"/>
        <v>0</v>
      </c>
      <c r="F20" s="567">
        <f t="shared" si="9"/>
        <v>4164380</v>
      </c>
      <c r="G20" s="449">
        <f t="shared" si="34"/>
        <v>0</v>
      </c>
      <c r="H20" s="426">
        <f t="shared" si="10"/>
        <v>18078578</v>
      </c>
      <c r="I20" s="449">
        <f t="shared" si="35"/>
        <v>0</v>
      </c>
      <c r="J20" s="426">
        <f t="shared" si="11"/>
        <v>29851332</v>
      </c>
      <c r="K20" s="449">
        <f t="shared" si="36"/>
        <v>0</v>
      </c>
      <c r="L20" s="426">
        <f t="shared" si="12"/>
        <v>24662550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1">
        <f t="shared" si="13"/>
        <v>19501.460999999999</v>
      </c>
      <c r="Q20" s="446">
        <f>(P20-P19)*1000</f>
        <v>0</v>
      </c>
      <c r="R20" s="588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33495</v>
      </c>
      <c r="X20" s="428">
        <f t="shared" si="39"/>
        <v>0</v>
      </c>
      <c r="Y20" s="426">
        <f t="shared" si="17"/>
        <v>999495</v>
      </c>
      <c r="Z20" s="428">
        <f t="shared" si="33"/>
        <v>0</v>
      </c>
      <c r="AA20" s="426">
        <f t="shared" si="18"/>
        <v>36798</v>
      </c>
      <c r="AB20" s="428">
        <f t="shared" si="30"/>
        <v>0</v>
      </c>
      <c r="AC20" s="426">
        <f t="shared" si="19"/>
        <v>1171060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44822</v>
      </c>
      <c r="D21" s="587">
        <v>369080</v>
      </c>
      <c r="E21" s="575">
        <f t="shared" si="8"/>
        <v>800</v>
      </c>
      <c r="F21" s="567">
        <v>4164872</v>
      </c>
      <c r="G21" s="449">
        <f t="shared" si="34"/>
        <v>492</v>
      </c>
      <c r="H21" s="426">
        <v>18078910</v>
      </c>
      <c r="I21" s="449">
        <f t="shared" si="35"/>
        <v>332</v>
      </c>
      <c r="J21" s="426">
        <v>29851834</v>
      </c>
      <c r="K21" s="449">
        <f t="shared" si="36"/>
        <v>502</v>
      </c>
      <c r="L21" s="426">
        <v>24663598</v>
      </c>
      <c r="M21" s="449">
        <f t="shared" si="37"/>
        <v>1048</v>
      </c>
      <c r="N21" s="297">
        <f t="shared" si="38"/>
        <v>3174</v>
      </c>
      <c r="O21" s="445">
        <f t="shared" si="40"/>
        <v>0</v>
      </c>
      <c r="P21" s="561">
        <v>19507.623</v>
      </c>
      <c r="Q21" s="446">
        <f t="shared" si="1"/>
        <v>6162.0000000002619</v>
      </c>
      <c r="R21" s="588">
        <f t="shared" ref="R21:R31" si="43">N21-Q21</f>
        <v>-2988.0000000002619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v>33495</v>
      </c>
      <c r="X21" s="428">
        <f t="shared" si="39"/>
        <v>0</v>
      </c>
      <c r="Y21" s="426">
        <v>998162</v>
      </c>
      <c r="Z21" s="428">
        <f t="shared" si="33"/>
        <v>-1333</v>
      </c>
      <c r="AA21" s="426">
        <f t="shared" si="18"/>
        <v>36798</v>
      </c>
      <c r="AB21" s="428">
        <f t="shared" si="30"/>
        <v>0</v>
      </c>
      <c r="AC21" s="426">
        <f t="shared" si="19"/>
        <v>1171060</v>
      </c>
      <c r="AD21" s="428">
        <f t="shared" si="42"/>
        <v>0</v>
      </c>
      <c r="AE21" s="450">
        <f t="shared" si="20"/>
        <v>0</v>
      </c>
      <c r="AF21" s="451">
        <f t="shared" si="4"/>
        <v>-1333</v>
      </c>
      <c r="AG21" s="443">
        <f t="shared" si="41"/>
        <v>0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44823</v>
      </c>
      <c r="D22" s="587">
        <v>369810</v>
      </c>
      <c r="E22" s="575">
        <f t="shared" ref="E22" si="44">D22-D21</f>
        <v>730</v>
      </c>
      <c r="F22" s="567">
        <v>4165314</v>
      </c>
      <c r="G22" s="449">
        <f t="shared" ref="G22" si="45">F22-F21</f>
        <v>442</v>
      </c>
      <c r="H22" s="426">
        <v>18079196</v>
      </c>
      <c r="I22" s="449">
        <f t="shared" si="35"/>
        <v>286</v>
      </c>
      <c r="J22" s="426">
        <v>29852314</v>
      </c>
      <c r="K22" s="449">
        <f t="shared" ref="K22" si="46">J22-J21</f>
        <v>480</v>
      </c>
      <c r="L22" s="426">
        <v>24664422</v>
      </c>
      <c r="M22" s="449">
        <f t="shared" ref="M22" si="47">L22-L21</f>
        <v>824</v>
      </c>
      <c r="N22" s="297">
        <f t="shared" ref="N22" si="48">M22+K22+I22+G22+E22</f>
        <v>2762</v>
      </c>
      <c r="O22" s="445">
        <f t="shared" ref="O22" si="49">IF(B22&gt;0,N22/B22,0)</f>
        <v>0</v>
      </c>
      <c r="P22" s="561">
        <v>19510.451000000001</v>
      </c>
      <c r="Q22" s="446">
        <f t="shared" ref="Q22" si="50">(P22-P21)*1000</f>
        <v>2828.0000000013388</v>
      </c>
      <c r="R22" s="588">
        <f t="shared" ref="R22" si="51">N22-Q22</f>
        <v>-66.000000001338776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33495</v>
      </c>
      <c r="X22" s="428">
        <f t="shared" si="39"/>
        <v>0</v>
      </c>
      <c r="Y22" s="426">
        <f t="shared" si="17"/>
        <v>998162</v>
      </c>
      <c r="Z22" s="428">
        <f t="shared" si="33"/>
        <v>0</v>
      </c>
      <c r="AA22" s="426">
        <f t="shared" si="18"/>
        <v>36798</v>
      </c>
      <c r="AB22" s="428">
        <f t="shared" si="30"/>
        <v>0</v>
      </c>
      <c r="AC22" s="426">
        <f>AC21</f>
        <v>1171060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44824</v>
      </c>
      <c r="D23" s="587">
        <v>371130</v>
      </c>
      <c r="E23" s="575">
        <f t="shared" si="8"/>
        <v>1320</v>
      </c>
      <c r="F23" s="567">
        <v>4165762</v>
      </c>
      <c r="G23" s="449">
        <f t="shared" si="34"/>
        <v>448</v>
      </c>
      <c r="H23" s="426">
        <v>18079484</v>
      </c>
      <c r="I23" s="449">
        <f t="shared" si="35"/>
        <v>288</v>
      </c>
      <c r="J23" s="426">
        <v>29853092</v>
      </c>
      <c r="K23" s="449">
        <f t="shared" si="36"/>
        <v>778</v>
      </c>
      <c r="L23" s="426">
        <v>24665358</v>
      </c>
      <c r="M23" s="449">
        <f t="shared" si="37"/>
        <v>936</v>
      </c>
      <c r="N23" s="297">
        <f t="shared" si="38"/>
        <v>3770</v>
      </c>
      <c r="O23" s="445">
        <f t="shared" si="40"/>
        <v>0</v>
      </c>
      <c r="P23" s="561">
        <v>19514.300999999999</v>
      </c>
      <c r="Q23" s="446">
        <f t="shared" si="1"/>
        <v>3849.9999999985448</v>
      </c>
      <c r="R23" s="588">
        <f t="shared" si="43"/>
        <v>-79.999999998544808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v>33495</v>
      </c>
      <c r="X23" s="428">
        <f t="shared" si="39"/>
        <v>0</v>
      </c>
      <c r="Y23" s="426">
        <f t="shared" si="17"/>
        <v>998162</v>
      </c>
      <c r="Z23" s="428">
        <f t="shared" si="33"/>
        <v>0</v>
      </c>
      <c r="AA23" s="426">
        <v>36801</v>
      </c>
      <c r="AB23" s="428">
        <f t="shared" si="30"/>
        <v>3</v>
      </c>
      <c r="AC23" s="426">
        <v>1171535</v>
      </c>
      <c r="AD23" s="428">
        <f t="shared" si="42"/>
        <v>475</v>
      </c>
      <c r="AE23" s="450">
        <f t="shared" si="20"/>
        <v>3</v>
      </c>
      <c r="AF23" s="451">
        <f t="shared" si="4"/>
        <v>475</v>
      </c>
      <c r="AG23" s="443">
        <f t="shared" si="41"/>
        <v>158.33333333333334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44825</v>
      </c>
      <c r="D24" s="587">
        <v>371940</v>
      </c>
      <c r="E24" s="575">
        <f t="shared" si="8"/>
        <v>810</v>
      </c>
      <c r="F24" s="567">
        <v>4166150</v>
      </c>
      <c r="G24" s="449">
        <f t="shared" si="34"/>
        <v>388</v>
      </c>
      <c r="H24" s="426">
        <v>18079758</v>
      </c>
      <c r="I24" s="591">
        <f t="shared" si="35"/>
        <v>274</v>
      </c>
      <c r="J24" s="426">
        <v>29853708</v>
      </c>
      <c r="K24" s="449">
        <f t="shared" si="36"/>
        <v>616</v>
      </c>
      <c r="L24" s="426">
        <v>24666126</v>
      </c>
      <c r="M24" s="449">
        <f t="shared" si="37"/>
        <v>768</v>
      </c>
      <c r="N24" s="297">
        <f t="shared" si="38"/>
        <v>2856</v>
      </c>
      <c r="O24" s="445">
        <f t="shared" si="40"/>
        <v>0</v>
      </c>
      <c r="P24" s="561">
        <v>19517.225999999999</v>
      </c>
      <c r="Q24" s="446">
        <f t="shared" si="1"/>
        <v>2924.9999999992724</v>
      </c>
      <c r="R24" s="588">
        <f t="shared" si="43"/>
        <v>-68.999999999272404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v>33498</v>
      </c>
      <c r="X24" s="428">
        <f t="shared" si="39"/>
        <v>3</v>
      </c>
      <c r="Y24" s="426">
        <v>999659</v>
      </c>
      <c r="Z24" s="428">
        <f t="shared" si="33"/>
        <v>1497</v>
      </c>
      <c r="AA24" s="426">
        <f t="shared" si="18"/>
        <v>36801</v>
      </c>
      <c r="AB24" s="428">
        <f t="shared" si="30"/>
        <v>0</v>
      </c>
      <c r="AC24" s="426">
        <f t="shared" si="19"/>
        <v>1171535</v>
      </c>
      <c r="AD24" s="428">
        <f t="shared" si="42"/>
        <v>0</v>
      </c>
      <c r="AE24" s="450">
        <f t="shared" si="20"/>
        <v>3</v>
      </c>
      <c r="AF24" s="451">
        <f t="shared" si="4"/>
        <v>1497</v>
      </c>
      <c r="AG24" s="443">
        <f t="shared" si="41"/>
        <v>499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44826</v>
      </c>
      <c r="D25" s="587">
        <v>372650</v>
      </c>
      <c r="E25" s="575">
        <f t="shared" si="8"/>
        <v>710</v>
      </c>
      <c r="F25" s="567">
        <v>4166326</v>
      </c>
      <c r="G25" s="449">
        <f t="shared" si="34"/>
        <v>176</v>
      </c>
      <c r="H25" s="426">
        <v>18080022</v>
      </c>
      <c r="I25" s="449">
        <f t="shared" si="35"/>
        <v>264</v>
      </c>
      <c r="J25" s="426">
        <v>29854318</v>
      </c>
      <c r="K25" s="449">
        <f t="shared" si="36"/>
        <v>610</v>
      </c>
      <c r="L25" s="426">
        <v>24666876</v>
      </c>
      <c r="M25" s="449">
        <f t="shared" si="37"/>
        <v>750</v>
      </c>
      <c r="N25" s="297">
        <f t="shared" si="38"/>
        <v>2510</v>
      </c>
      <c r="O25" s="445">
        <f t="shared" si="40"/>
        <v>0</v>
      </c>
      <c r="P25" s="561">
        <v>19520.006000000001</v>
      </c>
      <c r="Q25" s="446">
        <f t="shared" si="1"/>
        <v>2780.0000000024738</v>
      </c>
      <c r="R25" s="588">
        <f t="shared" si="43"/>
        <v>-270.00000000247383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33498</v>
      </c>
      <c r="X25" s="428">
        <f t="shared" si="39"/>
        <v>0</v>
      </c>
      <c r="Y25" s="426">
        <f t="shared" si="17"/>
        <v>999659</v>
      </c>
      <c r="Z25" s="428">
        <f t="shared" si="33"/>
        <v>0</v>
      </c>
      <c r="AA25" s="426">
        <f t="shared" si="18"/>
        <v>36801</v>
      </c>
      <c r="AB25" s="428">
        <f t="shared" si="30"/>
        <v>0</v>
      </c>
      <c r="AC25" s="426">
        <f t="shared" si="19"/>
        <v>1171535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44827</v>
      </c>
      <c r="D26" s="587">
        <f t="shared" si="7"/>
        <v>372650</v>
      </c>
      <c r="E26" s="575">
        <f t="shared" si="8"/>
        <v>0</v>
      </c>
      <c r="F26" s="567">
        <f t="shared" si="9"/>
        <v>4166326</v>
      </c>
      <c r="G26" s="449">
        <f t="shared" si="34"/>
        <v>0</v>
      </c>
      <c r="H26" s="426">
        <f t="shared" si="10"/>
        <v>18080022</v>
      </c>
      <c r="I26" s="449">
        <f t="shared" si="35"/>
        <v>0</v>
      </c>
      <c r="J26" s="426">
        <f t="shared" si="11"/>
        <v>29854318</v>
      </c>
      <c r="K26" s="449">
        <f t="shared" si="36"/>
        <v>0</v>
      </c>
      <c r="L26" s="426">
        <f t="shared" si="12"/>
        <v>24666876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1">
        <f t="shared" si="13"/>
        <v>19520.006000000001</v>
      </c>
      <c r="Q26" s="446">
        <f t="shared" si="1"/>
        <v>0</v>
      </c>
      <c r="R26" s="588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33498</v>
      </c>
      <c r="X26" s="428">
        <f t="shared" si="39"/>
        <v>0</v>
      </c>
      <c r="Y26" s="426">
        <f t="shared" si="17"/>
        <v>999659</v>
      </c>
      <c r="Z26" s="428">
        <f t="shared" si="33"/>
        <v>0</v>
      </c>
      <c r="AA26" s="426">
        <f t="shared" si="18"/>
        <v>36801</v>
      </c>
      <c r="AB26" s="428">
        <f t="shared" si="30"/>
        <v>0</v>
      </c>
      <c r="AC26" s="426">
        <f t="shared" si="19"/>
        <v>1171535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44828</v>
      </c>
      <c r="D27" s="587">
        <f t="shared" si="7"/>
        <v>372650</v>
      </c>
      <c r="E27" s="575">
        <f t="shared" si="8"/>
        <v>0</v>
      </c>
      <c r="F27" s="567">
        <f t="shared" si="9"/>
        <v>4166326</v>
      </c>
      <c r="G27" s="449">
        <f t="shared" si="34"/>
        <v>0</v>
      </c>
      <c r="H27" s="426">
        <f t="shared" si="10"/>
        <v>18080022</v>
      </c>
      <c r="I27" s="449">
        <f t="shared" si="35"/>
        <v>0</v>
      </c>
      <c r="J27" s="426">
        <f t="shared" si="11"/>
        <v>29854318</v>
      </c>
      <c r="K27" s="449">
        <f t="shared" si="36"/>
        <v>0</v>
      </c>
      <c r="L27" s="426">
        <f t="shared" si="12"/>
        <v>24666876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1">
        <f t="shared" si="13"/>
        <v>19520.006000000001</v>
      </c>
      <c r="Q27" s="446">
        <f t="shared" si="1"/>
        <v>0</v>
      </c>
      <c r="R27" s="588">
        <f t="shared" si="43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33498</v>
      </c>
      <c r="X27" s="428">
        <f t="shared" si="39"/>
        <v>0</v>
      </c>
      <c r="Y27" s="426">
        <f t="shared" si="17"/>
        <v>999659</v>
      </c>
      <c r="Z27" s="428">
        <f t="shared" si="33"/>
        <v>0</v>
      </c>
      <c r="AA27" s="426">
        <f t="shared" si="18"/>
        <v>36801</v>
      </c>
      <c r="AB27" s="428">
        <f t="shared" si="30"/>
        <v>0</v>
      </c>
      <c r="AC27" s="426">
        <f t="shared" si="19"/>
        <v>1171535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44829</v>
      </c>
      <c r="D28" s="587">
        <v>373380</v>
      </c>
      <c r="E28" s="575">
        <f t="shared" si="8"/>
        <v>730</v>
      </c>
      <c r="F28" s="567">
        <v>4166951</v>
      </c>
      <c r="G28" s="449">
        <f>F28-F27</f>
        <v>625</v>
      </c>
      <c r="H28" s="426">
        <v>18080306</v>
      </c>
      <c r="I28" s="449">
        <f t="shared" si="35"/>
        <v>284</v>
      </c>
      <c r="J28" s="426">
        <v>29855006</v>
      </c>
      <c r="K28" s="449">
        <f t="shared" si="36"/>
        <v>688</v>
      </c>
      <c r="L28" s="426">
        <v>24667684</v>
      </c>
      <c r="M28" s="449">
        <f t="shared" si="37"/>
        <v>808</v>
      </c>
      <c r="N28" s="297">
        <f t="shared" si="38"/>
        <v>3135</v>
      </c>
      <c r="O28" s="445">
        <f t="shared" si="40"/>
        <v>0</v>
      </c>
      <c r="P28" s="561">
        <v>19522.791000000001</v>
      </c>
      <c r="Q28" s="446">
        <f t="shared" si="1"/>
        <v>2784.9999999998545</v>
      </c>
      <c r="R28" s="588">
        <f>N28-Q28</f>
        <v>350.00000000014552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33498</v>
      </c>
      <c r="X28" s="428">
        <f t="shared" si="39"/>
        <v>0</v>
      </c>
      <c r="Y28" s="426">
        <f t="shared" si="17"/>
        <v>999659</v>
      </c>
      <c r="Z28" s="428">
        <f t="shared" si="33"/>
        <v>0</v>
      </c>
      <c r="AA28" s="426">
        <f t="shared" si="18"/>
        <v>36801</v>
      </c>
      <c r="AB28" s="428">
        <f t="shared" si="30"/>
        <v>0</v>
      </c>
      <c r="AC28" s="426">
        <f t="shared" si="19"/>
        <v>1171535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44830</v>
      </c>
      <c r="D29" s="587">
        <f t="shared" si="7"/>
        <v>373380</v>
      </c>
      <c r="E29" s="575">
        <f t="shared" si="8"/>
        <v>0</v>
      </c>
      <c r="F29" s="567">
        <f t="shared" si="9"/>
        <v>4166951</v>
      </c>
      <c r="G29" s="449">
        <f>F29-F28</f>
        <v>0</v>
      </c>
      <c r="H29" s="426">
        <f t="shared" si="10"/>
        <v>18080306</v>
      </c>
      <c r="I29" s="449">
        <f>H29-H28</f>
        <v>0</v>
      </c>
      <c r="J29" s="426">
        <f t="shared" si="11"/>
        <v>29855006</v>
      </c>
      <c r="K29" s="449">
        <f>J29-J28</f>
        <v>0</v>
      </c>
      <c r="L29" s="426">
        <f t="shared" si="12"/>
        <v>24667684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13"/>
        <v>19522.791000000001</v>
      </c>
      <c r="Q29" s="446">
        <f>(P29-P28)*1000</f>
        <v>0</v>
      </c>
      <c r="R29" s="588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33498</v>
      </c>
      <c r="X29" s="428">
        <f>W29-W28</f>
        <v>0</v>
      </c>
      <c r="Y29" s="426">
        <f t="shared" si="17"/>
        <v>999659</v>
      </c>
      <c r="Z29" s="428">
        <f>Y29-Y28</f>
        <v>0</v>
      </c>
      <c r="AA29" s="426">
        <f t="shared" si="18"/>
        <v>36801</v>
      </c>
      <c r="AB29" s="428">
        <f>AA29-AA28</f>
        <v>0</v>
      </c>
      <c r="AC29" s="426">
        <f t="shared" si="19"/>
        <v>1171535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44831</v>
      </c>
      <c r="D30" s="587">
        <f t="shared" si="7"/>
        <v>373380</v>
      </c>
      <c r="E30" s="575">
        <f t="shared" si="8"/>
        <v>0</v>
      </c>
      <c r="F30" s="567">
        <f t="shared" si="9"/>
        <v>4166951</v>
      </c>
      <c r="G30" s="449">
        <f t="shared" si="34"/>
        <v>0</v>
      </c>
      <c r="H30" s="426">
        <f t="shared" si="10"/>
        <v>18080306</v>
      </c>
      <c r="I30" s="449">
        <f t="shared" si="35"/>
        <v>0</v>
      </c>
      <c r="J30" s="426">
        <f t="shared" si="11"/>
        <v>29855006</v>
      </c>
      <c r="K30" s="449">
        <f t="shared" si="36"/>
        <v>0</v>
      </c>
      <c r="L30" s="426">
        <f t="shared" si="12"/>
        <v>24667684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13"/>
        <v>19522.791000000001</v>
      </c>
      <c r="Q30" s="446">
        <f t="shared" si="1"/>
        <v>0</v>
      </c>
      <c r="R30" s="588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33498</v>
      </c>
      <c r="X30" s="428">
        <f t="shared" si="39"/>
        <v>0</v>
      </c>
      <c r="Y30" s="426">
        <f t="shared" si="17"/>
        <v>999659</v>
      </c>
      <c r="Z30" s="428">
        <f t="shared" si="33"/>
        <v>0</v>
      </c>
      <c r="AA30" s="426">
        <f t="shared" si="18"/>
        <v>36801</v>
      </c>
      <c r="AB30" s="428">
        <f t="shared" si="30"/>
        <v>0</v>
      </c>
      <c r="AC30" s="426">
        <f t="shared" si="19"/>
        <v>1171535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44832</v>
      </c>
      <c r="D31" s="587">
        <f t="shared" si="7"/>
        <v>373380</v>
      </c>
      <c r="E31" s="575">
        <f t="shared" si="8"/>
        <v>0</v>
      </c>
      <c r="F31" s="567">
        <f t="shared" si="9"/>
        <v>4166951</v>
      </c>
      <c r="G31" s="449">
        <f t="shared" si="34"/>
        <v>0</v>
      </c>
      <c r="H31" s="426">
        <f t="shared" si="10"/>
        <v>18080306</v>
      </c>
      <c r="I31" s="449">
        <f t="shared" si="35"/>
        <v>0</v>
      </c>
      <c r="J31" s="426">
        <f t="shared" si="11"/>
        <v>29855006</v>
      </c>
      <c r="K31" s="449">
        <f t="shared" si="36"/>
        <v>0</v>
      </c>
      <c r="L31" s="426">
        <f t="shared" si="12"/>
        <v>24667684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1">
        <f t="shared" si="13"/>
        <v>19522.791000000001</v>
      </c>
      <c r="Q31" s="446">
        <f t="shared" si="1"/>
        <v>0</v>
      </c>
      <c r="R31" s="588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33498</v>
      </c>
      <c r="X31" s="448">
        <f t="shared" si="39"/>
        <v>0</v>
      </c>
      <c r="Y31" s="426">
        <f t="shared" si="17"/>
        <v>999659</v>
      </c>
      <c r="Z31" s="428">
        <f t="shared" si="33"/>
        <v>0</v>
      </c>
      <c r="AA31" s="426">
        <f t="shared" si="18"/>
        <v>36801</v>
      </c>
      <c r="AB31" s="428">
        <f t="shared" si="30"/>
        <v>0</v>
      </c>
      <c r="AC31" s="426">
        <f t="shared" si="19"/>
        <v>1171535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44833</v>
      </c>
      <c r="D32" s="587">
        <f t="shared" si="7"/>
        <v>373380</v>
      </c>
      <c r="E32" s="575">
        <f t="shared" si="8"/>
        <v>0</v>
      </c>
      <c r="F32" s="567">
        <f t="shared" si="9"/>
        <v>4166951</v>
      </c>
      <c r="G32" s="449">
        <f t="shared" si="34"/>
        <v>0</v>
      </c>
      <c r="H32" s="426">
        <f t="shared" si="10"/>
        <v>18080306</v>
      </c>
      <c r="I32" s="449">
        <f t="shared" si="35"/>
        <v>0</v>
      </c>
      <c r="J32" s="426">
        <f t="shared" si="11"/>
        <v>29855006</v>
      </c>
      <c r="K32" s="449">
        <f t="shared" si="36"/>
        <v>0</v>
      </c>
      <c r="L32" s="426">
        <f t="shared" si="12"/>
        <v>24667684</v>
      </c>
      <c r="M32" s="449">
        <f t="shared" ref="M32:M34" si="53">L32-L31</f>
        <v>0</v>
      </c>
      <c r="N32" s="297">
        <f t="shared" ref="N32:N34" si="54">M32+K32+I32+G32+E32</f>
        <v>0</v>
      </c>
      <c r="O32" s="445">
        <f t="shared" ref="O32:O34" si="55">IF(B32&gt;0,N32/B32,0)</f>
        <v>0</v>
      </c>
      <c r="P32" s="561">
        <f t="shared" si="13"/>
        <v>19522.791000000001</v>
      </c>
      <c r="Q32" s="446">
        <f t="shared" ref="Q32:Q34" si="56">(P32-P31)*1000</f>
        <v>0</v>
      </c>
      <c r="R32" s="588">
        <f t="shared" ref="R32:R34" si="57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33498</v>
      </c>
      <c r="X32" s="448">
        <f t="shared" ref="X32:X34" si="58">W32-W31</f>
        <v>0</v>
      </c>
      <c r="Y32" s="426">
        <f t="shared" si="17"/>
        <v>999659</v>
      </c>
      <c r="Z32" s="428">
        <f t="shared" ref="Z32:Z34" si="59">Y32-Y31</f>
        <v>0</v>
      </c>
      <c r="AA32" s="426">
        <f t="shared" si="18"/>
        <v>36801</v>
      </c>
      <c r="AB32" s="428">
        <f t="shared" ref="AB32:AB34" si="60">AA32-AA31</f>
        <v>0</v>
      </c>
      <c r="AC32" s="426">
        <f t="shared" si="19"/>
        <v>1171535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44834</v>
      </c>
      <c r="D33" s="587">
        <f t="shared" si="7"/>
        <v>373380</v>
      </c>
      <c r="E33" s="575">
        <f t="shared" si="8"/>
        <v>0</v>
      </c>
      <c r="F33" s="567">
        <f t="shared" si="9"/>
        <v>4166951</v>
      </c>
      <c r="G33" s="449">
        <f t="shared" si="34"/>
        <v>0</v>
      </c>
      <c r="H33" s="426">
        <f t="shared" si="10"/>
        <v>18080306</v>
      </c>
      <c r="I33" s="449">
        <f t="shared" si="35"/>
        <v>0</v>
      </c>
      <c r="J33" s="426">
        <f t="shared" si="11"/>
        <v>29855006</v>
      </c>
      <c r="K33" s="449">
        <f t="shared" si="36"/>
        <v>0</v>
      </c>
      <c r="L33" s="426">
        <f t="shared" si="12"/>
        <v>24667684</v>
      </c>
      <c r="M33" s="449">
        <f t="shared" si="53"/>
        <v>0</v>
      </c>
      <c r="N33" s="297">
        <f t="shared" si="54"/>
        <v>0</v>
      </c>
      <c r="O33" s="445">
        <f t="shared" si="55"/>
        <v>0</v>
      </c>
      <c r="P33" s="561">
        <f t="shared" si="13"/>
        <v>19522.791000000001</v>
      </c>
      <c r="Q33" s="446">
        <f t="shared" si="56"/>
        <v>0</v>
      </c>
      <c r="R33" s="588">
        <f>N33-Q33</f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4">U33-U32</f>
        <v>0</v>
      </c>
      <c r="W33" s="426">
        <f t="shared" si="16"/>
        <v>33498</v>
      </c>
      <c r="X33" s="448">
        <f t="shared" si="58"/>
        <v>0</v>
      </c>
      <c r="Y33" s="426">
        <f t="shared" si="17"/>
        <v>999659</v>
      </c>
      <c r="Z33" s="428">
        <f t="shared" si="59"/>
        <v>0</v>
      </c>
      <c r="AA33" s="426">
        <f t="shared" si="18"/>
        <v>36801</v>
      </c>
      <c r="AB33" s="428">
        <f t="shared" si="60"/>
        <v>0</v>
      </c>
      <c r="AC33" s="426">
        <f t="shared" si="19"/>
        <v>1171535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44835</v>
      </c>
      <c r="D34" s="587">
        <f t="shared" si="7"/>
        <v>373380</v>
      </c>
      <c r="E34" s="575">
        <f t="shared" si="8"/>
        <v>0</v>
      </c>
      <c r="F34" s="567">
        <f t="shared" si="9"/>
        <v>4166951</v>
      </c>
      <c r="G34" s="449">
        <f t="shared" si="34"/>
        <v>0</v>
      </c>
      <c r="H34" s="426">
        <f t="shared" si="10"/>
        <v>18080306</v>
      </c>
      <c r="I34" s="449">
        <f t="shared" si="35"/>
        <v>0</v>
      </c>
      <c r="J34" s="426">
        <f t="shared" si="11"/>
        <v>29855006</v>
      </c>
      <c r="K34" s="449">
        <f t="shared" si="36"/>
        <v>0</v>
      </c>
      <c r="L34" s="426">
        <f t="shared" si="12"/>
        <v>24667684</v>
      </c>
      <c r="M34" s="449">
        <f t="shared" si="53"/>
        <v>0</v>
      </c>
      <c r="N34" s="297">
        <f t="shared" si="54"/>
        <v>0</v>
      </c>
      <c r="O34" s="445">
        <f t="shared" si="55"/>
        <v>0</v>
      </c>
      <c r="P34" s="561">
        <f t="shared" si="13"/>
        <v>19522.791000000001</v>
      </c>
      <c r="Q34" s="446">
        <f t="shared" si="56"/>
        <v>0</v>
      </c>
      <c r="R34" s="588">
        <f t="shared" si="57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33498</v>
      </c>
      <c r="X34" s="448">
        <f t="shared" si="58"/>
        <v>0</v>
      </c>
      <c r="Y34" s="426">
        <f t="shared" si="17"/>
        <v>999659</v>
      </c>
      <c r="Z34" s="428">
        <f t="shared" si="59"/>
        <v>0</v>
      </c>
      <c r="AA34" s="426">
        <f t="shared" si="18"/>
        <v>36801</v>
      </c>
      <c r="AB34" s="428">
        <f t="shared" si="60"/>
        <v>0</v>
      </c>
      <c r="AC34" s="426">
        <f t="shared" si="19"/>
        <v>1171535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60" zoomScaleNormal="60" workbookViewId="0">
      <pane ySplit="1" topLeftCell="A2" activePane="bottomLeft" state="frozen"/>
      <selection activeCell="K1" sqref="K1"/>
      <selection pane="bottomLeft" activeCell="AN29" sqref="AN2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13.85546875" style="42" customWidth="1"/>
    <col min="18" max="18" width="14.140625" style="42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13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9" t="s">
        <v>2</v>
      </c>
      <c r="G1" s="620"/>
      <c r="H1" s="620"/>
      <c r="I1" s="621"/>
      <c r="J1" s="271">
        <f>J36</f>
        <v>66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381"/>
      <c r="V1" s="27" t="s">
        <v>104</v>
      </c>
      <c r="W1" s="382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44804</v>
      </c>
      <c r="B4" s="379">
        <f>[2]B5!B35</f>
        <v>199</v>
      </c>
      <c r="C4" s="379">
        <f>[2]B5!C35</f>
        <v>206</v>
      </c>
      <c r="D4" s="379">
        <f>[2]B5!D35</f>
        <v>5</v>
      </c>
      <c r="E4" s="379">
        <f>[2]B5!E35</f>
        <v>41.900000000000006</v>
      </c>
      <c r="F4" s="379">
        <f>[2]B5!F35</f>
        <v>2278</v>
      </c>
      <c r="G4" s="379">
        <f>[2]B5!G35</f>
        <v>0</v>
      </c>
      <c r="H4" s="379">
        <f>[2]B5!H35</f>
        <v>46144</v>
      </c>
      <c r="I4" s="379">
        <f>[2]B5!I35</f>
        <v>0</v>
      </c>
      <c r="J4" s="379">
        <f>[2]B5!J35</f>
        <v>0</v>
      </c>
      <c r="K4" s="379">
        <f>[2]B5!K35</f>
        <v>2453</v>
      </c>
      <c r="L4" s="379">
        <f>[2]B5!L35</f>
        <v>1</v>
      </c>
      <c r="M4" s="379">
        <f>[2]B5!M35</f>
        <v>182416</v>
      </c>
      <c r="N4" s="379">
        <f>[2]B5!N35</f>
        <v>79</v>
      </c>
      <c r="O4" s="379">
        <f>[2]B5!O35</f>
        <v>1869</v>
      </c>
      <c r="P4" s="379">
        <f>[2]B5!P35</f>
        <v>2226</v>
      </c>
      <c r="Q4" s="379">
        <f>[2]B5!Q35</f>
        <v>186049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79</v>
      </c>
      <c r="W4" s="379">
        <f>[2]B5!W35</f>
        <v>0</v>
      </c>
      <c r="X4" s="379">
        <f>[2]B5!X35</f>
        <v>2492</v>
      </c>
      <c r="Y4" s="379">
        <f>[2]B5!Y35</f>
        <v>1</v>
      </c>
      <c r="Z4" s="379">
        <f>[2]B5!Z35</f>
        <v>140886</v>
      </c>
      <c r="AA4" s="379">
        <f>[2]B5!AA35</f>
        <v>65</v>
      </c>
      <c r="AB4" s="379">
        <f>[2]B5!AB35</f>
        <v>0</v>
      </c>
      <c r="AC4" s="379">
        <f>[2]B5!AC35</f>
        <v>1948</v>
      </c>
      <c r="AD4" s="379">
        <f>[2]B5!AD35</f>
        <v>0</v>
      </c>
      <c r="AE4" s="379">
        <f>[2]B5!AE35</f>
        <v>366628</v>
      </c>
      <c r="AF4" s="379">
        <f>[2]B5!AF35</f>
        <v>0</v>
      </c>
      <c r="AG4" s="379">
        <f>[2]B5!AG35</f>
        <v>0</v>
      </c>
      <c r="AH4" s="379">
        <f>[2]B5!AH35</f>
        <v>65</v>
      </c>
      <c r="AI4" s="379">
        <f>[2]B5!AI35</f>
        <v>144</v>
      </c>
      <c r="AJ4" s="379">
        <f>[2]B5!AJ35</f>
        <v>144</v>
      </c>
      <c r="AK4" s="379">
        <f>[2]B5!AK35</f>
        <v>0</v>
      </c>
      <c r="AL4" s="379">
        <f>[2]B5!AL35</f>
        <v>1</v>
      </c>
      <c r="AM4" s="379">
        <f>[2]B5!AM35</f>
        <v>1</v>
      </c>
      <c r="AN4" s="379">
        <f>[2]B5!AN35</f>
        <v>66</v>
      </c>
      <c r="AO4" s="379">
        <f>[2]B5!AO35</f>
        <v>1980</v>
      </c>
      <c r="AP4" s="379">
        <f>[2]B5!AP35</f>
        <v>31</v>
      </c>
      <c r="AQ4" s="379">
        <f>[2]B5!AQ35</f>
        <v>930</v>
      </c>
      <c r="AR4" s="379">
        <f>[2]B5!AR35</f>
        <v>73</v>
      </c>
      <c r="AS4" s="379">
        <f>[2]B5!AS35</f>
        <v>2190</v>
      </c>
      <c r="AT4" s="379">
        <f>[2]B5!AT35</f>
        <v>5100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44805</v>
      </c>
      <c r="B5" s="535">
        <v>194.5</v>
      </c>
      <c r="C5" s="535">
        <v>201</v>
      </c>
      <c r="D5" s="45">
        <f>C4-C5</f>
        <v>5</v>
      </c>
      <c r="E5" s="45">
        <f>D5*8.38</f>
        <v>41.900000000000006</v>
      </c>
      <c r="F5" s="535">
        <f>F4</f>
        <v>2278</v>
      </c>
      <c r="G5" s="52">
        <f t="shared" ref="G5:G32" si="0">F5-F4</f>
        <v>0</v>
      </c>
      <c r="H5" s="535">
        <f>H4</f>
        <v>46144</v>
      </c>
      <c r="I5" s="380">
        <f t="shared" ref="I5:I32" si="1">SUM(H5-H4)</f>
        <v>0</v>
      </c>
      <c r="J5" s="66">
        <v>1</v>
      </c>
      <c r="K5" s="535">
        <f>K4</f>
        <v>2453</v>
      </c>
      <c r="L5" s="52">
        <f>K5-K4</f>
        <v>0</v>
      </c>
      <c r="M5" s="535">
        <v>182441</v>
      </c>
      <c r="N5" s="380">
        <f t="shared" ref="N5:N32" si="2">M5-M4</f>
        <v>25</v>
      </c>
      <c r="O5" s="64">
        <f t="shared" ref="O5:Q17" si="3">O4</f>
        <v>1869</v>
      </c>
      <c r="P5" s="535">
        <f>P4</f>
        <v>2226</v>
      </c>
      <c r="Q5" s="535">
        <f>Q4</f>
        <v>186049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25</v>
      </c>
      <c r="W5" s="384" t="e">
        <f>SUM(V5/U5)</f>
        <v>#DIV/0!</v>
      </c>
      <c r="X5" s="535">
        <f>X4</f>
        <v>2492</v>
      </c>
      <c r="Y5" s="52">
        <f>X5-X4</f>
        <v>0</v>
      </c>
      <c r="Z5" s="535">
        <f>Z4</f>
        <v>140886</v>
      </c>
      <c r="AA5" s="65">
        <f t="shared" ref="AA5:AA32" si="6">Z5-Z4</f>
        <v>0</v>
      </c>
      <c r="AB5" s="273">
        <f>SUM(Y5*$AB$2)</f>
        <v>0</v>
      </c>
      <c r="AC5" s="535">
        <f>AC4</f>
        <v>1948</v>
      </c>
      <c r="AD5" s="45">
        <f t="shared" ref="AD5:AD32" si="7">AC5-AC4</f>
        <v>0</v>
      </c>
      <c r="AE5" s="535">
        <f>AE4</f>
        <v>366628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25</v>
      </c>
      <c r="AJ5" s="303">
        <f>-tanks!AW6</f>
        <v>25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44806</v>
      </c>
      <c r="B6" s="535">
        <f t="shared" ref="B6:B35" si="9">B5</f>
        <v>194.5</v>
      </c>
      <c r="C6" s="535">
        <f t="shared" ref="C6:C35" si="10">C5</f>
        <v>201</v>
      </c>
      <c r="D6" s="45">
        <f>C5-C6</f>
        <v>0</v>
      </c>
      <c r="E6" s="45">
        <f t="shared" ref="E6:E32" si="11">D6*8.38</f>
        <v>0</v>
      </c>
      <c r="F6" s="535">
        <f t="shared" ref="F6:F35" si="12">F5</f>
        <v>2278</v>
      </c>
      <c r="G6" s="52">
        <f t="shared" si="0"/>
        <v>0</v>
      </c>
      <c r="H6" s="535">
        <f t="shared" ref="H6:H35" si="13">H5</f>
        <v>46144</v>
      </c>
      <c r="I6" s="380">
        <f t="shared" si="1"/>
        <v>0</v>
      </c>
      <c r="J6" s="66">
        <f t="shared" ref="J6:J32" si="14">IF(G6&gt;0,I6/G6,0)</f>
        <v>0</v>
      </c>
      <c r="K6" s="535">
        <f t="shared" ref="K6:K35" si="15">K5</f>
        <v>2453</v>
      </c>
      <c r="L6" s="52">
        <f t="shared" ref="L6:L32" si="16">K6-K5</f>
        <v>0</v>
      </c>
      <c r="M6" s="535">
        <f t="shared" ref="M6:M35" si="17">M5</f>
        <v>182441</v>
      </c>
      <c r="N6" s="380">
        <f t="shared" si="2"/>
        <v>0</v>
      </c>
      <c r="O6" s="64">
        <f t="shared" si="3"/>
        <v>1869</v>
      </c>
      <c r="P6" s="535">
        <f t="shared" si="3"/>
        <v>2226</v>
      </c>
      <c r="Q6" s="535">
        <f t="shared" si="3"/>
        <v>186049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0</v>
      </c>
      <c r="W6" s="384" t="e">
        <f t="shared" ref="W6:W16" si="20">SUM(V6/U6)</f>
        <v>#DIV/0!</v>
      </c>
      <c r="X6" s="535">
        <f t="shared" ref="X6:X35" si="21">X5</f>
        <v>2492</v>
      </c>
      <c r="Y6" s="52">
        <f t="shared" ref="Y6:Y32" si="22">X6-X5</f>
        <v>0</v>
      </c>
      <c r="Z6" s="535">
        <f t="shared" ref="Z6:Z35" si="23">Z5</f>
        <v>140886</v>
      </c>
      <c r="AA6" s="65">
        <f t="shared" si="6"/>
        <v>0</v>
      </c>
      <c r="AB6" s="273">
        <f>SUM(Y6*$AB$2)</f>
        <v>0</v>
      </c>
      <c r="AC6" s="535">
        <f t="shared" ref="AC6:AC35" si="24">AC5</f>
        <v>1948</v>
      </c>
      <c r="AD6" s="45">
        <f t="shared" si="7"/>
        <v>0</v>
      </c>
      <c r="AE6" s="535">
        <f t="shared" ref="AE6:AE10" si="25">AE5</f>
        <v>366628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0</v>
      </c>
      <c r="AJ6" s="303">
        <f>-tanks!AW7</f>
        <v>0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5">
        <f t="shared" ref="AN6:AN35" si="30">AN5</f>
        <v>66</v>
      </c>
      <c r="AO6" s="305">
        <f t="shared" ref="AO6:AO35" si="31">(AN6/100)*3000</f>
        <v>1980</v>
      </c>
      <c r="AP6" s="535">
        <f t="shared" ref="AP6:AP35" si="32">AP5</f>
        <v>31</v>
      </c>
      <c r="AQ6" s="305">
        <f t="shared" ref="AQ6:AQ24" si="33">(AP6/100)*3000</f>
        <v>930</v>
      </c>
      <c r="AR6" s="535">
        <f t="shared" ref="AR6:AR35" si="34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44807</v>
      </c>
      <c r="B7" s="535">
        <f t="shared" si="9"/>
        <v>194.5</v>
      </c>
      <c r="C7" s="535">
        <f t="shared" si="10"/>
        <v>201</v>
      </c>
      <c r="D7" s="45">
        <f t="shared" ref="D7:D19" si="36">C6-C7</f>
        <v>0</v>
      </c>
      <c r="E7" s="45">
        <f t="shared" si="11"/>
        <v>0</v>
      </c>
      <c r="F7" s="535">
        <f t="shared" si="12"/>
        <v>2278</v>
      </c>
      <c r="G7" s="52">
        <f t="shared" si="0"/>
        <v>0</v>
      </c>
      <c r="H7" s="535">
        <f t="shared" si="13"/>
        <v>46144</v>
      </c>
      <c r="I7" s="380">
        <f t="shared" si="1"/>
        <v>0</v>
      </c>
      <c r="J7" s="66">
        <f t="shared" si="14"/>
        <v>0</v>
      </c>
      <c r="K7" s="535">
        <f t="shared" si="15"/>
        <v>2453</v>
      </c>
      <c r="L7" s="52">
        <f t="shared" si="16"/>
        <v>0</v>
      </c>
      <c r="M7" s="535">
        <f t="shared" si="17"/>
        <v>182441</v>
      </c>
      <c r="N7" s="380">
        <f t="shared" si="2"/>
        <v>0</v>
      </c>
      <c r="O7" s="64">
        <f t="shared" si="3"/>
        <v>1869</v>
      </c>
      <c r="P7" s="535">
        <f t="shared" si="3"/>
        <v>2226</v>
      </c>
      <c r="Q7" s="535">
        <f t="shared" si="3"/>
        <v>186049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8"/>
        <v>0</v>
      </c>
      <c r="V7" s="62">
        <f>R7+N7+I7:I7</f>
        <v>0</v>
      </c>
      <c r="W7" s="384" t="e">
        <f t="shared" si="20"/>
        <v>#DIV/0!</v>
      </c>
      <c r="X7" s="535">
        <f t="shared" si="21"/>
        <v>2492</v>
      </c>
      <c r="Y7" s="52">
        <f t="shared" si="22"/>
        <v>0</v>
      </c>
      <c r="Z7" s="535">
        <f t="shared" si="23"/>
        <v>140886</v>
      </c>
      <c r="AA7" s="65">
        <f t="shared" si="6"/>
        <v>0</v>
      </c>
      <c r="AB7" s="273">
        <f t="shared" ref="AB7:AB17" si="38">SUM(Y7*$AB$2)</f>
        <v>0</v>
      </c>
      <c r="AC7" s="535">
        <f t="shared" si="24"/>
        <v>1948</v>
      </c>
      <c r="AD7" s="45">
        <f t="shared" si="7"/>
        <v>0</v>
      </c>
      <c r="AE7" s="535">
        <f t="shared" si="25"/>
        <v>366628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0</v>
      </c>
      <c r="AJ7" s="303">
        <f>-tanks!AW8</f>
        <v>0</v>
      </c>
      <c r="AK7" s="303">
        <f t="shared" si="28"/>
        <v>0</v>
      </c>
      <c r="AL7" s="303">
        <f t="shared" si="8"/>
        <v>0</v>
      </c>
      <c r="AM7" s="303">
        <f t="shared" si="29"/>
        <v>0</v>
      </c>
      <c r="AN7" s="535">
        <f t="shared" si="30"/>
        <v>66</v>
      </c>
      <c r="AO7" s="305">
        <f t="shared" si="31"/>
        <v>1980</v>
      </c>
      <c r="AP7" s="535">
        <f t="shared" si="32"/>
        <v>31</v>
      </c>
      <c r="AQ7" s="305">
        <f t="shared" si="33"/>
        <v>930</v>
      </c>
      <c r="AR7" s="535">
        <f t="shared" si="34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44808</v>
      </c>
      <c r="B8" s="535">
        <v>190.5</v>
      </c>
      <c r="C8" s="535">
        <v>198</v>
      </c>
      <c r="D8" s="45">
        <f t="shared" si="36"/>
        <v>3</v>
      </c>
      <c r="E8" s="45">
        <f t="shared" si="11"/>
        <v>25.14</v>
      </c>
      <c r="F8" s="535">
        <f t="shared" si="12"/>
        <v>2278</v>
      </c>
      <c r="G8" s="52">
        <f t="shared" si="0"/>
        <v>0</v>
      </c>
      <c r="H8" s="535">
        <f t="shared" si="13"/>
        <v>46144</v>
      </c>
      <c r="I8" s="380">
        <f t="shared" si="1"/>
        <v>0</v>
      </c>
      <c r="J8" s="66">
        <f t="shared" si="14"/>
        <v>0</v>
      </c>
      <c r="K8" s="535">
        <v>2455</v>
      </c>
      <c r="L8" s="52">
        <f t="shared" si="16"/>
        <v>2</v>
      </c>
      <c r="M8" s="535">
        <v>182589</v>
      </c>
      <c r="N8" s="380">
        <f t="shared" si="2"/>
        <v>148</v>
      </c>
      <c r="O8" s="64">
        <f t="shared" si="3"/>
        <v>1869</v>
      </c>
      <c r="P8" s="535">
        <f t="shared" si="3"/>
        <v>2226</v>
      </c>
      <c r="Q8" s="535">
        <f t="shared" si="3"/>
        <v>186049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8"/>
        <v>2</v>
      </c>
      <c r="V8" s="62">
        <f>R8+N8+I8:I8</f>
        <v>148</v>
      </c>
      <c r="W8" s="384">
        <f t="shared" si="20"/>
        <v>74</v>
      </c>
      <c r="X8" s="535">
        <f t="shared" si="21"/>
        <v>2492</v>
      </c>
      <c r="Y8" s="52">
        <f t="shared" si="22"/>
        <v>0</v>
      </c>
      <c r="Z8" s="535">
        <f t="shared" si="23"/>
        <v>140886</v>
      </c>
      <c r="AA8" s="65">
        <f t="shared" si="6"/>
        <v>0</v>
      </c>
      <c r="AB8" s="273">
        <f t="shared" si="38"/>
        <v>0</v>
      </c>
      <c r="AC8" s="535">
        <f t="shared" si="24"/>
        <v>1948</v>
      </c>
      <c r="AD8" s="45">
        <f t="shared" si="7"/>
        <v>0</v>
      </c>
      <c r="AE8" s="535">
        <f t="shared" si="25"/>
        <v>366628</v>
      </c>
      <c r="AF8" s="293">
        <f t="shared" si="26"/>
        <v>0</v>
      </c>
      <c r="AG8" s="209">
        <f t="shared" si="39"/>
        <v>0</v>
      </c>
      <c r="AH8" s="62">
        <f t="shared" si="40"/>
        <v>0</v>
      </c>
      <c r="AI8" s="303">
        <f t="shared" si="27"/>
        <v>148</v>
      </c>
      <c r="AJ8" s="303">
        <f>-tanks!AW9</f>
        <v>148</v>
      </c>
      <c r="AK8" s="303">
        <f t="shared" si="28"/>
        <v>0</v>
      </c>
      <c r="AL8" s="303">
        <f t="shared" si="8"/>
        <v>2</v>
      </c>
      <c r="AM8" s="303">
        <f t="shared" si="29"/>
        <v>0</v>
      </c>
      <c r="AN8" s="535">
        <f t="shared" si="30"/>
        <v>66</v>
      </c>
      <c r="AO8" s="305">
        <f t="shared" si="31"/>
        <v>1980</v>
      </c>
      <c r="AP8" s="535">
        <f t="shared" si="32"/>
        <v>31</v>
      </c>
      <c r="AQ8" s="305">
        <f t="shared" si="33"/>
        <v>930</v>
      </c>
      <c r="AR8" s="535">
        <f t="shared" si="34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44809</v>
      </c>
      <c r="B9" s="535">
        <v>187</v>
      </c>
      <c r="C9" s="535">
        <v>193</v>
      </c>
      <c r="D9" s="45">
        <f t="shared" si="36"/>
        <v>5</v>
      </c>
      <c r="E9" s="45">
        <f t="shared" si="11"/>
        <v>41.900000000000006</v>
      </c>
      <c r="F9" s="535">
        <f t="shared" si="12"/>
        <v>2278</v>
      </c>
      <c r="G9" s="52">
        <f t="shared" si="0"/>
        <v>0</v>
      </c>
      <c r="H9" s="535">
        <f t="shared" si="13"/>
        <v>46144</v>
      </c>
      <c r="I9" s="380">
        <f t="shared" si="1"/>
        <v>0</v>
      </c>
      <c r="J9" s="66">
        <f t="shared" si="14"/>
        <v>0</v>
      </c>
      <c r="K9" s="535">
        <v>2456</v>
      </c>
      <c r="L9" s="52">
        <f t="shared" si="16"/>
        <v>1</v>
      </c>
      <c r="M9" s="535">
        <v>182702</v>
      </c>
      <c r="N9" s="380">
        <f t="shared" si="2"/>
        <v>113</v>
      </c>
      <c r="O9" s="64">
        <f t="shared" si="3"/>
        <v>1869</v>
      </c>
      <c r="P9" s="535">
        <f t="shared" si="3"/>
        <v>2226</v>
      </c>
      <c r="Q9" s="535">
        <f t="shared" si="3"/>
        <v>186049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8"/>
        <v>1</v>
      </c>
      <c r="V9" s="62">
        <f t="shared" si="19"/>
        <v>113</v>
      </c>
      <c r="W9" s="384">
        <f t="shared" si="20"/>
        <v>113</v>
      </c>
      <c r="X9" s="535">
        <f t="shared" si="21"/>
        <v>2492</v>
      </c>
      <c r="Y9" s="52">
        <f t="shared" si="22"/>
        <v>0</v>
      </c>
      <c r="Z9" s="535">
        <f t="shared" si="23"/>
        <v>140886</v>
      </c>
      <c r="AA9" s="65">
        <f t="shared" si="6"/>
        <v>0</v>
      </c>
      <c r="AB9" s="273">
        <f t="shared" si="38"/>
        <v>0</v>
      </c>
      <c r="AC9" s="535">
        <f t="shared" si="24"/>
        <v>1948</v>
      </c>
      <c r="AD9" s="45">
        <f t="shared" si="7"/>
        <v>0</v>
      </c>
      <c r="AE9" s="535">
        <f t="shared" si="25"/>
        <v>366628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113</v>
      </c>
      <c r="AJ9" s="303">
        <f>-tanks!AW10</f>
        <v>113</v>
      </c>
      <c r="AK9" s="303">
        <f t="shared" si="28"/>
        <v>0</v>
      </c>
      <c r="AL9" s="303">
        <f t="shared" si="8"/>
        <v>1</v>
      </c>
      <c r="AM9" s="303">
        <f t="shared" si="29"/>
        <v>0</v>
      </c>
      <c r="AN9" s="535">
        <f t="shared" si="30"/>
        <v>66</v>
      </c>
      <c r="AO9" s="305">
        <f t="shared" si="31"/>
        <v>1980</v>
      </c>
      <c r="AP9" s="535">
        <f t="shared" si="32"/>
        <v>31</v>
      </c>
      <c r="AQ9" s="305">
        <f t="shared" si="33"/>
        <v>930</v>
      </c>
      <c r="AR9" s="535">
        <f t="shared" si="34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44810</v>
      </c>
      <c r="B10" s="535">
        <v>180</v>
      </c>
      <c r="C10" s="535">
        <v>187</v>
      </c>
      <c r="D10" s="45">
        <f t="shared" si="36"/>
        <v>6</v>
      </c>
      <c r="E10" s="45">
        <f t="shared" si="11"/>
        <v>50.28</v>
      </c>
      <c r="F10" s="535">
        <f t="shared" si="12"/>
        <v>2278</v>
      </c>
      <c r="G10" s="52">
        <f t="shared" si="0"/>
        <v>0</v>
      </c>
      <c r="H10" s="535">
        <f t="shared" si="13"/>
        <v>46144</v>
      </c>
      <c r="I10" s="380">
        <f t="shared" si="1"/>
        <v>0</v>
      </c>
      <c r="J10" s="66">
        <f t="shared" si="14"/>
        <v>0</v>
      </c>
      <c r="K10" s="535">
        <v>2457</v>
      </c>
      <c r="L10" s="52">
        <f t="shared" si="16"/>
        <v>1</v>
      </c>
      <c r="M10" s="535">
        <v>182776</v>
      </c>
      <c r="N10" s="380">
        <f t="shared" si="2"/>
        <v>74</v>
      </c>
      <c r="O10" s="64">
        <f t="shared" si="3"/>
        <v>1869</v>
      </c>
      <c r="P10" s="535">
        <f t="shared" si="3"/>
        <v>2226</v>
      </c>
      <c r="Q10" s="535">
        <f t="shared" si="3"/>
        <v>186049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8"/>
        <v>1</v>
      </c>
      <c r="V10" s="62">
        <f t="shared" si="19"/>
        <v>74</v>
      </c>
      <c r="W10" s="384">
        <f t="shared" si="20"/>
        <v>74</v>
      </c>
      <c r="X10" s="535">
        <f t="shared" si="21"/>
        <v>2492</v>
      </c>
      <c r="Y10" s="52">
        <f t="shared" si="22"/>
        <v>0</v>
      </c>
      <c r="Z10" s="535">
        <f t="shared" si="23"/>
        <v>140886</v>
      </c>
      <c r="AA10" s="65">
        <f t="shared" si="6"/>
        <v>0</v>
      </c>
      <c r="AB10" s="273">
        <f t="shared" si="38"/>
        <v>0</v>
      </c>
      <c r="AC10" s="535">
        <f t="shared" si="24"/>
        <v>1948</v>
      </c>
      <c r="AD10" s="45">
        <f t="shared" si="7"/>
        <v>0</v>
      </c>
      <c r="AE10" s="535">
        <f t="shared" si="25"/>
        <v>366628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74</v>
      </c>
      <c r="AJ10" s="303">
        <f>-tanks!AW11</f>
        <v>74</v>
      </c>
      <c r="AK10" s="303">
        <f t="shared" si="28"/>
        <v>0</v>
      </c>
      <c r="AL10" s="303">
        <f t="shared" si="8"/>
        <v>1</v>
      </c>
      <c r="AM10" s="303">
        <f t="shared" si="29"/>
        <v>0</v>
      </c>
      <c r="AN10" s="535">
        <f t="shared" si="30"/>
        <v>66</v>
      </c>
      <c r="AO10" s="305">
        <f t="shared" si="31"/>
        <v>1980</v>
      </c>
      <c r="AP10" s="535">
        <f t="shared" si="32"/>
        <v>31</v>
      </c>
      <c r="AQ10" s="305">
        <f t="shared" si="33"/>
        <v>930</v>
      </c>
      <c r="AR10" s="535">
        <f t="shared" si="34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44811</v>
      </c>
      <c r="B11" s="535">
        <v>190</v>
      </c>
      <c r="C11" s="535">
        <v>197</v>
      </c>
      <c r="D11" s="45">
        <f t="shared" si="36"/>
        <v>-10</v>
      </c>
      <c r="E11" s="45">
        <f t="shared" si="11"/>
        <v>-83.800000000000011</v>
      </c>
      <c r="F11" s="535">
        <f t="shared" si="12"/>
        <v>2278</v>
      </c>
      <c r="G11" s="52">
        <f t="shared" si="0"/>
        <v>0</v>
      </c>
      <c r="H11" s="535">
        <f t="shared" si="13"/>
        <v>46144</v>
      </c>
      <c r="I11" s="380">
        <f t="shared" si="1"/>
        <v>0</v>
      </c>
      <c r="J11" s="66">
        <f t="shared" si="14"/>
        <v>0</v>
      </c>
      <c r="K11" s="535">
        <v>2458</v>
      </c>
      <c r="L11" s="52">
        <f t="shared" si="16"/>
        <v>1</v>
      </c>
      <c r="M11" s="535">
        <v>182855</v>
      </c>
      <c r="N11" s="380">
        <f t="shared" si="2"/>
        <v>79</v>
      </c>
      <c r="O11" s="64">
        <f t="shared" si="3"/>
        <v>1869</v>
      </c>
      <c r="P11" s="535">
        <f t="shared" si="3"/>
        <v>2226</v>
      </c>
      <c r="Q11" s="535">
        <f t="shared" si="3"/>
        <v>186049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1</v>
      </c>
      <c r="V11" s="62">
        <f t="shared" si="19"/>
        <v>79</v>
      </c>
      <c r="W11" s="384">
        <f t="shared" si="20"/>
        <v>79</v>
      </c>
      <c r="X11" s="535">
        <f t="shared" si="21"/>
        <v>2492</v>
      </c>
      <c r="Y11" s="52">
        <f t="shared" si="22"/>
        <v>0</v>
      </c>
      <c r="Z11" s="535">
        <f t="shared" si="23"/>
        <v>140886</v>
      </c>
      <c r="AA11" s="65">
        <f t="shared" si="6"/>
        <v>0</v>
      </c>
      <c r="AB11" s="273">
        <f t="shared" si="38"/>
        <v>0</v>
      </c>
      <c r="AC11" s="535">
        <f t="shared" si="24"/>
        <v>1948</v>
      </c>
      <c r="AD11" s="45">
        <f t="shared" si="7"/>
        <v>0</v>
      </c>
      <c r="AE11" s="535">
        <v>366639</v>
      </c>
      <c r="AF11" s="293">
        <f t="shared" si="26"/>
        <v>11</v>
      </c>
      <c r="AG11" s="209">
        <f t="shared" si="39"/>
        <v>0</v>
      </c>
      <c r="AH11" s="62">
        <f>AF11+AA11</f>
        <v>11</v>
      </c>
      <c r="AI11" s="303">
        <f>SUM(AH11+V11)</f>
        <v>90</v>
      </c>
      <c r="AJ11" s="303">
        <f>-tanks!AW12</f>
        <v>90</v>
      </c>
      <c r="AK11" s="303">
        <f t="shared" si="28"/>
        <v>0</v>
      </c>
      <c r="AL11" s="303">
        <f t="shared" si="8"/>
        <v>1</v>
      </c>
      <c r="AM11" s="303">
        <f t="shared" si="29"/>
        <v>0</v>
      </c>
      <c r="AN11" s="535">
        <v>65</v>
      </c>
      <c r="AO11" s="305">
        <f t="shared" si="31"/>
        <v>1950</v>
      </c>
      <c r="AP11" s="535">
        <v>35</v>
      </c>
      <c r="AQ11" s="305">
        <f t="shared" si="33"/>
        <v>1050</v>
      </c>
      <c r="AR11" s="535">
        <f t="shared" si="34"/>
        <v>73</v>
      </c>
      <c r="AS11" s="305">
        <f t="shared" si="41"/>
        <v>2190</v>
      </c>
      <c r="AT11" s="305">
        <f t="shared" si="42"/>
        <v>5190</v>
      </c>
      <c r="AU11" s="305">
        <f t="shared" si="43"/>
        <v>-90</v>
      </c>
      <c r="AV11" s="259"/>
      <c r="AW11" s="259"/>
      <c r="AX11" s="298">
        <f t="shared" si="35"/>
        <v>0.8</v>
      </c>
    </row>
    <row r="12" spans="1:52">
      <c r="A12" s="63">
        <f>ELEC!C11</f>
        <v>44812</v>
      </c>
      <c r="B12" s="535">
        <v>187</v>
      </c>
      <c r="C12" s="535">
        <v>193</v>
      </c>
      <c r="D12" s="45">
        <f t="shared" si="36"/>
        <v>4</v>
      </c>
      <c r="E12" s="45">
        <f t="shared" si="11"/>
        <v>33.520000000000003</v>
      </c>
      <c r="F12" s="535">
        <f t="shared" si="12"/>
        <v>2278</v>
      </c>
      <c r="G12" s="52">
        <f t="shared" si="0"/>
        <v>0</v>
      </c>
      <c r="H12" s="535">
        <f t="shared" si="13"/>
        <v>46144</v>
      </c>
      <c r="I12" s="380">
        <f t="shared" si="1"/>
        <v>0</v>
      </c>
      <c r="J12" s="66">
        <f t="shared" si="14"/>
        <v>0</v>
      </c>
      <c r="K12" s="535">
        <f t="shared" si="15"/>
        <v>2458</v>
      </c>
      <c r="L12" s="52">
        <f t="shared" si="16"/>
        <v>0</v>
      </c>
      <c r="M12" s="535">
        <f t="shared" si="17"/>
        <v>182855</v>
      </c>
      <c r="N12" s="380">
        <f t="shared" si="2"/>
        <v>0</v>
      </c>
      <c r="O12" s="64">
        <f t="shared" si="3"/>
        <v>1869</v>
      </c>
      <c r="P12" s="535">
        <f t="shared" si="3"/>
        <v>2226</v>
      </c>
      <c r="Q12" s="535">
        <f t="shared" si="3"/>
        <v>186049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0</v>
      </c>
      <c r="V12" s="62">
        <f t="shared" si="19"/>
        <v>0</v>
      </c>
      <c r="W12" s="384" t="e">
        <f t="shared" si="20"/>
        <v>#DIV/0!</v>
      </c>
      <c r="X12" s="535">
        <f t="shared" si="21"/>
        <v>2492</v>
      </c>
      <c r="Y12" s="52">
        <f t="shared" si="22"/>
        <v>0</v>
      </c>
      <c r="Z12" s="535">
        <f t="shared" si="23"/>
        <v>140886</v>
      </c>
      <c r="AA12" s="65">
        <f t="shared" si="6"/>
        <v>0</v>
      </c>
      <c r="AB12" s="273">
        <f t="shared" si="38"/>
        <v>0</v>
      </c>
      <c r="AC12" s="535">
        <f t="shared" si="24"/>
        <v>1948</v>
      </c>
      <c r="AD12" s="45">
        <f t="shared" si="7"/>
        <v>0</v>
      </c>
      <c r="AE12" s="535">
        <v>366639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0</v>
      </c>
      <c r="AJ12" s="303">
        <f>-tanks!AW13</f>
        <v>0</v>
      </c>
      <c r="AK12" s="303">
        <f t="shared" si="28"/>
        <v>0</v>
      </c>
      <c r="AL12" s="303">
        <f t="shared" si="8"/>
        <v>0</v>
      </c>
      <c r="AM12" s="303">
        <f t="shared" si="29"/>
        <v>0</v>
      </c>
      <c r="AN12" s="535">
        <f t="shared" si="30"/>
        <v>65</v>
      </c>
      <c r="AO12" s="305">
        <f t="shared" si="31"/>
        <v>1950</v>
      </c>
      <c r="AP12" s="535">
        <f t="shared" si="32"/>
        <v>35</v>
      </c>
      <c r="AQ12" s="305">
        <f t="shared" si="33"/>
        <v>1050</v>
      </c>
      <c r="AR12" s="535">
        <f t="shared" si="34"/>
        <v>73</v>
      </c>
      <c r="AS12" s="305">
        <f t="shared" si="41"/>
        <v>2190</v>
      </c>
      <c r="AT12" s="305">
        <f t="shared" si="42"/>
        <v>5190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44813</v>
      </c>
      <c r="B13" s="535">
        <f t="shared" si="9"/>
        <v>187</v>
      </c>
      <c r="C13" s="535">
        <f t="shared" si="10"/>
        <v>193</v>
      </c>
      <c r="D13" s="45">
        <f t="shared" si="36"/>
        <v>0</v>
      </c>
      <c r="E13" s="45">
        <f t="shared" si="11"/>
        <v>0</v>
      </c>
      <c r="F13" s="535">
        <f t="shared" si="12"/>
        <v>2278</v>
      </c>
      <c r="G13" s="52">
        <f t="shared" si="0"/>
        <v>0</v>
      </c>
      <c r="H13" s="535">
        <f t="shared" si="13"/>
        <v>46144</v>
      </c>
      <c r="I13" s="380">
        <f t="shared" si="1"/>
        <v>0</v>
      </c>
      <c r="J13" s="66">
        <f t="shared" si="14"/>
        <v>0</v>
      </c>
      <c r="K13" s="535">
        <f t="shared" si="15"/>
        <v>2458</v>
      </c>
      <c r="L13" s="52">
        <f t="shared" si="16"/>
        <v>0</v>
      </c>
      <c r="M13" s="535">
        <f t="shared" si="17"/>
        <v>182855</v>
      </c>
      <c r="N13" s="380">
        <f t="shared" si="2"/>
        <v>0</v>
      </c>
      <c r="O13" s="64">
        <f t="shared" si="3"/>
        <v>1869</v>
      </c>
      <c r="P13" s="535">
        <f t="shared" si="3"/>
        <v>2226</v>
      </c>
      <c r="Q13" s="535">
        <f t="shared" si="3"/>
        <v>186049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0</v>
      </c>
      <c r="V13" s="62">
        <f t="shared" si="19"/>
        <v>0</v>
      </c>
      <c r="W13" s="384" t="e">
        <f t="shared" si="20"/>
        <v>#DIV/0!</v>
      </c>
      <c r="X13" s="535">
        <f t="shared" si="21"/>
        <v>2492</v>
      </c>
      <c r="Y13" s="52">
        <f t="shared" si="22"/>
        <v>0</v>
      </c>
      <c r="Z13" s="535">
        <f t="shared" si="23"/>
        <v>140886</v>
      </c>
      <c r="AA13" s="273">
        <f t="shared" si="6"/>
        <v>0</v>
      </c>
      <c r="AB13" s="273">
        <f t="shared" si="38"/>
        <v>0</v>
      </c>
      <c r="AC13" s="535">
        <f t="shared" si="24"/>
        <v>1948</v>
      </c>
      <c r="AD13" s="45">
        <f t="shared" si="7"/>
        <v>0</v>
      </c>
      <c r="AE13" s="535">
        <v>366639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0</v>
      </c>
      <c r="AJ13" s="303">
        <f>-tanks!AW14</f>
        <v>0</v>
      </c>
      <c r="AK13" s="303">
        <f t="shared" si="28"/>
        <v>0</v>
      </c>
      <c r="AL13" s="303">
        <f t="shared" si="8"/>
        <v>0</v>
      </c>
      <c r="AM13" s="303">
        <f t="shared" si="29"/>
        <v>0</v>
      </c>
      <c r="AN13" s="535">
        <f t="shared" si="30"/>
        <v>65</v>
      </c>
      <c r="AO13" s="305">
        <f t="shared" si="31"/>
        <v>1950</v>
      </c>
      <c r="AP13" s="535">
        <f t="shared" si="32"/>
        <v>35</v>
      </c>
      <c r="AQ13" s="305">
        <f t="shared" si="33"/>
        <v>1050</v>
      </c>
      <c r="AR13" s="535">
        <f t="shared" si="34"/>
        <v>73</v>
      </c>
      <c r="AS13" s="305">
        <f t="shared" si="41"/>
        <v>2190</v>
      </c>
      <c r="AT13" s="305">
        <f t="shared" si="42"/>
        <v>5190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44814</v>
      </c>
      <c r="B14" s="535">
        <f t="shared" si="9"/>
        <v>187</v>
      </c>
      <c r="C14" s="535">
        <f t="shared" si="10"/>
        <v>193</v>
      </c>
      <c r="D14" s="45">
        <f t="shared" si="36"/>
        <v>0</v>
      </c>
      <c r="E14" s="45">
        <f t="shared" si="11"/>
        <v>0</v>
      </c>
      <c r="F14" s="535">
        <f t="shared" si="12"/>
        <v>2278</v>
      </c>
      <c r="G14" s="52">
        <f t="shared" si="0"/>
        <v>0</v>
      </c>
      <c r="H14" s="535">
        <f t="shared" si="13"/>
        <v>46144</v>
      </c>
      <c r="I14" s="380">
        <f t="shared" si="1"/>
        <v>0</v>
      </c>
      <c r="J14" s="66">
        <f t="shared" si="14"/>
        <v>0</v>
      </c>
      <c r="K14" s="535">
        <f t="shared" si="15"/>
        <v>2458</v>
      </c>
      <c r="L14" s="52">
        <f t="shared" si="16"/>
        <v>0</v>
      </c>
      <c r="M14" s="535">
        <f t="shared" si="17"/>
        <v>182855</v>
      </c>
      <c r="N14" s="380">
        <f t="shared" si="2"/>
        <v>0</v>
      </c>
      <c r="O14" s="64">
        <f t="shared" si="3"/>
        <v>1869</v>
      </c>
      <c r="P14" s="535">
        <f t="shared" si="3"/>
        <v>2226</v>
      </c>
      <c r="Q14" s="535">
        <f t="shared" si="3"/>
        <v>186049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5">
        <f t="shared" si="21"/>
        <v>2492</v>
      </c>
      <c r="Y14" s="52">
        <f t="shared" si="22"/>
        <v>0</v>
      </c>
      <c r="Z14" s="535">
        <f t="shared" si="23"/>
        <v>140886</v>
      </c>
      <c r="AA14" s="65">
        <f t="shared" si="6"/>
        <v>0</v>
      </c>
      <c r="AB14" s="273">
        <f t="shared" si="38"/>
        <v>0</v>
      </c>
      <c r="AC14" s="535">
        <f t="shared" si="24"/>
        <v>1948</v>
      </c>
      <c r="AD14" s="45">
        <f t="shared" si="7"/>
        <v>0</v>
      </c>
      <c r="AE14" s="535">
        <v>366639</v>
      </c>
      <c r="AF14" s="293">
        <f t="shared" si="26"/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0</v>
      </c>
      <c r="AN14" s="535">
        <f t="shared" si="30"/>
        <v>65</v>
      </c>
      <c r="AO14" s="305">
        <f t="shared" si="31"/>
        <v>1950</v>
      </c>
      <c r="AP14" s="535">
        <f t="shared" si="32"/>
        <v>35</v>
      </c>
      <c r="AQ14" s="305">
        <f t="shared" si="33"/>
        <v>1050</v>
      </c>
      <c r="AR14" s="535">
        <f t="shared" si="34"/>
        <v>73</v>
      </c>
      <c r="AS14" s="305">
        <f t="shared" si="41"/>
        <v>2190</v>
      </c>
      <c r="AT14" s="305">
        <f t="shared" si="42"/>
        <v>5190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44815</v>
      </c>
      <c r="B15" s="535">
        <v>182.5</v>
      </c>
      <c r="C15" s="535">
        <v>189</v>
      </c>
      <c r="D15" s="45">
        <f t="shared" si="36"/>
        <v>4</v>
      </c>
      <c r="E15" s="45">
        <f t="shared" si="11"/>
        <v>33.520000000000003</v>
      </c>
      <c r="F15" s="535">
        <f t="shared" si="12"/>
        <v>2278</v>
      </c>
      <c r="G15" s="52">
        <f t="shared" si="0"/>
        <v>0</v>
      </c>
      <c r="H15" s="535">
        <f t="shared" si="13"/>
        <v>46144</v>
      </c>
      <c r="I15" s="380">
        <f t="shared" si="1"/>
        <v>0</v>
      </c>
      <c r="J15" s="66">
        <f t="shared" si="14"/>
        <v>0</v>
      </c>
      <c r="K15" s="535">
        <v>2459</v>
      </c>
      <c r="L15" s="52">
        <f t="shared" si="16"/>
        <v>1</v>
      </c>
      <c r="M15" s="535">
        <v>182937</v>
      </c>
      <c r="N15" s="380">
        <f t="shared" si="2"/>
        <v>82</v>
      </c>
      <c r="O15" s="64">
        <f t="shared" si="3"/>
        <v>1869</v>
      </c>
      <c r="P15" s="535">
        <v>2228</v>
      </c>
      <c r="Q15" s="535">
        <v>186184</v>
      </c>
      <c r="R15" s="379">
        <f t="shared" si="44"/>
        <v>135</v>
      </c>
      <c r="S15" s="52">
        <f t="shared" si="5"/>
        <v>2</v>
      </c>
      <c r="T15" s="67">
        <f t="shared" si="37"/>
        <v>0</v>
      </c>
      <c r="U15" s="386">
        <f t="shared" si="18"/>
        <v>3</v>
      </c>
      <c r="V15" s="62">
        <f t="shared" si="19"/>
        <v>217</v>
      </c>
      <c r="W15" s="384">
        <f t="shared" si="20"/>
        <v>72.333333333333329</v>
      </c>
      <c r="X15" s="535">
        <f t="shared" si="21"/>
        <v>2492</v>
      </c>
      <c r="Y15" s="52">
        <f t="shared" si="22"/>
        <v>0</v>
      </c>
      <c r="Z15" s="535">
        <f t="shared" si="23"/>
        <v>140886</v>
      </c>
      <c r="AA15" s="65">
        <f t="shared" si="6"/>
        <v>0</v>
      </c>
      <c r="AB15" s="273">
        <f t="shared" si="38"/>
        <v>0</v>
      </c>
      <c r="AC15" s="535">
        <f t="shared" si="24"/>
        <v>1948</v>
      </c>
      <c r="AD15" s="45">
        <f t="shared" si="7"/>
        <v>0</v>
      </c>
      <c r="AE15" s="535">
        <v>366639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217</v>
      </c>
      <c r="AJ15" s="303">
        <f>-tanks!AW16</f>
        <v>217</v>
      </c>
      <c r="AK15" s="303">
        <f t="shared" si="28"/>
        <v>0</v>
      </c>
      <c r="AL15" s="303">
        <f t="shared" si="8"/>
        <v>3</v>
      </c>
      <c r="AM15" s="303">
        <f t="shared" si="29"/>
        <v>0</v>
      </c>
      <c r="AN15" s="535">
        <f t="shared" si="30"/>
        <v>65</v>
      </c>
      <c r="AO15" s="305">
        <f t="shared" si="31"/>
        <v>1950</v>
      </c>
      <c r="AP15" s="535">
        <f t="shared" si="32"/>
        <v>35</v>
      </c>
      <c r="AQ15" s="305">
        <f t="shared" si="33"/>
        <v>1050</v>
      </c>
      <c r="AR15" s="535">
        <f t="shared" si="34"/>
        <v>73</v>
      </c>
      <c r="AS15" s="305">
        <f t="shared" si="41"/>
        <v>2190</v>
      </c>
      <c r="AT15" s="305">
        <f t="shared" si="42"/>
        <v>5190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44816</v>
      </c>
      <c r="B16" s="535">
        <v>233</v>
      </c>
      <c r="C16" s="535">
        <v>239</v>
      </c>
      <c r="D16" s="45">
        <f t="shared" si="36"/>
        <v>-50</v>
      </c>
      <c r="E16" s="45">
        <f t="shared" si="11"/>
        <v>-419.00000000000006</v>
      </c>
      <c r="F16" s="535">
        <f t="shared" si="12"/>
        <v>2278</v>
      </c>
      <c r="G16" s="52">
        <f t="shared" si="0"/>
        <v>0</v>
      </c>
      <c r="H16" s="535">
        <f t="shared" si="13"/>
        <v>46144</v>
      </c>
      <c r="I16" s="380">
        <f t="shared" si="1"/>
        <v>0</v>
      </c>
      <c r="J16" s="66">
        <f t="shared" si="14"/>
        <v>0</v>
      </c>
      <c r="K16" s="535">
        <f t="shared" si="15"/>
        <v>2459</v>
      </c>
      <c r="L16" s="52">
        <f t="shared" si="16"/>
        <v>0</v>
      </c>
      <c r="M16" s="535">
        <f t="shared" si="17"/>
        <v>182937</v>
      </c>
      <c r="N16" s="380">
        <f t="shared" si="2"/>
        <v>0</v>
      </c>
      <c r="O16" s="64">
        <f t="shared" si="3"/>
        <v>1869</v>
      </c>
      <c r="P16" s="535">
        <f t="shared" si="3"/>
        <v>2228</v>
      </c>
      <c r="Q16" s="535">
        <v>186192</v>
      </c>
      <c r="R16" s="379">
        <f t="shared" si="44"/>
        <v>8</v>
      </c>
      <c r="S16" s="52">
        <f t="shared" si="5"/>
        <v>0</v>
      </c>
      <c r="T16" s="67">
        <f t="shared" si="37"/>
        <v>0</v>
      </c>
      <c r="U16" s="386">
        <f t="shared" si="18"/>
        <v>0</v>
      </c>
      <c r="V16" s="62">
        <f t="shared" si="19"/>
        <v>8</v>
      </c>
      <c r="W16" s="384" t="e">
        <f t="shared" si="20"/>
        <v>#DIV/0!</v>
      </c>
      <c r="X16" s="535">
        <f t="shared" si="21"/>
        <v>2492</v>
      </c>
      <c r="Y16" s="52">
        <f t="shared" si="22"/>
        <v>0</v>
      </c>
      <c r="Z16" s="535">
        <f t="shared" si="23"/>
        <v>140886</v>
      </c>
      <c r="AA16" s="65">
        <f t="shared" si="6"/>
        <v>0</v>
      </c>
      <c r="AB16" s="273">
        <f t="shared" si="38"/>
        <v>0</v>
      </c>
      <c r="AC16" s="535">
        <f t="shared" si="24"/>
        <v>1948</v>
      </c>
      <c r="AD16" s="45">
        <f t="shared" si="7"/>
        <v>0</v>
      </c>
      <c r="AE16" s="535">
        <v>366639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8</v>
      </c>
      <c r="AJ16" s="303">
        <f>-tanks!AW17</f>
        <v>8</v>
      </c>
      <c r="AK16" s="303">
        <f t="shared" si="28"/>
        <v>0</v>
      </c>
      <c r="AL16" s="303">
        <f t="shared" si="8"/>
        <v>0</v>
      </c>
      <c r="AM16" s="303">
        <f t="shared" si="29"/>
        <v>0</v>
      </c>
      <c r="AN16" s="535">
        <f t="shared" si="30"/>
        <v>65</v>
      </c>
      <c r="AO16" s="305">
        <f t="shared" si="31"/>
        <v>1950</v>
      </c>
      <c r="AP16" s="535">
        <f t="shared" si="32"/>
        <v>35</v>
      </c>
      <c r="AQ16" s="305">
        <f t="shared" si="33"/>
        <v>1050</v>
      </c>
      <c r="AR16" s="535">
        <f t="shared" si="34"/>
        <v>73</v>
      </c>
      <c r="AS16" s="305">
        <f t="shared" si="41"/>
        <v>2190</v>
      </c>
      <c r="AT16" s="305">
        <f t="shared" si="42"/>
        <v>5190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44817</v>
      </c>
      <c r="B17" s="535">
        <v>229</v>
      </c>
      <c r="C17" s="535">
        <v>236</v>
      </c>
      <c r="D17" s="45">
        <f t="shared" si="36"/>
        <v>3</v>
      </c>
      <c r="E17" s="45">
        <f t="shared" si="11"/>
        <v>25.14</v>
      </c>
      <c r="F17" s="535">
        <f t="shared" si="12"/>
        <v>2278</v>
      </c>
      <c r="G17" s="52">
        <f t="shared" si="0"/>
        <v>0</v>
      </c>
      <c r="H17" s="535">
        <f t="shared" si="13"/>
        <v>46144</v>
      </c>
      <c r="I17" s="380">
        <f t="shared" si="1"/>
        <v>0</v>
      </c>
      <c r="J17" s="66">
        <f t="shared" si="14"/>
        <v>0</v>
      </c>
      <c r="K17" s="535">
        <f t="shared" si="15"/>
        <v>2459</v>
      </c>
      <c r="L17" s="52">
        <f t="shared" si="16"/>
        <v>0</v>
      </c>
      <c r="M17" s="535">
        <f t="shared" si="17"/>
        <v>182937</v>
      </c>
      <c r="N17" s="380">
        <f t="shared" si="2"/>
        <v>0</v>
      </c>
      <c r="O17" s="64">
        <f t="shared" si="3"/>
        <v>1869</v>
      </c>
      <c r="P17" s="535">
        <f t="shared" si="3"/>
        <v>2228</v>
      </c>
      <c r="Q17" s="535">
        <v>186247</v>
      </c>
      <c r="R17" s="379">
        <f t="shared" si="44"/>
        <v>55</v>
      </c>
      <c r="S17" s="52">
        <f t="shared" si="5"/>
        <v>0</v>
      </c>
      <c r="T17" s="67">
        <f t="shared" si="37"/>
        <v>0</v>
      </c>
      <c r="U17" s="386">
        <f t="shared" si="18"/>
        <v>0</v>
      </c>
      <c r="V17" s="62">
        <f t="shared" si="19"/>
        <v>55</v>
      </c>
      <c r="W17" s="384"/>
      <c r="X17" s="535">
        <v>2493</v>
      </c>
      <c r="Y17" s="52">
        <f t="shared" si="22"/>
        <v>1</v>
      </c>
      <c r="Z17" s="535">
        <v>141018</v>
      </c>
      <c r="AA17" s="65">
        <f t="shared" si="6"/>
        <v>132</v>
      </c>
      <c r="AB17" s="273">
        <f t="shared" si="38"/>
        <v>0</v>
      </c>
      <c r="AC17" s="535">
        <f t="shared" si="24"/>
        <v>1948</v>
      </c>
      <c r="AD17" s="45">
        <f t="shared" si="7"/>
        <v>0</v>
      </c>
      <c r="AE17" s="535">
        <v>366639</v>
      </c>
      <c r="AF17" s="293">
        <f t="shared" si="26"/>
        <v>0</v>
      </c>
      <c r="AG17" s="209">
        <f t="shared" si="39"/>
        <v>0</v>
      </c>
      <c r="AH17" s="62">
        <f t="shared" si="40"/>
        <v>132</v>
      </c>
      <c r="AI17" s="303">
        <f t="shared" si="27"/>
        <v>187</v>
      </c>
      <c r="AJ17" s="303">
        <f>-tanks!AW18</f>
        <v>187</v>
      </c>
      <c r="AK17" s="303">
        <f t="shared" si="28"/>
        <v>0</v>
      </c>
      <c r="AL17" s="303">
        <f t="shared" si="8"/>
        <v>0</v>
      </c>
      <c r="AM17" s="303">
        <f t="shared" si="29"/>
        <v>1</v>
      </c>
      <c r="AN17" s="535">
        <f t="shared" si="30"/>
        <v>65</v>
      </c>
      <c r="AO17" s="305">
        <f t="shared" si="31"/>
        <v>1950</v>
      </c>
      <c r="AP17" s="535">
        <f t="shared" si="32"/>
        <v>35</v>
      </c>
      <c r="AQ17" s="305">
        <f t="shared" si="33"/>
        <v>1050</v>
      </c>
      <c r="AR17" s="535">
        <f t="shared" si="34"/>
        <v>73</v>
      </c>
      <c r="AS17" s="305">
        <f t="shared" si="41"/>
        <v>2190</v>
      </c>
      <c r="AT17" s="305">
        <f t="shared" si="42"/>
        <v>5190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44818</v>
      </c>
      <c r="B18" s="535">
        <v>226</v>
      </c>
      <c r="C18" s="535">
        <v>232</v>
      </c>
      <c r="D18" s="45">
        <f t="shared" si="36"/>
        <v>4</v>
      </c>
      <c r="E18" s="45">
        <f t="shared" si="11"/>
        <v>33.520000000000003</v>
      </c>
      <c r="F18" s="535">
        <f t="shared" si="12"/>
        <v>2278</v>
      </c>
      <c r="G18" s="52">
        <f t="shared" si="0"/>
        <v>0</v>
      </c>
      <c r="H18" s="535">
        <f t="shared" si="13"/>
        <v>46144</v>
      </c>
      <c r="I18" s="380">
        <f t="shared" si="1"/>
        <v>0</v>
      </c>
      <c r="J18" s="66">
        <f t="shared" si="14"/>
        <v>0</v>
      </c>
      <c r="K18" s="535">
        <f t="shared" si="15"/>
        <v>2459</v>
      </c>
      <c r="L18" s="52">
        <f t="shared" si="16"/>
        <v>0</v>
      </c>
      <c r="M18" s="535">
        <f t="shared" si="17"/>
        <v>182937</v>
      </c>
      <c r="N18" s="380">
        <f t="shared" si="2"/>
        <v>0</v>
      </c>
      <c r="O18" s="64">
        <v>1869</v>
      </c>
      <c r="P18" s="535">
        <v>2230</v>
      </c>
      <c r="Q18" s="535">
        <v>186328</v>
      </c>
      <c r="R18" s="379">
        <f t="shared" si="44"/>
        <v>81</v>
      </c>
      <c r="S18" s="52">
        <f t="shared" si="5"/>
        <v>2</v>
      </c>
      <c r="T18" s="67">
        <f t="shared" si="37"/>
        <v>0</v>
      </c>
      <c r="U18" s="386">
        <f t="shared" si="18"/>
        <v>2</v>
      </c>
      <c r="V18" s="62">
        <f t="shared" si="19"/>
        <v>81</v>
      </c>
      <c r="W18" s="384"/>
      <c r="X18" s="535">
        <f t="shared" si="21"/>
        <v>2493</v>
      </c>
      <c r="Y18" s="52">
        <f t="shared" si="22"/>
        <v>0</v>
      </c>
      <c r="Z18" s="535">
        <f t="shared" si="23"/>
        <v>141018</v>
      </c>
      <c r="AA18" s="65">
        <f t="shared" si="6"/>
        <v>0</v>
      </c>
      <c r="AB18" s="273">
        <f t="shared" ref="AB18:AB23" si="45">SUM(Y18*$AB$2)</f>
        <v>0</v>
      </c>
      <c r="AC18" s="535">
        <f t="shared" si="24"/>
        <v>1948</v>
      </c>
      <c r="AD18" s="45">
        <f t="shared" si="7"/>
        <v>0</v>
      </c>
      <c r="AE18" s="535">
        <v>366639</v>
      </c>
      <c r="AF18" s="293">
        <f t="shared" si="26"/>
        <v>0</v>
      </c>
      <c r="AG18" s="209">
        <f t="shared" si="39"/>
        <v>0</v>
      </c>
      <c r="AH18" s="62">
        <f t="shared" si="40"/>
        <v>0</v>
      </c>
      <c r="AI18" s="303">
        <f t="shared" si="27"/>
        <v>81</v>
      </c>
      <c r="AJ18" s="303">
        <f>-tanks!AW19</f>
        <v>81</v>
      </c>
      <c r="AK18" s="303">
        <f t="shared" si="28"/>
        <v>0</v>
      </c>
      <c r="AL18" s="303">
        <f t="shared" si="8"/>
        <v>2</v>
      </c>
      <c r="AM18" s="303">
        <f t="shared" si="29"/>
        <v>0</v>
      </c>
      <c r="AN18" s="535">
        <f t="shared" si="30"/>
        <v>65</v>
      </c>
      <c r="AO18" s="305">
        <f t="shared" si="31"/>
        <v>1950</v>
      </c>
      <c r="AP18" s="535">
        <f t="shared" si="32"/>
        <v>35</v>
      </c>
      <c r="AQ18" s="305">
        <f t="shared" si="33"/>
        <v>1050</v>
      </c>
      <c r="AR18" s="535">
        <f t="shared" si="34"/>
        <v>73</v>
      </c>
      <c r="AS18" s="305">
        <f t="shared" si="41"/>
        <v>2190</v>
      </c>
      <c r="AT18" s="305">
        <f t="shared" si="42"/>
        <v>5190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44819</v>
      </c>
      <c r="B19" s="535">
        <v>223</v>
      </c>
      <c r="C19" s="535">
        <v>229</v>
      </c>
      <c r="D19" s="45">
        <f t="shared" si="36"/>
        <v>3</v>
      </c>
      <c r="E19" s="45">
        <f t="shared" si="11"/>
        <v>25.14</v>
      </c>
      <c r="F19" s="535">
        <f t="shared" si="12"/>
        <v>2278</v>
      </c>
      <c r="G19" s="52">
        <f t="shared" si="0"/>
        <v>0</v>
      </c>
      <c r="H19" s="535">
        <f t="shared" si="13"/>
        <v>46144</v>
      </c>
      <c r="I19" s="380">
        <f t="shared" si="1"/>
        <v>0</v>
      </c>
      <c r="J19" s="66">
        <f t="shared" si="14"/>
        <v>0</v>
      </c>
      <c r="K19" s="535">
        <f t="shared" si="15"/>
        <v>2459</v>
      </c>
      <c r="L19" s="52">
        <f t="shared" si="16"/>
        <v>0</v>
      </c>
      <c r="M19" s="535">
        <f t="shared" si="17"/>
        <v>182937</v>
      </c>
      <c r="N19" s="380">
        <f t="shared" si="2"/>
        <v>0</v>
      </c>
      <c r="O19" s="64">
        <f t="shared" ref="O19:O35" si="46">O18</f>
        <v>1869</v>
      </c>
      <c r="P19" s="535">
        <f t="shared" ref="P19:P35" si="47">P18</f>
        <v>2230</v>
      </c>
      <c r="Q19" s="535">
        <f t="shared" ref="Q19:Q35" si="48">Q18</f>
        <v>186328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0</v>
      </c>
      <c r="W19" s="384"/>
      <c r="X19" s="535">
        <f t="shared" si="21"/>
        <v>2493</v>
      </c>
      <c r="Y19" s="52">
        <f t="shared" si="22"/>
        <v>0</v>
      </c>
      <c r="Z19" s="535">
        <f t="shared" si="23"/>
        <v>141018</v>
      </c>
      <c r="AA19" s="65">
        <f t="shared" si="6"/>
        <v>0</v>
      </c>
      <c r="AB19" s="273">
        <f t="shared" si="45"/>
        <v>0</v>
      </c>
      <c r="AC19" s="535">
        <f t="shared" si="24"/>
        <v>1948</v>
      </c>
      <c r="AD19" s="45">
        <f t="shared" si="7"/>
        <v>0</v>
      </c>
      <c r="AE19" s="535">
        <v>366639</v>
      </c>
      <c r="AF19" s="293">
        <f t="shared" si="26"/>
        <v>0</v>
      </c>
      <c r="AG19" s="209">
        <f t="shared" si="39"/>
        <v>0</v>
      </c>
      <c r="AH19" s="62">
        <f t="shared" si="40"/>
        <v>0</v>
      </c>
      <c r="AI19" s="303">
        <f t="shared" si="27"/>
        <v>0</v>
      </c>
      <c r="AJ19" s="303">
        <f>-tanks!AW20</f>
        <v>0</v>
      </c>
      <c r="AK19" s="303">
        <f t="shared" si="28"/>
        <v>0</v>
      </c>
      <c r="AL19" s="303">
        <f t="shared" si="8"/>
        <v>0</v>
      </c>
      <c r="AM19" s="303">
        <f t="shared" si="29"/>
        <v>0</v>
      </c>
      <c r="AN19" s="535">
        <f t="shared" si="30"/>
        <v>65</v>
      </c>
      <c r="AO19" s="305">
        <f t="shared" si="31"/>
        <v>1950</v>
      </c>
      <c r="AP19" s="535">
        <f t="shared" si="32"/>
        <v>35</v>
      </c>
      <c r="AQ19" s="305">
        <f t="shared" si="33"/>
        <v>1050</v>
      </c>
      <c r="AR19" s="535">
        <f t="shared" si="34"/>
        <v>73</v>
      </c>
      <c r="AS19" s="305">
        <f t="shared" si="41"/>
        <v>2190</v>
      </c>
      <c r="AT19" s="305">
        <f t="shared" si="42"/>
        <v>5190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44820</v>
      </c>
      <c r="B20" s="535">
        <f t="shared" si="9"/>
        <v>223</v>
      </c>
      <c r="C20" s="535">
        <f t="shared" si="10"/>
        <v>229</v>
      </c>
      <c r="D20" s="45">
        <f>C19-C20</f>
        <v>0</v>
      </c>
      <c r="E20" s="45">
        <f t="shared" si="11"/>
        <v>0</v>
      </c>
      <c r="F20" s="535">
        <f t="shared" si="12"/>
        <v>2278</v>
      </c>
      <c r="G20" s="52">
        <f t="shared" si="0"/>
        <v>0</v>
      </c>
      <c r="H20" s="535">
        <f t="shared" si="13"/>
        <v>46144</v>
      </c>
      <c r="I20" s="380">
        <f t="shared" si="1"/>
        <v>0</v>
      </c>
      <c r="J20" s="66">
        <f t="shared" si="14"/>
        <v>0</v>
      </c>
      <c r="K20" s="535">
        <f t="shared" si="15"/>
        <v>2459</v>
      </c>
      <c r="L20" s="52">
        <f t="shared" si="16"/>
        <v>0</v>
      </c>
      <c r="M20" s="535">
        <f t="shared" si="17"/>
        <v>182937</v>
      </c>
      <c r="N20" s="380">
        <f t="shared" si="2"/>
        <v>0</v>
      </c>
      <c r="O20" s="64">
        <f t="shared" si="46"/>
        <v>1869</v>
      </c>
      <c r="P20" s="535">
        <f t="shared" si="47"/>
        <v>2230</v>
      </c>
      <c r="Q20" s="535">
        <f t="shared" si="48"/>
        <v>186328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0</v>
      </c>
      <c r="W20" s="384"/>
      <c r="X20" s="535">
        <f t="shared" si="21"/>
        <v>2493</v>
      </c>
      <c r="Y20" s="52">
        <f t="shared" si="22"/>
        <v>0</v>
      </c>
      <c r="Z20" s="535">
        <f t="shared" si="23"/>
        <v>141018</v>
      </c>
      <c r="AA20" s="65">
        <f t="shared" si="6"/>
        <v>0</v>
      </c>
      <c r="AB20" s="273">
        <f t="shared" si="45"/>
        <v>0</v>
      </c>
      <c r="AC20" s="535">
        <f t="shared" si="24"/>
        <v>1948</v>
      </c>
      <c r="AD20" s="45">
        <f t="shared" si="7"/>
        <v>0</v>
      </c>
      <c r="AE20" s="535">
        <v>366639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0</v>
      </c>
      <c r="AJ20" s="303">
        <f>-tanks!AW21</f>
        <v>0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5">
        <f t="shared" si="30"/>
        <v>65</v>
      </c>
      <c r="AO20" s="305">
        <f t="shared" si="31"/>
        <v>1950</v>
      </c>
      <c r="AP20" s="535">
        <f t="shared" si="32"/>
        <v>35</v>
      </c>
      <c r="AQ20" s="305">
        <f t="shared" si="33"/>
        <v>1050</v>
      </c>
      <c r="AR20" s="535">
        <f t="shared" si="34"/>
        <v>73</v>
      </c>
      <c r="AS20" s="305">
        <f t="shared" si="41"/>
        <v>2190</v>
      </c>
      <c r="AT20" s="305">
        <f t="shared" si="42"/>
        <v>5190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44821</v>
      </c>
      <c r="B21" s="535">
        <f t="shared" si="9"/>
        <v>223</v>
      </c>
      <c r="C21" s="535">
        <f t="shared" si="10"/>
        <v>229</v>
      </c>
      <c r="D21" s="45">
        <f t="shared" ref="D21:D32" si="49">C20-C21</f>
        <v>0</v>
      </c>
      <c r="E21" s="45">
        <f t="shared" si="11"/>
        <v>0</v>
      </c>
      <c r="F21" s="535">
        <f t="shared" si="12"/>
        <v>2278</v>
      </c>
      <c r="G21" s="52">
        <f t="shared" si="0"/>
        <v>0</v>
      </c>
      <c r="H21" s="535">
        <f t="shared" si="13"/>
        <v>46144</v>
      </c>
      <c r="I21" s="380">
        <f t="shared" si="1"/>
        <v>0</v>
      </c>
      <c r="J21" s="66">
        <f t="shared" si="14"/>
        <v>0</v>
      </c>
      <c r="K21" s="535">
        <f t="shared" si="15"/>
        <v>2459</v>
      </c>
      <c r="L21" s="52">
        <f t="shared" si="16"/>
        <v>0</v>
      </c>
      <c r="M21" s="535">
        <f t="shared" si="17"/>
        <v>182937</v>
      </c>
      <c r="N21" s="380">
        <f t="shared" si="2"/>
        <v>0</v>
      </c>
      <c r="O21" s="64">
        <f t="shared" si="46"/>
        <v>1869</v>
      </c>
      <c r="P21" s="535">
        <f t="shared" si="47"/>
        <v>2230</v>
      </c>
      <c r="Q21" s="535">
        <f t="shared" si="48"/>
        <v>186328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8"/>
        <v>0</v>
      </c>
      <c r="V21" s="62">
        <f t="shared" si="19"/>
        <v>0</v>
      </c>
      <c r="W21" s="384"/>
      <c r="X21" s="535">
        <f t="shared" si="21"/>
        <v>2493</v>
      </c>
      <c r="Y21" s="52">
        <f t="shared" si="22"/>
        <v>0</v>
      </c>
      <c r="Z21" s="535">
        <f t="shared" si="23"/>
        <v>141018</v>
      </c>
      <c r="AA21" s="65">
        <f t="shared" si="6"/>
        <v>0</v>
      </c>
      <c r="AB21" s="273">
        <f t="shared" si="45"/>
        <v>0</v>
      </c>
      <c r="AC21" s="535">
        <f t="shared" si="24"/>
        <v>1948</v>
      </c>
      <c r="AD21" s="45">
        <f t="shared" si="7"/>
        <v>0</v>
      </c>
      <c r="AE21" s="535">
        <v>366639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0</v>
      </c>
      <c r="AJ21" s="303">
        <f>-tanks!AW22</f>
        <v>0</v>
      </c>
      <c r="AK21" s="303">
        <f t="shared" si="28"/>
        <v>0</v>
      </c>
      <c r="AL21" s="303">
        <f t="shared" si="8"/>
        <v>0</v>
      </c>
      <c r="AM21" s="303">
        <f t="shared" si="29"/>
        <v>0</v>
      </c>
      <c r="AN21" s="535">
        <f t="shared" si="30"/>
        <v>65</v>
      </c>
      <c r="AO21" s="305">
        <f t="shared" si="31"/>
        <v>1950</v>
      </c>
      <c r="AP21" s="535">
        <f t="shared" si="32"/>
        <v>35</v>
      </c>
      <c r="AQ21" s="305">
        <f t="shared" si="33"/>
        <v>1050</v>
      </c>
      <c r="AR21" s="535">
        <f t="shared" si="34"/>
        <v>73</v>
      </c>
      <c r="AS21" s="305">
        <f t="shared" si="41"/>
        <v>2190</v>
      </c>
      <c r="AT21" s="305">
        <f t="shared" si="42"/>
        <v>5190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44822</v>
      </c>
      <c r="B22" s="535">
        <v>239</v>
      </c>
      <c r="C22" s="535">
        <v>245</v>
      </c>
      <c r="D22" s="45">
        <f t="shared" si="49"/>
        <v>-16</v>
      </c>
      <c r="E22" s="45">
        <f t="shared" si="11"/>
        <v>-134.08000000000001</v>
      </c>
      <c r="F22" s="535">
        <f t="shared" si="12"/>
        <v>2278</v>
      </c>
      <c r="G22" s="52">
        <f t="shared" si="0"/>
        <v>0</v>
      </c>
      <c r="H22" s="535">
        <f t="shared" si="13"/>
        <v>46144</v>
      </c>
      <c r="I22" s="380">
        <f t="shared" si="1"/>
        <v>0</v>
      </c>
      <c r="J22" s="66">
        <f t="shared" si="14"/>
        <v>0</v>
      </c>
      <c r="K22" s="535">
        <f t="shared" si="15"/>
        <v>2459</v>
      </c>
      <c r="L22" s="52">
        <f t="shared" si="16"/>
        <v>0</v>
      </c>
      <c r="M22" s="535">
        <f t="shared" si="17"/>
        <v>182937</v>
      </c>
      <c r="N22" s="380">
        <f t="shared" si="2"/>
        <v>0</v>
      </c>
      <c r="O22" s="64">
        <f t="shared" si="46"/>
        <v>1869</v>
      </c>
      <c r="P22" s="535">
        <v>2231</v>
      </c>
      <c r="Q22" s="535">
        <v>186441</v>
      </c>
      <c r="R22" s="379">
        <f t="shared" si="44"/>
        <v>113</v>
      </c>
      <c r="S22" s="52">
        <f t="shared" si="5"/>
        <v>1</v>
      </c>
      <c r="T22" s="67">
        <f t="shared" si="37"/>
        <v>0</v>
      </c>
      <c r="U22" s="386">
        <f t="shared" si="18"/>
        <v>1</v>
      </c>
      <c r="V22" s="62">
        <f t="shared" si="19"/>
        <v>113</v>
      </c>
      <c r="W22" s="384"/>
      <c r="X22" s="535">
        <f t="shared" si="21"/>
        <v>2493</v>
      </c>
      <c r="Y22" s="52">
        <f t="shared" si="22"/>
        <v>0</v>
      </c>
      <c r="Z22" s="535">
        <f t="shared" si="23"/>
        <v>141018</v>
      </c>
      <c r="AA22" s="65">
        <f t="shared" si="6"/>
        <v>0</v>
      </c>
      <c r="AB22" s="273">
        <f t="shared" si="45"/>
        <v>0</v>
      </c>
      <c r="AC22" s="535">
        <f t="shared" si="24"/>
        <v>1948</v>
      </c>
      <c r="AD22" s="45">
        <f t="shared" si="7"/>
        <v>0</v>
      </c>
      <c r="AE22" s="535">
        <v>366639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113</v>
      </c>
      <c r="AJ22" s="303">
        <f>-tanks!AW23</f>
        <v>113</v>
      </c>
      <c r="AK22" s="303">
        <f t="shared" si="28"/>
        <v>0</v>
      </c>
      <c r="AL22" s="303">
        <f t="shared" si="8"/>
        <v>1</v>
      </c>
      <c r="AM22" s="303">
        <f t="shared" si="29"/>
        <v>0</v>
      </c>
      <c r="AN22" s="535">
        <f t="shared" si="30"/>
        <v>65</v>
      </c>
      <c r="AO22" s="305">
        <f t="shared" si="31"/>
        <v>1950</v>
      </c>
      <c r="AP22" s="535">
        <f t="shared" si="32"/>
        <v>35</v>
      </c>
      <c r="AQ22" s="305">
        <f t="shared" si="33"/>
        <v>1050</v>
      </c>
      <c r="AR22" s="535">
        <f t="shared" si="34"/>
        <v>73</v>
      </c>
      <c r="AS22" s="305">
        <f t="shared" si="41"/>
        <v>2190</v>
      </c>
      <c r="AT22" s="305">
        <f t="shared" si="42"/>
        <v>5190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44823</v>
      </c>
      <c r="B23" s="535">
        <v>235</v>
      </c>
      <c r="C23" s="535">
        <v>241</v>
      </c>
      <c r="D23" s="45">
        <f t="shared" si="49"/>
        <v>4</v>
      </c>
      <c r="E23" s="45">
        <f t="shared" si="11"/>
        <v>33.520000000000003</v>
      </c>
      <c r="F23" s="535">
        <v>2279</v>
      </c>
      <c r="G23" s="52">
        <f t="shared" si="0"/>
        <v>1</v>
      </c>
      <c r="H23" s="535">
        <v>46257</v>
      </c>
      <c r="I23" s="380">
        <f t="shared" si="1"/>
        <v>113</v>
      </c>
      <c r="J23" s="66">
        <f t="shared" si="14"/>
        <v>113</v>
      </c>
      <c r="K23" s="535">
        <f t="shared" si="15"/>
        <v>2459</v>
      </c>
      <c r="L23" s="52">
        <f t="shared" si="16"/>
        <v>0</v>
      </c>
      <c r="M23" s="535">
        <f t="shared" si="17"/>
        <v>182937</v>
      </c>
      <c r="N23" s="380">
        <f t="shared" si="2"/>
        <v>0</v>
      </c>
      <c r="O23" s="64">
        <f t="shared" si="46"/>
        <v>1869</v>
      </c>
      <c r="P23" s="535">
        <f t="shared" si="47"/>
        <v>2231</v>
      </c>
      <c r="Q23" s="535">
        <f t="shared" si="48"/>
        <v>186441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1</v>
      </c>
      <c r="V23" s="62">
        <f t="shared" si="19"/>
        <v>113</v>
      </c>
      <c r="W23" s="384"/>
      <c r="X23" s="535">
        <f t="shared" si="21"/>
        <v>2493</v>
      </c>
      <c r="Y23" s="52">
        <f t="shared" si="22"/>
        <v>0</v>
      </c>
      <c r="Z23" s="535">
        <f t="shared" si="23"/>
        <v>141018</v>
      </c>
      <c r="AA23" s="65">
        <f t="shared" si="6"/>
        <v>0</v>
      </c>
      <c r="AB23" s="273">
        <f t="shared" si="45"/>
        <v>0</v>
      </c>
      <c r="AC23" s="535">
        <f t="shared" si="24"/>
        <v>1948</v>
      </c>
      <c r="AD23" s="45">
        <f t="shared" si="7"/>
        <v>0</v>
      </c>
      <c r="AE23" s="535">
        <v>366639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113</v>
      </c>
      <c r="AJ23" s="303">
        <f>-tanks!AW24</f>
        <v>113</v>
      </c>
      <c r="AK23" s="303">
        <f>SUM(AJ23-AI23)</f>
        <v>0</v>
      </c>
      <c r="AL23" s="303">
        <f>S23+L23+G23</f>
        <v>1</v>
      </c>
      <c r="AM23" s="303">
        <f>Y23+AD23</f>
        <v>0</v>
      </c>
      <c r="AN23" s="535">
        <f t="shared" si="30"/>
        <v>65</v>
      </c>
      <c r="AO23" s="305">
        <f t="shared" si="31"/>
        <v>1950</v>
      </c>
      <c r="AP23" s="535">
        <f t="shared" si="32"/>
        <v>35</v>
      </c>
      <c r="AQ23" s="305">
        <f t="shared" si="33"/>
        <v>1050</v>
      </c>
      <c r="AR23" s="535">
        <f t="shared" si="34"/>
        <v>73</v>
      </c>
      <c r="AS23" s="305">
        <f t="shared" si="41"/>
        <v>2190</v>
      </c>
      <c r="AT23" s="305">
        <f t="shared" si="42"/>
        <v>5190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44824</v>
      </c>
      <c r="B24" s="535">
        <v>231</v>
      </c>
      <c r="C24" s="535">
        <v>237</v>
      </c>
      <c r="D24" s="45">
        <f t="shared" si="49"/>
        <v>4</v>
      </c>
      <c r="E24" s="45">
        <f t="shared" si="11"/>
        <v>33.520000000000003</v>
      </c>
      <c r="F24" s="535">
        <v>2280</v>
      </c>
      <c r="G24" s="52">
        <f t="shared" si="0"/>
        <v>1</v>
      </c>
      <c r="H24" s="535">
        <v>46288</v>
      </c>
      <c r="I24" s="380">
        <f t="shared" si="1"/>
        <v>31</v>
      </c>
      <c r="J24" s="66">
        <f t="shared" si="14"/>
        <v>31</v>
      </c>
      <c r="K24" s="535">
        <f t="shared" si="15"/>
        <v>2459</v>
      </c>
      <c r="L24" s="52">
        <f t="shared" si="16"/>
        <v>0</v>
      </c>
      <c r="M24" s="535">
        <f t="shared" si="17"/>
        <v>182937</v>
      </c>
      <c r="N24" s="380">
        <f t="shared" si="2"/>
        <v>0</v>
      </c>
      <c r="O24" s="64">
        <f t="shared" si="46"/>
        <v>1869</v>
      </c>
      <c r="P24" s="535">
        <f t="shared" si="47"/>
        <v>2231</v>
      </c>
      <c r="Q24" s="535">
        <f t="shared" si="48"/>
        <v>186441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1</v>
      </c>
      <c r="V24" s="62">
        <f t="shared" si="19"/>
        <v>31</v>
      </c>
      <c r="W24" s="384"/>
      <c r="X24" s="535">
        <f t="shared" si="21"/>
        <v>2493</v>
      </c>
      <c r="Y24" s="52">
        <f t="shared" si="22"/>
        <v>0</v>
      </c>
      <c r="Z24" s="535">
        <f t="shared" si="23"/>
        <v>141018</v>
      </c>
      <c r="AA24" s="65">
        <f t="shared" si="6"/>
        <v>0</v>
      </c>
      <c r="AB24" s="273">
        <f t="shared" ref="AB24:AB32" si="50">SUM(Y24*$AB$2)</f>
        <v>0</v>
      </c>
      <c r="AC24" s="535">
        <f t="shared" si="24"/>
        <v>1948</v>
      </c>
      <c r="AD24" s="45">
        <f t="shared" si="7"/>
        <v>0</v>
      </c>
      <c r="AE24" s="535">
        <v>366639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31</v>
      </c>
      <c r="AJ24" s="303">
        <f>-tanks!AW25</f>
        <v>31</v>
      </c>
      <c r="AK24" s="303">
        <f t="shared" si="28"/>
        <v>0</v>
      </c>
      <c r="AL24" s="303">
        <f t="shared" si="8"/>
        <v>1</v>
      </c>
      <c r="AM24" s="303">
        <f t="shared" si="29"/>
        <v>0</v>
      </c>
      <c r="AN24" s="535">
        <f t="shared" si="30"/>
        <v>65</v>
      </c>
      <c r="AO24" s="305">
        <f t="shared" si="31"/>
        <v>1950</v>
      </c>
      <c r="AP24" s="535">
        <f t="shared" si="32"/>
        <v>35</v>
      </c>
      <c r="AQ24" s="305">
        <f t="shared" si="33"/>
        <v>1050</v>
      </c>
      <c r="AR24" s="535">
        <f t="shared" si="34"/>
        <v>73</v>
      </c>
      <c r="AS24" s="305">
        <f t="shared" si="41"/>
        <v>2190</v>
      </c>
      <c r="AT24" s="305">
        <f t="shared" ref="AT24:AT35" si="51">SUM(AO24+AQ24+AS24)</f>
        <v>5190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44825</v>
      </c>
      <c r="B25" s="535">
        <v>227</v>
      </c>
      <c r="C25" s="535">
        <v>233</v>
      </c>
      <c r="D25" s="45">
        <f t="shared" si="49"/>
        <v>4</v>
      </c>
      <c r="E25" s="45">
        <f t="shared" si="11"/>
        <v>33.520000000000003</v>
      </c>
      <c r="F25" s="535">
        <v>2281</v>
      </c>
      <c r="G25" s="52">
        <f t="shared" si="0"/>
        <v>1</v>
      </c>
      <c r="H25" s="535">
        <v>46407</v>
      </c>
      <c r="I25" s="380">
        <f t="shared" si="1"/>
        <v>119</v>
      </c>
      <c r="J25" s="66">
        <f t="shared" si="14"/>
        <v>119</v>
      </c>
      <c r="K25" s="535">
        <f t="shared" si="15"/>
        <v>2459</v>
      </c>
      <c r="L25" s="52">
        <f t="shared" si="16"/>
        <v>0</v>
      </c>
      <c r="M25" s="535">
        <f t="shared" si="17"/>
        <v>182937</v>
      </c>
      <c r="N25" s="380">
        <f t="shared" si="2"/>
        <v>0</v>
      </c>
      <c r="O25" s="64">
        <f t="shared" si="46"/>
        <v>1869</v>
      </c>
      <c r="P25" s="535">
        <f t="shared" si="47"/>
        <v>2231</v>
      </c>
      <c r="Q25" s="535">
        <f t="shared" si="48"/>
        <v>186441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1</v>
      </c>
      <c r="V25" s="62">
        <f t="shared" si="19"/>
        <v>119</v>
      </c>
      <c r="W25" s="384"/>
      <c r="X25" s="535">
        <f t="shared" si="21"/>
        <v>2493</v>
      </c>
      <c r="Y25" s="52">
        <f t="shared" si="22"/>
        <v>0</v>
      </c>
      <c r="Z25" s="535">
        <f t="shared" si="23"/>
        <v>141018</v>
      </c>
      <c r="AA25" s="65">
        <f t="shared" si="6"/>
        <v>0</v>
      </c>
      <c r="AB25" s="273">
        <f t="shared" si="50"/>
        <v>0</v>
      </c>
      <c r="AC25" s="535">
        <f t="shared" si="24"/>
        <v>1948</v>
      </c>
      <c r="AD25" s="45">
        <f t="shared" si="7"/>
        <v>0</v>
      </c>
      <c r="AE25" s="535">
        <v>366639</v>
      </c>
      <c r="AF25" s="293">
        <f t="shared" si="26"/>
        <v>0</v>
      </c>
      <c r="AG25" s="209">
        <f t="shared" si="39"/>
        <v>0</v>
      </c>
      <c r="AH25" s="62">
        <f t="shared" si="40"/>
        <v>0</v>
      </c>
      <c r="AI25" s="303">
        <f t="shared" si="27"/>
        <v>119</v>
      </c>
      <c r="AJ25" s="303">
        <f>-tanks!AW26</f>
        <v>119</v>
      </c>
      <c r="AK25" s="303">
        <f t="shared" si="28"/>
        <v>0</v>
      </c>
      <c r="AL25" s="303">
        <f t="shared" si="8"/>
        <v>1</v>
      </c>
      <c r="AM25" s="303">
        <f>Y25+AD25</f>
        <v>0</v>
      </c>
      <c r="AN25" s="535">
        <f t="shared" si="30"/>
        <v>65</v>
      </c>
      <c r="AO25" s="305">
        <f t="shared" si="31"/>
        <v>1950</v>
      </c>
      <c r="AP25" s="535">
        <f t="shared" si="32"/>
        <v>35</v>
      </c>
      <c r="AQ25" s="305">
        <f t="shared" ref="AQ25:AQ32" si="52">(AP25/100)*3000</f>
        <v>1050</v>
      </c>
      <c r="AR25" s="535">
        <f t="shared" si="34"/>
        <v>73</v>
      </c>
      <c r="AS25" s="305">
        <f t="shared" si="41"/>
        <v>2190</v>
      </c>
      <c r="AT25" s="305">
        <f t="shared" si="51"/>
        <v>5190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44826</v>
      </c>
      <c r="B26" s="535">
        <v>246</v>
      </c>
      <c r="C26" s="535">
        <v>251</v>
      </c>
      <c r="D26" s="45">
        <f t="shared" si="49"/>
        <v>-18</v>
      </c>
      <c r="E26" s="45">
        <f t="shared" si="11"/>
        <v>-150.84</v>
      </c>
      <c r="F26" s="535">
        <f t="shared" si="12"/>
        <v>2281</v>
      </c>
      <c r="G26" s="52">
        <f t="shared" si="0"/>
        <v>0</v>
      </c>
      <c r="H26" s="535">
        <v>46415</v>
      </c>
      <c r="I26" s="380">
        <f t="shared" si="1"/>
        <v>8</v>
      </c>
      <c r="J26" s="66">
        <f t="shared" si="14"/>
        <v>0</v>
      </c>
      <c r="K26" s="535">
        <f t="shared" si="15"/>
        <v>2459</v>
      </c>
      <c r="L26" s="52">
        <f t="shared" si="16"/>
        <v>0</v>
      </c>
      <c r="M26" s="535">
        <f t="shared" si="17"/>
        <v>182937</v>
      </c>
      <c r="N26" s="380">
        <f t="shared" si="2"/>
        <v>0</v>
      </c>
      <c r="O26" s="64">
        <f t="shared" si="46"/>
        <v>1869</v>
      </c>
      <c r="P26" s="535">
        <f t="shared" si="47"/>
        <v>2231</v>
      </c>
      <c r="Q26" s="535">
        <f t="shared" si="48"/>
        <v>186441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8</v>
      </c>
      <c r="W26" s="384"/>
      <c r="X26" s="535">
        <v>2494</v>
      </c>
      <c r="Y26" s="52">
        <f t="shared" si="22"/>
        <v>1</v>
      </c>
      <c r="Z26" s="535">
        <v>141111</v>
      </c>
      <c r="AA26" s="65">
        <f t="shared" si="6"/>
        <v>93</v>
      </c>
      <c r="AB26" s="273">
        <f t="shared" si="50"/>
        <v>0</v>
      </c>
      <c r="AC26" s="535">
        <f t="shared" si="24"/>
        <v>1948</v>
      </c>
      <c r="AD26" s="45">
        <f t="shared" si="7"/>
        <v>0</v>
      </c>
      <c r="AE26" s="535">
        <v>366639</v>
      </c>
      <c r="AF26" s="293">
        <f t="shared" si="26"/>
        <v>0</v>
      </c>
      <c r="AG26" s="209">
        <f t="shared" si="39"/>
        <v>0</v>
      </c>
      <c r="AH26" s="62">
        <f t="shared" si="40"/>
        <v>93</v>
      </c>
      <c r="AI26" s="303">
        <f t="shared" si="27"/>
        <v>101</v>
      </c>
      <c r="AJ26" s="303">
        <f>-tanks!AW27</f>
        <v>101</v>
      </c>
      <c r="AK26" s="303">
        <f t="shared" si="28"/>
        <v>0</v>
      </c>
      <c r="AL26" s="303">
        <f t="shared" si="8"/>
        <v>0</v>
      </c>
      <c r="AM26" s="303">
        <f t="shared" si="29"/>
        <v>1</v>
      </c>
      <c r="AN26" s="535">
        <f t="shared" si="30"/>
        <v>65</v>
      </c>
      <c r="AO26" s="305">
        <f>(AN26/100)*3000</f>
        <v>1950</v>
      </c>
      <c r="AP26" s="535">
        <f t="shared" si="32"/>
        <v>35</v>
      </c>
      <c r="AQ26" s="305">
        <f t="shared" si="52"/>
        <v>1050</v>
      </c>
      <c r="AR26" s="535">
        <f t="shared" si="34"/>
        <v>73</v>
      </c>
      <c r="AS26" s="305">
        <f t="shared" si="41"/>
        <v>2190</v>
      </c>
      <c r="AT26" s="305">
        <f>SUM(AO26+AQ26+AS26)</f>
        <v>5190</v>
      </c>
      <c r="AU26" s="305">
        <f>AT25-AT26+AV26</f>
        <v>0</v>
      </c>
      <c r="AV26" s="259"/>
      <c r="AW26" s="259"/>
      <c r="AX26" s="298">
        <f t="shared" si="35"/>
        <v>0.8</v>
      </c>
    </row>
    <row r="27" spans="1:50">
      <c r="A27" s="63">
        <f>ELEC!C26</f>
        <v>44827</v>
      </c>
      <c r="B27" s="535">
        <f t="shared" si="9"/>
        <v>246</v>
      </c>
      <c r="C27" s="535">
        <f t="shared" si="10"/>
        <v>251</v>
      </c>
      <c r="D27" s="45">
        <f t="shared" si="49"/>
        <v>0</v>
      </c>
      <c r="E27" s="45">
        <f t="shared" si="11"/>
        <v>0</v>
      </c>
      <c r="F27" s="535">
        <f t="shared" si="12"/>
        <v>2281</v>
      </c>
      <c r="G27" s="52">
        <f t="shared" si="0"/>
        <v>0</v>
      </c>
      <c r="H27" s="535">
        <f t="shared" si="13"/>
        <v>46415</v>
      </c>
      <c r="I27" s="380">
        <f t="shared" si="1"/>
        <v>0</v>
      </c>
      <c r="J27" s="66">
        <f t="shared" si="14"/>
        <v>0</v>
      </c>
      <c r="K27" s="535">
        <f t="shared" si="15"/>
        <v>2459</v>
      </c>
      <c r="L27" s="52">
        <f t="shared" si="16"/>
        <v>0</v>
      </c>
      <c r="M27" s="535">
        <f t="shared" si="17"/>
        <v>182937</v>
      </c>
      <c r="N27" s="380">
        <f t="shared" si="2"/>
        <v>0</v>
      </c>
      <c r="O27" s="64">
        <f t="shared" si="46"/>
        <v>1869</v>
      </c>
      <c r="P27" s="535">
        <f t="shared" si="47"/>
        <v>2231</v>
      </c>
      <c r="Q27" s="535">
        <f t="shared" si="48"/>
        <v>186441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5">
        <f t="shared" si="21"/>
        <v>2494</v>
      </c>
      <c r="Y27" s="52">
        <f t="shared" si="22"/>
        <v>0</v>
      </c>
      <c r="Z27" s="535">
        <f t="shared" si="23"/>
        <v>141111</v>
      </c>
      <c r="AA27" s="65">
        <f t="shared" si="6"/>
        <v>0</v>
      </c>
      <c r="AB27" s="273">
        <f t="shared" si="50"/>
        <v>0</v>
      </c>
      <c r="AC27" s="535">
        <f t="shared" si="24"/>
        <v>1948</v>
      </c>
      <c r="AD27" s="45">
        <f t="shared" si="7"/>
        <v>0</v>
      </c>
      <c r="AE27" s="535">
        <v>366639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5">
        <f t="shared" si="30"/>
        <v>65</v>
      </c>
      <c r="AO27" s="305">
        <f t="shared" si="31"/>
        <v>1950</v>
      </c>
      <c r="AP27" s="535">
        <f t="shared" si="32"/>
        <v>35</v>
      </c>
      <c r="AQ27" s="305">
        <f t="shared" si="52"/>
        <v>1050</v>
      </c>
      <c r="AR27" s="535">
        <f t="shared" si="34"/>
        <v>73</v>
      </c>
      <c r="AS27" s="305">
        <f t="shared" si="41"/>
        <v>2190</v>
      </c>
      <c r="AT27" s="305">
        <f t="shared" si="51"/>
        <v>5190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44828</v>
      </c>
      <c r="B28" s="535">
        <f t="shared" si="9"/>
        <v>246</v>
      </c>
      <c r="C28" s="535">
        <f t="shared" si="10"/>
        <v>251</v>
      </c>
      <c r="D28" s="45">
        <f t="shared" si="49"/>
        <v>0</v>
      </c>
      <c r="E28" s="45">
        <f t="shared" si="11"/>
        <v>0</v>
      </c>
      <c r="F28" s="535">
        <f t="shared" si="12"/>
        <v>2281</v>
      </c>
      <c r="G28" s="52">
        <f t="shared" si="0"/>
        <v>0</v>
      </c>
      <c r="H28" s="535">
        <f t="shared" si="13"/>
        <v>46415</v>
      </c>
      <c r="I28" s="380">
        <f t="shared" si="1"/>
        <v>0</v>
      </c>
      <c r="J28" s="66">
        <f t="shared" si="14"/>
        <v>0</v>
      </c>
      <c r="K28" s="535">
        <f t="shared" si="15"/>
        <v>2459</v>
      </c>
      <c r="L28" s="52">
        <f t="shared" si="16"/>
        <v>0</v>
      </c>
      <c r="M28" s="535">
        <f t="shared" si="17"/>
        <v>182937</v>
      </c>
      <c r="N28" s="380">
        <f t="shared" si="2"/>
        <v>0</v>
      </c>
      <c r="O28" s="64">
        <f t="shared" si="46"/>
        <v>1869</v>
      </c>
      <c r="P28" s="535">
        <f t="shared" si="47"/>
        <v>2231</v>
      </c>
      <c r="Q28" s="535">
        <f t="shared" si="48"/>
        <v>186441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0</v>
      </c>
      <c r="V28" s="62">
        <f t="shared" si="19"/>
        <v>0</v>
      </c>
      <c r="W28" s="384"/>
      <c r="X28" s="535">
        <f t="shared" si="21"/>
        <v>2494</v>
      </c>
      <c r="Y28" s="52">
        <f t="shared" si="22"/>
        <v>0</v>
      </c>
      <c r="Z28" s="535">
        <f t="shared" si="23"/>
        <v>141111</v>
      </c>
      <c r="AA28" s="65">
        <f t="shared" si="6"/>
        <v>0</v>
      </c>
      <c r="AB28" s="273">
        <f t="shared" si="50"/>
        <v>0</v>
      </c>
      <c r="AC28" s="535">
        <f t="shared" si="24"/>
        <v>1948</v>
      </c>
      <c r="AD28" s="45">
        <f t="shared" si="7"/>
        <v>0</v>
      </c>
      <c r="AE28" s="535">
        <v>366639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0</v>
      </c>
      <c r="AJ28" s="303">
        <f>-tanks!AW29</f>
        <v>0</v>
      </c>
      <c r="AK28" s="303">
        <f t="shared" si="28"/>
        <v>0</v>
      </c>
      <c r="AL28" s="303">
        <f t="shared" si="8"/>
        <v>0</v>
      </c>
      <c r="AM28" s="303">
        <f t="shared" si="29"/>
        <v>0</v>
      </c>
      <c r="AN28" s="535">
        <f t="shared" si="30"/>
        <v>65</v>
      </c>
      <c r="AO28" s="305">
        <f t="shared" si="31"/>
        <v>1950</v>
      </c>
      <c r="AP28" s="535">
        <f t="shared" si="32"/>
        <v>35</v>
      </c>
      <c r="AQ28" s="305">
        <f t="shared" si="52"/>
        <v>1050</v>
      </c>
      <c r="AR28" s="535">
        <f t="shared" si="34"/>
        <v>73</v>
      </c>
      <c r="AS28" s="305">
        <f t="shared" si="41"/>
        <v>2190</v>
      </c>
      <c r="AT28" s="305">
        <f t="shared" si="51"/>
        <v>5190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44829</v>
      </c>
      <c r="B29" s="535">
        <v>240</v>
      </c>
      <c r="C29" s="535">
        <v>247</v>
      </c>
      <c r="D29" s="45">
        <f t="shared" si="49"/>
        <v>4</v>
      </c>
      <c r="E29" s="45">
        <f t="shared" si="11"/>
        <v>33.520000000000003</v>
      </c>
      <c r="F29" s="535">
        <f t="shared" si="12"/>
        <v>2281</v>
      </c>
      <c r="G29" s="52">
        <f t="shared" si="0"/>
        <v>0</v>
      </c>
      <c r="H29" s="535">
        <v>46612</v>
      </c>
      <c r="I29" s="380">
        <f t="shared" si="1"/>
        <v>197</v>
      </c>
      <c r="J29" s="66">
        <f t="shared" si="14"/>
        <v>0</v>
      </c>
      <c r="K29" s="535">
        <f t="shared" si="15"/>
        <v>2459</v>
      </c>
      <c r="L29" s="52">
        <f t="shared" si="16"/>
        <v>0</v>
      </c>
      <c r="M29" s="535">
        <f t="shared" si="17"/>
        <v>182937</v>
      </c>
      <c r="N29" s="380">
        <f t="shared" si="2"/>
        <v>0</v>
      </c>
      <c r="O29" s="64">
        <f t="shared" si="46"/>
        <v>1869</v>
      </c>
      <c r="P29" s="535">
        <f t="shared" si="47"/>
        <v>2231</v>
      </c>
      <c r="Q29" s="535">
        <f t="shared" si="48"/>
        <v>186441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0</v>
      </c>
      <c r="V29" s="62">
        <f t="shared" si="19"/>
        <v>197</v>
      </c>
      <c r="W29" s="384"/>
      <c r="X29" s="535">
        <f t="shared" si="21"/>
        <v>2494</v>
      </c>
      <c r="Y29" s="52">
        <f t="shared" si="22"/>
        <v>0</v>
      </c>
      <c r="Z29" s="535">
        <f t="shared" si="23"/>
        <v>141111</v>
      </c>
      <c r="AA29" s="65">
        <f t="shared" si="6"/>
        <v>0</v>
      </c>
      <c r="AB29" s="273">
        <f t="shared" si="50"/>
        <v>0</v>
      </c>
      <c r="AC29" s="535">
        <f t="shared" si="24"/>
        <v>1948</v>
      </c>
      <c r="AD29" s="45">
        <f t="shared" si="7"/>
        <v>0</v>
      </c>
      <c r="AE29" s="535">
        <v>366639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197</v>
      </c>
      <c r="AJ29" s="303">
        <f>-tanks!AW30</f>
        <v>197</v>
      </c>
      <c r="AK29" s="303">
        <f t="shared" si="28"/>
        <v>0</v>
      </c>
      <c r="AL29" s="303">
        <f t="shared" si="8"/>
        <v>0</v>
      </c>
      <c r="AM29" s="303">
        <f t="shared" si="29"/>
        <v>0</v>
      </c>
      <c r="AN29" s="535">
        <f t="shared" si="30"/>
        <v>65</v>
      </c>
      <c r="AO29" s="305">
        <f t="shared" si="31"/>
        <v>1950</v>
      </c>
      <c r="AP29" s="535">
        <f t="shared" si="32"/>
        <v>35</v>
      </c>
      <c r="AQ29" s="305">
        <f t="shared" si="52"/>
        <v>1050</v>
      </c>
      <c r="AR29" s="535">
        <f t="shared" si="34"/>
        <v>73</v>
      </c>
      <c r="AS29" s="305">
        <f t="shared" si="41"/>
        <v>2190</v>
      </c>
      <c r="AT29" s="305">
        <f t="shared" si="51"/>
        <v>5190</v>
      </c>
      <c r="AU29" s="305">
        <f t="shared" si="43"/>
        <v>0</v>
      </c>
      <c r="AV29" s="259"/>
      <c r="AW29" s="259"/>
      <c r="AX29" s="298">
        <f t="shared" si="35"/>
        <v>0.8</v>
      </c>
    </row>
    <row r="30" spans="1:50">
      <c r="A30" s="63">
        <f>ELEC!C29</f>
        <v>44830</v>
      </c>
      <c r="B30" s="535">
        <f t="shared" si="9"/>
        <v>240</v>
      </c>
      <c r="C30" s="535">
        <f t="shared" si="10"/>
        <v>247</v>
      </c>
      <c r="D30" s="45">
        <f>C29-C30</f>
        <v>0</v>
      </c>
      <c r="E30" s="45">
        <f>D30*8.38</f>
        <v>0</v>
      </c>
      <c r="F30" s="535">
        <f t="shared" si="12"/>
        <v>2281</v>
      </c>
      <c r="G30" s="52">
        <f>F30-F29</f>
        <v>0</v>
      </c>
      <c r="H30" s="535">
        <f t="shared" si="13"/>
        <v>46612</v>
      </c>
      <c r="I30" s="380">
        <f>SUM(H30-H29)</f>
        <v>0</v>
      </c>
      <c r="J30" s="66">
        <f>IF(G30&gt;0,I30/G30,0)</f>
        <v>0</v>
      </c>
      <c r="K30" s="535">
        <f t="shared" si="15"/>
        <v>2459</v>
      </c>
      <c r="L30" s="52">
        <f>K30-K29</f>
        <v>0</v>
      </c>
      <c r="M30" s="535">
        <f t="shared" si="17"/>
        <v>182937</v>
      </c>
      <c r="N30" s="380">
        <f>M30-M29</f>
        <v>0</v>
      </c>
      <c r="O30" s="64">
        <f t="shared" si="46"/>
        <v>1869</v>
      </c>
      <c r="P30" s="535">
        <f t="shared" si="47"/>
        <v>2231</v>
      </c>
      <c r="Q30" s="535">
        <f t="shared" si="48"/>
        <v>186441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9"/>
        <v>0</v>
      </c>
      <c r="W30" s="384"/>
      <c r="X30" s="535">
        <f t="shared" si="21"/>
        <v>2494</v>
      </c>
      <c r="Y30" s="52">
        <f>X30-X29</f>
        <v>0</v>
      </c>
      <c r="Z30" s="535">
        <f t="shared" si="23"/>
        <v>141111</v>
      </c>
      <c r="AA30" s="65">
        <f>Z30-Z29</f>
        <v>0</v>
      </c>
      <c r="AB30" s="273">
        <f>SUM(Y30*$AB$2)</f>
        <v>0</v>
      </c>
      <c r="AC30" s="535">
        <f t="shared" si="24"/>
        <v>1948</v>
      </c>
      <c r="AD30" s="259">
        <f>AC30-AC29</f>
        <v>0</v>
      </c>
      <c r="AE30" s="535">
        <v>366639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0</v>
      </c>
      <c r="AJ30" s="303">
        <f>-tanks!AW31</f>
        <v>0</v>
      </c>
      <c r="AK30" s="303">
        <f t="shared" si="28"/>
        <v>0</v>
      </c>
      <c r="AL30" s="303">
        <f t="shared" si="8"/>
        <v>0</v>
      </c>
      <c r="AM30" s="303">
        <f t="shared" si="29"/>
        <v>0</v>
      </c>
      <c r="AN30" s="535">
        <f t="shared" si="30"/>
        <v>65</v>
      </c>
      <c r="AO30" s="305">
        <f t="shared" si="31"/>
        <v>1950</v>
      </c>
      <c r="AP30" s="535">
        <f t="shared" si="32"/>
        <v>35</v>
      </c>
      <c r="AQ30" s="305">
        <f t="shared" si="52"/>
        <v>1050</v>
      </c>
      <c r="AR30" s="535">
        <f t="shared" si="34"/>
        <v>73</v>
      </c>
      <c r="AS30" s="305">
        <f t="shared" si="41"/>
        <v>2190</v>
      </c>
      <c r="AT30" s="305">
        <f t="shared" si="51"/>
        <v>5190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44831</v>
      </c>
      <c r="B31" s="535">
        <f t="shared" si="9"/>
        <v>240</v>
      </c>
      <c r="C31" s="535">
        <f t="shared" si="10"/>
        <v>247</v>
      </c>
      <c r="D31" s="45">
        <f t="shared" si="49"/>
        <v>0</v>
      </c>
      <c r="E31" s="45">
        <f t="shared" si="11"/>
        <v>0</v>
      </c>
      <c r="F31" s="535">
        <f t="shared" si="12"/>
        <v>2281</v>
      </c>
      <c r="G31" s="52">
        <f t="shared" si="0"/>
        <v>0</v>
      </c>
      <c r="H31" s="535">
        <f t="shared" si="13"/>
        <v>46612</v>
      </c>
      <c r="I31" s="380">
        <f t="shared" si="1"/>
        <v>0</v>
      </c>
      <c r="J31" s="66">
        <f t="shared" si="14"/>
        <v>0</v>
      </c>
      <c r="K31" s="535">
        <f t="shared" si="15"/>
        <v>2459</v>
      </c>
      <c r="L31" s="52">
        <f t="shared" si="16"/>
        <v>0</v>
      </c>
      <c r="M31" s="535">
        <f t="shared" si="17"/>
        <v>182937</v>
      </c>
      <c r="N31" s="380">
        <f t="shared" si="2"/>
        <v>0</v>
      </c>
      <c r="O31" s="64">
        <f t="shared" si="46"/>
        <v>1869</v>
      </c>
      <c r="P31" s="535">
        <f t="shared" si="47"/>
        <v>2231</v>
      </c>
      <c r="Q31" s="535">
        <f t="shared" si="48"/>
        <v>186441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0</v>
      </c>
      <c r="W31" s="384"/>
      <c r="X31" s="535">
        <f t="shared" si="21"/>
        <v>2494</v>
      </c>
      <c r="Y31" s="52">
        <f t="shared" si="22"/>
        <v>0</v>
      </c>
      <c r="Z31" s="535">
        <f t="shared" si="23"/>
        <v>141111</v>
      </c>
      <c r="AA31" s="65">
        <f t="shared" si="6"/>
        <v>0</v>
      </c>
      <c r="AB31" s="273">
        <f t="shared" si="50"/>
        <v>0</v>
      </c>
      <c r="AC31" s="535">
        <f t="shared" si="24"/>
        <v>1948</v>
      </c>
      <c r="AD31" s="259">
        <f t="shared" si="7"/>
        <v>0</v>
      </c>
      <c r="AE31" s="535">
        <v>366639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0</v>
      </c>
      <c r="AJ31" s="303">
        <f>-tanks!AW32</f>
        <v>0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5">
        <f t="shared" si="30"/>
        <v>65</v>
      </c>
      <c r="AO31" s="305">
        <f t="shared" si="31"/>
        <v>1950</v>
      </c>
      <c r="AP31" s="535">
        <f t="shared" si="32"/>
        <v>35</v>
      </c>
      <c r="AQ31" s="305">
        <f t="shared" si="52"/>
        <v>1050</v>
      </c>
      <c r="AR31" s="535">
        <f t="shared" si="34"/>
        <v>73</v>
      </c>
      <c r="AS31" s="305">
        <f t="shared" si="41"/>
        <v>2190</v>
      </c>
      <c r="AT31" s="305">
        <f t="shared" si="51"/>
        <v>5190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44832</v>
      </c>
      <c r="B32" s="535">
        <f t="shared" si="9"/>
        <v>240</v>
      </c>
      <c r="C32" s="535">
        <f t="shared" si="10"/>
        <v>247</v>
      </c>
      <c r="D32" s="45">
        <f t="shared" si="49"/>
        <v>0</v>
      </c>
      <c r="E32" s="45">
        <f t="shared" si="11"/>
        <v>0</v>
      </c>
      <c r="F32" s="535">
        <f t="shared" si="12"/>
        <v>2281</v>
      </c>
      <c r="G32" s="52">
        <f t="shared" si="0"/>
        <v>0</v>
      </c>
      <c r="H32" s="535">
        <f t="shared" si="13"/>
        <v>46612</v>
      </c>
      <c r="I32" s="380">
        <f t="shared" si="1"/>
        <v>0</v>
      </c>
      <c r="J32" s="66">
        <f t="shared" si="14"/>
        <v>0</v>
      </c>
      <c r="K32" s="535">
        <f t="shared" si="15"/>
        <v>2459</v>
      </c>
      <c r="L32" s="52">
        <f t="shared" si="16"/>
        <v>0</v>
      </c>
      <c r="M32" s="535">
        <f t="shared" si="17"/>
        <v>182937</v>
      </c>
      <c r="N32" s="380">
        <f t="shared" si="2"/>
        <v>0</v>
      </c>
      <c r="O32" s="64">
        <f t="shared" si="46"/>
        <v>1869</v>
      </c>
      <c r="P32" s="535">
        <f t="shared" si="47"/>
        <v>2231</v>
      </c>
      <c r="Q32" s="535">
        <f t="shared" si="48"/>
        <v>186441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5">
        <f t="shared" si="21"/>
        <v>2494</v>
      </c>
      <c r="Y32" s="52">
        <f t="shared" si="22"/>
        <v>0</v>
      </c>
      <c r="Z32" s="535">
        <f t="shared" si="23"/>
        <v>141111</v>
      </c>
      <c r="AA32" s="65">
        <f t="shared" si="6"/>
        <v>0</v>
      </c>
      <c r="AB32" s="273">
        <f t="shared" si="50"/>
        <v>0</v>
      </c>
      <c r="AC32" s="535">
        <f t="shared" si="24"/>
        <v>1948</v>
      </c>
      <c r="AD32" s="259">
        <f t="shared" si="7"/>
        <v>0</v>
      </c>
      <c r="AE32" s="535">
        <v>366639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5">
        <f t="shared" si="30"/>
        <v>65</v>
      </c>
      <c r="AO32" s="305">
        <f t="shared" si="31"/>
        <v>1950</v>
      </c>
      <c r="AP32" s="535">
        <f t="shared" si="32"/>
        <v>35</v>
      </c>
      <c r="AQ32" s="305">
        <f t="shared" si="52"/>
        <v>1050</v>
      </c>
      <c r="AR32" s="535">
        <f t="shared" si="34"/>
        <v>73</v>
      </c>
      <c r="AS32" s="305">
        <f t="shared" si="41"/>
        <v>2190</v>
      </c>
      <c r="AT32" s="305">
        <f t="shared" si="51"/>
        <v>5190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44833</v>
      </c>
      <c r="B33" s="535">
        <f t="shared" si="9"/>
        <v>240</v>
      </c>
      <c r="C33" s="535">
        <f t="shared" si="10"/>
        <v>247</v>
      </c>
      <c r="D33" s="45">
        <f t="shared" ref="D33:D35" si="53">C32-C33</f>
        <v>0</v>
      </c>
      <c r="E33" s="45">
        <f t="shared" ref="E33:E35" si="54">D33*8.38</f>
        <v>0</v>
      </c>
      <c r="F33" s="535">
        <f t="shared" si="12"/>
        <v>2281</v>
      </c>
      <c r="G33" s="52">
        <f t="shared" ref="G33:G35" si="55">F33-F32</f>
        <v>0</v>
      </c>
      <c r="H33" s="535">
        <f t="shared" si="13"/>
        <v>46612</v>
      </c>
      <c r="I33" s="380">
        <f t="shared" ref="I33:I35" si="56">SUM(H33-H32)</f>
        <v>0</v>
      </c>
      <c r="J33" s="66">
        <f t="shared" ref="J33:J35" si="57">IF(G33&gt;0,I33/G33,0)</f>
        <v>0</v>
      </c>
      <c r="K33" s="535">
        <f t="shared" si="15"/>
        <v>2459</v>
      </c>
      <c r="L33" s="52">
        <f t="shared" ref="L33:L35" si="58">K33-K32</f>
        <v>0</v>
      </c>
      <c r="M33" s="535">
        <f t="shared" si="17"/>
        <v>182937</v>
      </c>
      <c r="N33" s="380">
        <f t="shared" ref="N33:N35" si="59">M33-M32</f>
        <v>0</v>
      </c>
      <c r="O33" s="64">
        <f t="shared" si="46"/>
        <v>1869</v>
      </c>
      <c r="P33" s="535">
        <f t="shared" si="47"/>
        <v>2231</v>
      </c>
      <c r="Q33" s="535">
        <f t="shared" si="48"/>
        <v>186441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0</v>
      </c>
      <c r="W33" s="384"/>
      <c r="X33" s="535">
        <f t="shared" si="21"/>
        <v>2494</v>
      </c>
      <c r="Y33" s="52">
        <f t="shared" ref="Y33:Y35" si="65">X33-X32</f>
        <v>0</v>
      </c>
      <c r="Z33" s="535">
        <f t="shared" si="23"/>
        <v>141111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4"/>
        <v>1948</v>
      </c>
      <c r="AD33" s="259">
        <f t="shared" ref="AD33:AD35" si="68">AC33-AC32</f>
        <v>0</v>
      </c>
      <c r="AE33" s="535">
        <v>366639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0</v>
      </c>
      <c r="AJ33" s="303">
        <f>-tanks!AW34</f>
        <v>0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5">
        <f t="shared" si="30"/>
        <v>65</v>
      </c>
      <c r="AO33" s="305">
        <f t="shared" si="31"/>
        <v>1950</v>
      </c>
      <c r="AP33" s="535">
        <f t="shared" si="32"/>
        <v>35</v>
      </c>
      <c r="AQ33" s="305">
        <f t="shared" ref="AQ33:AQ35" si="76">(AP33/100)*3000</f>
        <v>1050</v>
      </c>
      <c r="AR33" s="535">
        <f t="shared" si="34"/>
        <v>73</v>
      </c>
      <c r="AS33" s="305">
        <f t="shared" si="41"/>
        <v>2190</v>
      </c>
      <c r="AT33" s="305">
        <f t="shared" si="51"/>
        <v>5190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44834</v>
      </c>
      <c r="B34" s="535">
        <f t="shared" si="9"/>
        <v>240</v>
      </c>
      <c r="C34" s="535">
        <f t="shared" si="10"/>
        <v>247</v>
      </c>
      <c r="D34" s="45">
        <f t="shared" si="53"/>
        <v>0</v>
      </c>
      <c r="E34" s="45">
        <f t="shared" si="54"/>
        <v>0</v>
      </c>
      <c r="F34" s="535">
        <f t="shared" si="12"/>
        <v>2281</v>
      </c>
      <c r="G34" s="52">
        <f t="shared" si="55"/>
        <v>0</v>
      </c>
      <c r="H34" s="535">
        <f t="shared" si="13"/>
        <v>46612</v>
      </c>
      <c r="I34" s="380">
        <f t="shared" si="56"/>
        <v>0</v>
      </c>
      <c r="J34" s="66">
        <f t="shared" si="57"/>
        <v>0</v>
      </c>
      <c r="K34" s="535">
        <f t="shared" si="15"/>
        <v>2459</v>
      </c>
      <c r="L34" s="52">
        <f t="shared" si="58"/>
        <v>0</v>
      </c>
      <c r="M34" s="535">
        <f t="shared" si="17"/>
        <v>182937</v>
      </c>
      <c r="N34" s="380">
        <f t="shared" si="59"/>
        <v>0</v>
      </c>
      <c r="O34" s="64">
        <f t="shared" si="46"/>
        <v>1869</v>
      </c>
      <c r="P34" s="535">
        <f t="shared" si="47"/>
        <v>2231</v>
      </c>
      <c r="Q34" s="535">
        <f t="shared" si="48"/>
        <v>186441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21"/>
        <v>2494</v>
      </c>
      <c r="Y34" s="52">
        <f t="shared" si="65"/>
        <v>0</v>
      </c>
      <c r="Z34" s="535">
        <f t="shared" si="23"/>
        <v>141111</v>
      </c>
      <c r="AA34" s="65">
        <f t="shared" si="66"/>
        <v>0</v>
      </c>
      <c r="AB34" s="273">
        <f t="shared" si="67"/>
        <v>0</v>
      </c>
      <c r="AC34" s="535">
        <f t="shared" si="24"/>
        <v>1948</v>
      </c>
      <c r="AD34" s="259">
        <f t="shared" si="68"/>
        <v>0</v>
      </c>
      <c r="AE34" s="535">
        <v>366639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30"/>
        <v>65</v>
      </c>
      <c r="AO34" s="305">
        <f t="shared" si="31"/>
        <v>1950</v>
      </c>
      <c r="AP34" s="535">
        <f t="shared" si="32"/>
        <v>35</v>
      </c>
      <c r="AQ34" s="305">
        <f t="shared" si="76"/>
        <v>1050</v>
      </c>
      <c r="AR34" s="535">
        <f t="shared" si="34"/>
        <v>73</v>
      </c>
      <c r="AS34" s="305">
        <f t="shared" si="41"/>
        <v>2190</v>
      </c>
      <c r="AT34" s="305">
        <f t="shared" si="51"/>
        <v>5190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44835</v>
      </c>
      <c r="B35" s="535">
        <f t="shared" si="9"/>
        <v>240</v>
      </c>
      <c r="C35" s="535">
        <f t="shared" si="10"/>
        <v>247</v>
      </c>
      <c r="D35" s="45">
        <f t="shared" si="53"/>
        <v>0</v>
      </c>
      <c r="E35" s="45">
        <f t="shared" si="54"/>
        <v>0</v>
      </c>
      <c r="F35" s="535">
        <f t="shared" si="12"/>
        <v>2281</v>
      </c>
      <c r="G35" s="52">
        <f t="shared" si="55"/>
        <v>0</v>
      </c>
      <c r="H35" s="535">
        <f t="shared" si="13"/>
        <v>46612</v>
      </c>
      <c r="I35" s="380">
        <f t="shared" si="56"/>
        <v>0</v>
      </c>
      <c r="J35" s="66">
        <f t="shared" si="57"/>
        <v>0</v>
      </c>
      <c r="K35" s="535">
        <f t="shared" si="15"/>
        <v>2459</v>
      </c>
      <c r="L35" s="52">
        <f t="shared" si="58"/>
        <v>0</v>
      </c>
      <c r="M35" s="535">
        <f t="shared" si="17"/>
        <v>182937</v>
      </c>
      <c r="N35" s="380">
        <f t="shared" si="59"/>
        <v>0</v>
      </c>
      <c r="O35" s="64">
        <f t="shared" si="46"/>
        <v>1869</v>
      </c>
      <c r="P35" s="535">
        <f t="shared" si="47"/>
        <v>2231</v>
      </c>
      <c r="Q35" s="535">
        <f t="shared" si="48"/>
        <v>186441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21"/>
        <v>2494</v>
      </c>
      <c r="Y35" s="52">
        <f t="shared" si="65"/>
        <v>0</v>
      </c>
      <c r="Z35" s="535">
        <f t="shared" si="23"/>
        <v>141111</v>
      </c>
      <c r="AA35" s="65">
        <f t="shared" si="66"/>
        <v>0</v>
      </c>
      <c r="AB35" s="273">
        <f t="shared" si="67"/>
        <v>0</v>
      </c>
      <c r="AC35" s="535">
        <f t="shared" si="24"/>
        <v>1948</v>
      </c>
      <c r="AD35" s="259">
        <f t="shared" si="68"/>
        <v>0</v>
      </c>
      <c r="AE35" s="535">
        <v>366639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30"/>
        <v>65</v>
      </c>
      <c r="AO35" s="305">
        <f t="shared" si="31"/>
        <v>1950</v>
      </c>
      <c r="AP35" s="535">
        <f t="shared" si="32"/>
        <v>35</v>
      </c>
      <c r="AQ35" s="305">
        <f t="shared" si="76"/>
        <v>1050</v>
      </c>
      <c r="AR35" s="535">
        <f t="shared" si="34"/>
        <v>73</v>
      </c>
      <c r="AS35" s="305">
        <f t="shared" si="41"/>
        <v>2190</v>
      </c>
      <c r="AT35" s="305">
        <f t="shared" si="51"/>
        <v>5190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66</v>
      </c>
      <c r="U36" s="70">
        <f>SUM(U5:U35)</f>
        <v>14</v>
      </c>
      <c r="V36" s="62">
        <f>SUM(V5:V35)</f>
        <v>1381</v>
      </c>
      <c r="AE36" s="71" t="s">
        <v>379</v>
      </c>
      <c r="AG36" s="329"/>
      <c r="AH36" s="62">
        <f>SUM(AH5:AH35)</f>
        <v>236</v>
      </c>
      <c r="AL36" s="62">
        <f>SUM(AL5:AL35)</f>
        <v>14</v>
      </c>
      <c r="AM36" s="62">
        <f>SUM(AM5:AM35)</f>
        <v>2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-90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98.642857142857139</v>
      </c>
      <c r="AH37" s="62">
        <f>AF37+AA37</f>
        <v>0</v>
      </c>
      <c r="AI37" s="306">
        <f>SUM(AI5:AI35)</f>
        <v>1617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-45.9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E1" zoomScaleNormal="100" workbookViewId="0">
      <pane ySplit="3" topLeftCell="A7" activePane="bottomLeft" state="frozen"/>
      <selection pane="bottomLeft" activeCell="BD31" sqref="BD3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8197384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5" t="s">
        <v>126</v>
      </c>
      <c r="AO3" s="626"/>
      <c r="AP3" s="627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44804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630225</v>
      </c>
      <c r="H5" s="393">
        <f>[2]WATER!H36</f>
        <v>122</v>
      </c>
      <c r="I5" s="393">
        <f>[2]WATER!I36</f>
        <v>122</v>
      </c>
      <c r="J5" s="393">
        <f>[2]WATER!J36</f>
        <v>1.9830777366472765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5190</v>
      </c>
      <c r="U5" s="393">
        <f>[2]WATER!U36</f>
        <v>0</v>
      </c>
      <c r="V5" s="393">
        <f>[2]WATER!V36</f>
        <v>499</v>
      </c>
      <c r="W5" s="393">
        <f>[2]WATER!W36</f>
        <v>1</v>
      </c>
      <c r="X5" s="393">
        <f>[2]WATER!X36</f>
        <v>155837</v>
      </c>
      <c r="Y5" s="393">
        <f>[2]WATER!Y36</f>
        <v>90</v>
      </c>
      <c r="Z5" s="393">
        <f>[2]WATER!Z36</f>
        <v>99668</v>
      </c>
      <c r="AA5" s="393">
        <f>[2]WATER!AA36</f>
        <v>110</v>
      </c>
      <c r="AB5" s="393">
        <f>[2]WATER!AB36</f>
        <v>258</v>
      </c>
      <c r="AC5" s="393">
        <f>[2]WATER!AC36</f>
        <v>855</v>
      </c>
      <c r="AD5" s="393">
        <f>[2]WATER!AD36</f>
        <v>125</v>
      </c>
      <c r="AE5" s="393">
        <f>[2]WATER!AE36</f>
        <v>248.42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110</v>
      </c>
      <c r="AK5" s="393">
        <f>[2]WATER!AK36</f>
        <v>90</v>
      </c>
      <c r="AL5" s="393">
        <f>[2]WATER!AL36</f>
        <v>109</v>
      </c>
      <c r="AM5" s="393">
        <f>[2]WATER!AM36</f>
        <v>29.5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1">
        <f>[2]WATER!$AR$36</f>
        <v>44804</v>
      </c>
      <c r="AS5" s="393">
        <f>[2]WATER!AS36</f>
        <v>0.9</v>
      </c>
      <c r="AT5" s="393">
        <f>[2]WATER!AT36</f>
        <v>59</v>
      </c>
      <c r="AU5" s="393">
        <f>[2]WATER!AU36</f>
        <v>1.1000000000000001</v>
      </c>
      <c r="AV5" s="393">
        <f>[2]WATER!AV36</f>
        <v>153</v>
      </c>
      <c r="AW5" s="393">
        <f>[2]WATER!AW36</f>
        <v>2.9</v>
      </c>
      <c r="AX5" s="393">
        <f>[2]WATER!AX36</f>
        <v>102</v>
      </c>
      <c r="AY5" s="393">
        <f>[2]WATER!AY36</f>
        <v>53.1</v>
      </c>
      <c r="AZ5" s="393">
        <f>[2]WATER!AZ36</f>
        <v>168.3</v>
      </c>
      <c r="BA5" s="393">
        <f>[2]WATER!BA36</f>
        <v>295.8</v>
      </c>
      <c r="BB5" s="393">
        <f>[2]WATER!BB36</f>
        <v>-26.9</v>
      </c>
      <c r="BC5" s="393">
        <f>[2]WATER!BC36</f>
        <v>85.800000000000011</v>
      </c>
      <c r="BD5" s="393">
        <f>[2]WATER!BD36</f>
        <v>60.900000000000006</v>
      </c>
      <c r="BE5" s="393">
        <f>[2]WATER!BE36</f>
        <v>119.80000000000001</v>
      </c>
      <c r="BF5" s="393">
        <f>[2]WATER!BF36</f>
        <v>2.1999999999999886</v>
      </c>
      <c r="BG5" s="393">
        <f>[2]WATER!BG36</f>
        <v>119.80000000000001</v>
      </c>
    </row>
    <row r="6" spans="1:65" ht="15.75" thickBot="1">
      <c r="A6" s="6">
        <f>ELEC!C4</f>
        <v>44805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630225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5190</v>
      </c>
      <c r="U6" s="5">
        <f t="shared" ref="U6:U33" si="3">SUM(T6-T5)</f>
        <v>0</v>
      </c>
      <c r="V6" s="5">
        <f>V5</f>
        <v>499</v>
      </c>
      <c r="W6" s="309">
        <f>+V6-V5</f>
        <v>0</v>
      </c>
      <c r="X6" s="5">
        <f>X5</f>
        <v>155837</v>
      </c>
      <c r="Y6" s="309">
        <f>SUM(X6-X5)</f>
        <v>0</v>
      </c>
      <c r="Z6" s="5">
        <f>Z5</f>
        <v>99668</v>
      </c>
      <c r="AA6" s="83">
        <f>Z6-Z5</f>
        <v>0</v>
      </c>
      <c r="AB6" s="5">
        <f>AB5</f>
        <v>258</v>
      </c>
      <c r="AC6" s="5">
        <f>AC5</f>
        <v>855</v>
      </c>
      <c r="AD6" s="83">
        <v>0</v>
      </c>
      <c r="AE6" s="5">
        <f>AE5</f>
        <v>248.42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29.5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44805</v>
      </c>
      <c r="AS6" s="407">
        <f>AS5</f>
        <v>0.9</v>
      </c>
      <c r="AT6" s="201">
        <f>AT5</f>
        <v>59</v>
      </c>
      <c r="AU6" s="408">
        <f>AU5</f>
        <v>1.1000000000000001</v>
      </c>
      <c r="AV6" s="201">
        <v>151</v>
      </c>
      <c r="AW6" s="5">
        <v>2.9</v>
      </c>
      <c r="AX6" s="201">
        <v>100</v>
      </c>
      <c r="AY6" s="409">
        <f>AS6*AT6</f>
        <v>53.1</v>
      </c>
      <c r="AZ6" s="409">
        <f>AU6*AV6</f>
        <v>166.10000000000002</v>
      </c>
      <c r="BA6" s="409">
        <f>AW6*AX6</f>
        <v>290</v>
      </c>
      <c r="BB6" s="21">
        <f>AY6-AY5</f>
        <v>0</v>
      </c>
      <c r="BC6" s="21">
        <f>AZ6-AZ5</f>
        <v>-2.1999999999999886</v>
      </c>
      <c r="BD6" s="21">
        <f>BA6-BA5</f>
        <v>-5.8000000000000114</v>
      </c>
      <c r="BE6" s="24">
        <f>SUM(BB6:BD6)</f>
        <v>-8</v>
      </c>
      <c r="BF6" s="96">
        <f>SUM(I6-BE6)</f>
        <v>8</v>
      </c>
      <c r="BG6" s="82">
        <f t="shared" ref="BG6:BG33" si="4">SUM(I6-BF6)</f>
        <v>-8</v>
      </c>
      <c r="BI6" s="17"/>
      <c r="BJ6" s="17"/>
      <c r="BK6" s="17"/>
      <c r="BL6" s="17"/>
      <c r="BM6" s="17"/>
    </row>
    <row r="7" spans="1:65" ht="15.75" thickBot="1">
      <c r="A7" s="6">
        <f>ELEC!C5</f>
        <v>44806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630225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5190</v>
      </c>
      <c r="U7" s="5">
        <f t="shared" si="3"/>
        <v>0</v>
      </c>
      <c r="V7" s="5">
        <f t="shared" ref="V7:V36" si="15">V6</f>
        <v>499</v>
      </c>
      <c r="W7" s="309">
        <f t="shared" ref="W7:W33" si="16">+V7-V6</f>
        <v>0</v>
      </c>
      <c r="X7" s="5">
        <f t="shared" ref="X7:X36" si="17">X6</f>
        <v>155837</v>
      </c>
      <c r="Y7" s="309">
        <f>SUM(X7-X6)</f>
        <v>0</v>
      </c>
      <c r="Z7" s="5">
        <f t="shared" ref="Z7:Z36" si="18">Z6</f>
        <v>99668</v>
      </c>
      <c r="AA7" s="83">
        <f t="shared" ref="AA7:AA33" si="19">Z7-Z6</f>
        <v>0</v>
      </c>
      <c r="AB7" s="5">
        <f t="shared" ref="AB7:AB36" si="20">AB6</f>
        <v>258</v>
      </c>
      <c r="AC7" s="5">
        <f t="shared" ref="AC7:AC36" si="21">AC6</f>
        <v>855</v>
      </c>
      <c r="AD7" s="83">
        <f>AC7-AC6</f>
        <v>0</v>
      </c>
      <c r="AE7" s="5">
        <f t="shared" ref="AE7:AE36" si="22">AE6</f>
        <v>248.42</v>
      </c>
      <c r="AF7" s="83">
        <f t="shared" ref="AF7:AF32" si="23">AE7-AE6</f>
        <v>0</v>
      </c>
      <c r="AG7" s="5">
        <f t="shared" ref="AG7:AG36" si="24">AG6</f>
        <v>2247.41</v>
      </c>
      <c r="AH7" s="83">
        <f t="shared" ref="AH7:AH33" si="25">AG7-AG6</f>
        <v>0</v>
      </c>
      <c r="AI7" s="83">
        <f t="shared" ref="AI7:AI33" si="26">AF7+AH7</f>
        <v>0</v>
      </c>
      <c r="AJ7" s="311">
        <f t="shared" ref="AJ7:AJ33" si="27">+Z7-Z6</f>
        <v>0</v>
      </c>
      <c r="AK7" s="312">
        <f>SUM(Y7-L7)</f>
        <v>0</v>
      </c>
      <c r="AL7" s="312">
        <f t="shared" ref="AL7:AL33" si="28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44806</v>
      </c>
      <c r="AS7" s="407">
        <f t="shared" ref="AS7:AT21" si="30">AS6</f>
        <v>0.9</v>
      </c>
      <c r="AT7" s="201">
        <f t="shared" si="30"/>
        <v>59</v>
      </c>
      <c r="AU7" s="408">
        <f>AU6</f>
        <v>1.1000000000000001</v>
      </c>
      <c r="AV7" s="201">
        <f t="shared" ref="AV7:AV36" si="31">AV6</f>
        <v>151</v>
      </c>
      <c r="AW7" s="5">
        <v>2.9</v>
      </c>
      <c r="AX7" s="201">
        <f t="shared" ref="AX7:AX36" si="32">AX6</f>
        <v>100</v>
      </c>
      <c r="AY7" s="409">
        <f>AS7*AT7</f>
        <v>53.1</v>
      </c>
      <c r="AZ7" s="409">
        <f>AU7*AV7</f>
        <v>166.10000000000002</v>
      </c>
      <c r="BA7" s="409">
        <f>AW7*AX7</f>
        <v>290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ref="BF7:BF33" si="35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44807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630225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5190</v>
      </c>
      <c r="U8" s="5">
        <f t="shared" si="3"/>
        <v>0</v>
      </c>
      <c r="V8" s="5">
        <f t="shared" si="15"/>
        <v>499</v>
      </c>
      <c r="W8" s="309">
        <f t="shared" si="16"/>
        <v>0</v>
      </c>
      <c r="X8" s="5">
        <f t="shared" si="17"/>
        <v>155837</v>
      </c>
      <c r="Y8" s="309">
        <f>SUM(X8-X7)</f>
        <v>0</v>
      </c>
      <c r="Z8" s="5">
        <f t="shared" si="18"/>
        <v>99668</v>
      </c>
      <c r="AA8" s="83">
        <f t="shared" si="19"/>
        <v>0</v>
      </c>
      <c r="AB8" s="5">
        <f t="shared" si="20"/>
        <v>258</v>
      </c>
      <c r="AC8" s="5">
        <f t="shared" si="21"/>
        <v>855</v>
      </c>
      <c r="AD8" s="83">
        <f t="shared" ref="AD8:AD33" si="36">AC8-AC7</f>
        <v>0</v>
      </c>
      <c r="AE8" s="5">
        <f t="shared" si="22"/>
        <v>248.42</v>
      </c>
      <c r="AF8" s="83">
        <f t="shared" si="23"/>
        <v>0</v>
      </c>
      <c r="AG8" s="5">
        <f t="shared" si="24"/>
        <v>2247.41</v>
      </c>
      <c r="AH8" s="83">
        <f t="shared" si="25"/>
        <v>0</v>
      </c>
      <c r="AI8" s="83">
        <f t="shared" si="26"/>
        <v>0</v>
      </c>
      <c r="AJ8" s="311">
        <f t="shared" si="27"/>
        <v>0</v>
      </c>
      <c r="AK8" s="312">
        <f t="shared" ref="AK8:AK33" si="37">SUM(Y8-L8)</f>
        <v>0</v>
      </c>
      <c r="AL8" s="312">
        <f>SUM(AJ8-W8)</f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44807</v>
      </c>
      <c r="AS8" s="407">
        <f t="shared" si="30"/>
        <v>0.9</v>
      </c>
      <c r="AT8" s="201">
        <f t="shared" si="30"/>
        <v>59</v>
      </c>
      <c r="AU8" s="408">
        <v>1.1000000000000001</v>
      </c>
      <c r="AV8" s="201">
        <f t="shared" si="31"/>
        <v>151</v>
      </c>
      <c r="AW8" s="5">
        <v>2.9</v>
      </c>
      <c r="AX8" s="201">
        <f t="shared" si="32"/>
        <v>100</v>
      </c>
      <c r="AY8" s="409">
        <f t="shared" ref="AY8:AY33" si="38">AS8*AT8</f>
        <v>53.1</v>
      </c>
      <c r="AZ8" s="409">
        <f t="shared" ref="AZ8:AZ33" si="39">AU8*AV8</f>
        <v>166.10000000000002</v>
      </c>
      <c r="BA8" s="409">
        <f t="shared" ref="BA8:BA33" si="40">AW8*AX8</f>
        <v>290</v>
      </c>
      <c r="BB8" s="21">
        <f t="shared" ref="BB8:BB36" si="41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35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44808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v>630359</v>
      </c>
      <c r="H9" s="5">
        <f t="shared" si="9"/>
        <v>134</v>
      </c>
      <c r="I9" s="5">
        <f t="shared" si="10"/>
        <v>134</v>
      </c>
      <c r="J9" s="319">
        <f t="shared" si="0"/>
        <v>1.8656716417910448</v>
      </c>
      <c r="K9" s="5">
        <f t="shared" si="11"/>
        <v>7089</v>
      </c>
      <c r="L9" s="83">
        <f t="shared" ref="L9:L33" si="42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5190</v>
      </c>
      <c r="U9" s="5">
        <f t="shared" si="3"/>
        <v>0</v>
      </c>
      <c r="V9" s="5">
        <f t="shared" si="15"/>
        <v>499</v>
      </c>
      <c r="W9" s="309">
        <f t="shared" si="16"/>
        <v>0</v>
      </c>
      <c r="X9" s="5">
        <f t="shared" si="17"/>
        <v>155837</v>
      </c>
      <c r="Y9" s="309">
        <f t="shared" ref="Y9:Y33" si="43">SUM(X9-X8)</f>
        <v>0</v>
      </c>
      <c r="Z9" s="5">
        <f t="shared" si="18"/>
        <v>99668</v>
      </c>
      <c r="AA9" s="83">
        <f t="shared" si="19"/>
        <v>0</v>
      </c>
      <c r="AB9" s="5">
        <f t="shared" si="20"/>
        <v>258</v>
      </c>
      <c r="AC9" s="5">
        <f t="shared" si="21"/>
        <v>855</v>
      </c>
      <c r="AD9" s="83">
        <f t="shared" si="36"/>
        <v>0</v>
      </c>
      <c r="AE9" s="5">
        <f t="shared" si="22"/>
        <v>248.42</v>
      </c>
      <c r="AF9" s="83">
        <f t="shared" si="23"/>
        <v>0</v>
      </c>
      <c r="AG9" s="5">
        <f t="shared" si="24"/>
        <v>2247.41</v>
      </c>
      <c r="AH9" s="83">
        <f t="shared" si="25"/>
        <v>0</v>
      </c>
      <c r="AI9" s="83">
        <f t="shared" si="26"/>
        <v>0</v>
      </c>
      <c r="AJ9" s="311">
        <f t="shared" si="27"/>
        <v>0</v>
      </c>
      <c r="AK9" s="312">
        <f t="shared" si="37"/>
        <v>0</v>
      </c>
      <c r="AL9" s="312">
        <f t="shared" si="28"/>
        <v>0</v>
      </c>
      <c r="AM9" s="312">
        <f>'General information '!D8</f>
        <v>27.5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44808</v>
      </c>
      <c r="AS9" s="407">
        <f t="shared" si="30"/>
        <v>0.9</v>
      </c>
      <c r="AT9" s="201">
        <v>140</v>
      </c>
      <c r="AU9" s="408">
        <f t="shared" ref="AU9:AU36" si="44">AU8</f>
        <v>1.1000000000000001</v>
      </c>
      <c r="AV9" s="201">
        <f t="shared" si="31"/>
        <v>151</v>
      </c>
      <c r="AW9" s="5">
        <v>2.9</v>
      </c>
      <c r="AX9" s="201">
        <v>99</v>
      </c>
      <c r="AY9" s="409">
        <f t="shared" si="38"/>
        <v>126</v>
      </c>
      <c r="AZ9" s="409">
        <f t="shared" si="39"/>
        <v>166.10000000000002</v>
      </c>
      <c r="BA9" s="409">
        <f t="shared" si="40"/>
        <v>287.09999999999997</v>
      </c>
      <c r="BB9" s="21">
        <f t="shared" si="41"/>
        <v>72.900000000000006</v>
      </c>
      <c r="BC9" s="21">
        <f t="shared" si="33"/>
        <v>0</v>
      </c>
      <c r="BD9" s="21">
        <f t="shared" si="33"/>
        <v>-2.9000000000000341</v>
      </c>
      <c r="BE9" s="24">
        <f t="shared" si="34"/>
        <v>69.999999999999972</v>
      </c>
      <c r="BF9" s="330">
        <f t="shared" si="35"/>
        <v>64.000000000000028</v>
      </c>
      <c r="BG9" s="82">
        <f t="shared" si="4"/>
        <v>69.999999999999972</v>
      </c>
    </row>
    <row r="10" spans="1:65" ht="15.75" thickBot="1">
      <c r="A10" s="6">
        <f>ELEC!C8</f>
        <v>44809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f t="shared" si="8"/>
        <v>630359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5190</v>
      </c>
      <c r="U10" s="5">
        <f t="shared" si="3"/>
        <v>0</v>
      </c>
      <c r="V10" s="5">
        <f t="shared" si="15"/>
        <v>499</v>
      </c>
      <c r="W10" s="309">
        <f t="shared" si="16"/>
        <v>0</v>
      </c>
      <c r="X10" s="5">
        <f t="shared" si="17"/>
        <v>155837</v>
      </c>
      <c r="Y10" s="309">
        <f t="shared" si="43"/>
        <v>0</v>
      </c>
      <c r="Z10" s="5">
        <f t="shared" si="18"/>
        <v>99668</v>
      </c>
      <c r="AA10" s="83">
        <f t="shared" si="19"/>
        <v>0</v>
      </c>
      <c r="AB10" s="5">
        <f t="shared" si="20"/>
        <v>258</v>
      </c>
      <c r="AC10" s="5">
        <f t="shared" si="21"/>
        <v>855</v>
      </c>
      <c r="AD10" s="83">
        <f t="shared" si="36"/>
        <v>0</v>
      </c>
      <c r="AE10" s="5">
        <f t="shared" si="22"/>
        <v>248.42</v>
      </c>
      <c r="AF10" s="83">
        <f t="shared" si="23"/>
        <v>0</v>
      </c>
      <c r="AG10" s="5">
        <f t="shared" si="24"/>
        <v>2247.41</v>
      </c>
      <c r="AH10" s="83">
        <f t="shared" si="25"/>
        <v>0</v>
      </c>
      <c r="AI10" s="83">
        <f t="shared" si="26"/>
        <v>0</v>
      </c>
      <c r="AJ10" s="311">
        <f t="shared" si="27"/>
        <v>0</v>
      </c>
      <c r="AK10" s="312">
        <f>SUM(Y10-L10)</f>
        <v>0</v>
      </c>
      <c r="AL10" s="312">
        <f t="shared" si="28"/>
        <v>0</v>
      </c>
      <c r="AM10" s="312">
        <f>'General information '!D9</f>
        <v>27.5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44809</v>
      </c>
      <c r="AS10" s="407">
        <f t="shared" si="30"/>
        <v>0.9</v>
      </c>
      <c r="AT10" s="201">
        <v>90</v>
      </c>
      <c r="AU10" s="408">
        <f t="shared" si="44"/>
        <v>1.1000000000000001</v>
      </c>
      <c r="AV10" s="201">
        <v>149</v>
      </c>
      <c r="AW10" s="5">
        <v>2.9</v>
      </c>
      <c r="AX10" s="201">
        <v>110</v>
      </c>
      <c r="AY10" s="409">
        <f t="shared" si="38"/>
        <v>81</v>
      </c>
      <c r="AZ10" s="409">
        <f t="shared" si="39"/>
        <v>163.9</v>
      </c>
      <c r="BA10" s="409">
        <f t="shared" si="40"/>
        <v>319</v>
      </c>
      <c r="BB10" s="21">
        <f t="shared" si="41"/>
        <v>-45</v>
      </c>
      <c r="BC10" s="21">
        <f t="shared" si="33"/>
        <v>-2.2000000000000171</v>
      </c>
      <c r="BD10" s="21">
        <f t="shared" si="33"/>
        <v>31.900000000000034</v>
      </c>
      <c r="BE10" s="24">
        <f t="shared" si="34"/>
        <v>-15.299999999999983</v>
      </c>
      <c r="BF10" s="96">
        <f t="shared" si="35"/>
        <v>15.299999999999983</v>
      </c>
      <c r="BG10" s="82">
        <f t="shared" si="4"/>
        <v>-15.299999999999983</v>
      </c>
    </row>
    <row r="11" spans="1:65" ht="15.75" thickBot="1">
      <c r="A11" s="6">
        <f>ELEC!C9</f>
        <v>44810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630359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2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5190</v>
      </c>
      <c r="U11" s="5">
        <f t="shared" si="3"/>
        <v>0</v>
      </c>
      <c r="V11" s="5">
        <f t="shared" si="15"/>
        <v>499</v>
      </c>
      <c r="W11" s="309">
        <f t="shared" si="16"/>
        <v>0</v>
      </c>
      <c r="X11" s="5">
        <f t="shared" si="17"/>
        <v>155837</v>
      </c>
      <c r="Y11" s="309">
        <f t="shared" si="43"/>
        <v>0</v>
      </c>
      <c r="Z11" s="5">
        <f t="shared" si="18"/>
        <v>99668</v>
      </c>
      <c r="AA11" s="83">
        <f t="shared" si="19"/>
        <v>0</v>
      </c>
      <c r="AB11" s="5">
        <f t="shared" si="20"/>
        <v>258</v>
      </c>
      <c r="AC11" s="5">
        <f t="shared" si="21"/>
        <v>855</v>
      </c>
      <c r="AD11" s="83">
        <f t="shared" si="36"/>
        <v>0</v>
      </c>
      <c r="AE11" s="5">
        <f t="shared" si="22"/>
        <v>248.42</v>
      </c>
      <c r="AF11" s="83">
        <f t="shared" si="23"/>
        <v>0</v>
      </c>
      <c r="AG11" s="5">
        <f t="shared" si="24"/>
        <v>2247.41</v>
      </c>
      <c r="AH11" s="83">
        <f t="shared" si="25"/>
        <v>0</v>
      </c>
      <c r="AI11" s="83">
        <f t="shared" si="26"/>
        <v>0</v>
      </c>
      <c r="AJ11" s="311">
        <f t="shared" si="27"/>
        <v>0</v>
      </c>
      <c r="AK11" s="312">
        <f t="shared" si="37"/>
        <v>0</v>
      </c>
      <c r="AL11" s="312">
        <f t="shared" si="28"/>
        <v>0</v>
      </c>
      <c r="AM11" s="312">
        <f>'General information '!D10</f>
        <v>28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44810</v>
      </c>
      <c r="AS11" s="407">
        <f t="shared" si="30"/>
        <v>0.9</v>
      </c>
      <c r="AT11" s="201">
        <v>79</v>
      </c>
      <c r="AU11" s="408">
        <f t="shared" si="44"/>
        <v>1.1000000000000001</v>
      </c>
      <c r="AV11" s="201">
        <v>147</v>
      </c>
      <c r="AW11" s="5">
        <v>2.9</v>
      </c>
      <c r="AX11" s="201">
        <v>109</v>
      </c>
      <c r="AY11" s="409">
        <f t="shared" si="38"/>
        <v>71.100000000000009</v>
      </c>
      <c r="AZ11" s="409">
        <f t="shared" si="39"/>
        <v>161.70000000000002</v>
      </c>
      <c r="BA11" s="409">
        <f t="shared" si="40"/>
        <v>316.09999999999997</v>
      </c>
      <c r="BB11" s="21">
        <f t="shared" si="41"/>
        <v>-9.8999999999999915</v>
      </c>
      <c r="BC11" s="21">
        <f t="shared" si="33"/>
        <v>-2.1999999999999886</v>
      </c>
      <c r="BD11" s="21">
        <f t="shared" si="33"/>
        <v>-2.9000000000000341</v>
      </c>
      <c r="BE11" s="24">
        <f t="shared" si="34"/>
        <v>-15.000000000000014</v>
      </c>
      <c r="BF11" s="96">
        <f t="shared" si="35"/>
        <v>15.000000000000014</v>
      </c>
      <c r="BG11" s="82">
        <f t="shared" si="4"/>
        <v>-15.000000000000014</v>
      </c>
    </row>
    <row r="12" spans="1:65" ht="15.75" thickBot="1">
      <c r="A12" s="6">
        <f>ELEC!C10</f>
        <v>44811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v>630471</v>
      </c>
      <c r="H12" s="5">
        <f t="shared" si="9"/>
        <v>112</v>
      </c>
      <c r="I12" s="5">
        <f t="shared" si="10"/>
        <v>112</v>
      </c>
      <c r="J12" s="319">
        <f t="shared" si="0"/>
        <v>2.2321428571428572</v>
      </c>
      <c r="K12" s="5">
        <f t="shared" si="11"/>
        <v>7089</v>
      </c>
      <c r="L12" s="83">
        <f t="shared" si="42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5190</v>
      </c>
      <c r="U12" s="5">
        <f t="shared" si="3"/>
        <v>0</v>
      </c>
      <c r="V12" s="5">
        <f t="shared" si="15"/>
        <v>499</v>
      </c>
      <c r="W12" s="309">
        <f t="shared" si="16"/>
        <v>0</v>
      </c>
      <c r="X12" s="5">
        <f t="shared" si="17"/>
        <v>155837</v>
      </c>
      <c r="Y12" s="309">
        <f t="shared" si="43"/>
        <v>0</v>
      </c>
      <c r="Z12" s="5">
        <f t="shared" si="18"/>
        <v>99668</v>
      </c>
      <c r="AA12" s="83">
        <f t="shared" si="19"/>
        <v>0</v>
      </c>
      <c r="AB12" s="5">
        <f t="shared" si="20"/>
        <v>258</v>
      </c>
      <c r="AC12" s="5">
        <f t="shared" si="21"/>
        <v>855</v>
      </c>
      <c r="AD12" s="83">
        <f t="shared" si="36"/>
        <v>0</v>
      </c>
      <c r="AE12" s="5">
        <v>248.9</v>
      </c>
      <c r="AF12" s="83">
        <f t="shared" si="23"/>
        <v>0.48000000000001819</v>
      </c>
      <c r="AG12" s="5">
        <f t="shared" si="24"/>
        <v>2247.41</v>
      </c>
      <c r="AH12" s="83">
        <f t="shared" si="25"/>
        <v>0</v>
      </c>
      <c r="AI12" s="83">
        <f t="shared" si="26"/>
        <v>0.48000000000001819</v>
      </c>
      <c r="AJ12" s="311">
        <f t="shared" si="27"/>
        <v>0</v>
      </c>
      <c r="AK12" s="312">
        <f t="shared" si="37"/>
        <v>0</v>
      </c>
      <c r="AL12" s="312">
        <f t="shared" si="28"/>
        <v>0</v>
      </c>
      <c r="AM12" s="312">
        <f>'General information '!D11</f>
        <v>28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44811</v>
      </c>
      <c r="AS12" s="407">
        <f t="shared" si="30"/>
        <v>0.9</v>
      </c>
      <c r="AT12" s="201">
        <v>146</v>
      </c>
      <c r="AU12" s="408">
        <f t="shared" si="44"/>
        <v>1.1000000000000001</v>
      </c>
      <c r="AV12" s="201">
        <v>144</v>
      </c>
      <c r="AW12" s="5">
        <v>2.9</v>
      </c>
      <c r="AX12" s="201">
        <v>104</v>
      </c>
      <c r="AY12" s="409">
        <f t="shared" si="38"/>
        <v>131.4</v>
      </c>
      <c r="AZ12" s="409">
        <f t="shared" si="39"/>
        <v>158.4</v>
      </c>
      <c r="BA12" s="409">
        <f t="shared" si="40"/>
        <v>301.59999999999997</v>
      </c>
      <c r="BB12" s="21">
        <f>AY12-AY11</f>
        <v>60.3</v>
      </c>
      <c r="BC12" s="21">
        <f t="shared" si="33"/>
        <v>-3.3000000000000114</v>
      </c>
      <c r="BD12" s="21">
        <f t="shared" si="33"/>
        <v>-14.5</v>
      </c>
      <c r="BE12" s="24">
        <f t="shared" si="34"/>
        <v>42.499999999999986</v>
      </c>
      <c r="BF12" s="96">
        <f t="shared" si="35"/>
        <v>69.500000000000014</v>
      </c>
      <c r="BG12" s="82">
        <f t="shared" si="4"/>
        <v>42.499999999999986</v>
      </c>
    </row>
    <row r="13" spans="1:65" ht="15.75" thickBot="1">
      <c r="A13" s="6">
        <f>ELEC!C11</f>
        <v>44812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630471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2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v>5191</v>
      </c>
      <c r="U13" s="5">
        <f t="shared" si="3"/>
        <v>1</v>
      </c>
      <c r="V13" s="5">
        <f t="shared" si="15"/>
        <v>499</v>
      </c>
      <c r="W13" s="309">
        <f t="shared" si="16"/>
        <v>0</v>
      </c>
      <c r="X13" s="5">
        <f t="shared" si="17"/>
        <v>155837</v>
      </c>
      <c r="Y13" s="309">
        <f t="shared" si="43"/>
        <v>0</v>
      </c>
      <c r="Z13" s="5">
        <f t="shared" si="18"/>
        <v>99668</v>
      </c>
      <c r="AA13" s="83">
        <f t="shared" si="19"/>
        <v>0</v>
      </c>
      <c r="AB13" s="5">
        <f t="shared" si="20"/>
        <v>258</v>
      </c>
      <c r="AC13" s="5">
        <f t="shared" si="21"/>
        <v>855</v>
      </c>
      <c r="AD13" s="83">
        <f t="shared" si="36"/>
        <v>0</v>
      </c>
      <c r="AE13" s="5">
        <f t="shared" si="22"/>
        <v>248.9</v>
      </c>
      <c r="AF13" s="83">
        <f t="shared" si="23"/>
        <v>0</v>
      </c>
      <c r="AG13" s="5">
        <f t="shared" si="24"/>
        <v>2247.41</v>
      </c>
      <c r="AH13" s="83">
        <f t="shared" si="25"/>
        <v>0</v>
      </c>
      <c r="AI13" s="83">
        <f t="shared" si="26"/>
        <v>0</v>
      </c>
      <c r="AJ13" s="311">
        <f t="shared" si="27"/>
        <v>0</v>
      </c>
      <c r="AK13" s="312">
        <f t="shared" si="37"/>
        <v>0</v>
      </c>
      <c r="AL13" s="312">
        <f t="shared" si="28"/>
        <v>0</v>
      </c>
      <c r="AM13" s="312">
        <f>'General information '!D12</f>
        <v>29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44812</v>
      </c>
      <c r="AS13" s="407">
        <f t="shared" si="30"/>
        <v>0.9</v>
      </c>
      <c r="AT13" s="201">
        <f t="shared" si="30"/>
        <v>146</v>
      </c>
      <c r="AU13" s="408">
        <f t="shared" si="44"/>
        <v>1.1000000000000001</v>
      </c>
      <c r="AV13" s="201">
        <v>143</v>
      </c>
      <c r="AW13" s="5">
        <v>2.9</v>
      </c>
      <c r="AX13" s="201">
        <v>109</v>
      </c>
      <c r="AY13" s="409">
        <f t="shared" si="38"/>
        <v>131.4</v>
      </c>
      <c r="AZ13" s="409">
        <f t="shared" si="39"/>
        <v>157.30000000000001</v>
      </c>
      <c r="BA13" s="409">
        <f t="shared" si="40"/>
        <v>316.09999999999997</v>
      </c>
      <c r="BB13" s="21">
        <f t="shared" si="41"/>
        <v>0</v>
      </c>
      <c r="BC13" s="21">
        <f t="shared" si="33"/>
        <v>-1.0999999999999943</v>
      </c>
      <c r="BD13" s="21">
        <f t="shared" si="33"/>
        <v>14.5</v>
      </c>
      <c r="BE13" s="24">
        <f t="shared" si="34"/>
        <v>13.400000000000006</v>
      </c>
      <c r="BF13" s="96">
        <f t="shared" si="35"/>
        <v>-13.400000000000006</v>
      </c>
      <c r="BG13" s="82">
        <f t="shared" si="4"/>
        <v>13.400000000000006</v>
      </c>
    </row>
    <row r="14" spans="1:65" ht="15.75" thickBot="1">
      <c r="A14" s="6">
        <f>ELEC!C12</f>
        <v>44813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630471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 t="shared" si="11"/>
        <v>7089</v>
      </c>
      <c r="L14" s="83">
        <f t="shared" si="42"/>
        <v>0</v>
      </c>
      <c r="M14" s="393">
        <f t="shared" si="12"/>
        <v>457.44</v>
      </c>
      <c r="N14" s="482">
        <f t="shared" ref="N14:N33" si="45">SUM(M14-M13)</f>
        <v>0</v>
      </c>
      <c r="O14" s="393">
        <f t="shared" si="13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4"/>
        <v>5191</v>
      </c>
      <c r="U14" s="5">
        <f t="shared" si="3"/>
        <v>0</v>
      </c>
      <c r="V14" s="5">
        <f t="shared" si="15"/>
        <v>499</v>
      </c>
      <c r="W14" s="309">
        <f t="shared" si="16"/>
        <v>0</v>
      </c>
      <c r="X14" s="5">
        <f t="shared" si="17"/>
        <v>155837</v>
      </c>
      <c r="Y14" s="309">
        <f t="shared" si="43"/>
        <v>0</v>
      </c>
      <c r="Z14" s="5">
        <f t="shared" si="18"/>
        <v>99668</v>
      </c>
      <c r="AA14" s="83">
        <f t="shared" si="19"/>
        <v>0</v>
      </c>
      <c r="AB14" s="5">
        <f t="shared" si="20"/>
        <v>258</v>
      </c>
      <c r="AC14" s="5">
        <f t="shared" si="21"/>
        <v>855</v>
      </c>
      <c r="AD14" s="83">
        <f t="shared" si="36"/>
        <v>0</v>
      </c>
      <c r="AE14" s="5">
        <f t="shared" si="22"/>
        <v>248.9</v>
      </c>
      <c r="AF14" s="83">
        <f t="shared" si="23"/>
        <v>0</v>
      </c>
      <c r="AG14" s="5">
        <v>2247.41</v>
      </c>
      <c r="AH14" s="83">
        <f t="shared" si="25"/>
        <v>0</v>
      </c>
      <c r="AI14" s="83">
        <f t="shared" si="26"/>
        <v>0</v>
      </c>
      <c r="AJ14" s="311">
        <f t="shared" si="27"/>
        <v>0</v>
      </c>
      <c r="AK14" s="312">
        <f t="shared" si="37"/>
        <v>0</v>
      </c>
      <c r="AL14" s="312">
        <f t="shared" si="28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44813</v>
      </c>
      <c r="AS14" s="407">
        <f t="shared" si="30"/>
        <v>0.9</v>
      </c>
      <c r="AT14" s="201">
        <f t="shared" si="30"/>
        <v>146</v>
      </c>
      <c r="AU14" s="408">
        <f t="shared" si="44"/>
        <v>1.1000000000000001</v>
      </c>
      <c r="AV14" s="201">
        <f t="shared" si="31"/>
        <v>143</v>
      </c>
      <c r="AW14" s="5">
        <v>2.9</v>
      </c>
      <c r="AX14" s="201">
        <f t="shared" si="32"/>
        <v>109</v>
      </c>
      <c r="AY14" s="409">
        <f t="shared" si="38"/>
        <v>131.4</v>
      </c>
      <c r="AZ14" s="409">
        <f t="shared" si="39"/>
        <v>157.30000000000001</v>
      </c>
      <c r="BA14" s="409">
        <f t="shared" si="40"/>
        <v>316.09999999999997</v>
      </c>
      <c r="BB14" s="21">
        <f t="shared" si="41"/>
        <v>0</v>
      </c>
      <c r="BC14" s="21">
        <f t="shared" si="33"/>
        <v>0</v>
      </c>
      <c r="BD14" s="21">
        <f t="shared" si="33"/>
        <v>0</v>
      </c>
      <c r="BE14" s="24">
        <f t="shared" si="34"/>
        <v>0</v>
      </c>
      <c r="BF14" s="96">
        <f t="shared" si="35"/>
        <v>0</v>
      </c>
      <c r="BG14" s="82">
        <f t="shared" si="4"/>
        <v>0</v>
      </c>
    </row>
    <row r="15" spans="1:65" ht="16.5" customHeight="1" thickBot="1">
      <c r="A15" s="6">
        <f>ELEC!C13</f>
        <v>44814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630471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2"/>
        <v>0</v>
      </c>
      <c r="M15" s="393">
        <f t="shared" si="12"/>
        <v>457.44</v>
      </c>
      <c r="N15" s="482">
        <f t="shared" si="45"/>
        <v>0</v>
      </c>
      <c r="O15" s="393">
        <f t="shared" si="13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4"/>
        <v>5191</v>
      </c>
      <c r="U15" s="5">
        <f t="shared" si="3"/>
        <v>0</v>
      </c>
      <c r="V15" s="5">
        <f t="shared" si="15"/>
        <v>499</v>
      </c>
      <c r="W15" s="309">
        <f t="shared" si="16"/>
        <v>0</v>
      </c>
      <c r="X15" s="5">
        <f t="shared" si="17"/>
        <v>155837</v>
      </c>
      <c r="Y15" s="309">
        <f t="shared" si="43"/>
        <v>0</v>
      </c>
      <c r="Z15" s="5">
        <f t="shared" si="18"/>
        <v>99668</v>
      </c>
      <c r="AA15" s="83">
        <f t="shared" si="19"/>
        <v>0</v>
      </c>
      <c r="AB15" s="5">
        <f t="shared" si="20"/>
        <v>258</v>
      </c>
      <c r="AC15" s="5">
        <f t="shared" si="21"/>
        <v>855</v>
      </c>
      <c r="AD15" s="83">
        <f t="shared" si="36"/>
        <v>0</v>
      </c>
      <c r="AE15" s="5">
        <f t="shared" si="22"/>
        <v>248.9</v>
      </c>
      <c r="AF15" s="83">
        <f t="shared" si="23"/>
        <v>0</v>
      </c>
      <c r="AG15" s="5">
        <f t="shared" si="24"/>
        <v>2247.41</v>
      </c>
      <c r="AH15" s="83">
        <f t="shared" si="25"/>
        <v>0</v>
      </c>
      <c r="AI15" s="83">
        <f t="shared" si="26"/>
        <v>0</v>
      </c>
      <c r="AJ15" s="311">
        <f t="shared" si="27"/>
        <v>0</v>
      </c>
      <c r="AK15" s="312">
        <f>SUM(Y15-L15)</f>
        <v>0</v>
      </c>
      <c r="AL15" s="312">
        <f t="shared" si="28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44814</v>
      </c>
      <c r="AS15" s="407">
        <f t="shared" si="30"/>
        <v>0.9</v>
      </c>
      <c r="AT15" s="201">
        <f t="shared" si="30"/>
        <v>146</v>
      </c>
      <c r="AU15" s="408">
        <f t="shared" si="44"/>
        <v>1.1000000000000001</v>
      </c>
      <c r="AV15" s="201">
        <f t="shared" si="31"/>
        <v>143</v>
      </c>
      <c r="AW15" s="5">
        <v>2.9</v>
      </c>
      <c r="AX15" s="201">
        <f t="shared" si="32"/>
        <v>109</v>
      </c>
      <c r="AY15" s="409">
        <f t="shared" si="38"/>
        <v>131.4</v>
      </c>
      <c r="AZ15" s="409">
        <f t="shared" si="39"/>
        <v>157.30000000000001</v>
      </c>
      <c r="BA15" s="409">
        <f t="shared" si="40"/>
        <v>316.09999999999997</v>
      </c>
      <c r="BB15" s="21">
        <f t="shared" si="41"/>
        <v>0</v>
      </c>
      <c r="BC15" s="21">
        <f t="shared" si="33"/>
        <v>0</v>
      </c>
      <c r="BD15" s="21">
        <f t="shared" si="33"/>
        <v>0</v>
      </c>
      <c r="BE15" s="24">
        <f t="shared" si="34"/>
        <v>0</v>
      </c>
      <c r="BF15" s="96">
        <f t="shared" si="35"/>
        <v>0</v>
      </c>
      <c r="BG15" s="82">
        <f t="shared" si="4"/>
        <v>0</v>
      </c>
    </row>
    <row r="16" spans="1:65" ht="15.75" thickBot="1">
      <c r="A16" s="6">
        <f>ELEC!C14</f>
        <v>44815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v>630568</v>
      </c>
      <c r="H16" s="5">
        <f t="shared" si="9"/>
        <v>97</v>
      </c>
      <c r="I16" s="5">
        <f t="shared" si="10"/>
        <v>97</v>
      </c>
      <c r="J16" s="319">
        <f t="shared" si="0"/>
        <v>2.5773195876288661</v>
      </c>
      <c r="K16" s="5">
        <f t="shared" si="11"/>
        <v>7089</v>
      </c>
      <c r="L16" s="263">
        <f t="shared" si="42"/>
        <v>0</v>
      </c>
      <c r="M16" s="393">
        <f t="shared" si="12"/>
        <v>457.44</v>
      </c>
      <c r="N16" s="482">
        <f t="shared" si="45"/>
        <v>0</v>
      </c>
      <c r="O16" s="393">
        <f t="shared" si="13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4"/>
        <v>5191</v>
      </c>
      <c r="U16" s="5">
        <f t="shared" si="3"/>
        <v>0</v>
      </c>
      <c r="V16" s="5">
        <f t="shared" si="15"/>
        <v>499</v>
      </c>
      <c r="W16" s="309">
        <f t="shared" si="16"/>
        <v>0</v>
      </c>
      <c r="X16" s="5">
        <f t="shared" si="17"/>
        <v>155837</v>
      </c>
      <c r="Y16" s="309">
        <f t="shared" si="43"/>
        <v>0</v>
      </c>
      <c r="Z16" s="5">
        <f t="shared" si="18"/>
        <v>99668</v>
      </c>
      <c r="AA16" s="83">
        <f t="shared" si="19"/>
        <v>0</v>
      </c>
      <c r="AB16" s="5">
        <f t="shared" si="20"/>
        <v>258</v>
      </c>
      <c r="AC16" s="5">
        <f t="shared" si="21"/>
        <v>855</v>
      </c>
      <c r="AD16" s="83">
        <f t="shared" si="36"/>
        <v>0</v>
      </c>
      <c r="AE16" s="5">
        <f t="shared" si="22"/>
        <v>248.9</v>
      </c>
      <c r="AF16" s="83">
        <f t="shared" si="23"/>
        <v>0</v>
      </c>
      <c r="AG16" s="5">
        <f t="shared" si="24"/>
        <v>2247.41</v>
      </c>
      <c r="AH16" s="83">
        <f t="shared" si="25"/>
        <v>0</v>
      </c>
      <c r="AI16" s="83">
        <f t="shared" si="26"/>
        <v>0</v>
      </c>
      <c r="AJ16" s="311">
        <f t="shared" si="27"/>
        <v>0</v>
      </c>
      <c r="AK16" s="312">
        <f t="shared" si="37"/>
        <v>0</v>
      </c>
      <c r="AL16" s="312">
        <f t="shared" si="28"/>
        <v>0</v>
      </c>
      <c r="AM16" s="312">
        <f>'General information '!D15</f>
        <v>27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44815</v>
      </c>
      <c r="AS16" s="407">
        <f t="shared" si="30"/>
        <v>0.9</v>
      </c>
      <c r="AT16" s="201">
        <v>210</v>
      </c>
      <c r="AU16" s="408">
        <f t="shared" si="44"/>
        <v>1.1000000000000001</v>
      </c>
      <c r="AV16" s="201">
        <v>139</v>
      </c>
      <c r="AW16" s="5">
        <v>2.9</v>
      </c>
      <c r="AX16" s="201">
        <v>100</v>
      </c>
      <c r="AY16" s="409">
        <f t="shared" si="38"/>
        <v>189</v>
      </c>
      <c r="AZ16" s="409">
        <f t="shared" si="39"/>
        <v>152.9</v>
      </c>
      <c r="BA16" s="409">
        <f t="shared" si="40"/>
        <v>290</v>
      </c>
      <c r="BB16" s="21">
        <f t="shared" si="41"/>
        <v>57.599999999999994</v>
      </c>
      <c r="BC16" s="21">
        <f t="shared" si="33"/>
        <v>-4.4000000000000057</v>
      </c>
      <c r="BD16" s="21">
        <f t="shared" si="33"/>
        <v>-26.099999999999966</v>
      </c>
      <c r="BE16" s="24">
        <f t="shared" si="34"/>
        <v>27.100000000000023</v>
      </c>
      <c r="BF16" s="96">
        <f t="shared" si="35"/>
        <v>69.899999999999977</v>
      </c>
      <c r="BG16" s="82">
        <f t="shared" si="4"/>
        <v>27.100000000000023</v>
      </c>
    </row>
    <row r="17" spans="1:61" ht="15.75" thickBot="1">
      <c r="A17" s="6">
        <f>ELEC!C15</f>
        <v>44816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630568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2"/>
        <v>0</v>
      </c>
      <c r="M17" s="393">
        <f t="shared" si="12"/>
        <v>457.44</v>
      </c>
      <c r="N17" s="482">
        <f t="shared" si="45"/>
        <v>0</v>
      </c>
      <c r="O17" s="393">
        <f t="shared" si="13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4"/>
        <v>5191</v>
      </c>
      <c r="U17" s="5">
        <f t="shared" si="3"/>
        <v>0</v>
      </c>
      <c r="V17" s="5">
        <f t="shared" si="15"/>
        <v>499</v>
      </c>
      <c r="W17" s="309">
        <f t="shared" si="16"/>
        <v>0</v>
      </c>
      <c r="X17" s="5">
        <v>155960</v>
      </c>
      <c r="Y17" s="309">
        <f t="shared" si="43"/>
        <v>123</v>
      </c>
      <c r="Z17" s="5">
        <f t="shared" si="18"/>
        <v>99668</v>
      </c>
      <c r="AA17" s="83">
        <f t="shared" si="19"/>
        <v>0</v>
      </c>
      <c r="AB17" s="5">
        <f t="shared" si="20"/>
        <v>258</v>
      </c>
      <c r="AC17" s="5">
        <f t="shared" si="21"/>
        <v>855</v>
      </c>
      <c r="AD17" s="83">
        <f t="shared" si="36"/>
        <v>0</v>
      </c>
      <c r="AE17" s="5">
        <f t="shared" si="22"/>
        <v>248.9</v>
      </c>
      <c r="AF17" s="83">
        <f t="shared" si="23"/>
        <v>0</v>
      </c>
      <c r="AG17" s="5">
        <f t="shared" si="24"/>
        <v>2247.41</v>
      </c>
      <c r="AH17" s="83">
        <f t="shared" si="25"/>
        <v>0</v>
      </c>
      <c r="AI17" s="83">
        <f t="shared" si="26"/>
        <v>0</v>
      </c>
      <c r="AJ17" s="311">
        <f t="shared" si="27"/>
        <v>0</v>
      </c>
      <c r="AK17" s="312">
        <f>SUM(Y17-L17)</f>
        <v>123</v>
      </c>
      <c r="AL17" s="312">
        <f t="shared" si="28"/>
        <v>0</v>
      </c>
      <c r="AM17" s="312">
        <f>'General information '!D16</f>
        <v>27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44816</v>
      </c>
      <c r="AS17" s="407">
        <f t="shared" si="30"/>
        <v>0.9</v>
      </c>
      <c r="AT17" s="201">
        <v>105</v>
      </c>
      <c r="AU17" s="408">
        <f t="shared" si="44"/>
        <v>1.1000000000000001</v>
      </c>
      <c r="AV17" s="201">
        <v>138</v>
      </c>
      <c r="AW17" s="5">
        <v>2.9</v>
      </c>
      <c r="AX17" s="201">
        <v>120</v>
      </c>
      <c r="AY17" s="409">
        <f t="shared" si="38"/>
        <v>94.5</v>
      </c>
      <c r="AZ17" s="409">
        <f t="shared" si="39"/>
        <v>151.80000000000001</v>
      </c>
      <c r="BA17" s="409">
        <f t="shared" si="40"/>
        <v>348</v>
      </c>
      <c r="BB17" s="21">
        <f t="shared" si="41"/>
        <v>-94.5</v>
      </c>
      <c r="BC17" s="21">
        <f t="shared" si="33"/>
        <v>-1.0999999999999943</v>
      </c>
      <c r="BD17" s="21">
        <f t="shared" si="33"/>
        <v>58</v>
      </c>
      <c r="BE17" s="24">
        <f t="shared" si="34"/>
        <v>-37.599999999999994</v>
      </c>
      <c r="BF17" s="96">
        <f t="shared" si="35"/>
        <v>37.599999999999994</v>
      </c>
      <c r="BG17" s="82">
        <f t="shared" si="4"/>
        <v>-37.599999999999994</v>
      </c>
    </row>
    <row r="18" spans="1:61" ht="15.75" thickBot="1">
      <c r="A18" s="6">
        <f>ELEC!C16</f>
        <v>44817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630568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2"/>
        <v>0</v>
      </c>
      <c r="M18" s="393">
        <f t="shared" si="12"/>
        <v>457.44</v>
      </c>
      <c r="N18" s="482">
        <f t="shared" si="45"/>
        <v>0</v>
      </c>
      <c r="O18" s="393">
        <f t="shared" si="13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4"/>
        <v>5191</v>
      </c>
      <c r="U18" s="5">
        <f t="shared" si="3"/>
        <v>0</v>
      </c>
      <c r="V18" s="5">
        <f t="shared" si="15"/>
        <v>499</v>
      </c>
      <c r="W18" s="309">
        <f t="shared" si="16"/>
        <v>0</v>
      </c>
      <c r="X18" s="5">
        <f t="shared" si="17"/>
        <v>155960</v>
      </c>
      <c r="Y18" s="309">
        <f t="shared" si="43"/>
        <v>0</v>
      </c>
      <c r="Z18" s="5">
        <f t="shared" si="18"/>
        <v>99668</v>
      </c>
      <c r="AA18" s="83">
        <f t="shared" si="19"/>
        <v>0</v>
      </c>
      <c r="AB18" s="5">
        <f t="shared" si="20"/>
        <v>258</v>
      </c>
      <c r="AC18" s="5">
        <f t="shared" si="21"/>
        <v>855</v>
      </c>
      <c r="AD18" s="83">
        <f t="shared" si="36"/>
        <v>0</v>
      </c>
      <c r="AE18" s="5">
        <f t="shared" si="22"/>
        <v>248.9</v>
      </c>
      <c r="AF18" s="83">
        <f t="shared" si="23"/>
        <v>0</v>
      </c>
      <c r="AG18" s="5">
        <f t="shared" si="24"/>
        <v>2247.41</v>
      </c>
      <c r="AH18" s="83">
        <f t="shared" si="25"/>
        <v>0</v>
      </c>
      <c r="AI18" s="83">
        <f t="shared" si="26"/>
        <v>0</v>
      </c>
      <c r="AJ18" s="311">
        <f t="shared" si="27"/>
        <v>0</v>
      </c>
      <c r="AK18" s="312">
        <f>SUM(Y18-L18)</f>
        <v>0</v>
      </c>
      <c r="AL18" s="312">
        <f t="shared" si="28"/>
        <v>0</v>
      </c>
      <c r="AM18" s="312">
        <f>'General information '!D17</f>
        <v>26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44817</v>
      </c>
      <c r="AS18" s="407">
        <f t="shared" si="30"/>
        <v>0.9</v>
      </c>
      <c r="AT18" s="201">
        <v>91</v>
      </c>
      <c r="AU18" s="408">
        <f t="shared" si="44"/>
        <v>1.1000000000000001</v>
      </c>
      <c r="AV18" s="201">
        <v>136</v>
      </c>
      <c r="AW18" s="5">
        <v>2.9</v>
      </c>
      <c r="AX18" s="201">
        <v>119</v>
      </c>
      <c r="AY18" s="409">
        <f t="shared" si="38"/>
        <v>81.900000000000006</v>
      </c>
      <c r="AZ18" s="409">
        <f t="shared" si="39"/>
        <v>149.60000000000002</v>
      </c>
      <c r="BA18" s="409">
        <f t="shared" si="40"/>
        <v>345.09999999999997</v>
      </c>
      <c r="BB18" s="21">
        <f t="shared" si="41"/>
        <v>-12.599999999999994</v>
      </c>
      <c r="BC18" s="21">
        <f t="shared" si="33"/>
        <v>-2.1999999999999886</v>
      </c>
      <c r="BD18" s="21">
        <f t="shared" si="33"/>
        <v>-2.9000000000000341</v>
      </c>
      <c r="BE18" s="24">
        <f t="shared" si="34"/>
        <v>-17.700000000000017</v>
      </c>
      <c r="BF18" s="96">
        <f t="shared" si="35"/>
        <v>17.700000000000017</v>
      </c>
      <c r="BG18" s="82">
        <f t="shared" si="4"/>
        <v>-17.700000000000017</v>
      </c>
    </row>
    <row r="19" spans="1:61" ht="15.75" thickBot="1">
      <c r="A19" s="6">
        <f>ELEC!C17</f>
        <v>44818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630568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2"/>
        <v>0</v>
      </c>
      <c r="M19" s="393">
        <f t="shared" si="12"/>
        <v>457.44</v>
      </c>
      <c r="N19" s="482">
        <f t="shared" si="45"/>
        <v>0</v>
      </c>
      <c r="O19" s="393">
        <f t="shared" si="13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4"/>
        <v>5191</v>
      </c>
      <c r="U19" s="5">
        <f t="shared" si="3"/>
        <v>0</v>
      </c>
      <c r="V19" s="5">
        <f t="shared" si="15"/>
        <v>499</v>
      </c>
      <c r="W19" s="309">
        <f t="shared" si="16"/>
        <v>0</v>
      </c>
      <c r="X19" s="5">
        <f t="shared" si="17"/>
        <v>155960</v>
      </c>
      <c r="Y19" s="309">
        <f t="shared" si="43"/>
        <v>0</v>
      </c>
      <c r="Z19" s="5">
        <f t="shared" si="18"/>
        <v>99668</v>
      </c>
      <c r="AA19" s="83">
        <f t="shared" si="19"/>
        <v>0</v>
      </c>
      <c r="AB19" s="5">
        <f t="shared" si="20"/>
        <v>258</v>
      </c>
      <c r="AC19" s="5">
        <f t="shared" si="21"/>
        <v>855</v>
      </c>
      <c r="AD19" s="83">
        <f t="shared" si="36"/>
        <v>0</v>
      </c>
      <c r="AE19" s="5">
        <f t="shared" si="22"/>
        <v>248.9</v>
      </c>
      <c r="AF19" s="83">
        <f t="shared" si="23"/>
        <v>0</v>
      </c>
      <c r="AG19" s="5">
        <f t="shared" si="24"/>
        <v>2247.41</v>
      </c>
      <c r="AH19" s="83">
        <f t="shared" si="25"/>
        <v>0</v>
      </c>
      <c r="AI19" s="83">
        <f t="shared" si="26"/>
        <v>0</v>
      </c>
      <c r="AJ19" s="311">
        <f t="shared" si="27"/>
        <v>0</v>
      </c>
      <c r="AK19" s="312">
        <f t="shared" si="37"/>
        <v>0</v>
      </c>
      <c r="AL19" s="312">
        <f t="shared" si="28"/>
        <v>0</v>
      </c>
      <c r="AM19" s="312">
        <f>'General information '!D18</f>
        <v>28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44818</v>
      </c>
      <c r="AS19" s="407">
        <f t="shared" si="30"/>
        <v>0.9</v>
      </c>
      <c r="AT19" s="201">
        <f t="shared" si="30"/>
        <v>91</v>
      </c>
      <c r="AU19" s="408">
        <f t="shared" si="44"/>
        <v>1.1000000000000001</v>
      </c>
      <c r="AV19" s="201">
        <v>132</v>
      </c>
      <c r="AW19" s="5">
        <v>2.9</v>
      </c>
      <c r="AX19" s="201">
        <v>117</v>
      </c>
      <c r="AY19" s="409">
        <f>AS19*AT19</f>
        <v>81.900000000000006</v>
      </c>
      <c r="AZ19" s="409">
        <f>AU19*AV19</f>
        <v>145.20000000000002</v>
      </c>
      <c r="BA19" s="409">
        <f>AW19*AX19</f>
        <v>339.3</v>
      </c>
      <c r="BB19" s="21">
        <f t="shared" si="41"/>
        <v>0</v>
      </c>
      <c r="BC19" s="21">
        <f t="shared" ref="BC19:BD20" si="48">AZ19-AZ18</f>
        <v>-4.4000000000000057</v>
      </c>
      <c r="BD19" s="21">
        <f t="shared" si="48"/>
        <v>-5.7999999999999545</v>
      </c>
      <c r="BE19" s="24">
        <f>SUM(BB19:BD19)</f>
        <v>-10.19999999999996</v>
      </c>
      <c r="BF19" s="96">
        <f t="shared" si="35"/>
        <v>10.19999999999996</v>
      </c>
      <c r="BG19" s="82">
        <f t="shared" si="4"/>
        <v>-10.19999999999996</v>
      </c>
    </row>
    <row r="20" spans="1:61" ht="15.75" thickBot="1">
      <c r="A20" s="6">
        <f>ELEC!C18</f>
        <v>44819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630568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2"/>
        <v>0</v>
      </c>
      <c r="M20" s="393">
        <f t="shared" si="12"/>
        <v>457.44</v>
      </c>
      <c r="N20" s="482">
        <f t="shared" si="45"/>
        <v>0</v>
      </c>
      <c r="O20" s="393">
        <f t="shared" si="13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4"/>
        <v>5191</v>
      </c>
      <c r="U20" s="5">
        <f t="shared" si="3"/>
        <v>0</v>
      </c>
      <c r="V20" s="5">
        <f t="shared" si="15"/>
        <v>499</v>
      </c>
      <c r="W20" s="309">
        <f t="shared" si="16"/>
        <v>0</v>
      </c>
      <c r="X20" s="5">
        <f t="shared" si="17"/>
        <v>155960</v>
      </c>
      <c r="Y20" s="309">
        <f t="shared" si="43"/>
        <v>0</v>
      </c>
      <c r="Z20" s="5">
        <f t="shared" si="18"/>
        <v>99668</v>
      </c>
      <c r="AA20" s="83">
        <f t="shared" si="19"/>
        <v>0</v>
      </c>
      <c r="AB20" s="5">
        <f t="shared" si="20"/>
        <v>258</v>
      </c>
      <c r="AC20" s="5">
        <f t="shared" si="21"/>
        <v>855</v>
      </c>
      <c r="AD20" s="83">
        <f t="shared" si="36"/>
        <v>0</v>
      </c>
      <c r="AE20" s="5">
        <f t="shared" si="22"/>
        <v>248.9</v>
      </c>
      <c r="AF20" s="83">
        <f t="shared" si="23"/>
        <v>0</v>
      </c>
      <c r="AG20" s="5">
        <f t="shared" si="24"/>
        <v>2247.41</v>
      </c>
      <c r="AH20" s="83">
        <f t="shared" si="25"/>
        <v>0</v>
      </c>
      <c r="AI20" s="83">
        <f t="shared" si="26"/>
        <v>0</v>
      </c>
      <c r="AJ20" s="311">
        <f t="shared" si="27"/>
        <v>0</v>
      </c>
      <c r="AK20" s="312">
        <f t="shared" si="37"/>
        <v>0</v>
      </c>
      <c r="AL20" s="312">
        <f t="shared" si="28"/>
        <v>0</v>
      </c>
      <c r="AM20" s="312">
        <f>'General information '!D19</f>
        <v>27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44819</v>
      </c>
      <c r="AS20" s="407">
        <f t="shared" si="30"/>
        <v>0.9</v>
      </c>
      <c r="AT20" s="201">
        <f t="shared" si="30"/>
        <v>91</v>
      </c>
      <c r="AU20" s="408">
        <f t="shared" si="44"/>
        <v>1.1000000000000001</v>
      </c>
      <c r="AV20" s="201">
        <f t="shared" si="31"/>
        <v>132</v>
      </c>
      <c r="AW20" s="5">
        <v>2.9</v>
      </c>
      <c r="AX20" s="201">
        <f t="shared" si="32"/>
        <v>117</v>
      </c>
      <c r="AY20" s="409">
        <f>AS20*AT20</f>
        <v>81.900000000000006</v>
      </c>
      <c r="AZ20" s="409">
        <f>AU20*AV20</f>
        <v>145.20000000000002</v>
      </c>
      <c r="BA20" s="409">
        <f>AW20*AX20</f>
        <v>339.3</v>
      </c>
      <c r="BB20" s="21">
        <f t="shared" si="41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5"/>
        <v>0</v>
      </c>
      <c r="BG20" s="82">
        <f t="shared" si="4"/>
        <v>0</v>
      </c>
    </row>
    <row r="21" spans="1:61" ht="15.75" thickBot="1">
      <c r="A21" s="6">
        <f>ELEC!C19</f>
        <v>44820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630568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2"/>
        <v>0</v>
      </c>
      <c r="M21" s="393">
        <f t="shared" si="12"/>
        <v>457.44</v>
      </c>
      <c r="N21" s="482">
        <f t="shared" si="45"/>
        <v>0</v>
      </c>
      <c r="O21" s="393">
        <f t="shared" si="13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4"/>
        <v>5191</v>
      </c>
      <c r="U21" s="5">
        <f t="shared" si="3"/>
        <v>0</v>
      </c>
      <c r="V21" s="5">
        <f t="shared" si="15"/>
        <v>499</v>
      </c>
      <c r="W21" s="309">
        <f t="shared" si="16"/>
        <v>0</v>
      </c>
      <c r="X21" s="5">
        <f t="shared" si="17"/>
        <v>155960</v>
      </c>
      <c r="Y21" s="309">
        <f>SUM(X21-X20)</f>
        <v>0</v>
      </c>
      <c r="Z21" s="5">
        <f t="shared" si="18"/>
        <v>99668</v>
      </c>
      <c r="AA21" s="83">
        <f t="shared" si="19"/>
        <v>0</v>
      </c>
      <c r="AB21" s="5">
        <f t="shared" si="20"/>
        <v>258</v>
      </c>
      <c r="AC21" s="5">
        <f t="shared" si="21"/>
        <v>855</v>
      </c>
      <c r="AD21" s="83">
        <f t="shared" si="36"/>
        <v>0</v>
      </c>
      <c r="AE21" s="5">
        <f t="shared" si="22"/>
        <v>248.9</v>
      </c>
      <c r="AF21" s="83">
        <f t="shared" si="23"/>
        <v>0</v>
      </c>
      <c r="AG21" s="5">
        <f t="shared" si="24"/>
        <v>2247.41</v>
      </c>
      <c r="AH21" s="83">
        <f t="shared" si="25"/>
        <v>0</v>
      </c>
      <c r="AI21" s="83">
        <f t="shared" si="26"/>
        <v>0</v>
      </c>
      <c r="AJ21" s="311">
        <f t="shared" si="27"/>
        <v>0</v>
      </c>
      <c r="AK21" s="312">
        <f>SUM(Y21-L21)</f>
        <v>0</v>
      </c>
      <c r="AL21" s="312">
        <f t="shared" si="28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44820</v>
      </c>
      <c r="AS21" s="407">
        <f t="shared" si="30"/>
        <v>0.9</v>
      </c>
      <c r="AT21" s="201">
        <f t="shared" si="30"/>
        <v>91</v>
      </c>
      <c r="AU21" s="408">
        <f t="shared" si="44"/>
        <v>1.1000000000000001</v>
      </c>
      <c r="AV21" s="201">
        <f t="shared" si="31"/>
        <v>132</v>
      </c>
      <c r="AW21" s="5">
        <v>2.9</v>
      </c>
      <c r="AX21" s="201">
        <f t="shared" si="32"/>
        <v>117</v>
      </c>
      <c r="AY21" s="409">
        <f>AS21*AT21</f>
        <v>81.900000000000006</v>
      </c>
      <c r="AZ21" s="409">
        <f>AU21*AV21</f>
        <v>145.20000000000002</v>
      </c>
      <c r="BA21" s="409">
        <f>AW21*AX21</f>
        <v>339.3</v>
      </c>
      <c r="BB21" s="21">
        <f t="shared" si="41"/>
        <v>0</v>
      </c>
      <c r="BC21" s="21">
        <f t="shared" si="33"/>
        <v>0</v>
      </c>
      <c r="BD21" s="21">
        <f t="shared" si="33"/>
        <v>0</v>
      </c>
      <c r="BE21" s="24">
        <f t="shared" si="34"/>
        <v>0</v>
      </c>
      <c r="BF21" s="96">
        <f t="shared" si="35"/>
        <v>0</v>
      </c>
      <c r="BG21" s="82">
        <f t="shared" si="4"/>
        <v>0</v>
      </c>
    </row>
    <row r="22" spans="1:61" ht="15.75" thickBot="1">
      <c r="A22" s="6">
        <f>ELEC!C20</f>
        <v>44821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630568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 t="shared" si="11"/>
        <v>7089</v>
      </c>
      <c r="L22" s="83">
        <f t="shared" si="42"/>
        <v>0</v>
      </c>
      <c r="M22" s="393">
        <f t="shared" si="12"/>
        <v>457.44</v>
      </c>
      <c r="N22" s="482">
        <f t="shared" si="45"/>
        <v>0</v>
      </c>
      <c r="O22" s="393">
        <f t="shared" si="13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4"/>
        <v>5191</v>
      </c>
      <c r="U22" s="5">
        <f t="shared" si="3"/>
        <v>0</v>
      </c>
      <c r="V22" s="5">
        <f t="shared" si="15"/>
        <v>499</v>
      </c>
      <c r="W22" s="309">
        <f t="shared" si="16"/>
        <v>0</v>
      </c>
      <c r="X22" s="5">
        <f t="shared" si="17"/>
        <v>155960</v>
      </c>
      <c r="Y22" s="309">
        <f t="shared" si="43"/>
        <v>0</v>
      </c>
      <c r="Z22" s="5">
        <f t="shared" si="18"/>
        <v>99668</v>
      </c>
      <c r="AA22" s="83">
        <f t="shared" si="19"/>
        <v>0</v>
      </c>
      <c r="AB22" s="5">
        <f t="shared" si="20"/>
        <v>258</v>
      </c>
      <c r="AC22" s="5">
        <f t="shared" si="21"/>
        <v>855</v>
      </c>
      <c r="AD22" s="83">
        <f t="shared" si="36"/>
        <v>0</v>
      </c>
      <c r="AE22" s="5">
        <f t="shared" si="22"/>
        <v>248.9</v>
      </c>
      <c r="AF22" s="83">
        <f t="shared" si="23"/>
        <v>0</v>
      </c>
      <c r="AG22" s="5">
        <f t="shared" si="24"/>
        <v>2247.41</v>
      </c>
      <c r="AH22" s="83">
        <f t="shared" si="25"/>
        <v>0</v>
      </c>
      <c r="AI22" s="83">
        <f t="shared" si="26"/>
        <v>0</v>
      </c>
      <c r="AJ22" s="311">
        <f t="shared" si="27"/>
        <v>0</v>
      </c>
      <c r="AK22" s="312">
        <f t="shared" si="37"/>
        <v>0</v>
      </c>
      <c r="AL22" s="312">
        <f t="shared" si="28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44821</v>
      </c>
      <c r="AS22" s="407">
        <f t="shared" ref="AS22:AT33" si="49">AS21</f>
        <v>0.9</v>
      </c>
      <c r="AT22" s="201">
        <f t="shared" si="49"/>
        <v>91</v>
      </c>
      <c r="AU22" s="408">
        <f t="shared" si="44"/>
        <v>1.1000000000000001</v>
      </c>
      <c r="AV22" s="201">
        <f t="shared" si="31"/>
        <v>132</v>
      </c>
      <c r="AW22" s="5">
        <v>2.9</v>
      </c>
      <c r="AX22" s="201">
        <f t="shared" si="32"/>
        <v>117</v>
      </c>
      <c r="AY22" s="409">
        <f t="shared" si="38"/>
        <v>81.900000000000006</v>
      </c>
      <c r="AZ22" s="409">
        <f t="shared" si="39"/>
        <v>145.20000000000002</v>
      </c>
      <c r="BA22" s="409">
        <f t="shared" si="40"/>
        <v>339.3</v>
      </c>
      <c r="BB22" s="21">
        <f t="shared" si="41"/>
        <v>0</v>
      </c>
      <c r="BC22" s="21">
        <f t="shared" ref="BC22:BD33" si="50">AZ22-AZ21</f>
        <v>0</v>
      </c>
      <c r="BD22" s="21">
        <f t="shared" si="50"/>
        <v>0</v>
      </c>
      <c r="BE22" s="24">
        <f t="shared" si="34"/>
        <v>0</v>
      </c>
      <c r="BF22" s="96">
        <f t="shared" si="35"/>
        <v>0</v>
      </c>
      <c r="BG22" s="82">
        <f t="shared" si="4"/>
        <v>0</v>
      </c>
    </row>
    <row r="23" spans="1:61" ht="15.75" thickBot="1">
      <c r="A23" s="6">
        <f>ELEC!C21</f>
        <v>44822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8"/>
        <v>630568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2"/>
        <v>0</v>
      </c>
      <c r="M23" s="393">
        <f t="shared" si="12"/>
        <v>457.44</v>
      </c>
      <c r="N23" s="482">
        <f t="shared" si="45"/>
        <v>0</v>
      </c>
      <c r="O23" s="393">
        <f t="shared" si="13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4"/>
        <v>5191</v>
      </c>
      <c r="U23" s="5">
        <f t="shared" si="3"/>
        <v>0</v>
      </c>
      <c r="V23" s="5">
        <f t="shared" si="15"/>
        <v>499</v>
      </c>
      <c r="W23" s="309">
        <f t="shared" si="16"/>
        <v>0</v>
      </c>
      <c r="X23" s="5">
        <f t="shared" si="17"/>
        <v>155960</v>
      </c>
      <c r="Y23" s="309">
        <f t="shared" si="43"/>
        <v>0</v>
      </c>
      <c r="Z23" s="5">
        <f t="shared" si="18"/>
        <v>99668</v>
      </c>
      <c r="AA23" s="83">
        <f t="shared" si="19"/>
        <v>0</v>
      </c>
      <c r="AB23" s="5">
        <f t="shared" si="20"/>
        <v>258</v>
      </c>
      <c r="AC23" s="5">
        <f t="shared" si="21"/>
        <v>855</v>
      </c>
      <c r="AD23" s="83">
        <f t="shared" si="36"/>
        <v>0</v>
      </c>
      <c r="AE23" s="5">
        <f t="shared" si="22"/>
        <v>248.9</v>
      </c>
      <c r="AF23" s="83">
        <f t="shared" si="23"/>
        <v>0</v>
      </c>
      <c r="AG23" s="5">
        <f t="shared" si="24"/>
        <v>2247.41</v>
      </c>
      <c r="AH23" s="83">
        <f t="shared" si="25"/>
        <v>0</v>
      </c>
      <c r="AI23" s="83">
        <f t="shared" si="26"/>
        <v>0</v>
      </c>
      <c r="AJ23" s="311">
        <f t="shared" si="27"/>
        <v>0</v>
      </c>
      <c r="AK23" s="312">
        <f t="shared" si="37"/>
        <v>0</v>
      </c>
      <c r="AL23" s="312">
        <f t="shared" si="28"/>
        <v>0</v>
      </c>
      <c r="AM23" s="312">
        <f>'General information '!D22</f>
        <v>27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44822</v>
      </c>
      <c r="AS23" s="407">
        <f t="shared" si="49"/>
        <v>0.9</v>
      </c>
      <c r="AT23" s="201">
        <v>90</v>
      </c>
      <c r="AU23" s="408">
        <f t="shared" si="44"/>
        <v>1.1000000000000001</v>
      </c>
      <c r="AV23" s="201">
        <v>130</v>
      </c>
      <c r="AW23" s="5">
        <v>2.9</v>
      </c>
      <c r="AX23" s="201">
        <v>113</v>
      </c>
      <c r="AY23" s="409">
        <f t="shared" si="38"/>
        <v>81</v>
      </c>
      <c r="AZ23" s="409">
        <f t="shared" si="39"/>
        <v>143</v>
      </c>
      <c r="BA23" s="409">
        <f t="shared" si="40"/>
        <v>327.7</v>
      </c>
      <c r="BB23" s="21">
        <f t="shared" si="41"/>
        <v>-0.90000000000000568</v>
      </c>
      <c r="BC23" s="21">
        <f t="shared" si="50"/>
        <v>-2.2000000000000171</v>
      </c>
      <c r="BD23" s="21">
        <f t="shared" si="50"/>
        <v>-11.600000000000023</v>
      </c>
      <c r="BE23" s="24">
        <f t="shared" si="34"/>
        <v>-14.700000000000045</v>
      </c>
      <c r="BF23" s="96">
        <f t="shared" si="35"/>
        <v>14.700000000000045</v>
      </c>
      <c r="BG23" s="82">
        <f t="shared" si="4"/>
        <v>-14.700000000000045</v>
      </c>
    </row>
    <row r="24" spans="1:61" ht="15.75" thickBot="1">
      <c r="A24" s="6">
        <f>ELEC!C22</f>
        <v>44823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630568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2"/>
        <v>0</v>
      </c>
      <c r="M24" s="393">
        <f t="shared" si="12"/>
        <v>457.44</v>
      </c>
      <c r="N24" s="482">
        <f t="shared" si="45"/>
        <v>0</v>
      </c>
      <c r="O24" s="393">
        <f t="shared" si="13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4"/>
        <v>5191</v>
      </c>
      <c r="U24" s="5">
        <f t="shared" si="3"/>
        <v>0</v>
      </c>
      <c r="V24" s="5">
        <f t="shared" si="15"/>
        <v>499</v>
      </c>
      <c r="W24" s="309">
        <f t="shared" si="16"/>
        <v>0</v>
      </c>
      <c r="X24" s="5">
        <f t="shared" si="17"/>
        <v>155960</v>
      </c>
      <c r="Y24" s="309">
        <f t="shared" si="43"/>
        <v>0</v>
      </c>
      <c r="Z24" s="5">
        <f t="shared" si="18"/>
        <v>99668</v>
      </c>
      <c r="AA24" s="83">
        <f t="shared" si="19"/>
        <v>0</v>
      </c>
      <c r="AB24" s="5">
        <f t="shared" si="20"/>
        <v>258</v>
      </c>
      <c r="AC24" s="5">
        <f t="shared" si="21"/>
        <v>855</v>
      </c>
      <c r="AD24" s="83">
        <f t="shared" si="36"/>
        <v>0</v>
      </c>
      <c r="AE24" s="5">
        <f t="shared" si="22"/>
        <v>248.9</v>
      </c>
      <c r="AF24" s="83">
        <f t="shared" si="23"/>
        <v>0</v>
      </c>
      <c r="AG24" s="5">
        <f t="shared" si="24"/>
        <v>2247.41</v>
      </c>
      <c r="AH24" s="83">
        <f t="shared" si="25"/>
        <v>0</v>
      </c>
      <c r="AI24" s="83">
        <f t="shared" si="26"/>
        <v>0</v>
      </c>
      <c r="AJ24" s="311">
        <f t="shared" si="27"/>
        <v>0</v>
      </c>
      <c r="AK24" s="312">
        <f t="shared" si="37"/>
        <v>0</v>
      </c>
      <c r="AL24" s="312">
        <f t="shared" si="28"/>
        <v>0</v>
      </c>
      <c r="AM24" s="312">
        <f>'General information '!D23</f>
        <v>26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9"/>
        <v>44823</v>
      </c>
      <c r="AS24" s="407">
        <f t="shared" si="49"/>
        <v>0.9</v>
      </c>
      <c r="AT24" s="201">
        <v>135</v>
      </c>
      <c r="AU24" s="408">
        <f t="shared" si="44"/>
        <v>1.1000000000000001</v>
      </c>
      <c r="AV24" s="201">
        <f t="shared" si="31"/>
        <v>130</v>
      </c>
      <c r="AW24" s="5">
        <v>2.9</v>
      </c>
      <c r="AX24" s="201">
        <f t="shared" si="32"/>
        <v>113</v>
      </c>
      <c r="AY24" s="409">
        <f t="shared" si="38"/>
        <v>121.5</v>
      </c>
      <c r="AZ24" s="409">
        <f t="shared" si="39"/>
        <v>143</v>
      </c>
      <c r="BA24" s="409">
        <f t="shared" si="40"/>
        <v>327.7</v>
      </c>
      <c r="BB24" s="21">
        <f t="shared" si="41"/>
        <v>40.5</v>
      </c>
      <c r="BC24" s="21">
        <f t="shared" si="50"/>
        <v>0</v>
      </c>
      <c r="BD24" s="21">
        <f t="shared" si="50"/>
        <v>0</v>
      </c>
      <c r="BE24" s="24">
        <f t="shared" si="34"/>
        <v>40.5</v>
      </c>
      <c r="BF24" s="96">
        <f t="shared" si="35"/>
        <v>-40.5</v>
      </c>
      <c r="BG24" s="82">
        <f t="shared" si="4"/>
        <v>40.5</v>
      </c>
      <c r="BI24" s="82"/>
    </row>
    <row r="25" spans="1:61" ht="15.75" thickBot="1">
      <c r="A25" s="6">
        <f>ELEC!C23</f>
        <v>44824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630568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2"/>
        <v>0</v>
      </c>
      <c r="M25" s="393">
        <f t="shared" si="12"/>
        <v>457.44</v>
      </c>
      <c r="N25" s="482">
        <f t="shared" si="45"/>
        <v>0</v>
      </c>
      <c r="O25" s="393">
        <f t="shared" si="13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4"/>
        <v>5191</v>
      </c>
      <c r="U25" s="5">
        <f t="shared" si="3"/>
        <v>0</v>
      </c>
      <c r="V25" s="5">
        <f t="shared" si="15"/>
        <v>499</v>
      </c>
      <c r="W25" s="309">
        <f t="shared" si="16"/>
        <v>0</v>
      </c>
      <c r="X25" s="5">
        <f t="shared" si="17"/>
        <v>155960</v>
      </c>
      <c r="Y25" s="309">
        <f t="shared" si="43"/>
        <v>0</v>
      </c>
      <c r="Z25" s="5">
        <f t="shared" si="18"/>
        <v>99668</v>
      </c>
      <c r="AA25" s="83">
        <f t="shared" si="19"/>
        <v>0</v>
      </c>
      <c r="AB25" s="5">
        <f t="shared" si="20"/>
        <v>258</v>
      </c>
      <c r="AC25" s="5">
        <f t="shared" si="21"/>
        <v>855</v>
      </c>
      <c r="AD25" s="83">
        <f t="shared" si="36"/>
        <v>0</v>
      </c>
      <c r="AE25" s="5">
        <f t="shared" si="22"/>
        <v>248.9</v>
      </c>
      <c r="AF25" s="83">
        <f t="shared" si="23"/>
        <v>0</v>
      </c>
      <c r="AG25" s="5">
        <f t="shared" si="24"/>
        <v>2247.41</v>
      </c>
      <c r="AH25" s="83">
        <f t="shared" si="25"/>
        <v>0</v>
      </c>
      <c r="AI25" s="83">
        <f t="shared" si="26"/>
        <v>0</v>
      </c>
      <c r="AJ25" s="311">
        <f t="shared" si="27"/>
        <v>0</v>
      </c>
      <c r="AK25" s="312">
        <f t="shared" si="37"/>
        <v>0</v>
      </c>
      <c r="AL25" s="312">
        <f t="shared" si="28"/>
        <v>0</v>
      </c>
      <c r="AM25" s="312">
        <f>'General information '!D24</f>
        <v>25.5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44824</v>
      </c>
      <c r="AS25" s="407">
        <f t="shared" si="49"/>
        <v>0.9</v>
      </c>
      <c r="AT25" s="201">
        <v>135</v>
      </c>
      <c r="AU25" s="408">
        <f t="shared" si="44"/>
        <v>1.1000000000000001</v>
      </c>
      <c r="AV25" s="201">
        <v>129</v>
      </c>
      <c r="AW25" s="5">
        <v>2.9</v>
      </c>
      <c r="AX25" s="201">
        <v>110</v>
      </c>
      <c r="AY25" s="409">
        <f t="shared" si="38"/>
        <v>121.5</v>
      </c>
      <c r="AZ25" s="409">
        <f t="shared" si="39"/>
        <v>141.9</v>
      </c>
      <c r="BA25" s="409">
        <f t="shared" si="40"/>
        <v>319</v>
      </c>
      <c r="BB25" s="21">
        <f t="shared" si="41"/>
        <v>0</v>
      </c>
      <c r="BC25" s="21">
        <f t="shared" si="50"/>
        <v>-1.0999999999999943</v>
      </c>
      <c r="BD25" s="21">
        <f t="shared" si="50"/>
        <v>-8.6999999999999886</v>
      </c>
      <c r="BE25" s="24">
        <f t="shared" si="34"/>
        <v>-9.7999999999999829</v>
      </c>
      <c r="BF25" s="96">
        <f t="shared" si="35"/>
        <v>9.7999999999999829</v>
      </c>
      <c r="BG25" s="82">
        <f t="shared" si="4"/>
        <v>-9.7999999999999829</v>
      </c>
    </row>
    <row r="26" spans="1:61" ht="15.75" thickBot="1">
      <c r="A26" s="6">
        <f>ELEC!C24</f>
        <v>44825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630568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 t="shared" si="11"/>
        <v>7089</v>
      </c>
      <c r="L26" s="263">
        <f t="shared" si="42"/>
        <v>0</v>
      </c>
      <c r="M26" s="393">
        <f t="shared" si="12"/>
        <v>457.44</v>
      </c>
      <c r="N26" s="482">
        <f t="shared" si="45"/>
        <v>0</v>
      </c>
      <c r="O26" s="393">
        <f t="shared" si="13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4"/>
        <v>5191</v>
      </c>
      <c r="U26" s="5">
        <f t="shared" si="3"/>
        <v>0</v>
      </c>
      <c r="V26" s="5">
        <f t="shared" si="15"/>
        <v>499</v>
      </c>
      <c r="W26" s="309">
        <f t="shared" si="16"/>
        <v>0</v>
      </c>
      <c r="X26" s="5">
        <f t="shared" si="17"/>
        <v>155960</v>
      </c>
      <c r="Y26" s="309">
        <f t="shared" si="43"/>
        <v>0</v>
      </c>
      <c r="Z26" s="5">
        <f t="shared" si="18"/>
        <v>99668</v>
      </c>
      <c r="AA26" s="83">
        <f t="shared" si="19"/>
        <v>0</v>
      </c>
      <c r="AB26" s="5">
        <f t="shared" si="20"/>
        <v>258</v>
      </c>
      <c r="AC26" s="5">
        <f t="shared" si="21"/>
        <v>855</v>
      </c>
      <c r="AD26" s="83">
        <f t="shared" si="36"/>
        <v>0</v>
      </c>
      <c r="AE26" s="5">
        <f t="shared" si="22"/>
        <v>248.9</v>
      </c>
      <c r="AF26" s="83">
        <f t="shared" si="23"/>
        <v>0</v>
      </c>
      <c r="AG26" s="5">
        <f t="shared" si="24"/>
        <v>2247.41</v>
      </c>
      <c r="AH26" s="83">
        <f t="shared" si="25"/>
        <v>0</v>
      </c>
      <c r="AI26" s="83">
        <f t="shared" si="26"/>
        <v>0</v>
      </c>
      <c r="AJ26" s="311">
        <f t="shared" si="27"/>
        <v>0</v>
      </c>
      <c r="AK26" s="312">
        <f>SUM(Y26-L26)</f>
        <v>0</v>
      </c>
      <c r="AL26" s="312">
        <f>SUM(AJ26-W26)</f>
        <v>0</v>
      </c>
      <c r="AM26" s="312">
        <f>'General information '!D25</f>
        <v>26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44825</v>
      </c>
      <c r="AS26" s="407">
        <f t="shared" si="49"/>
        <v>0.9</v>
      </c>
      <c r="AT26" s="201">
        <v>190</v>
      </c>
      <c r="AU26" s="408">
        <f t="shared" si="44"/>
        <v>1.1000000000000001</v>
      </c>
      <c r="AV26" s="201">
        <v>122</v>
      </c>
      <c r="AW26" s="5">
        <v>2.9</v>
      </c>
      <c r="AX26" s="201">
        <v>106</v>
      </c>
      <c r="AY26" s="409">
        <f t="shared" si="38"/>
        <v>171</v>
      </c>
      <c r="AZ26" s="409">
        <f t="shared" si="39"/>
        <v>134.20000000000002</v>
      </c>
      <c r="BA26" s="409">
        <f t="shared" si="40"/>
        <v>307.39999999999998</v>
      </c>
      <c r="BB26" s="21">
        <f t="shared" si="41"/>
        <v>49.5</v>
      </c>
      <c r="BC26" s="21">
        <f t="shared" si="50"/>
        <v>-7.6999999999999886</v>
      </c>
      <c r="BD26" s="21">
        <f t="shared" si="50"/>
        <v>-11.600000000000023</v>
      </c>
      <c r="BE26" s="24">
        <f t="shared" si="34"/>
        <v>30.199999999999989</v>
      </c>
      <c r="BF26" s="96">
        <f t="shared" si="35"/>
        <v>-30.199999999999989</v>
      </c>
      <c r="BG26" s="82">
        <f t="shared" si="4"/>
        <v>30.199999999999989</v>
      </c>
    </row>
    <row r="27" spans="1:61" ht="15.75" thickBot="1">
      <c r="A27" s="6">
        <f>ELEC!C25</f>
        <v>44826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630568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2"/>
        <v>0</v>
      </c>
      <c r="M27" s="393">
        <f t="shared" si="12"/>
        <v>457.44</v>
      </c>
      <c r="N27" s="482">
        <f t="shared" si="45"/>
        <v>0</v>
      </c>
      <c r="O27" s="393">
        <f t="shared" si="13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4"/>
        <v>5191</v>
      </c>
      <c r="U27" s="5">
        <f t="shared" si="3"/>
        <v>0</v>
      </c>
      <c r="V27" s="5">
        <f t="shared" si="15"/>
        <v>499</v>
      </c>
      <c r="W27" s="309">
        <f t="shared" si="16"/>
        <v>0</v>
      </c>
      <c r="X27" s="5">
        <f t="shared" si="17"/>
        <v>155960</v>
      </c>
      <c r="Y27" s="309">
        <f t="shared" si="43"/>
        <v>0</v>
      </c>
      <c r="Z27" s="5">
        <f t="shared" si="18"/>
        <v>99668</v>
      </c>
      <c r="AA27" s="83">
        <f t="shared" si="19"/>
        <v>0</v>
      </c>
      <c r="AB27" s="5">
        <f t="shared" si="20"/>
        <v>258</v>
      </c>
      <c r="AC27" s="5">
        <f t="shared" si="21"/>
        <v>855</v>
      </c>
      <c r="AD27" s="83">
        <f t="shared" si="36"/>
        <v>0</v>
      </c>
      <c r="AE27" s="5">
        <f t="shared" si="22"/>
        <v>248.9</v>
      </c>
      <c r="AF27" s="83">
        <f t="shared" si="23"/>
        <v>0</v>
      </c>
      <c r="AG27" s="5">
        <f t="shared" si="24"/>
        <v>2247.41</v>
      </c>
      <c r="AH27" s="83">
        <f t="shared" si="25"/>
        <v>0</v>
      </c>
      <c r="AI27" s="83">
        <f t="shared" si="26"/>
        <v>0</v>
      </c>
      <c r="AJ27" s="311">
        <f t="shared" si="27"/>
        <v>0</v>
      </c>
      <c r="AK27" s="312">
        <f t="shared" si="37"/>
        <v>0</v>
      </c>
      <c r="AL27" s="312">
        <f t="shared" si="28"/>
        <v>0</v>
      </c>
      <c r="AM27" s="312">
        <f>'General information '!D26</f>
        <v>26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44826</v>
      </c>
      <c r="AS27" s="407">
        <f t="shared" si="49"/>
        <v>0.9</v>
      </c>
      <c r="AT27" s="201">
        <v>192</v>
      </c>
      <c r="AU27" s="408">
        <f t="shared" si="44"/>
        <v>1.1000000000000001</v>
      </c>
      <c r="AV27" s="201">
        <f t="shared" si="31"/>
        <v>122</v>
      </c>
      <c r="AW27" s="5">
        <v>2.9</v>
      </c>
      <c r="AX27" s="201">
        <v>105</v>
      </c>
      <c r="AY27" s="409">
        <f t="shared" si="38"/>
        <v>172.8</v>
      </c>
      <c r="AZ27" s="409">
        <f t="shared" si="39"/>
        <v>134.20000000000002</v>
      </c>
      <c r="BA27" s="409">
        <f t="shared" si="40"/>
        <v>304.5</v>
      </c>
      <c r="BB27" s="21">
        <f t="shared" si="41"/>
        <v>1.8000000000000114</v>
      </c>
      <c r="BC27" s="21">
        <f t="shared" si="50"/>
        <v>0</v>
      </c>
      <c r="BD27" s="21">
        <f t="shared" si="50"/>
        <v>-2.8999999999999773</v>
      </c>
      <c r="BE27" s="24">
        <f t="shared" si="34"/>
        <v>-1.0999999999999659</v>
      </c>
      <c r="BF27" s="96">
        <f t="shared" si="35"/>
        <v>1.0999999999999659</v>
      </c>
      <c r="BG27" s="82">
        <f t="shared" si="4"/>
        <v>-1.0999999999999659</v>
      </c>
    </row>
    <row r="28" spans="1:61" ht="15.75" thickBot="1">
      <c r="A28" s="6">
        <f>ELEC!C26</f>
        <v>44827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630568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2"/>
        <v>0</v>
      </c>
      <c r="M28" s="393">
        <f t="shared" si="12"/>
        <v>457.44</v>
      </c>
      <c r="N28" s="482">
        <f t="shared" si="45"/>
        <v>0</v>
      </c>
      <c r="O28" s="393">
        <f t="shared" si="13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4"/>
        <v>5191</v>
      </c>
      <c r="U28" s="5">
        <f t="shared" si="3"/>
        <v>0</v>
      </c>
      <c r="V28" s="5">
        <f t="shared" si="15"/>
        <v>499</v>
      </c>
      <c r="W28" s="309">
        <f t="shared" si="16"/>
        <v>0</v>
      </c>
      <c r="X28" s="5">
        <f t="shared" si="17"/>
        <v>155960</v>
      </c>
      <c r="Y28" s="309">
        <f t="shared" si="43"/>
        <v>0</v>
      </c>
      <c r="Z28" s="5">
        <f t="shared" si="18"/>
        <v>99668</v>
      </c>
      <c r="AA28" s="83">
        <f t="shared" si="19"/>
        <v>0</v>
      </c>
      <c r="AB28" s="5">
        <f t="shared" si="20"/>
        <v>258</v>
      </c>
      <c r="AC28" s="5">
        <f t="shared" si="21"/>
        <v>855</v>
      </c>
      <c r="AD28" s="83">
        <f t="shared" si="36"/>
        <v>0</v>
      </c>
      <c r="AE28" s="5">
        <f t="shared" si="22"/>
        <v>248.9</v>
      </c>
      <c r="AF28" s="83">
        <f t="shared" si="23"/>
        <v>0</v>
      </c>
      <c r="AG28" s="5">
        <f t="shared" si="24"/>
        <v>2247.41</v>
      </c>
      <c r="AH28" s="83">
        <f t="shared" si="25"/>
        <v>0</v>
      </c>
      <c r="AI28" s="83">
        <f t="shared" si="26"/>
        <v>0</v>
      </c>
      <c r="AJ28" s="311">
        <f t="shared" si="27"/>
        <v>0</v>
      </c>
      <c r="AK28" s="312">
        <f t="shared" si="37"/>
        <v>0</v>
      </c>
      <c r="AL28" s="312">
        <f t="shared" si="28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44827</v>
      </c>
      <c r="AS28" s="407">
        <f t="shared" si="49"/>
        <v>0.9</v>
      </c>
      <c r="AT28" s="201">
        <f t="shared" si="49"/>
        <v>192</v>
      </c>
      <c r="AU28" s="408">
        <f t="shared" si="44"/>
        <v>1.1000000000000001</v>
      </c>
      <c r="AV28" s="201">
        <f t="shared" si="31"/>
        <v>122</v>
      </c>
      <c r="AW28" s="5">
        <v>2.9</v>
      </c>
      <c r="AX28" s="201">
        <f t="shared" si="32"/>
        <v>105</v>
      </c>
      <c r="AY28" s="409">
        <f t="shared" si="38"/>
        <v>172.8</v>
      </c>
      <c r="AZ28" s="409">
        <f t="shared" si="39"/>
        <v>134.20000000000002</v>
      </c>
      <c r="BA28" s="409">
        <f t="shared" si="40"/>
        <v>304.5</v>
      </c>
      <c r="BB28" s="21">
        <f t="shared" si="41"/>
        <v>0</v>
      </c>
      <c r="BC28" s="21">
        <f t="shared" si="50"/>
        <v>0</v>
      </c>
      <c r="BD28" s="21">
        <f t="shared" si="50"/>
        <v>0</v>
      </c>
      <c r="BE28" s="24">
        <f t="shared" si="34"/>
        <v>0</v>
      </c>
      <c r="BF28" s="96">
        <f t="shared" si="35"/>
        <v>0</v>
      </c>
      <c r="BG28" s="82">
        <f t="shared" si="4"/>
        <v>0</v>
      </c>
    </row>
    <row r="29" spans="1:61" ht="15.75" thickBot="1">
      <c r="A29" s="6">
        <f>ELEC!C27</f>
        <v>44828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630568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 t="shared" si="11"/>
        <v>7089</v>
      </c>
      <c r="L29" s="263">
        <f t="shared" si="42"/>
        <v>0</v>
      </c>
      <c r="M29" s="393">
        <f t="shared" si="12"/>
        <v>457.44</v>
      </c>
      <c r="N29" s="482">
        <f t="shared" si="45"/>
        <v>0</v>
      </c>
      <c r="O29" s="393">
        <f t="shared" si="13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4"/>
        <v>5191</v>
      </c>
      <c r="U29" s="5">
        <f t="shared" si="3"/>
        <v>0</v>
      </c>
      <c r="V29" s="5">
        <f t="shared" si="15"/>
        <v>499</v>
      </c>
      <c r="W29" s="309">
        <f t="shared" si="16"/>
        <v>0</v>
      </c>
      <c r="X29" s="5">
        <f t="shared" si="17"/>
        <v>155960</v>
      </c>
      <c r="Y29" s="309">
        <f t="shared" si="43"/>
        <v>0</v>
      </c>
      <c r="Z29" s="5">
        <f t="shared" si="18"/>
        <v>99668</v>
      </c>
      <c r="AA29" s="83">
        <f t="shared" si="19"/>
        <v>0</v>
      </c>
      <c r="AB29" s="5">
        <f t="shared" si="20"/>
        <v>258</v>
      </c>
      <c r="AC29" s="5">
        <f t="shared" si="21"/>
        <v>855</v>
      </c>
      <c r="AD29" s="83">
        <f t="shared" si="36"/>
        <v>0</v>
      </c>
      <c r="AE29" s="5">
        <f t="shared" si="22"/>
        <v>248.9</v>
      </c>
      <c r="AF29" s="83">
        <f t="shared" si="23"/>
        <v>0</v>
      </c>
      <c r="AG29" s="5">
        <f t="shared" si="24"/>
        <v>2247.41</v>
      </c>
      <c r="AH29" s="83">
        <f t="shared" si="25"/>
        <v>0</v>
      </c>
      <c r="AI29" s="83">
        <f t="shared" si="26"/>
        <v>0</v>
      </c>
      <c r="AJ29" s="311">
        <f t="shared" si="27"/>
        <v>0</v>
      </c>
      <c r="AK29" s="312">
        <f t="shared" si="37"/>
        <v>0</v>
      </c>
      <c r="AL29" s="312">
        <f t="shared" si="28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44828</v>
      </c>
      <c r="AS29" s="407">
        <f t="shared" si="49"/>
        <v>0.9</v>
      </c>
      <c r="AT29" s="201">
        <f t="shared" si="49"/>
        <v>192</v>
      </c>
      <c r="AU29" s="408">
        <f t="shared" si="44"/>
        <v>1.1000000000000001</v>
      </c>
      <c r="AV29" s="201">
        <f t="shared" si="31"/>
        <v>122</v>
      </c>
      <c r="AW29" s="5">
        <v>2.9</v>
      </c>
      <c r="AX29" s="201">
        <f t="shared" si="32"/>
        <v>105</v>
      </c>
      <c r="AY29" s="409">
        <f t="shared" si="38"/>
        <v>172.8</v>
      </c>
      <c r="AZ29" s="409">
        <f t="shared" si="39"/>
        <v>134.20000000000002</v>
      </c>
      <c r="BA29" s="409">
        <f t="shared" si="40"/>
        <v>304.5</v>
      </c>
      <c r="BB29" s="21">
        <f t="shared" si="41"/>
        <v>0</v>
      </c>
      <c r="BC29" s="21">
        <f t="shared" si="50"/>
        <v>0</v>
      </c>
      <c r="BD29" s="21">
        <f t="shared" si="50"/>
        <v>0</v>
      </c>
      <c r="BE29" s="24">
        <f t="shared" si="34"/>
        <v>0</v>
      </c>
      <c r="BF29" s="96">
        <f t="shared" si="35"/>
        <v>0</v>
      </c>
      <c r="BG29" s="82">
        <f t="shared" si="4"/>
        <v>0</v>
      </c>
    </row>
    <row r="30" spans="1:61" ht="15.75" thickBot="1">
      <c r="A30" s="6">
        <f>ELEC!C28</f>
        <v>44829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630568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2"/>
        <v>0</v>
      </c>
      <c r="M30" s="393">
        <f t="shared" si="12"/>
        <v>457.44</v>
      </c>
      <c r="N30" s="482">
        <f t="shared" si="45"/>
        <v>0</v>
      </c>
      <c r="O30" s="393">
        <f t="shared" si="13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4"/>
        <v>5191</v>
      </c>
      <c r="U30" s="5">
        <f t="shared" si="3"/>
        <v>0</v>
      </c>
      <c r="V30" s="5">
        <f t="shared" si="15"/>
        <v>499</v>
      </c>
      <c r="W30" s="309">
        <f t="shared" si="16"/>
        <v>0</v>
      </c>
      <c r="X30" s="5">
        <f t="shared" si="17"/>
        <v>155960</v>
      </c>
      <c r="Y30" s="309">
        <f t="shared" si="43"/>
        <v>0</v>
      </c>
      <c r="Z30" s="5">
        <f t="shared" si="18"/>
        <v>99668</v>
      </c>
      <c r="AA30" s="83">
        <f t="shared" si="19"/>
        <v>0</v>
      </c>
      <c r="AB30" s="5">
        <f t="shared" si="20"/>
        <v>258</v>
      </c>
      <c r="AC30" s="5">
        <f t="shared" si="21"/>
        <v>855</v>
      </c>
      <c r="AD30" s="83">
        <f t="shared" si="36"/>
        <v>0</v>
      </c>
      <c r="AE30" s="5">
        <f t="shared" si="22"/>
        <v>248.9</v>
      </c>
      <c r="AF30" s="83">
        <f t="shared" si="23"/>
        <v>0</v>
      </c>
      <c r="AG30" s="5">
        <f t="shared" si="24"/>
        <v>2247.41</v>
      </c>
      <c r="AH30" s="83">
        <f t="shared" si="25"/>
        <v>0</v>
      </c>
      <c r="AI30" s="83">
        <f t="shared" si="26"/>
        <v>0</v>
      </c>
      <c r="AJ30" s="311">
        <f t="shared" si="27"/>
        <v>0</v>
      </c>
      <c r="AK30" s="312">
        <f t="shared" si="37"/>
        <v>0</v>
      </c>
      <c r="AL30" s="312">
        <f t="shared" si="28"/>
        <v>0</v>
      </c>
      <c r="AM30" s="312">
        <f>'General information '!D29</f>
        <v>27.5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44829</v>
      </c>
      <c r="AS30" s="407">
        <f t="shared" si="49"/>
        <v>0.9</v>
      </c>
      <c r="AT30" s="201">
        <f t="shared" si="49"/>
        <v>192</v>
      </c>
      <c r="AU30" s="408">
        <f t="shared" si="44"/>
        <v>1.1000000000000001</v>
      </c>
      <c r="AV30" s="201">
        <f t="shared" si="31"/>
        <v>122</v>
      </c>
      <c r="AW30" s="5">
        <v>2.9</v>
      </c>
      <c r="AX30" s="201">
        <f t="shared" si="32"/>
        <v>105</v>
      </c>
      <c r="AY30" s="409">
        <f t="shared" si="38"/>
        <v>172.8</v>
      </c>
      <c r="AZ30" s="409">
        <f t="shared" si="39"/>
        <v>134.20000000000002</v>
      </c>
      <c r="BA30" s="409">
        <f t="shared" si="40"/>
        <v>304.5</v>
      </c>
      <c r="BB30" s="21">
        <f t="shared" si="41"/>
        <v>0</v>
      </c>
      <c r="BC30" s="21">
        <f t="shared" si="50"/>
        <v>0</v>
      </c>
      <c r="BD30" s="21">
        <f t="shared" si="50"/>
        <v>0</v>
      </c>
      <c r="BE30" s="24">
        <f t="shared" si="34"/>
        <v>0</v>
      </c>
      <c r="BF30" s="96">
        <f t="shared" si="35"/>
        <v>0</v>
      </c>
      <c r="BG30" s="82">
        <f t="shared" si="4"/>
        <v>0</v>
      </c>
    </row>
    <row r="31" spans="1:61" ht="15.75" thickBot="1">
      <c r="A31" s="6">
        <f>ELEC!C29</f>
        <v>44830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630568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2"/>
        <v>0</v>
      </c>
      <c r="M31" s="393">
        <f t="shared" si="12"/>
        <v>457.44</v>
      </c>
      <c r="N31" s="482">
        <f t="shared" si="45"/>
        <v>0</v>
      </c>
      <c r="O31" s="393">
        <f t="shared" si="13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4"/>
        <v>5191</v>
      </c>
      <c r="U31" s="5">
        <f t="shared" si="3"/>
        <v>0</v>
      </c>
      <c r="V31" s="5">
        <f t="shared" si="15"/>
        <v>499</v>
      </c>
      <c r="W31" s="309">
        <f t="shared" si="16"/>
        <v>0</v>
      </c>
      <c r="X31" s="5">
        <f t="shared" si="17"/>
        <v>155960</v>
      </c>
      <c r="Y31" s="309">
        <f t="shared" si="43"/>
        <v>0</v>
      </c>
      <c r="Z31" s="5">
        <f t="shared" si="18"/>
        <v>99668</v>
      </c>
      <c r="AA31" s="83">
        <f t="shared" si="19"/>
        <v>0</v>
      </c>
      <c r="AB31" s="5">
        <f t="shared" si="20"/>
        <v>258</v>
      </c>
      <c r="AC31" s="5">
        <f t="shared" si="21"/>
        <v>855</v>
      </c>
      <c r="AD31" s="83">
        <f t="shared" si="36"/>
        <v>0</v>
      </c>
      <c r="AE31" s="5">
        <f t="shared" si="22"/>
        <v>248.9</v>
      </c>
      <c r="AF31" s="83">
        <f t="shared" si="23"/>
        <v>0</v>
      </c>
      <c r="AG31" s="5">
        <f t="shared" si="24"/>
        <v>2247.41</v>
      </c>
      <c r="AH31" s="83">
        <f>AG31-AG30</f>
        <v>0</v>
      </c>
      <c r="AI31" s="83">
        <f>AF31+AH31</f>
        <v>0</v>
      </c>
      <c r="AJ31" s="311">
        <f t="shared" si="27"/>
        <v>0</v>
      </c>
      <c r="AK31" s="312">
        <f t="shared" si="37"/>
        <v>0</v>
      </c>
      <c r="AL31" s="312">
        <f t="shared" si="28"/>
        <v>0</v>
      </c>
      <c r="AM31" s="312">
        <f>'General information '!D30</f>
        <v>26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44830</v>
      </c>
      <c r="AS31" s="407">
        <f t="shared" si="49"/>
        <v>0.9</v>
      </c>
      <c r="AT31" s="201">
        <v>175</v>
      </c>
      <c r="AU31" s="408">
        <f t="shared" si="44"/>
        <v>1.1000000000000001</v>
      </c>
      <c r="AV31" s="201">
        <v>120</v>
      </c>
      <c r="AW31" s="5">
        <v>2.9</v>
      </c>
      <c r="AX31" s="201">
        <v>101</v>
      </c>
      <c r="AY31" s="409">
        <f t="shared" si="38"/>
        <v>157.5</v>
      </c>
      <c r="AZ31" s="409">
        <f>AU31*AV31</f>
        <v>132</v>
      </c>
      <c r="BA31" s="409">
        <f t="shared" si="40"/>
        <v>292.89999999999998</v>
      </c>
      <c r="BB31" s="21">
        <f t="shared" si="41"/>
        <v>-15.300000000000011</v>
      </c>
      <c r="BC31" s="21">
        <f t="shared" si="50"/>
        <v>-2.2000000000000171</v>
      </c>
      <c r="BD31" s="21">
        <f t="shared" si="50"/>
        <v>-11.600000000000023</v>
      </c>
      <c r="BE31" s="24">
        <f t="shared" si="34"/>
        <v>-29.100000000000051</v>
      </c>
      <c r="BF31" s="96">
        <f t="shared" si="35"/>
        <v>29.100000000000051</v>
      </c>
      <c r="BG31" s="82">
        <f t="shared" si="4"/>
        <v>-29.100000000000051</v>
      </c>
    </row>
    <row r="32" spans="1:61" ht="15.75" thickBot="1">
      <c r="A32" s="6">
        <f>ELEC!C30</f>
        <v>44831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630568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2"/>
        <v>0</v>
      </c>
      <c r="M32" s="393">
        <f t="shared" si="12"/>
        <v>457.44</v>
      </c>
      <c r="N32" s="482">
        <f t="shared" si="45"/>
        <v>0</v>
      </c>
      <c r="O32" s="393">
        <f t="shared" si="13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4"/>
        <v>5191</v>
      </c>
      <c r="U32" s="5">
        <f t="shared" si="3"/>
        <v>0</v>
      </c>
      <c r="V32" s="5">
        <f t="shared" si="15"/>
        <v>499</v>
      </c>
      <c r="W32" s="309">
        <f t="shared" si="16"/>
        <v>0</v>
      </c>
      <c r="X32" s="5">
        <f t="shared" si="17"/>
        <v>155960</v>
      </c>
      <c r="Y32" s="309">
        <f t="shared" si="43"/>
        <v>0</v>
      </c>
      <c r="Z32" s="5">
        <f t="shared" si="18"/>
        <v>99668</v>
      </c>
      <c r="AA32" s="83">
        <f t="shared" si="19"/>
        <v>0</v>
      </c>
      <c r="AB32" s="5">
        <f t="shared" si="20"/>
        <v>258</v>
      </c>
      <c r="AC32" s="5">
        <f t="shared" si="21"/>
        <v>855</v>
      </c>
      <c r="AD32" s="83">
        <f t="shared" si="36"/>
        <v>0</v>
      </c>
      <c r="AE32" s="5">
        <f t="shared" si="22"/>
        <v>248.9</v>
      </c>
      <c r="AF32" s="83">
        <f t="shared" si="23"/>
        <v>0</v>
      </c>
      <c r="AG32" s="5">
        <f t="shared" si="24"/>
        <v>2247.41</v>
      </c>
      <c r="AH32" s="83">
        <f t="shared" si="25"/>
        <v>0</v>
      </c>
      <c r="AI32" s="83">
        <f t="shared" si="26"/>
        <v>0</v>
      </c>
      <c r="AJ32" s="311">
        <f t="shared" si="27"/>
        <v>0</v>
      </c>
      <c r="AK32" s="312">
        <f t="shared" si="37"/>
        <v>0</v>
      </c>
      <c r="AL32" s="312">
        <f t="shared" si="28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44831</v>
      </c>
      <c r="AS32" s="407">
        <f t="shared" si="49"/>
        <v>0.9</v>
      </c>
      <c r="AT32" s="201">
        <f t="shared" si="49"/>
        <v>175</v>
      </c>
      <c r="AU32" s="408">
        <f t="shared" si="44"/>
        <v>1.1000000000000001</v>
      </c>
      <c r="AV32" s="201">
        <f t="shared" si="31"/>
        <v>120</v>
      </c>
      <c r="AW32" s="5">
        <v>2.9</v>
      </c>
      <c r="AX32" s="201">
        <f t="shared" si="32"/>
        <v>101</v>
      </c>
      <c r="AY32" s="409">
        <f t="shared" si="38"/>
        <v>157.5</v>
      </c>
      <c r="AZ32" s="409">
        <f t="shared" si="39"/>
        <v>132</v>
      </c>
      <c r="BA32" s="409">
        <f t="shared" si="40"/>
        <v>292.89999999999998</v>
      </c>
      <c r="BB32" s="21">
        <f t="shared" si="41"/>
        <v>0</v>
      </c>
      <c r="BC32" s="21">
        <f t="shared" si="50"/>
        <v>0</v>
      </c>
      <c r="BD32" s="21">
        <f t="shared" si="50"/>
        <v>0</v>
      </c>
      <c r="BE32" s="24">
        <f t="shared" si="34"/>
        <v>0</v>
      </c>
      <c r="BF32" s="96">
        <f t="shared" si="35"/>
        <v>0</v>
      </c>
      <c r="BG32" s="82">
        <f t="shared" si="4"/>
        <v>0</v>
      </c>
    </row>
    <row r="33" spans="1:59" ht="15.75" thickBot="1">
      <c r="A33" s="6">
        <f>ELEC!C31</f>
        <v>44832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630568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 t="shared" si="11"/>
        <v>7089</v>
      </c>
      <c r="L33" s="263">
        <f t="shared" si="42"/>
        <v>0</v>
      </c>
      <c r="M33" s="393">
        <f t="shared" si="12"/>
        <v>457.44</v>
      </c>
      <c r="N33" s="482">
        <f t="shared" si="45"/>
        <v>0</v>
      </c>
      <c r="O33" s="393">
        <f t="shared" si="13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4"/>
        <v>5191</v>
      </c>
      <c r="U33" s="5">
        <f t="shared" si="3"/>
        <v>0</v>
      </c>
      <c r="V33" s="5">
        <f t="shared" si="15"/>
        <v>499</v>
      </c>
      <c r="W33" s="309">
        <f t="shared" si="16"/>
        <v>0</v>
      </c>
      <c r="X33" s="5">
        <f t="shared" si="17"/>
        <v>155960</v>
      </c>
      <c r="Y33" s="309">
        <f t="shared" si="43"/>
        <v>0</v>
      </c>
      <c r="Z33" s="5">
        <f t="shared" si="18"/>
        <v>99668</v>
      </c>
      <c r="AA33" s="83">
        <f t="shared" si="19"/>
        <v>0</v>
      </c>
      <c r="AB33" s="5">
        <f t="shared" si="20"/>
        <v>258</v>
      </c>
      <c r="AC33" s="5">
        <f t="shared" si="21"/>
        <v>855</v>
      </c>
      <c r="AD33" s="83">
        <f t="shared" si="36"/>
        <v>0</v>
      </c>
      <c r="AE33" s="5">
        <v>248.42</v>
      </c>
      <c r="AF33" s="83">
        <f>AE33-AE32</f>
        <v>-0.48000000000001819</v>
      </c>
      <c r="AG33" s="5">
        <f t="shared" si="24"/>
        <v>2247.41</v>
      </c>
      <c r="AH33" s="83">
        <f t="shared" si="25"/>
        <v>0</v>
      </c>
      <c r="AI33" s="83">
        <f t="shared" si="26"/>
        <v>-0.48000000000001819</v>
      </c>
      <c r="AJ33" s="311">
        <f t="shared" si="27"/>
        <v>0</v>
      </c>
      <c r="AK33" s="312">
        <f t="shared" si="37"/>
        <v>0</v>
      </c>
      <c r="AL33" s="312">
        <f t="shared" si="28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44832</v>
      </c>
      <c r="AS33" s="407">
        <f t="shared" si="49"/>
        <v>0.9</v>
      </c>
      <c r="AT33" s="201">
        <f t="shared" si="49"/>
        <v>175</v>
      </c>
      <c r="AU33" s="408">
        <f t="shared" si="44"/>
        <v>1.1000000000000001</v>
      </c>
      <c r="AV33" s="201">
        <f t="shared" si="31"/>
        <v>120</v>
      </c>
      <c r="AW33" s="5">
        <v>2.9</v>
      </c>
      <c r="AX33" s="201">
        <f t="shared" si="32"/>
        <v>101</v>
      </c>
      <c r="AY33" s="409">
        <f t="shared" si="38"/>
        <v>157.5</v>
      </c>
      <c r="AZ33" s="409">
        <f t="shared" si="39"/>
        <v>132</v>
      </c>
      <c r="BA33" s="409">
        <f t="shared" si="40"/>
        <v>292.89999999999998</v>
      </c>
      <c r="BB33" s="21">
        <f t="shared" si="41"/>
        <v>0</v>
      </c>
      <c r="BC33" s="21">
        <f t="shared" si="50"/>
        <v>0</v>
      </c>
      <c r="BD33" s="21">
        <f t="shared" si="50"/>
        <v>0</v>
      </c>
      <c r="BE33" s="24">
        <f t="shared" si="34"/>
        <v>0</v>
      </c>
      <c r="BF33" s="96">
        <f t="shared" si="35"/>
        <v>0</v>
      </c>
      <c r="BG33" s="82">
        <f t="shared" si="4"/>
        <v>0</v>
      </c>
    </row>
    <row r="34" spans="1:59" ht="15.75" thickBot="1">
      <c r="A34" s="6">
        <f>ELEC!C32</f>
        <v>44833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250</v>
      </c>
      <c r="F34" s="312"/>
      <c r="G34" s="5">
        <f t="shared" si="8"/>
        <v>630568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1"/>
        <v>7089</v>
      </c>
      <c r="L34" s="263">
        <f t="shared" ref="L34:L36" si="56">K34-K33</f>
        <v>0</v>
      </c>
      <c r="M34" s="393">
        <f t="shared" si="12"/>
        <v>457.44</v>
      </c>
      <c r="N34" s="482">
        <f t="shared" ref="N34:N36" si="57">SUM(M34-M33)</f>
        <v>0</v>
      </c>
      <c r="O34" s="393">
        <f t="shared" si="13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4"/>
        <v>5191</v>
      </c>
      <c r="U34" s="5">
        <f t="shared" ref="U34:U36" si="60">SUM(T34-T33)</f>
        <v>0</v>
      </c>
      <c r="V34" s="5">
        <f t="shared" si="15"/>
        <v>499</v>
      </c>
      <c r="W34" s="309">
        <f t="shared" ref="W34:W36" si="61">+V34-V33</f>
        <v>0</v>
      </c>
      <c r="X34" s="5">
        <f t="shared" si="17"/>
        <v>155960</v>
      </c>
      <c r="Y34" s="309">
        <f t="shared" ref="Y34:Y36" si="62">SUM(X34-X33)</f>
        <v>0</v>
      </c>
      <c r="Z34" s="5">
        <f t="shared" si="18"/>
        <v>99668</v>
      </c>
      <c r="AA34" s="83">
        <f t="shared" ref="AA34:AA36" si="63">Z34-Z33</f>
        <v>0</v>
      </c>
      <c r="AB34" s="5">
        <f t="shared" si="20"/>
        <v>258</v>
      </c>
      <c r="AC34" s="5">
        <f t="shared" si="21"/>
        <v>855</v>
      </c>
      <c r="AD34" s="83">
        <f t="shared" ref="AD34:AD36" si="64">AC34-AC33</f>
        <v>0</v>
      </c>
      <c r="AE34" s="5">
        <f t="shared" si="22"/>
        <v>248.42</v>
      </c>
      <c r="AF34" s="83">
        <f t="shared" ref="AF34:AF36" si="65">AE34-AE33</f>
        <v>0</v>
      </c>
      <c r="AG34" s="5">
        <f t="shared" si="24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44833</v>
      </c>
      <c r="AS34" s="407">
        <f t="shared" ref="AS34:AT34" si="71">AS33</f>
        <v>0.9</v>
      </c>
      <c r="AT34" s="201">
        <f t="shared" si="71"/>
        <v>175</v>
      </c>
      <c r="AU34" s="408">
        <f t="shared" si="44"/>
        <v>1.1000000000000001</v>
      </c>
      <c r="AV34" s="201">
        <f t="shared" si="31"/>
        <v>120</v>
      </c>
      <c r="AW34" s="5">
        <v>2.9</v>
      </c>
      <c r="AX34" s="201">
        <f t="shared" si="32"/>
        <v>101</v>
      </c>
      <c r="AY34" s="409">
        <f t="shared" ref="AY34:AY36" si="72">AS34*AT34</f>
        <v>157.5</v>
      </c>
      <c r="AZ34" s="409">
        <f t="shared" ref="AZ34:AZ36" si="73">AU34*AV34</f>
        <v>132</v>
      </c>
      <c r="BA34" s="409">
        <f t="shared" ref="BA34:BA36" si="74">AW34*AX34</f>
        <v>292.89999999999998</v>
      </c>
      <c r="BB34" s="21">
        <f t="shared" si="41"/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44834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250</v>
      </c>
      <c r="F35" s="312"/>
      <c r="G35" s="5">
        <f t="shared" si="8"/>
        <v>630568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1"/>
        <v>7089</v>
      </c>
      <c r="L35" s="263">
        <f t="shared" si="56"/>
        <v>0</v>
      </c>
      <c r="M35" s="393">
        <f t="shared" si="12"/>
        <v>457.44</v>
      </c>
      <c r="N35" s="482">
        <f t="shared" si="57"/>
        <v>0</v>
      </c>
      <c r="O35" s="393">
        <f t="shared" si="13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4"/>
        <v>5191</v>
      </c>
      <c r="U35" s="5">
        <f t="shared" si="60"/>
        <v>0</v>
      </c>
      <c r="V35" s="5">
        <f t="shared" si="15"/>
        <v>499</v>
      </c>
      <c r="W35" s="309">
        <f t="shared" si="61"/>
        <v>0</v>
      </c>
      <c r="X35" s="5">
        <f t="shared" si="17"/>
        <v>155960</v>
      </c>
      <c r="Y35" s="309">
        <f t="shared" si="62"/>
        <v>0</v>
      </c>
      <c r="Z35" s="5">
        <f t="shared" si="18"/>
        <v>99668</v>
      </c>
      <c r="AA35" s="83">
        <f t="shared" si="63"/>
        <v>0</v>
      </c>
      <c r="AB35" s="5">
        <f t="shared" si="20"/>
        <v>258</v>
      </c>
      <c r="AC35" s="5">
        <f t="shared" si="21"/>
        <v>855</v>
      </c>
      <c r="AD35" s="83">
        <f t="shared" si="64"/>
        <v>0</v>
      </c>
      <c r="AE35" s="5">
        <f t="shared" si="22"/>
        <v>248.42</v>
      </c>
      <c r="AF35" s="83">
        <f t="shared" si="65"/>
        <v>0</v>
      </c>
      <c r="AG35" s="5">
        <f t="shared" si="24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0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44834</v>
      </c>
      <c r="AS35" s="407">
        <f t="shared" ref="AS35:AT35" si="81">AS34</f>
        <v>0.9</v>
      </c>
      <c r="AT35" s="201">
        <f t="shared" si="81"/>
        <v>175</v>
      </c>
      <c r="AU35" s="408">
        <f t="shared" si="44"/>
        <v>1.1000000000000001</v>
      </c>
      <c r="AV35" s="201">
        <f t="shared" si="31"/>
        <v>120</v>
      </c>
      <c r="AW35" s="5">
        <v>2.9</v>
      </c>
      <c r="AX35" s="201">
        <f t="shared" si="32"/>
        <v>101</v>
      </c>
      <c r="AY35" s="409">
        <f t="shared" si="72"/>
        <v>157.5</v>
      </c>
      <c r="AZ35" s="409">
        <f t="shared" si="73"/>
        <v>132</v>
      </c>
      <c r="BA35" s="409">
        <f t="shared" si="74"/>
        <v>292.89999999999998</v>
      </c>
      <c r="BB35" s="21">
        <f t="shared" si="41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44835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250</v>
      </c>
      <c r="F36" s="312"/>
      <c r="G36" s="5">
        <f t="shared" si="8"/>
        <v>630568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1"/>
        <v>7089</v>
      </c>
      <c r="L36" s="263">
        <f t="shared" si="56"/>
        <v>0</v>
      </c>
      <c r="M36" s="393">
        <f t="shared" si="12"/>
        <v>457.44</v>
      </c>
      <c r="N36" s="482">
        <f t="shared" si="57"/>
        <v>0</v>
      </c>
      <c r="O36" s="393">
        <f t="shared" si="13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4"/>
        <v>5191</v>
      </c>
      <c r="U36" s="5">
        <f t="shared" si="60"/>
        <v>0</v>
      </c>
      <c r="V36" s="5">
        <f t="shared" si="15"/>
        <v>499</v>
      </c>
      <c r="W36" s="309">
        <f t="shared" si="61"/>
        <v>0</v>
      </c>
      <c r="X36" s="5">
        <f t="shared" si="17"/>
        <v>155960</v>
      </c>
      <c r="Y36" s="309">
        <f t="shared" si="62"/>
        <v>0</v>
      </c>
      <c r="Z36" s="5">
        <f t="shared" si="18"/>
        <v>99668</v>
      </c>
      <c r="AA36" s="83">
        <f t="shared" si="63"/>
        <v>0</v>
      </c>
      <c r="AB36" s="5">
        <f t="shared" si="20"/>
        <v>258</v>
      </c>
      <c r="AC36" s="5">
        <f t="shared" si="21"/>
        <v>855</v>
      </c>
      <c r="AD36" s="83">
        <f t="shared" si="64"/>
        <v>0</v>
      </c>
      <c r="AE36" s="5">
        <f t="shared" si="22"/>
        <v>248.42</v>
      </c>
      <c r="AF36" s="83">
        <f t="shared" si="65"/>
        <v>0</v>
      </c>
      <c r="AG36" s="5">
        <f t="shared" si="24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0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44835</v>
      </c>
      <c r="AS36" s="407">
        <f t="shared" ref="AS36:AT36" si="82">AS35</f>
        <v>0.9</v>
      </c>
      <c r="AT36" s="201">
        <f t="shared" si="82"/>
        <v>175</v>
      </c>
      <c r="AU36" s="408">
        <f t="shared" si="44"/>
        <v>1.1000000000000001</v>
      </c>
      <c r="AV36" s="201">
        <f t="shared" si="31"/>
        <v>120</v>
      </c>
      <c r="AW36" s="5">
        <v>2.9</v>
      </c>
      <c r="AX36" s="201">
        <f t="shared" si="32"/>
        <v>101</v>
      </c>
      <c r="AY36" s="409">
        <f t="shared" si="72"/>
        <v>157.5</v>
      </c>
      <c r="AZ36" s="409">
        <f t="shared" si="73"/>
        <v>132</v>
      </c>
      <c r="BA36" s="409">
        <f t="shared" si="74"/>
        <v>292.89999999999998</v>
      </c>
      <c r="BB36" s="21">
        <f t="shared" si="41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343</v>
      </c>
      <c r="I37" s="395">
        <f>SUM(I6:I36)</f>
        <v>343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1</v>
      </c>
      <c r="X37" s="308"/>
      <c r="Y37" s="307">
        <f>SUM(Y6,Y33,Y31,Y29,Y27,Y25,Y23,Y21,Y19,Y17,Y15,Y13,Y11,Y9,Y7,Y34,Y35,Y36)</f>
        <v>123</v>
      </c>
      <c r="AJ37" s="307">
        <f>SUM(AJ6:AJ36)</f>
        <v>0</v>
      </c>
      <c r="AK37" s="312">
        <f>SUM(Y37-L37)</f>
        <v>123</v>
      </c>
      <c r="AL37" s="307">
        <f>SUM(AL6:AL36)</f>
        <v>0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343</v>
      </c>
      <c r="Z38" s="307">
        <f>SUM(Y37:AJ37)</f>
        <v>123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343</v>
      </c>
      <c r="H39" s="1">
        <f>SUM(H38+C38)</f>
        <v>7500</v>
      </c>
      <c r="K39" s="1">
        <f>SUM(H39/G39)</f>
        <v>21.865889212827987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X27" sqref="X27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44804</v>
      </c>
      <c r="B2" s="260">
        <f>[2]GEN!B33</f>
        <v>837</v>
      </c>
      <c r="C2" s="260">
        <f>[2]GEN!C33</f>
        <v>15</v>
      </c>
      <c r="D2" s="260">
        <f>[2]GEN!D33</f>
        <v>744446</v>
      </c>
      <c r="E2" s="260">
        <f>[2]GEN!E33</f>
        <v>1275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125</v>
      </c>
      <c r="K2" s="260">
        <f>[2]GEN!K33</f>
        <v>0</v>
      </c>
      <c r="L2" s="260">
        <f>[2]GEN!L33</f>
        <v>388191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13908</v>
      </c>
      <c r="S2" s="260">
        <f>[2]GEN!S33</f>
        <v>0</v>
      </c>
      <c r="T2" s="260">
        <f>[2]GEN!T33</f>
        <v>416512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14593</v>
      </c>
      <c r="Y2" s="260" t="str">
        <f>[2]GEN!Y33</f>
        <v>ok</v>
      </c>
      <c r="Z2" s="260">
        <f>[2]GEN!Z33</f>
        <v>15</v>
      </c>
      <c r="AA2" s="260">
        <f>[2]GEN!AA33</f>
        <v>1275</v>
      </c>
      <c r="AB2" s="260">
        <f>[2]GEN!AB33</f>
        <v>585</v>
      </c>
      <c r="AC2" s="260">
        <f>[2]GEN!AC33</f>
        <v>85</v>
      </c>
      <c r="AD2" s="260">
        <f>[2]GEN!AD33</f>
        <v>4102.999999999156</v>
      </c>
      <c r="AE2" s="260">
        <f>[2]GEN!AE33</f>
        <v>273.53333333327708</v>
      </c>
      <c r="AF2" s="260">
        <f>[2]GEN!AF33</f>
        <v>0.17095833333329818</v>
      </c>
      <c r="AG2" s="260">
        <f>[2]GEN!AG33</f>
        <v>1.0684895833331137E-4</v>
      </c>
      <c r="AH2" s="260">
        <f>[2]GEN!AH33</f>
        <v>84.999893151041661</v>
      </c>
      <c r="AI2" s="260">
        <f>[2]GEN!AI33</f>
        <v>1056.0464135018926</v>
      </c>
      <c r="AJ2" s="260">
        <f>[2]GEN!AJ33</f>
        <v>0.25738396624472576</v>
      </c>
      <c r="AK2" s="260">
        <f>[2]GEN!AK33</f>
        <v>70.403094233459512</v>
      </c>
      <c r="AL2" s="260">
        <f>[2]GEN!AL33</f>
        <v>1</v>
      </c>
    </row>
    <row r="3" spans="1:38" ht="15.75" thickBot="1">
      <c r="A3" s="4">
        <f>ELEC!C4</f>
        <v>44805</v>
      </c>
      <c r="B3" s="500">
        <v>850</v>
      </c>
      <c r="C3" s="276">
        <f>B3-B2</f>
        <v>13</v>
      </c>
      <c r="D3" s="501">
        <f>D2+C3*250</f>
        <v>747696</v>
      </c>
      <c r="E3" s="276">
        <f>SUM(D3-D2)</f>
        <v>3250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125</v>
      </c>
      <c r="K3" s="276">
        <f t="shared" ref="K3:K33" si="2">J3-J2</f>
        <v>0</v>
      </c>
      <c r="L3" s="501">
        <f>L2</f>
        <v>388191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14593</v>
      </c>
      <c r="Y3" s="276" t="str">
        <f>IF(R3-X3&lt;=0,"ok","oil change")</f>
        <v>ok</v>
      </c>
      <c r="Z3" s="276">
        <f t="shared" ref="Z3:Z30" si="8">C3+K3+S3</f>
        <v>13</v>
      </c>
      <c r="AA3" s="276">
        <f>U3+M3+E3</f>
        <v>3250</v>
      </c>
      <c r="AB3" s="276">
        <f>V3+N3+F3</f>
        <v>750</v>
      </c>
      <c r="AC3" s="276">
        <f>IF(Z3&gt;0,AA3/Z3,0)</f>
        <v>250</v>
      </c>
      <c r="AD3" s="73">
        <f>ELEC!Q4</f>
        <v>3974.0000000019791</v>
      </c>
      <c r="AE3" s="73">
        <f>SUM(AD3/Z3)</f>
        <v>305.69230769245991</v>
      </c>
      <c r="AF3" s="387">
        <f>SUM(AE3/1600)</f>
        <v>0.19105769230778744</v>
      </c>
      <c r="AG3" s="388">
        <f>SUM(360*AF3)</f>
        <v>68.780769230803472</v>
      </c>
      <c r="AH3" s="388">
        <f>SUM(AC3-AG3)</f>
        <v>181.21923076919654</v>
      </c>
      <c r="AI3" s="73">
        <f>AD3*AJ3</f>
        <v>1022.8438818570495</v>
      </c>
      <c r="AJ3" s="278">
        <f t="shared" ref="AJ3:AJ33" si="9">305/1185</f>
        <v>0.25738396624472576</v>
      </c>
      <c r="AK3" s="278">
        <f t="shared" ref="AK3:AK30" si="10">AI3/Z3</f>
        <v>78.680298604388426</v>
      </c>
      <c r="AL3">
        <f>IF(Z3=0,0,1)</f>
        <v>1</v>
      </c>
    </row>
    <row r="4" spans="1:38" ht="15.75" thickBot="1">
      <c r="A4" s="4">
        <f>ELEC!C5</f>
        <v>44806</v>
      </c>
      <c r="B4" s="500">
        <f t="shared" ref="B4:B33" si="11">B3</f>
        <v>850</v>
      </c>
      <c r="C4" s="276">
        <f t="shared" ref="C4:C30" si="12">B4-B3</f>
        <v>0</v>
      </c>
      <c r="D4" s="501">
        <f>D3+C4*85</f>
        <v>747696</v>
      </c>
      <c r="E4" s="276">
        <f t="shared" ref="E4:E33" si="13">SUM(D4-D3)</f>
        <v>0</v>
      </c>
      <c r="F4" s="276">
        <f t="shared" si="0"/>
        <v>0</v>
      </c>
      <c r="G4" s="196"/>
      <c r="H4" s="260">
        <f t="shared" ref="H4:H33" si="14">H3</f>
        <v>12231</v>
      </c>
      <c r="I4" s="276" t="str">
        <f t="shared" si="1"/>
        <v>ok</v>
      </c>
      <c r="J4" s="500">
        <f t="shared" ref="J4:J33" si="15">J3</f>
        <v>125</v>
      </c>
      <c r="K4" s="276">
        <f t="shared" si="2"/>
        <v>0</v>
      </c>
      <c r="L4" s="501">
        <f t="shared" ref="L4:L5" si="16">L3</f>
        <v>388191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0">
        <f t="shared" ref="R4:R33" si="18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9">X3</f>
        <v>14593</v>
      </c>
      <c r="Y4" s="276" t="str">
        <f t="shared" ref="Y4:Y33" si="20">IF(R4-X4&lt;=0,"ok","oil change")</f>
        <v>ok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44807</v>
      </c>
      <c r="B5" s="500">
        <f t="shared" si="11"/>
        <v>850</v>
      </c>
      <c r="C5" s="276">
        <f t="shared" si="12"/>
        <v>0</v>
      </c>
      <c r="D5" s="501">
        <f t="shared" ref="D5:D33" si="26">D4+C5*85</f>
        <v>747696</v>
      </c>
      <c r="E5" s="276">
        <f t="shared" si="13"/>
        <v>0</v>
      </c>
      <c r="F5" s="276">
        <f t="shared" si="0"/>
        <v>0</v>
      </c>
      <c r="G5" s="274"/>
      <c r="H5" s="260">
        <f t="shared" si="14"/>
        <v>12231</v>
      </c>
      <c r="I5" s="276" t="str">
        <f t="shared" si="1"/>
        <v>ok</v>
      </c>
      <c r="J5" s="500">
        <f t="shared" si="15"/>
        <v>125</v>
      </c>
      <c r="K5" s="276">
        <f t="shared" si="2"/>
        <v>0</v>
      </c>
      <c r="L5" s="501">
        <f t="shared" si="16"/>
        <v>388191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0">
        <f t="shared" si="18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9"/>
        <v>14593</v>
      </c>
      <c r="Y5" s="276" t="str">
        <f t="shared" si="20"/>
        <v>ok</v>
      </c>
      <c r="Z5" s="276">
        <f t="shared" si="8"/>
        <v>0</v>
      </c>
      <c r="AA5" s="276">
        <f t="shared" si="21"/>
        <v>0</v>
      </c>
      <c r="AB5" s="276">
        <f t="shared" si="22"/>
        <v>500</v>
      </c>
      <c r="AC5" s="276">
        <f t="shared" si="23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4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5"/>
        <v>0</v>
      </c>
    </row>
    <row r="6" spans="1:38" ht="15.75" thickBot="1">
      <c r="A6" s="4">
        <f>ELEC!C7</f>
        <v>44808</v>
      </c>
      <c r="B6" s="500">
        <v>861</v>
      </c>
      <c r="C6" s="276">
        <f>B6-B5</f>
        <v>11</v>
      </c>
      <c r="D6" s="501">
        <f t="shared" si="26"/>
        <v>748631</v>
      </c>
      <c r="E6" s="276">
        <f t="shared" si="13"/>
        <v>935</v>
      </c>
      <c r="F6" s="276">
        <f t="shared" si="0"/>
        <v>85</v>
      </c>
      <c r="G6" s="196"/>
      <c r="H6" s="260">
        <f t="shared" si="14"/>
        <v>12231</v>
      </c>
      <c r="I6" s="276" t="str">
        <f t="shared" si="1"/>
        <v>ok</v>
      </c>
      <c r="J6" s="500">
        <f t="shared" si="15"/>
        <v>125</v>
      </c>
      <c r="K6" s="276">
        <f t="shared" si="2"/>
        <v>0</v>
      </c>
      <c r="L6" s="501">
        <f>(K6*N5)+L5</f>
        <v>388191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0">
        <f t="shared" si="18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14773</v>
      </c>
      <c r="Y6" s="276" t="str">
        <f t="shared" si="20"/>
        <v>ok</v>
      </c>
      <c r="Z6" s="276">
        <f t="shared" si="8"/>
        <v>11</v>
      </c>
      <c r="AA6" s="276">
        <f t="shared" si="21"/>
        <v>935</v>
      </c>
      <c r="AB6" s="276">
        <f t="shared" si="22"/>
        <v>585</v>
      </c>
      <c r="AC6" s="276">
        <f t="shared" si="23"/>
        <v>85</v>
      </c>
      <c r="AD6" s="73">
        <f>ELEC!Q7</f>
        <v>3202.000000001135</v>
      </c>
      <c r="AE6" s="73">
        <f>SUM(AD6/Z6)</f>
        <v>291.09090909101229</v>
      </c>
      <c r="AF6" s="387">
        <f t="shared" si="28"/>
        <v>0.18193181818188267</v>
      </c>
      <c r="AG6" s="388">
        <f>SUM(320*AF6)</f>
        <v>58.218181818202453</v>
      </c>
      <c r="AH6" s="388">
        <f t="shared" si="24"/>
        <v>26.781818181797547</v>
      </c>
      <c r="AI6" s="73">
        <f t="shared" si="29"/>
        <v>824.14345991590403</v>
      </c>
      <c r="AJ6" s="278">
        <f t="shared" si="9"/>
        <v>0.25738396624472576</v>
      </c>
      <c r="AK6" s="278">
        <f t="shared" si="10"/>
        <v>74.922132719627641</v>
      </c>
      <c r="AL6">
        <f t="shared" si="25"/>
        <v>1</v>
      </c>
    </row>
    <row r="7" spans="1:38" ht="15.75" thickBot="1">
      <c r="A7" s="4">
        <f>ELEC!C8</f>
        <v>44809</v>
      </c>
      <c r="B7" s="500">
        <v>872</v>
      </c>
      <c r="C7" s="276">
        <f t="shared" si="12"/>
        <v>11</v>
      </c>
      <c r="D7" s="501">
        <f t="shared" si="26"/>
        <v>749566</v>
      </c>
      <c r="E7" s="276">
        <f t="shared" si="13"/>
        <v>935</v>
      </c>
      <c r="F7" s="276">
        <f t="shared" si="0"/>
        <v>85</v>
      </c>
      <c r="G7" s="196"/>
      <c r="H7" s="260">
        <f t="shared" si="14"/>
        <v>12231</v>
      </c>
      <c r="I7" s="276" t="str">
        <f t="shared" si="1"/>
        <v>ok</v>
      </c>
      <c r="J7" s="500">
        <f t="shared" si="15"/>
        <v>125</v>
      </c>
      <c r="K7" s="276"/>
      <c r="L7" s="501">
        <f t="shared" ref="L7:L33" si="30">(K7*N6)+L6</f>
        <v>388191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0">
        <f t="shared" si="18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9"/>
        <v>14773</v>
      </c>
      <c r="Y7" s="276" t="str">
        <f>IF(R7-X7&lt;=0,"ok","oil change")</f>
        <v>ok</v>
      </c>
      <c r="Z7" s="276">
        <f t="shared" si="8"/>
        <v>11</v>
      </c>
      <c r="AA7" s="276">
        <f>U7+M7+E7</f>
        <v>935</v>
      </c>
      <c r="AB7" s="276">
        <f t="shared" si="22"/>
        <v>585</v>
      </c>
      <c r="AC7" s="276">
        <f t="shared" si="23"/>
        <v>85</v>
      </c>
      <c r="AD7" s="73">
        <f>ELEC!Q8</f>
        <v>3420.9999999984575</v>
      </c>
      <c r="AE7" s="73">
        <f t="shared" si="27"/>
        <v>310.99999999985977</v>
      </c>
      <c r="AF7" s="387">
        <f t="shared" si="28"/>
        <v>0.19437499999991237</v>
      </c>
      <c r="AG7" s="387">
        <f t="shared" si="28"/>
        <v>1.2148437499994523E-4</v>
      </c>
      <c r="AH7" s="388">
        <f t="shared" si="24"/>
        <v>84.999878515624999</v>
      </c>
      <c r="AI7" s="73">
        <f t="shared" si="29"/>
        <v>880.51054852280981</v>
      </c>
      <c r="AJ7" s="278">
        <f t="shared" si="9"/>
        <v>0.25738396624472576</v>
      </c>
      <c r="AK7" s="278">
        <f t="shared" si="10"/>
        <v>80.046413502073619</v>
      </c>
      <c r="AL7">
        <f t="shared" si="25"/>
        <v>1</v>
      </c>
    </row>
    <row r="8" spans="1:38" ht="15.75" thickBot="1">
      <c r="A8" s="4">
        <f>ELEC!C9</f>
        <v>44810</v>
      </c>
      <c r="B8" s="500">
        <v>879</v>
      </c>
      <c r="C8" s="276">
        <f t="shared" si="12"/>
        <v>7</v>
      </c>
      <c r="D8" s="501">
        <f t="shared" si="26"/>
        <v>750161</v>
      </c>
      <c r="E8" s="276">
        <f t="shared" si="13"/>
        <v>595</v>
      </c>
      <c r="F8" s="276">
        <f t="shared" si="0"/>
        <v>85</v>
      </c>
      <c r="G8" s="196"/>
      <c r="H8" s="260">
        <f t="shared" si="14"/>
        <v>12231</v>
      </c>
      <c r="I8" s="276" t="str">
        <f>IF(B8-H8&lt;=0,"ok","oil change")</f>
        <v>ok</v>
      </c>
      <c r="J8" s="500">
        <v>129</v>
      </c>
      <c r="K8" s="276">
        <f t="shared" si="2"/>
        <v>4</v>
      </c>
      <c r="L8" s="501">
        <f t="shared" si="30"/>
        <v>389191</v>
      </c>
      <c r="M8" s="276">
        <f t="shared" si="3"/>
        <v>1000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0">
        <f t="shared" si="18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14773</v>
      </c>
      <c r="Y8" s="276" t="str">
        <f t="shared" si="20"/>
        <v>ok</v>
      </c>
      <c r="Z8" s="276">
        <f t="shared" si="8"/>
        <v>11</v>
      </c>
      <c r="AA8" s="276">
        <f t="shared" si="21"/>
        <v>1595</v>
      </c>
      <c r="AB8" s="276">
        <f t="shared" si="22"/>
        <v>585</v>
      </c>
      <c r="AC8" s="276">
        <f t="shared" si="23"/>
        <v>145</v>
      </c>
      <c r="AD8" s="73">
        <f>ELEC!Q9</f>
        <v>5136.9999999988067</v>
      </c>
      <c r="AE8" s="73">
        <f>SUM(AD8/Z8)</f>
        <v>466.99999999989154</v>
      </c>
      <c r="AF8" s="387">
        <f t="shared" si="28"/>
        <v>0.29187499999993222</v>
      </c>
      <c r="AG8" s="387">
        <f t="shared" si="28"/>
        <v>1.8242187499995763E-4</v>
      </c>
      <c r="AH8" s="388">
        <f t="shared" si="24"/>
        <v>144.999817578125</v>
      </c>
      <c r="AI8" s="73">
        <f t="shared" si="29"/>
        <v>1322.1814345988491</v>
      </c>
      <c r="AJ8" s="278">
        <f t="shared" si="9"/>
        <v>0.25738396624472576</v>
      </c>
      <c r="AK8" s="278">
        <f t="shared" si="10"/>
        <v>120.19831223625901</v>
      </c>
      <c r="AL8">
        <f t="shared" si="25"/>
        <v>1</v>
      </c>
    </row>
    <row r="9" spans="1:38" ht="15.75" thickBot="1">
      <c r="A9" s="4">
        <f>ELEC!C10</f>
        <v>44811</v>
      </c>
      <c r="B9" s="500">
        <v>887</v>
      </c>
      <c r="C9" s="276">
        <f t="shared" si="12"/>
        <v>8</v>
      </c>
      <c r="D9" s="501">
        <f t="shared" si="26"/>
        <v>750841</v>
      </c>
      <c r="E9" s="276">
        <f t="shared" si="13"/>
        <v>680</v>
      </c>
      <c r="F9" s="276">
        <f t="shared" si="0"/>
        <v>85</v>
      </c>
      <c r="G9" s="196"/>
      <c r="H9" s="260">
        <f t="shared" si="14"/>
        <v>12231</v>
      </c>
      <c r="I9" s="276" t="str">
        <f t="shared" si="1"/>
        <v>ok</v>
      </c>
      <c r="J9" s="500">
        <v>132</v>
      </c>
      <c r="K9" s="276">
        <f t="shared" si="2"/>
        <v>3</v>
      </c>
      <c r="L9" s="501">
        <f t="shared" si="30"/>
        <v>389941</v>
      </c>
      <c r="M9" s="276">
        <f t="shared" si="3"/>
        <v>750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0">
        <f t="shared" si="18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9"/>
        <v>14773</v>
      </c>
      <c r="Y9" s="276" t="str">
        <f t="shared" si="20"/>
        <v>ok</v>
      </c>
      <c r="Z9" s="276">
        <f t="shared" si="8"/>
        <v>11</v>
      </c>
      <c r="AA9" s="276">
        <f t="shared" si="21"/>
        <v>1430</v>
      </c>
      <c r="AB9" s="276">
        <f t="shared" si="22"/>
        <v>585</v>
      </c>
      <c r="AC9" s="276">
        <f t="shared" si="23"/>
        <v>130</v>
      </c>
      <c r="AD9" s="73">
        <f>ELEC!Q10</f>
        <v>4863.0000000011933</v>
      </c>
      <c r="AE9" s="73">
        <f t="shared" si="27"/>
        <v>442.09090909101758</v>
      </c>
      <c r="AF9" s="387">
        <f t="shared" si="28"/>
        <v>0.27630681818188596</v>
      </c>
      <c r="AG9" s="387">
        <f t="shared" si="28"/>
        <v>1.7269176136367872E-4</v>
      </c>
      <c r="AH9" s="388">
        <f t="shared" si="24"/>
        <v>129.99982730823865</v>
      </c>
      <c r="AI9" s="73">
        <f t="shared" si="29"/>
        <v>1251.6582278484084</v>
      </c>
      <c r="AJ9" s="278">
        <f t="shared" si="9"/>
        <v>0.25738396624472576</v>
      </c>
      <c r="AK9" s="278">
        <f t="shared" si="10"/>
        <v>113.78711162258259</v>
      </c>
      <c r="AL9">
        <f t="shared" si="25"/>
        <v>1</v>
      </c>
    </row>
    <row r="10" spans="1:38" ht="15.75" thickBot="1">
      <c r="A10" s="4">
        <f>ELEC!C11</f>
        <v>44812</v>
      </c>
      <c r="B10" s="500">
        <v>898</v>
      </c>
      <c r="C10" s="276">
        <f t="shared" si="12"/>
        <v>11</v>
      </c>
      <c r="D10" s="501">
        <f t="shared" si="26"/>
        <v>751776</v>
      </c>
      <c r="E10" s="276">
        <f>SUM(D10-D9)</f>
        <v>935</v>
      </c>
      <c r="F10" s="276">
        <f t="shared" si="0"/>
        <v>85</v>
      </c>
      <c r="G10" s="196"/>
      <c r="H10" s="260">
        <f t="shared" si="14"/>
        <v>12231</v>
      </c>
      <c r="I10" s="276" t="str">
        <f>IF(B10-H10&lt;=0,"ok","oil change")</f>
        <v>ok</v>
      </c>
      <c r="J10" s="500">
        <f t="shared" si="15"/>
        <v>132</v>
      </c>
      <c r="K10" s="276">
        <f t="shared" si="2"/>
        <v>0</v>
      </c>
      <c r="L10" s="501">
        <f t="shared" si="30"/>
        <v>389941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0">
        <f t="shared" si="18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9"/>
        <v>14773</v>
      </c>
      <c r="Y10" s="276" t="str">
        <f t="shared" si="20"/>
        <v>ok</v>
      </c>
      <c r="Z10" s="276">
        <f t="shared" si="8"/>
        <v>11</v>
      </c>
      <c r="AA10" s="276">
        <f t="shared" si="21"/>
        <v>935</v>
      </c>
      <c r="AB10" s="276">
        <f t="shared" si="22"/>
        <v>585</v>
      </c>
      <c r="AC10" s="276">
        <f t="shared" si="23"/>
        <v>85</v>
      </c>
      <c r="AD10" s="73">
        <f>ELEC!Q11</f>
        <v>3789.0000000006694</v>
      </c>
      <c r="AE10" s="73">
        <f t="shared" si="27"/>
        <v>344.45454545460632</v>
      </c>
      <c r="AF10" s="387">
        <f t="shared" si="28"/>
        <v>0.21528409090912895</v>
      </c>
      <c r="AG10" s="387">
        <f t="shared" si="28"/>
        <v>1.3455255681820561E-4</v>
      </c>
      <c r="AH10" s="388">
        <f t="shared" si="24"/>
        <v>84.999865447443185</v>
      </c>
      <c r="AI10" s="73">
        <f t="shared" si="29"/>
        <v>975.22784810143821</v>
      </c>
      <c r="AJ10" s="278">
        <f t="shared" si="9"/>
        <v>0.25738396624472576</v>
      </c>
      <c r="AK10" s="278">
        <f t="shared" si="10"/>
        <v>88.657077100130749</v>
      </c>
      <c r="AL10">
        <f t="shared" si="25"/>
        <v>1</v>
      </c>
    </row>
    <row r="11" spans="1:38" ht="15.75" thickBot="1">
      <c r="A11" s="4">
        <f>ELEC!C12</f>
        <v>44813</v>
      </c>
      <c r="B11" s="500">
        <f t="shared" si="11"/>
        <v>898</v>
      </c>
      <c r="C11" s="276">
        <f t="shared" si="12"/>
        <v>0</v>
      </c>
      <c r="D11" s="501">
        <f t="shared" si="26"/>
        <v>751776</v>
      </c>
      <c r="E11" s="276">
        <f t="shared" si="13"/>
        <v>0</v>
      </c>
      <c r="F11" s="276">
        <f>IF(C11&gt;0,E11/C11,0)</f>
        <v>0</v>
      </c>
      <c r="G11" s="196"/>
      <c r="H11" s="260">
        <f t="shared" si="14"/>
        <v>12231</v>
      </c>
      <c r="I11" s="276" t="str">
        <f t="shared" si="1"/>
        <v>ok</v>
      </c>
      <c r="J11" s="500">
        <f t="shared" si="15"/>
        <v>132</v>
      </c>
      <c r="K11" s="276">
        <f t="shared" si="2"/>
        <v>0</v>
      </c>
      <c r="L11" s="501">
        <f t="shared" si="30"/>
        <v>389941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0">
        <v>13909</v>
      </c>
      <c r="S11" s="276">
        <f t="shared" si="5"/>
        <v>1</v>
      </c>
      <c r="T11" s="501">
        <f t="shared" si="31"/>
        <v>416762</v>
      </c>
      <c r="U11" s="276">
        <f t="shared" si="32"/>
        <v>250</v>
      </c>
      <c r="V11" s="276">
        <v>250</v>
      </c>
      <c r="W11" s="323"/>
      <c r="X11" s="260">
        <f t="shared" si="19"/>
        <v>14773</v>
      </c>
      <c r="Y11" s="276" t="str">
        <f t="shared" si="20"/>
        <v>ok</v>
      </c>
      <c r="Z11" s="276">
        <f t="shared" si="8"/>
        <v>1</v>
      </c>
      <c r="AA11" s="276">
        <f t="shared" si="21"/>
        <v>250</v>
      </c>
      <c r="AB11" s="276">
        <f t="shared" si="22"/>
        <v>500</v>
      </c>
      <c r="AC11" s="276">
        <f t="shared" si="23"/>
        <v>250</v>
      </c>
      <c r="AD11" s="73">
        <f>ELEC!Q12</f>
        <v>0</v>
      </c>
      <c r="AE11" s="73">
        <f t="shared" si="27"/>
        <v>0</v>
      </c>
      <c r="AF11" s="387">
        <f t="shared" si="28"/>
        <v>0</v>
      </c>
      <c r="AG11" s="387">
        <f t="shared" si="28"/>
        <v>0</v>
      </c>
      <c r="AH11" s="388">
        <f t="shared" si="24"/>
        <v>250</v>
      </c>
      <c r="AI11" s="73">
        <f t="shared" si="29"/>
        <v>0</v>
      </c>
      <c r="AJ11" s="278">
        <f t="shared" si="9"/>
        <v>0.25738396624472576</v>
      </c>
      <c r="AK11" s="278">
        <f t="shared" si="10"/>
        <v>0</v>
      </c>
      <c r="AL11">
        <f t="shared" si="25"/>
        <v>1</v>
      </c>
    </row>
    <row r="12" spans="1:38" ht="15.75" thickBot="1">
      <c r="A12" s="4">
        <f>ELEC!C13</f>
        <v>44814</v>
      </c>
      <c r="B12" s="500">
        <f t="shared" si="11"/>
        <v>898</v>
      </c>
      <c r="C12" s="276">
        <f t="shared" si="12"/>
        <v>0</v>
      </c>
      <c r="D12" s="501">
        <f t="shared" si="26"/>
        <v>751776</v>
      </c>
      <c r="E12" s="276">
        <f t="shared" si="13"/>
        <v>0</v>
      </c>
      <c r="F12" s="276">
        <f t="shared" si="0"/>
        <v>0</v>
      </c>
      <c r="G12" s="196"/>
      <c r="H12" s="260">
        <f t="shared" si="14"/>
        <v>12231</v>
      </c>
      <c r="I12" s="276" t="str">
        <f t="shared" si="1"/>
        <v>ok</v>
      </c>
      <c r="J12" s="500">
        <f t="shared" si="15"/>
        <v>132</v>
      </c>
      <c r="K12" s="276">
        <f t="shared" si="2"/>
        <v>0</v>
      </c>
      <c r="L12" s="501">
        <f t="shared" si="30"/>
        <v>389941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0">
        <f t="shared" si="18"/>
        <v>13909</v>
      </c>
      <c r="S12" s="276">
        <f t="shared" si="5"/>
        <v>0</v>
      </c>
      <c r="T12" s="501">
        <f>T11+U12</f>
        <v>416762</v>
      </c>
      <c r="U12" s="276">
        <f>V12*S12</f>
        <v>0</v>
      </c>
      <c r="V12" s="276">
        <v>250</v>
      </c>
      <c r="W12" s="323"/>
      <c r="X12" s="260">
        <f t="shared" si="19"/>
        <v>14773</v>
      </c>
      <c r="Y12" s="276" t="str">
        <f t="shared" si="20"/>
        <v>ok</v>
      </c>
      <c r="Z12" s="276">
        <f t="shared" si="8"/>
        <v>0</v>
      </c>
      <c r="AA12" s="276">
        <f t="shared" si="21"/>
        <v>0</v>
      </c>
      <c r="AB12" s="276">
        <f t="shared" si="22"/>
        <v>500</v>
      </c>
      <c r="AC12" s="276">
        <f t="shared" si="23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4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44815</v>
      </c>
      <c r="B13" s="500">
        <v>908</v>
      </c>
      <c r="C13" s="276">
        <f t="shared" si="12"/>
        <v>10</v>
      </c>
      <c r="D13" s="501">
        <f t="shared" si="26"/>
        <v>752626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12231</v>
      </c>
      <c r="I13" s="276" t="str">
        <f t="shared" si="1"/>
        <v>ok</v>
      </c>
      <c r="J13" s="500">
        <f t="shared" si="15"/>
        <v>132</v>
      </c>
      <c r="K13" s="276">
        <f t="shared" si="2"/>
        <v>0</v>
      </c>
      <c r="L13" s="501">
        <f t="shared" si="30"/>
        <v>389941</v>
      </c>
      <c r="M13" s="276">
        <f t="shared" si="3"/>
        <v>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0">
        <v>13910</v>
      </c>
      <c r="S13" s="276">
        <f t="shared" si="5"/>
        <v>1</v>
      </c>
      <c r="T13" s="501">
        <f t="shared" si="31"/>
        <v>417012</v>
      </c>
      <c r="U13" s="276">
        <f t="shared" si="32"/>
        <v>250</v>
      </c>
      <c r="V13" s="276">
        <v>250</v>
      </c>
      <c r="W13" s="323"/>
      <c r="X13" s="260">
        <f t="shared" si="19"/>
        <v>14773</v>
      </c>
      <c r="Y13" s="276" t="str">
        <f t="shared" si="20"/>
        <v>ok</v>
      </c>
      <c r="Z13" s="276">
        <f t="shared" si="8"/>
        <v>11</v>
      </c>
      <c r="AA13" s="276">
        <f t="shared" si="21"/>
        <v>1100</v>
      </c>
      <c r="AB13" s="276">
        <f t="shared" si="22"/>
        <v>585</v>
      </c>
      <c r="AC13" s="276">
        <f t="shared" si="23"/>
        <v>100</v>
      </c>
      <c r="AD13" s="73">
        <f>ELEC!Q14</f>
        <v>4296.9999999986612</v>
      </c>
      <c r="AE13" s="73">
        <f t="shared" si="27"/>
        <v>390.63636363624192</v>
      </c>
      <c r="AF13" s="387">
        <f t="shared" si="28"/>
        <v>0.24414772727265122</v>
      </c>
      <c r="AG13" s="387">
        <f t="shared" si="28"/>
        <v>1.52592329545407E-4</v>
      </c>
      <c r="AH13" s="388">
        <f t="shared" si="24"/>
        <v>99.999847407670458</v>
      </c>
      <c r="AI13" s="73">
        <f t="shared" si="29"/>
        <v>1105.9789029532419</v>
      </c>
      <c r="AJ13" s="278">
        <f t="shared" si="9"/>
        <v>0.25738396624472576</v>
      </c>
      <c r="AK13" s="278">
        <f t="shared" si="10"/>
        <v>100.5435366321129</v>
      </c>
      <c r="AL13">
        <f t="shared" si="25"/>
        <v>1</v>
      </c>
    </row>
    <row r="14" spans="1:38" ht="15.75" thickBot="1">
      <c r="A14" s="4">
        <f>ELEC!C15</f>
        <v>44816</v>
      </c>
      <c r="B14" s="500">
        <v>919</v>
      </c>
      <c r="C14" s="276">
        <f t="shared" si="12"/>
        <v>11</v>
      </c>
      <c r="D14" s="501">
        <f t="shared" si="26"/>
        <v>753561</v>
      </c>
      <c r="E14" s="276">
        <f t="shared" si="13"/>
        <v>935</v>
      </c>
      <c r="F14" s="276">
        <f t="shared" si="0"/>
        <v>85</v>
      </c>
      <c r="G14" s="196"/>
      <c r="H14" s="260">
        <f t="shared" si="14"/>
        <v>12231</v>
      </c>
      <c r="I14" s="276" t="str">
        <f t="shared" si="1"/>
        <v>ok</v>
      </c>
      <c r="J14" s="500">
        <f t="shared" si="15"/>
        <v>132</v>
      </c>
      <c r="K14" s="276">
        <f t="shared" si="2"/>
        <v>0</v>
      </c>
      <c r="L14" s="501">
        <f t="shared" si="30"/>
        <v>389941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0">
        <v>13910</v>
      </c>
      <c r="S14" s="276">
        <f t="shared" si="5"/>
        <v>0</v>
      </c>
      <c r="T14" s="501">
        <f t="shared" si="31"/>
        <v>417012</v>
      </c>
      <c r="U14" s="276">
        <f t="shared" si="32"/>
        <v>0</v>
      </c>
      <c r="V14" s="276">
        <v>250</v>
      </c>
      <c r="W14" s="323"/>
      <c r="X14" s="260">
        <f t="shared" si="19"/>
        <v>14773</v>
      </c>
      <c r="Y14" s="276" t="str">
        <f t="shared" si="20"/>
        <v>ok</v>
      </c>
      <c r="Z14" s="276">
        <f t="shared" si="8"/>
        <v>11</v>
      </c>
      <c r="AA14" s="276">
        <f t="shared" si="21"/>
        <v>935</v>
      </c>
      <c r="AB14" s="276">
        <f t="shared" si="22"/>
        <v>585</v>
      </c>
      <c r="AC14" s="276">
        <f t="shared" si="23"/>
        <v>85</v>
      </c>
      <c r="AD14" s="73">
        <f>ELEC!Q15</f>
        <v>3256.0000000012224</v>
      </c>
      <c r="AE14" s="73">
        <f t="shared" si="27"/>
        <v>296.00000000011113</v>
      </c>
      <c r="AF14" s="387">
        <f t="shared" si="28"/>
        <v>0.18500000000006944</v>
      </c>
      <c r="AG14" s="387">
        <f t="shared" si="28"/>
        <v>1.156250000000434E-4</v>
      </c>
      <c r="AH14" s="388">
        <f t="shared" si="24"/>
        <v>84.999884374999993</v>
      </c>
      <c r="AI14" s="73">
        <f t="shared" si="29"/>
        <v>838.04219409314169</v>
      </c>
      <c r="AJ14" s="278">
        <f t="shared" si="9"/>
        <v>0.25738396624472576</v>
      </c>
      <c r="AK14" s="278">
        <f t="shared" si="10"/>
        <v>76.185654008467424</v>
      </c>
      <c r="AL14">
        <f t="shared" si="25"/>
        <v>1</v>
      </c>
    </row>
    <row r="15" spans="1:38" ht="15.75" thickBot="1">
      <c r="A15" s="4">
        <f>ELEC!C16</f>
        <v>44817</v>
      </c>
      <c r="B15" s="500">
        <v>929</v>
      </c>
      <c r="C15" s="276">
        <f t="shared" si="12"/>
        <v>10</v>
      </c>
      <c r="D15" s="501">
        <f t="shared" si="26"/>
        <v>754411</v>
      </c>
      <c r="E15" s="276">
        <f t="shared" si="13"/>
        <v>850</v>
      </c>
      <c r="F15" s="276">
        <f t="shared" si="0"/>
        <v>85</v>
      </c>
      <c r="G15" s="196"/>
      <c r="H15" s="260">
        <f t="shared" si="14"/>
        <v>12231</v>
      </c>
      <c r="I15" s="276" t="str">
        <f t="shared" si="1"/>
        <v>ok</v>
      </c>
      <c r="J15" s="500">
        <f t="shared" si="15"/>
        <v>132</v>
      </c>
      <c r="K15" s="276">
        <f t="shared" si="2"/>
        <v>0</v>
      </c>
      <c r="L15" s="501">
        <f t="shared" si="30"/>
        <v>389941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0">
        <f t="shared" si="18"/>
        <v>13910</v>
      </c>
      <c r="S15" s="276">
        <f t="shared" si="5"/>
        <v>0</v>
      </c>
      <c r="T15" s="501">
        <f t="shared" si="31"/>
        <v>417012</v>
      </c>
      <c r="U15" s="276">
        <f t="shared" si="32"/>
        <v>0</v>
      </c>
      <c r="V15" s="276">
        <v>250</v>
      </c>
      <c r="W15" s="323"/>
      <c r="X15" s="260">
        <f t="shared" si="19"/>
        <v>14773</v>
      </c>
      <c r="Y15" s="276" t="str">
        <f t="shared" si="20"/>
        <v>ok</v>
      </c>
      <c r="Z15" s="276">
        <f t="shared" si="8"/>
        <v>10</v>
      </c>
      <c r="AA15" s="276">
        <f t="shared" si="21"/>
        <v>850</v>
      </c>
      <c r="AB15" s="276">
        <f t="shared" si="22"/>
        <v>585</v>
      </c>
      <c r="AC15" s="276">
        <f t="shared" si="23"/>
        <v>85</v>
      </c>
      <c r="AD15" s="73">
        <f>ELEC!Q16</f>
        <v>2994.9999999989814</v>
      </c>
      <c r="AE15" s="73">
        <f t="shared" si="27"/>
        <v>299.49999999989814</v>
      </c>
      <c r="AF15" s="387">
        <f t="shared" si="28"/>
        <v>0.18718749999993634</v>
      </c>
      <c r="AG15" s="387">
        <f t="shared" si="28"/>
        <v>1.1699218749996021E-4</v>
      </c>
      <c r="AH15" s="388">
        <f t="shared" si="24"/>
        <v>84.9998830078125</v>
      </c>
      <c r="AI15" s="73">
        <f t="shared" si="29"/>
        <v>770.86497890269152</v>
      </c>
      <c r="AJ15" s="278">
        <f t="shared" si="9"/>
        <v>0.25738396624472576</v>
      </c>
      <c r="AK15" s="278">
        <f t="shared" si="10"/>
        <v>77.086497890269158</v>
      </c>
      <c r="AL15">
        <f t="shared" si="25"/>
        <v>1</v>
      </c>
    </row>
    <row r="16" spans="1:38" ht="15.75" thickBot="1">
      <c r="A16" s="4">
        <f>ELEC!C17</f>
        <v>44818</v>
      </c>
      <c r="B16" s="500">
        <v>939</v>
      </c>
      <c r="C16" s="276">
        <f t="shared" si="12"/>
        <v>10</v>
      </c>
      <c r="D16" s="501">
        <f t="shared" si="26"/>
        <v>755261</v>
      </c>
      <c r="E16" s="276">
        <f t="shared" si="13"/>
        <v>850</v>
      </c>
      <c r="F16" s="276">
        <f t="shared" si="0"/>
        <v>85</v>
      </c>
      <c r="G16" s="196"/>
      <c r="H16" s="260">
        <f t="shared" si="14"/>
        <v>12231</v>
      </c>
      <c r="I16" s="276" t="str">
        <f t="shared" si="1"/>
        <v>ok</v>
      </c>
      <c r="J16" s="500">
        <v>133</v>
      </c>
      <c r="K16" s="276">
        <f t="shared" si="2"/>
        <v>1</v>
      </c>
      <c r="L16" s="501">
        <f t="shared" si="30"/>
        <v>390191</v>
      </c>
      <c r="M16" s="276">
        <f t="shared" si="3"/>
        <v>250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0">
        <f t="shared" si="18"/>
        <v>13910</v>
      </c>
      <c r="S16" s="276">
        <f t="shared" si="5"/>
        <v>0</v>
      </c>
      <c r="T16" s="501">
        <f t="shared" si="31"/>
        <v>417012</v>
      </c>
      <c r="U16" s="276">
        <f t="shared" si="32"/>
        <v>0</v>
      </c>
      <c r="V16" s="276">
        <v>250</v>
      </c>
      <c r="W16" s="323"/>
      <c r="X16" s="260">
        <f t="shared" si="19"/>
        <v>14773</v>
      </c>
      <c r="Y16" s="276" t="str">
        <f t="shared" si="20"/>
        <v>ok</v>
      </c>
      <c r="Z16" s="276">
        <f t="shared" si="8"/>
        <v>11</v>
      </c>
      <c r="AA16" s="276">
        <f t="shared" si="21"/>
        <v>1100</v>
      </c>
      <c r="AB16" s="276">
        <f t="shared" si="22"/>
        <v>585</v>
      </c>
      <c r="AC16" s="276">
        <f t="shared" si="23"/>
        <v>100</v>
      </c>
      <c r="AD16" s="73">
        <f>ELEC!Q17</f>
        <v>3158.9999999996508</v>
      </c>
      <c r="AE16" s="73">
        <f t="shared" si="27"/>
        <v>287.18181818178641</v>
      </c>
      <c r="AF16" s="387">
        <f t="shared" si="28"/>
        <v>0.1794886363636165</v>
      </c>
      <c r="AG16" s="387">
        <f t="shared" si="28"/>
        <v>1.1218039772726032E-4</v>
      </c>
      <c r="AH16" s="388">
        <f t="shared" si="24"/>
        <v>99.999887819602279</v>
      </c>
      <c r="AI16" s="73">
        <f t="shared" si="29"/>
        <v>813.07594936699877</v>
      </c>
      <c r="AJ16" s="278">
        <f t="shared" si="9"/>
        <v>0.25738396624472576</v>
      </c>
      <c r="AK16" s="278">
        <f t="shared" si="10"/>
        <v>73.91599539699989</v>
      </c>
      <c r="AL16">
        <f t="shared" si="25"/>
        <v>1</v>
      </c>
    </row>
    <row r="17" spans="1:38" ht="15.75" thickBot="1">
      <c r="A17" s="4">
        <f>ELEC!C18</f>
        <v>44819</v>
      </c>
      <c r="B17" s="500">
        <v>949</v>
      </c>
      <c r="C17" s="276">
        <f t="shared" si="12"/>
        <v>10</v>
      </c>
      <c r="D17" s="501">
        <f t="shared" si="26"/>
        <v>756111</v>
      </c>
      <c r="E17" s="276">
        <f t="shared" si="13"/>
        <v>850</v>
      </c>
      <c r="F17" s="276">
        <f t="shared" si="0"/>
        <v>85</v>
      </c>
      <c r="G17" s="196"/>
      <c r="H17" s="260">
        <f t="shared" si="14"/>
        <v>12231</v>
      </c>
      <c r="I17" s="276" t="str">
        <f t="shared" si="1"/>
        <v>ok</v>
      </c>
      <c r="J17" s="500">
        <f t="shared" si="15"/>
        <v>133</v>
      </c>
      <c r="K17" s="276">
        <f t="shared" si="2"/>
        <v>0</v>
      </c>
      <c r="L17" s="501">
        <f t="shared" si="30"/>
        <v>390191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0">
        <f t="shared" si="18"/>
        <v>13910</v>
      </c>
      <c r="S17" s="276">
        <f t="shared" si="5"/>
        <v>0</v>
      </c>
      <c r="T17" s="501">
        <f t="shared" si="31"/>
        <v>417012</v>
      </c>
      <c r="U17" s="276">
        <f t="shared" si="32"/>
        <v>0</v>
      </c>
      <c r="V17" s="276">
        <v>250</v>
      </c>
      <c r="W17" s="323"/>
      <c r="X17" s="260">
        <f t="shared" si="19"/>
        <v>14773</v>
      </c>
      <c r="Y17" s="276" t="str">
        <f t="shared" si="20"/>
        <v>ok</v>
      </c>
      <c r="Z17" s="276">
        <f t="shared" si="8"/>
        <v>10</v>
      </c>
      <c r="AA17" s="276">
        <f t="shared" si="21"/>
        <v>850</v>
      </c>
      <c r="AB17" s="276">
        <f t="shared" si="22"/>
        <v>585</v>
      </c>
      <c r="AC17" s="276">
        <f t="shared" si="23"/>
        <v>85</v>
      </c>
      <c r="AD17" s="73">
        <f>ELEC!Q18</f>
        <v>0</v>
      </c>
      <c r="AE17" s="73">
        <f t="shared" si="27"/>
        <v>0</v>
      </c>
      <c r="AF17" s="387">
        <f t="shared" si="28"/>
        <v>0</v>
      </c>
      <c r="AG17" s="387">
        <f t="shared" si="28"/>
        <v>0</v>
      </c>
      <c r="AH17" s="388">
        <f t="shared" si="24"/>
        <v>85</v>
      </c>
      <c r="AI17" s="73">
        <f t="shared" si="29"/>
        <v>0</v>
      </c>
      <c r="AJ17" s="278">
        <f t="shared" si="9"/>
        <v>0.25738396624472576</v>
      </c>
      <c r="AK17" s="278">
        <f t="shared" si="10"/>
        <v>0</v>
      </c>
      <c r="AL17">
        <f t="shared" si="25"/>
        <v>1</v>
      </c>
    </row>
    <row r="18" spans="1:38" ht="15.75" thickBot="1">
      <c r="A18" s="4">
        <f>ELEC!C19</f>
        <v>44820</v>
      </c>
      <c r="B18" s="500">
        <f t="shared" si="11"/>
        <v>949</v>
      </c>
      <c r="C18" s="276">
        <f t="shared" si="12"/>
        <v>0</v>
      </c>
      <c r="D18" s="501">
        <f t="shared" si="26"/>
        <v>756111</v>
      </c>
      <c r="E18" s="276">
        <f t="shared" si="13"/>
        <v>0</v>
      </c>
      <c r="F18" s="276">
        <f t="shared" si="0"/>
        <v>0</v>
      </c>
      <c r="G18" s="196"/>
      <c r="H18" s="260">
        <f t="shared" si="14"/>
        <v>12231</v>
      </c>
      <c r="I18" s="276" t="str">
        <f t="shared" si="1"/>
        <v>ok</v>
      </c>
      <c r="J18" s="500">
        <f t="shared" si="15"/>
        <v>133</v>
      </c>
      <c r="K18" s="276">
        <f t="shared" si="2"/>
        <v>0</v>
      </c>
      <c r="L18" s="501">
        <f t="shared" si="30"/>
        <v>390191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0">
        <f t="shared" si="18"/>
        <v>13910</v>
      </c>
      <c r="S18" s="276">
        <f t="shared" si="5"/>
        <v>0</v>
      </c>
      <c r="T18" s="501">
        <f t="shared" si="31"/>
        <v>417012</v>
      </c>
      <c r="U18" s="276">
        <f t="shared" si="32"/>
        <v>0</v>
      </c>
      <c r="V18" s="276">
        <v>250</v>
      </c>
      <c r="W18" s="323"/>
      <c r="X18" s="260">
        <f t="shared" si="19"/>
        <v>14773</v>
      </c>
      <c r="Y18" s="276" t="str">
        <f t="shared" si="20"/>
        <v>ok</v>
      </c>
      <c r="Z18" s="276">
        <f t="shared" si="8"/>
        <v>0</v>
      </c>
      <c r="AA18" s="276">
        <f t="shared" si="21"/>
        <v>0</v>
      </c>
      <c r="AB18" s="276">
        <f t="shared" si="22"/>
        <v>500</v>
      </c>
      <c r="AC18" s="276">
        <f t="shared" si="23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4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44821</v>
      </c>
      <c r="B19" s="500">
        <f t="shared" si="11"/>
        <v>949</v>
      </c>
      <c r="C19" s="276">
        <f t="shared" si="12"/>
        <v>0</v>
      </c>
      <c r="D19" s="501">
        <f t="shared" si="26"/>
        <v>756111</v>
      </c>
      <c r="E19" s="276">
        <f t="shared" si="13"/>
        <v>0</v>
      </c>
      <c r="F19" s="276">
        <f t="shared" si="0"/>
        <v>0</v>
      </c>
      <c r="G19" s="196"/>
      <c r="H19" s="260">
        <f t="shared" si="14"/>
        <v>12231</v>
      </c>
      <c r="I19" s="276" t="str">
        <f t="shared" si="1"/>
        <v>ok</v>
      </c>
      <c r="J19" s="500">
        <f t="shared" si="15"/>
        <v>133</v>
      </c>
      <c r="K19" s="276">
        <f t="shared" si="2"/>
        <v>0</v>
      </c>
      <c r="L19" s="501">
        <f t="shared" si="30"/>
        <v>390191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0">
        <f t="shared" si="18"/>
        <v>13910</v>
      </c>
      <c r="S19" s="276">
        <f t="shared" si="5"/>
        <v>0</v>
      </c>
      <c r="T19" s="501">
        <f t="shared" si="31"/>
        <v>417012</v>
      </c>
      <c r="U19" s="276">
        <f t="shared" si="32"/>
        <v>0</v>
      </c>
      <c r="V19" s="276">
        <v>250</v>
      </c>
      <c r="W19" s="323"/>
      <c r="X19" s="260">
        <f t="shared" si="19"/>
        <v>14773</v>
      </c>
      <c r="Y19" s="276" t="str">
        <f t="shared" si="20"/>
        <v>ok</v>
      </c>
      <c r="Z19" s="276">
        <f t="shared" si="8"/>
        <v>0</v>
      </c>
      <c r="AA19" s="276">
        <f t="shared" si="21"/>
        <v>0</v>
      </c>
      <c r="AB19" s="276">
        <f t="shared" si="22"/>
        <v>500</v>
      </c>
      <c r="AC19" s="276">
        <f t="shared" si="23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4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44822</v>
      </c>
      <c r="B20" s="500">
        <v>961</v>
      </c>
      <c r="C20" s="276">
        <f>B20-B19</f>
        <v>12</v>
      </c>
      <c r="D20" s="501">
        <f t="shared" si="26"/>
        <v>757131</v>
      </c>
      <c r="E20" s="276">
        <f t="shared" si="13"/>
        <v>1020</v>
      </c>
      <c r="F20" s="276">
        <f t="shared" si="0"/>
        <v>85</v>
      </c>
      <c r="G20" s="196"/>
      <c r="H20" s="260">
        <f t="shared" si="14"/>
        <v>12231</v>
      </c>
      <c r="I20" s="276" t="str">
        <f t="shared" si="1"/>
        <v>ok</v>
      </c>
      <c r="J20" s="500">
        <f t="shared" si="15"/>
        <v>133</v>
      </c>
      <c r="K20" s="276">
        <f t="shared" si="2"/>
        <v>0</v>
      </c>
      <c r="L20" s="501">
        <f t="shared" si="30"/>
        <v>390191</v>
      </c>
      <c r="M20" s="276">
        <f t="shared" si="3"/>
        <v>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0">
        <f t="shared" si="18"/>
        <v>13910</v>
      </c>
      <c r="S20" s="276">
        <f t="shared" si="5"/>
        <v>0</v>
      </c>
      <c r="T20" s="501">
        <f t="shared" si="31"/>
        <v>417012</v>
      </c>
      <c r="U20" s="276">
        <f t="shared" si="32"/>
        <v>0</v>
      </c>
      <c r="V20" s="276">
        <v>250</v>
      </c>
      <c r="W20" s="323"/>
      <c r="X20" s="260">
        <f t="shared" si="19"/>
        <v>14773</v>
      </c>
      <c r="Y20" s="276" t="str">
        <f t="shared" si="20"/>
        <v>ok</v>
      </c>
      <c r="Z20" s="276">
        <f t="shared" si="8"/>
        <v>12</v>
      </c>
      <c r="AA20" s="276">
        <f t="shared" si="21"/>
        <v>1020</v>
      </c>
      <c r="AB20" s="276">
        <f t="shared" si="22"/>
        <v>585</v>
      </c>
      <c r="AC20" s="276">
        <f t="shared" si="23"/>
        <v>85</v>
      </c>
      <c r="AD20" s="73">
        <f>ELEC!Q21</f>
        <v>6162.0000000002619</v>
      </c>
      <c r="AE20" s="73">
        <f t="shared" si="27"/>
        <v>513.50000000002183</v>
      </c>
      <c r="AF20" s="387">
        <f t="shared" si="28"/>
        <v>0.32093750000001364</v>
      </c>
      <c r="AG20" s="387">
        <f t="shared" si="28"/>
        <v>2.0058593750000854E-4</v>
      </c>
      <c r="AH20" s="388">
        <f t="shared" si="24"/>
        <v>84.999799414062494</v>
      </c>
      <c r="AI20" s="73">
        <f>AD20*AJ20</f>
        <v>1586.0000000000675</v>
      </c>
      <c r="AJ20" s="278">
        <f t="shared" si="9"/>
        <v>0.25738396624472576</v>
      </c>
      <c r="AK20" s="278">
        <f t="shared" si="10"/>
        <v>132.16666666667228</v>
      </c>
      <c r="AL20">
        <f t="shared" si="25"/>
        <v>1</v>
      </c>
    </row>
    <row r="21" spans="1:38" ht="15.75" thickBot="1">
      <c r="A21" s="4">
        <f>ELEC!C22</f>
        <v>44823</v>
      </c>
      <c r="B21" s="500">
        <v>971</v>
      </c>
      <c r="C21" s="276">
        <f>B21-B20</f>
        <v>10</v>
      </c>
      <c r="D21" s="501">
        <f t="shared" si="26"/>
        <v>757981</v>
      </c>
      <c r="E21" s="276">
        <f t="shared" si="13"/>
        <v>850</v>
      </c>
      <c r="F21" s="276">
        <f t="shared" si="0"/>
        <v>85</v>
      </c>
      <c r="G21" s="196"/>
      <c r="H21" s="260">
        <f t="shared" si="14"/>
        <v>12231</v>
      </c>
      <c r="I21" s="276" t="str">
        <f t="shared" si="1"/>
        <v>ok</v>
      </c>
      <c r="J21" s="500">
        <f t="shared" si="15"/>
        <v>133</v>
      </c>
      <c r="K21" s="276">
        <f t="shared" si="2"/>
        <v>0</v>
      </c>
      <c r="L21" s="501">
        <f t="shared" si="30"/>
        <v>390191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0">
        <f t="shared" si="18"/>
        <v>13910</v>
      </c>
      <c r="S21" s="276">
        <f t="shared" si="5"/>
        <v>0</v>
      </c>
      <c r="T21" s="501">
        <f t="shared" si="31"/>
        <v>417012</v>
      </c>
      <c r="U21" s="276">
        <f t="shared" si="32"/>
        <v>0</v>
      </c>
      <c r="V21" s="276">
        <v>250</v>
      </c>
      <c r="W21" s="196"/>
      <c r="X21" s="260">
        <f t="shared" si="19"/>
        <v>14773</v>
      </c>
      <c r="Y21" s="276" t="str">
        <f t="shared" si="20"/>
        <v>ok</v>
      </c>
      <c r="Z21" s="276">
        <f t="shared" si="8"/>
        <v>10</v>
      </c>
      <c r="AA21" s="276">
        <f t="shared" si="21"/>
        <v>850</v>
      </c>
      <c r="AB21" s="276">
        <f t="shared" si="22"/>
        <v>585</v>
      </c>
      <c r="AC21" s="276">
        <f t="shared" si="23"/>
        <v>85</v>
      </c>
      <c r="AD21" s="73">
        <f>ELEC!Q22</f>
        <v>2828.0000000013388</v>
      </c>
      <c r="AE21" s="73">
        <f t="shared" si="27"/>
        <v>282.80000000013388</v>
      </c>
      <c r="AF21" s="387">
        <f t="shared" si="28"/>
        <v>0.17675000000008367</v>
      </c>
      <c r="AG21" s="387">
        <f t="shared" si="28"/>
        <v>1.104687500000523E-4</v>
      </c>
      <c r="AH21" s="388">
        <f t="shared" si="24"/>
        <v>84.999889531250005</v>
      </c>
      <c r="AI21" s="73">
        <f t="shared" si="29"/>
        <v>727.881856540429</v>
      </c>
      <c r="AJ21" s="278">
        <f t="shared" si="9"/>
        <v>0.25738396624472576</v>
      </c>
      <c r="AK21" s="278">
        <f t="shared" si="10"/>
        <v>72.788185654042906</v>
      </c>
      <c r="AL21">
        <f t="shared" si="25"/>
        <v>1</v>
      </c>
    </row>
    <row r="22" spans="1:38" ht="15.75" thickBot="1">
      <c r="A22" s="4">
        <f>ELEC!C23</f>
        <v>44824</v>
      </c>
      <c r="B22" s="500">
        <v>981</v>
      </c>
      <c r="C22" s="276">
        <f t="shared" si="12"/>
        <v>10</v>
      </c>
      <c r="D22" s="501">
        <f t="shared" si="26"/>
        <v>758831</v>
      </c>
      <c r="E22" s="276">
        <f t="shared" si="13"/>
        <v>850</v>
      </c>
      <c r="F22" s="276">
        <f t="shared" si="0"/>
        <v>85</v>
      </c>
      <c r="G22" s="196"/>
      <c r="H22" s="260">
        <f t="shared" si="14"/>
        <v>12231</v>
      </c>
      <c r="I22" s="276" t="str">
        <f t="shared" si="1"/>
        <v>ok</v>
      </c>
      <c r="J22" s="500">
        <f t="shared" si="15"/>
        <v>133</v>
      </c>
      <c r="K22" s="276">
        <f t="shared" si="2"/>
        <v>0</v>
      </c>
      <c r="L22" s="501">
        <f t="shared" si="30"/>
        <v>390191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0">
        <v>13912</v>
      </c>
      <c r="S22" s="276">
        <f t="shared" si="5"/>
        <v>2</v>
      </c>
      <c r="T22" s="501">
        <f t="shared" si="31"/>
        <v>417512</v>
      </c>
      <c r="U22" s="276">
        <f t="shared" si="32"/>
        <v>500</v>
      </c>
      <c r="V22" s="276">
        <v>250</v>
      </c>
      <c r="W22" s="196"/>
      <c r="X22" s="260">
        <f t="shared" si="19"/>
        <v>14773</v>
      </c>
      <c r="Y22" s="276" t="str">
        <f t="shared" si="20"/>
        <v>ok</v>
      </c>
      <c r="Z22" s="276">
        <f t="shared" si="8"/>
        <v>12</v>
      </c>
      <c r="AA22" s="276">
        <f t="shared" si="21"/>
        <v>1350</v>
      </c>
      <c r="AB22" s="276">
        <f t="shared" si="22"/>
        <v>585</v>
      </c>
      <c r="AC22" s="276">
        <f t="shared" si="23"/>
        <v>112.5</v>
      </c>
      <c r="AD22" s="73">
        <f>ELEC!Q23</f>
        <v>3849.9999999985448</v>
      </c>
      <c r="AE22" s="73">
        <f t="shared" si="27"/>
        <v>320.83333333321207</v>
      </c>
      <c r="AF22" s="387">
        <f t="shared" si="28"/>
        <v>0.20052083333325754</v>
      </c>
      <c r="AG22" s="387">
        <f t="shared" si="28"/>
        <v>1.2532552083328597E-4</v>
      </c>
      <c r="AH22" s="388">
        <f t="shared" si="24"/>
        <v>112.49987467447917</v>
      </c>
      <c r="AI22" s="73">
        <f t="shared" si="29"/>
        <v>990.92827004181959</v>
      </c>
      <c r="AJ22" s="278">
        <f t="shared" si="9"/>
        <v>0.25738396624472576</v>
      </c>
      <c r="AK22" s="278">
        <f t="shared" si="10"/>
        <v>82.577355836818299</v>
      </c>
      <c r="AL22">
        <f t="shared" si="25"/>
        <v>1</v>
      </c>
    </row>
    <row r="23" spans="1:38" ht="15.75" thickBot="1">
      <c r="A23" s="4">
        <f>ELEC!C24</f>
        <v>44825</v>
      </c>
      <c r="B23" s="500">
        <v>991</v>
      </c>
      <c r="C23" s="276">
        <f t="shared" si="12"/>
        <v>10</v>
      </c>
      <c r="D23" s="501">
        <f t="shared" si="26"/>
        <v>759681</v>
      </c>
      <c r="E23" s="276">
        <f t="shared" si="13"/>
        <v>850</v>
      </c>
      <c r="F23" s="276">
        <f t="shared" si="0"/>
        <v>85</v>
      </c>
      <c r="G23" s="196"/>
      <c r="H23" s="260">
        <f t="shared" si="14"/>
        <v>12231</v>
      </c>
      <c r="I23" s="276" t="str">
        <f t="shared" si="1"/>
        <v>ok</v>
      </c>
      <c r="J23" s="500">
        <f t="shared" si="15"/>
        <v>133</v>
      </c>
      <c r="K23" s="276">
        <f t="shared" si="2"/>
        <v>0</v>
      </c>
      <c r="L23" s="501">
        <f t="shared" si="30"/>
        <v>390191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0">
        <f t="shared" si="18"/>
        <v>13912</v>
      </c>
      <c r="S23" s="276">
        <f>R23-R22</f>
        <v>0</v>
      </c>
      <c r="T23" s="501">
        <f t="shared" si="31"/>
        <v>417512</v>
      </c>
      <c r="U23" s="276">
        <f>V23*S23</f>
        <v>0</v>
      </c>
      <c r="V23" s="276">
        <v>250</v>
      </c>
      <c r="W23" s="196"/>
      <c r="X23" s="260">
        <f t="shared" si="19"/>
        <v>14773</v>
      </c>
      <c r="Y23" s="276" t="str">
        <f t="shared" si="20"/>
        <v>ok</v>
      </c>
      <c r="Z23" s="276">
        <f t="shared" si="8"/>
        <v>10</v>
      </c>
      <c r="AA23" s="276">
        <f t="shared" si="21"/>
        <v>850</v>
      </c>
      <c r="AB23" s="276">
        <f t="shared" si="22"/>
        <v>585</v>
      </c>
      <c r="AC23" s="276">
        <f t="shared" si="23"/>
        <v>85</v>
      </c>
      <c r="AD23" s="73">
        <f>ELEC!Q24</f>
        <v>2924.9999999992724</v>
      </c>
      <c r="AE23" s="73">
        <f t="shared" si="27"/>
        <v>292.49999999992724</v>
      </c>
      <c r="AF23" s="387">
        <f t="shared" si="28"/>
        <v>0.18281249999995453</v>
      </c>
      <c r="AG23" s="387">
        <f t="shared" si="28"/>
        <v>1.1425781249997157E-4</v>
      </c>
      <c r="AH23" s="388">
        <f t="shared" si="24"/>
        <v>84.999885742187502</v>
      </c>
      <c r="AI23" s="73">
        <f t="shared" si="29"/>
        <v>752.84810126563559</v>
      </c>
      <c r="AJ23" s="278">
        <f t="shared" si="9"/>
        <v>0.25738396624472576</v>
      </c>
      <c r="AK23" s="278">
        <f t="shared" si="10"/>
        <v>75.284810126563556</v>
      </c>
      <c r="AL23">
        <f t="shared" si="25"/>
        <v>1</v>
      </c>
    </row>
    <row r="24" spans="1:38" ht="15.75" thickBot="1">
      <c r="A24" s="4">
        <f>ELEC!C25</f>
        <v>44826</v>
      </c>
      <c r="B24" s="500">
        <f t="shared" si="11"/>
        <v>991</v>
      </c>
      <c r="C24" s="276">
        <f t="shared" si="12"/>
        <v>0</v>
      </c>
      <c r="D24" s="501">
        <f t="shared" si="26"/>
        <v>759681</v>
      </c>
      <c r="E24" s="276">
        <f t="shared" si="13"/>
        <v>0</v>
      </c>
      <c r="F24" s="276">
        <f t="shared" si="0"/>
        <v>0</v>
      </c>
      <c r="G24" s="196"/>
      <c r="H24" s="260">
        <f t="shared" si="14"/>
        <v>12231</v>
      </c>
      <c r="I24" s="276" t="str">
        <f t="shared" si="1"/>
        <v>ok</v>
      </c>
      <c r="J24" s="500">
        <f t="shared" si="15"/>
        <v>133</v>
      </c>
      <c r="K24" s="276">
        <f t="shared" si="2"/>
        <v>0</v>
      </c>
      <c r="L24" s="501">
        <f t="shared" si="30"/>
        <v>390191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0">
        <f t="shared" si="18"/>
        <v>13912</v>
      </c>
      <c r="S24" s="276">
        <f t="shared" si="5"/>
        <v>0</v>
      </c>
      <c r="T24" s="501">
        <f t="shared" si="31"/>
        <v>417512</v>
      </c>
      <c r="U24" s="276">
        <f t="shared" si="32"/>
        <v>0</v>
      </c>
      <c r="V24" s="276">
        <v>250</v>
      </c>
      <c r="W24" s="196"/>
      <c r="X24" s="260">
        <f t="shared" si="19"/>
        <v>14773</v>
      </c>
      <c r="Y24" s="276" t="str">
        <f t="shared" si="20"/>
        <v>ok</v>
      </c>
      <c r="Z24" s="276">
        <f t="shared" si="8"/>
        <v>0</v>
      </c>
      <c r="AA24" s="276">
        <f t="shared" si="21"/>
        <v>0</v>
      </c>
      <c r="AB24" s="276">
        <f t="shared" si="22"/>
        <v>500</v>
      </c>
      <c r="AC24" s="276">
        <f t="shared" si="23"/>
        <v>0</v>
      </c>
      <c r="AD24" s="73">
        <f>ELEC!Q25</f>
        <v>2780.0000000024738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4"/>
        <v>#DIV/0!</v>
      </c>
      <c r="AI24" s="73">
        <f t="shared" si="29"/>
        <v>715.5274261609743</v>
      </c>
      <c r="AJ24" s="278">
        <f t="shared" si="9"/>
        <v>0.25738396624472576</v>
      </c>
      <c r="AK24" s="278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44827</v>
      </c>
      <c r="B25" s="500">
        <f t="shared" si="11"/>
        <v>991</v>
      </c>
      <c r="C25" s="276">
        <f t="shared" si="12"/>
        <v>0</v>
      </c>
      <c r="D25" s="501">
        <f t="shared" si="26"/>
        <v>759681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12231</v>
      </c>
      <c r="I25" s="276" t="str">
        <f t="shared" si="1"/>
        <v>ok</v>
      </c>
      <c r="J25" s="500">
        <f t="shared" si="15"/>
        <v>133</v>
      </c>
      <c r="K25" s="276">
        <f t="shared" si="2"/>
        <v>0</v>
      </c>
      <c r="L25" s="501">
        <f t="shared" si="30"/>
        <v>390191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0">
        <f t="shared" si="18"/>
        <v>13912</v>
      </c>
      <c r="S25" s="276">
        <f t="shared" si="5"/>
        <v>0</v>
      </c>
      <c r="T25" s="501">
        <f t="shared" si="31"/>
        <v>417512</v>
      </c>
      <c r="U25" s="276">
        <f t="shared" si="32"/>
        <v>0</v>
      </c>
      <c r="V25" s="276">
        <v>250</v>
      </c>
      <c r="W25" s="196"/>
      <c r="X25" s="260">
        <f t="shared" si="19"/>
        <v>14773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44828</v>
      </c>
      <c r="B26" s="500">
        <f t="shared" si="11"/>
        <v>991</v>
      </c>
      <c r="C26" s="276">
        <f>B26-B25</f>
        <v>0</v>
      </c>
      <c r="D26" s="501">
        <f t="shared" si="26"/>
        <v>759681</v>
      </c>
      <c r="E26" s="276">
        <f t="shared" si="13"/>
        <v>0</v>
      </c>
      <c r="F26" s="276">
        <f t="shared" si="0"/>
        <v>0</v>
      </c>
      <c r="G26" s="196"/>
      <c r="H26" s="260">
        <f t="shared" si="14"/>
        <v>12231</v>
      </c>
      <c r="I26" s="276" t="str">
        <f t="shared" si="1"/>
        <v>ok</v>
      </c>
      <c r="J26" s="500">
        <f t="shared" si="15"/>
        <v>133</v>
      </c>
      <c r="K26" s="276">
        <f t="shared" si="2"/>
        <v>0</v>
      </c>
      <c r="L26" s="501">
        <f t="shared" si="30"/>
        <v>390191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0">
        <f t="shared" si="18"/>
        <v>13912</v>
      </c>
      <c r="S26" s="276">
        <f>R26-R25</f>
        <v>0</v>
      </c>
      <c r="T26" s="501">
        <f t="shared" si="31"/>
        <v>417512</v>
      </c>
      <c r="U26" s="276">
        <f t="shared" si="32"/>
        <v>0</v>
      </c>
      <c r="V26" s="276">
        <v>250</v>
      </c>
      <c r="W26" s="196"/>
      <c r="X26" s="260">
        <f>X25</f>
        <v>14773</v>
      </c>
      <c r="Y26" s="276" t="str">
        <f t="shared" si="20"/>
        <v>ok</v>
      </c>
      <c r="Z26" s="276">
        <f t="shared" si="8"/>
        <v>0</v>
      </c>
      <c r="AA26" s="276">
        <f t="shared" si="21"/>
        <v>0</v>
      </c>
      <c r="AB26" s="276">
        <f t="shared" si="22"/>
        <v>500</v>
      </c>
      <c r="AC26" s="276">
        <f t="shared" si="23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4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44829</v>
      </c>
      <c r="B27" s="500">
        <v>1012</v>
      </c>
      <c r="C27" s="276">
        <f>B27-B26</f>
        <v>21</v>
      </c>
      <c r="D27" s="501">
        <f t="shared" si="26"/>
        <v>761466</v>
      </c>
      <c r="E27" s="276">
        <f t="shared" si="13"/>
        <v>1785</v>
      </c>
      <c r="F27" s="276">
        <f t="shared" si="0"/>
        <v>85</v>
      </c>
      <c r="G27" s="196"/>
      <c r="H27" s="260">
        <f t="shared" si="14"/>
        <v>12231</v>
      </c>
      <c r="I27" s="276" t="str">
        <f>IF(B27-H27&lt;=0,"ok","oil change")</f>
        <v>ok</v>
      </c>
      <c r="J27" s="500">
        <f t="shared" si="15"/>
        <v>133</v>
      </c>
      <c r="K27" s="276">
        <f t="shared" si="2"/>
        <v>0</v>
      </c>
      <c r="L27" s="501">
        <f t="shared" si="30"/>
        <v>390191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0">
        <f t="shared" si="18"/>
        <v>13912</v>
      </c>
      <c r="S27" s="276">
        <f t="shared" si="5"/>
        <v>0</v>
      </c>
      <c r="T27" s="501">
        <f t="shared" si="31"/>
        <v>417512</v>
      </c>
      <c r="U27" s="276">
        <f t="shared" si="32"/>
        <v>0</v>
      </c>
      <c r="V27" s="276">
        <v>250</v>
      </c>
      <c r="W27" s="196"/>
      <c r="X27" s="260">
        <f t="shared" si="19"/>
        <v>14773</v>
      </c>
      <c r="Y27" s="276" t="str">
        <f t="shared" si="20"/>
        <v>ok</v>
      </c>
      <c r="Z27" s="276">
        <f t="shared" si="8"/>
        <v>21</v>
      </c>
      <c r="AA27" s="276">
        <f t="shared" si="21"/>
        <v>1785</v>
      </c>
      <c r="AB27" s="276">
        <f t="shared" si="22"/>
        <v>585</v>
      </c>
      <c r="AC27" s="276">
        <f t="shared" si="23"/>
        <v>85</v>
      </c>
      <c r="AD27" s="73">
        <f>ELEC!Q28</f>
        <v>2784.9999999998545</v>
      </c>
      <c r="AE27" s="73">
        <f t="shared" si="27"/>
        <v>132.61904761904069</v>
      </c>
      <c r="AF27" s="387">
        <f t="shared" si="28"/>
        <v>8.2886904761900429E-2</v>
      </c>
      <c r="AG27" s="387">
        <f t="shared" si="28"/>
        <v>5.180431547618777E-5</v>
      </c>
      <c r="AH27" s="388">
        <f t="shared" si="24"/>
        <v>84.999948195684524</v>
      </c>
      <c r="AI27" s="73">
        <f t="shared" si="29"/>
        <v>716.81434599152374</v>
      </c>
      <c r="AJ27" s="278">
        <f t="shared" si="9"/>
        <v>0.25738396624472576</v>
      </c>
      <c r="AK27" s="278">
        <f t="shared" si="10"/>
        <v>34.134016475786844</v>
      </c>
      <c r="AL27">
        <f t="shared" si="25"/>
        <v>1</v>
      </c>
    </row>
    <row r="28" spans="1:38" ht="15.75" thickBot="1">
      <c r="A28" s="4">
        <f>ELEC!C29</f>
        <v>44830</v>
      </c>
      <c r="B28" s="500">
        <f t="shared" si="11"/>
        <v>1012</v>
      </c>
      <c r="C28" s="276">
        <f t="shared" si="12"/>
        <v>0</v>
      </c>
      <c r="D28" s="501">
        <f t="shared" si="26"/>
        <v>761466</v>
      </c>
      <c r="E28" s="276">
        <f t="shared" si="13"/>
        <v>0</v>
      </c>
      <c r="F28" s="276">
        <f t="shared" si="0"/>
        <v>0</v>
      </c>
      <c r="G28" s="274"/>
      <c r="H28" s="260">
        <f t="shared" si="14"/>
        <v>12231</v>
      </c>
      <c r="I28" s="276" t="str">
        <f t="shared" si="1"/>
        <v>ok</v>
      </c>
      <c r="J28" s="500">
        <f t="shared" si="15"/>
        <v>133</v>
      </c>
      <c r="K28" s="276">
        <f t="shared" si="2"/>
        <v>0</v>
      </c>
      <c r="L28" s="501">
        <f t="shared" si="30"/>
        <v>390191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0">
        <f t="shared" si="18"/>
        <v>13912</v>
      </c>
      <c r="S28" s="276">
        <f t="shared" si="5"/>
        <v>0</v>
      </c>
      <c r="T28" s="501">
        <f t="shared" si="31"/>
        <v>417512</v>
      </c>
      <c r="U28" s="276">
        <f t="shared" si="32"/>
        <v>0</v>
      </c>
      <c r="V28" s="276">
        <v>250</v>
      </c>
      <c r="W28" s="196"/>
      <c r="X28" s="260">
        <f t="shared" si="19"/>
        <v>14773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44831</v>
      </c>
      <c r="B29" s="500">
        <f t="shared" si="11"/>
        <v>1012</v>
      </c>
      <c r="C29" s="276">
        <f t="shared" si="12"/>
        <v>0</v>
      </c>
      <c r="D29" s="501">
        <f t="shared" si="26"/>
        <v>761466</v>
      </c>
      <c r="E29" s="276">
        <f t="shared" si="13"/>
        <v>0</v>
      </c>
      <c r="F29" s="276">
        <f t="shared" si="0"/>
        <v>0</v>
      </c>
      <c r="G29" s="196"/>
      <c r="H29" s="260">
        <f t="shared" si="14"/>
        <v>12231</v>
      </c>
      <c r="I29" s="276" t="str">
        <f t="shared" si="1"/>
        <v>ok</v>
      </c>
      <c r="J29" s="500">
        <f t="shared" si="15"/>
        <v>133</v>
      </c>
      <c r="K29" s="276">
        <f t="shared" si="2"/>
        <v>0</v>
      </c>
      <c r="L29" s="501">
        <f t="shared" si="30"/>
        <v>390191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0">
        <f t="shared" si="18"/>
        <v>13912</v>
      </c>
      <c r="S29" s="276">
        <f t="shared" si="5"/>
        <v>0</v>
      </c>
      <c r="T29" s="501">
        <f t="shared" si="31"/>
        <v>417512</v>
      </c>
      <c r="U29" s="276">
        <f>V29*S29</f>
        <v>0</v>
      </c>
      <c r="V29" s="276">
        <v>250</v>
      </c>
      <c r="W29" s="196"/>
      <c r="X29" s="260">
        <f t="shared" si="19"/>
        <v>14773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44832</v>
      </c>
      <c r="B30" s="500">
        <f t="shared" si="11"/>
        <v>1012</v>
      </c>
      <c r="C30" s="276">
        <f t="shared" si="12"/>
        <v>0</v>
      </c>
      <c r="D30" s="501">
        <f t="shared" si="26"/>
        <v>761466</v>
      </c>
      <c r="E30" s="276">
        <f t="shared" si="13"/>
        <v>0</v>
      </c>
      <c r="F30" s="276">
        <f t="shared" si="0"/>
        <v>0</v>
      </c>
      <c r="G30" s="196"/>
      <c r="H30" s="260">
        <f t="shared" si="14"/>
        <v>12231</v>
      </c>
      <c r="I30" s="276" t="str">
        <f t="shared" si="1"/>
        <v>ok</v>
      </c>
      <c r="J30" s="500">
        <f t="shared" si="15"/>
        <v>133</v>
      </c>
      <c r="K30" s="276">
        <f t="shared" si="2"/>
        <v>0</v>
      </c>
      <c r="L30" s="501">
        <f t="shared" si="30"/>
        <v>390191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0">
        <f t="shared" si="18"/>
        <v>13912</v>
      </c>
      <c r="S30" s="276">
        <f t="shared" si="5"/>
        <v>0</v>
      </c>
      <c r="T30" s="501">
        <f t="shared" si="31"/>
        <v>417512</v>
      </c>
      <c r="U30" s="276">
        <f t="shared" si="32"/>
        <v>0</v>
      </c>
      <c r="V30" s="276">
        <v>250</v>
      </c>
      <c r="W30" s="274"/>
      <c r="X30" s="260">
        <f>X29</f>
        <v>14773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44833</v>
      </c>
      <c r="B31" s="500">
        <f t="shared" si="11"/>
        <v>1012</v>
      </c>
      <c r="C31" s="276">
        <f t="shared" ref="C31:C33" si="34">B31-B30</f>
        <v>0</v>
      </c>
      <c r="D31" s="501">
        <f t="shared" si="26"/>
        <v>761466</v>
      </c>
      <c r="E31" s="276">
        <f t="shared" si="13"/>
        <v>0</v>
      </c>
      <c r="F31" s="276">
        <f t="shared" ref="F31:F33" si="35">IF(C31&gt;0,E31/C31,0)</f>
        <v>0</v>
      </c>
      <c r="G31" s="323"/>
      <c r="H31" s="260">
        <f t="shared" si="14"/>
        <v>12231</v>
      </c>
      <c r="I31" s="276" t="str">
        <f t="shared" ref="I31:I33" si="36">IF(B31-H31&lt;=0,"ok","oil change")</f>
        <v>ok</v>
      </c>
      <c r="J31" s="500">
        <f t="shared" si="15"/>
        <v>133</v>
      </c>
      <c r="K31" s="276">
        <f t="shared" si="2"/>
        <v>0</v>
      </c>
      <c r="L31" s="501">
        <f t="shared" si="30"/>
        <v>390191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7">IF(J31-P31&lt;=0,"ok","oil change")</f>
        <v>ok</v>
      </c>
      <c r="R31" s="500">
        <f t="shared" si="18"/>
        <v>13912</v>
      </c>
      <c r="S31" s="276">
        <f t="shared" ref="S31:S33" si="38">R31-R30</f>
        <v>0</v>
      </c>
      <c r="T31" s="501">
        <f t="shared" si="31"/>
        <v>417512</v>
      </c>
      <c r="U31" s="276">
        <f t="shared" ref="U31:U33" si="39">V31*S31</f>
        <v>0</v>
      </c>
      <c r="V31" s="276">
        <v>250</v>
      </c>
      <c r="W31" s="323"/>
      <c r="X31" s="260">
        <f t="shared" si="19"/>
        <v>14773</v>
      </c>
      <c r="Y31" s="276" t="str">
        <f t="shared" si="20"/>
        <v>ok</v>
      </c>
      <c r="Z31" s="276">
        <f t="shared" ref="Z31:Z33" si="40">C31+K31+S31</f>
        <v>0</v>
      </c>
      <c r="AA31" s="276">
        <f t="shared" ref="AA31:AA33" si="41">U31+M31+E31</f>
        <v>0</v>
      </c>
      <c r="AB31" s="276">
        <f t="shared" ref="AB31:AB33" si="42">V31+N31+F31</f>
        <v>500</v>
      </c>
      <c r="AC31" s="276">
        <f t="shared" ref="AC31:AC33" si="43">IF(Z31&gt;0,AA31/Z31,0)</f>
        <v>0</v>
      </c>
      <c r="AD31" s="73">
        <f>ELEC!Q32</f>
        <v>0</v>
      </c>
      <c r="AE31" s="73" t="e">
        <f t="shared" ref="AE31:AE33" si="44">SUM(AD31/Z31)</f>
        <v>#DIV/0!</v>
      </c>
      <c r="AF31" s="387" t="e">
        <f t="shared" ref="AF31:AF33" si="45">SUM(AE31/1600)</f>
        <v>#DIV/0!</v>
      </c>
      <c r="AG31" s="387" t="e">
        <f t="shared" ref="AG31:AG33" si="46">SUM(AF31/1600)</f>
        <v>#DIV/0!</v>
      </c>
      <c r="AH31" s="475" t="e">
        <f t="shared" ref="AH31:AH33" si="47">SUM(AC31-AG31)</f>
        <v>#DIV/0!</v>
      </c>
      <c r="AI31" s="73">
        <f t="shared" ref="AI31:AI33" si="48">AD31*AJ31</f>
        <v>0</v>
      </c>
      <c r="AJ31" s="278">
        <f t="shared" si="9"/>
        <v>0.25738396624472576</v>
      </c>
      <c r="AK31" s="278" t="e">
        <f t="shared" ref="AK31:AK33" si="49">AI31/Z31</f>
        <v>#DIV/0!</v>
      </c>
      <c r="AL31">
        <f t="shared" ref="AL31:AL33" si="50">IF(Z31=0,0,1)</f>
        <v>0</v>
      </c>
    </row>
    <row r="32" spans="1:38" ht="15.75" thickBot="1">
      <c r="A32" s="4">
        <f>ELEC!C33</f>
        <v>44834</v>
      </c>
      <c r="B32" s="500">
        <f t="shared" si="11"/>
        <v>1012</v>
      </c>
      <c r="C32" s="276">
        <f t="shared" si="34"/>
        <v>0</v>
      </c>
      <c r="D32" s="501">
        <f t="shared" si="26"/>
        <v>761466</v>
      </c>
      <c r="E32" s="276">
        <f t="shared" si="13"/>
        <v>0</v>
      </c>
      <c r="F32" s="276">
        <f t="shared" si="35"/>
        <v>0</v>
      </c>
      <c r="G32" s="323"/>
      <c r="H32" s="260">
        <f t="shared" si="14"/>
        <v>12231</v>
      </c>
      <c r="I32" s="276" t="str">
        <f t="shared" si="36"/>
        <v>ok</v>
      </c>
      <c r="J32" s="500">
        <f t="shared" si="15"/>
        <v>133</v>
      </c>
      <c r="K32" s="276">
        <f t="shared" si="2"/>
        <v>0</v>
      </c>
      <c r="L32" s="501">
        <f t="shared" si="30"/>
        <v>390191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7"/>
        <v>ok</v>
      </c>
      <c r="R32" s="500">
        <f t="shared" si="18"/>
        <v>13912</v>
      </c>
      <c r="S32" s="276">
        <f t="shared" si="38"/>
        <v>0</v>
      </c>
      <c r="T32" s="501">
        <f t="shared" si="31"/>
        <v>417512</v>
      </c>
      <c r="U32" s="276">
        <f t="shared" si="39"/>
        <v>0</v>
      </c>
      <c r="V32" s="276">
        <v>250</v>
      </c>
      <c r="W32" s="323"/>
      <c r="X32" s="260">
        <f t="shared" si="19"/>
        <v>14773</v>
      </c>
      <c r="Y32" s="276" t="str">
        <f t="shared" si="20"/>
        <v>ok</v>
      </c>
      <c r="Z32" s="276">
        <f t="shared" si="40"/>
        <v>0</v>
      </c>
      <c r="AA32" s="276">
        <f t="shared" si="41"/>
        <v>0</v>
      </c>
      <c r="AB32" s="276">
        <f t="shared" si="42"/>
        <v>500</v>
      </c>
      <c r="AC32" s="276">
        <f t="shared" si="43"/>
        <v>0</v>
      </c>
      <c r="AD32" s="73">
        <f>ELEC!Q33</f>
        <v>0</v>
      </c>
      <c r="AE32" s="73" t="e">
        <f t="shared" si="44"/>
        <v>#DIV/0!</v>
      </c>
      <c r="AF32" s="387" t="e">
        <f t="shared" si="45"/>
        <v>#DIV/0!</v>
      </c>
      <c r="AG32" s="387" t="e">
        <f t="shared" si="46"/>
        <v>#DIV/0!</v>
      </c>
      <c r="AH32" s="475" t="e">
        <f t="shared" si="47"/>
        <v>#DIV/0!</v>
      </c>
      <c r="AI32" s="73">
        <f t="shared" si="48"/>
        <v>0</v>
      </c>
      <c r="AJ32" s="278">
        <f t="shared" si="9"/>
        <v>0.25738396624472576</v>
      </c>
      <c r="AK32" s="278" t="e">
        <f t="shared" si="49"/>
        <v>#DIV/0!</v>
      </c>
      <c r="AL32">
        <f t="shared" si="50"/>
        <v>0</v>
      </c>
    </row>
    <row r="33" spans="1:38">
      <c r="A33" s="4">
        <f>ELEC!C34</f>
        <v>44835</v>
      </c>
      <c r="B33" s="500">
        <f t="shared" si="11"/>
        <v>1012</v>
      </c>
      <c r="C33" s="276">
        <f t="shared" si="34"/>
        <v>0</v>
      </c>
      <c r="D33" s="501">
        <f t="shared" si="26"/>
        <v>761466</v>
      </c>
      <c r="E33" s="276">
        <f t="shared" si="13"/>
        <v>0</v>
      </c>
      <c r="F33" s="276">
        <f t="shared" si="35"/>
        <v>0</v>
      </c>
      <c r="G33" s="323"/>
      <c r="H33" s="260">
        <f t="shared" si="14"/>
        <v>12231</v>
      </c>
      <c r="I33" s="276" t="str">
        <f t="shared" si="36"/>
        <v>ok</v>
      </c>
      <c r="J33" s="500">
        <f t="shared" si="15"/>
        <v>133</v>
      </c>
      <c r="K33" s="276">
        <f t="shared" si="2"/>
        <v>0</v>
      </c>
      <c r="L33" s="501">
        <f t="shared" si="30"/>
        <v>390191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7"/>
        <v>ok</v>
      </c>
      <c r="R33" s="500">
        <f t="shared" si="18"/>
        <v>13912</v>
      </c>
      <c r="S33" s="276">
        <f t="shared" si="38"/>
        <v>0</v>
      </c>
      <c r="T33" s="501">
        <f t="shared" si="31"/>
        <v>417512</v>
      </c>
      <c r="U33" s="276">
        <f t="shared" si="39"/>
        <v>0</v>
      </c>
      <c r="V33" s="276">
        <v>250</v>
      </c>
      <c r="W33" s="323"/>
      <c r="X33" s="260">
        <f t="shared" si="19"/>
        <v>14773</v>
      </c>
      <c r="Y33" s="276" t="str">
        <f t="shared" si="20"/>
        <v>ok</v>
      </c>
      <c r="Z33" s="276">
        <f t="shared" si="40"/>
        <v>0</v>
      </c>
      <c r="AA33" s="276">
        <f t="shared" si="41"/>
        <v>0</v>
      </c>
      <c r="AB33" s="276">
        <f t="shared" si="42"/>
        <v>500</v>
      </c>
      <c r="AC33" s="276">
        <f t="shared" si="43"/>
        <v>0</v>
      </c>
      <c r="AD33" s="73">
        <f>ELEC!Q34</f>
        <v>0</v>
      </c>
      <c r="AE33" s="73" t="e">
        <f t="shared" si="44"/>
        <v>#DIV/0!</v>
      </c>
      <c r="AF33" s="387" t="e">
        <f t="shared" si="45"/>
        <v>#DIV/0!</v>
      </c>
      <c r="AG33" s="387" t="e">
        <f t="shared" si="46"/>
        <v>#DIV/0!</v>
      </c>
      <c r="AH33" s="475" t="e">
        <f t="shared" si="47"/>
        <v>#DIV/0!</v>
      </c>
      <c r="AI33" s="73">
        <f t="shared" si="48"/>
        <v>0</v>
      </c>
      <c r="AJ33" s="278">
        <f t="shared" si="9"/>
        <v>0.25738396624472576</v>
      </c>
      <c r="AK33" s="278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187</v>
      </c>
      <c r="V34" s="40"/>
      <c r="X34">
        <v>341</v>
      </c>
      <c r="Z34" s="404">
        <f>SUM(Z3:Z33)</f>
        <v>187</v>
      </c>
      <c r="AF34" s="387">
        <f>SUM(AE34/1600)</f>
        <v>0</v>
      </c>
      <c r="AL34">
        <f>SUM(AL3:AL33)</f>
        <v>17</v>
      </c>
    </row>
    <row r="35" spans="1:38">
      <c r="C35" s="40">
        <f>SUM(C3:C33)</f>
        <v>175</v>
      </c>
      <c r="K35" s="40">
        <f>SUM(K3:K33)</f>
        <v>8</v>
      </c>
      <c r="S35" s="40">
        <f>SUM(S3:S33)</f>
        <v>4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0">
        <f>193+10</f>
        <v>203</v>
      </c>
      <c r="T41">
        <v>0</v>
      </c>
    </row>
    <row r="42" spans="1:38" ht="15.75" thickBot="1">
      <c r="D42" s="500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0">
        <f t="shared" ref="D43:D44" si="51">D42</f>
        <v>213</v>
      </c>
      <c r="T43">
        <v>8</v>
      </c>
    </row>
    <row r="44" spans="1:38" ht="15.75" thickBot="1">
      <c r="D44" s="500">
        <f t="shared" si="51"/>
        <v>213</v>
      </c>
      <c r="T44">
        <v>9</v>
      </c>
    </row>
    <row r="45" spans="1:38" ht="15.75" thickBot="1">
      <c r="D45" s="500">
        <f>213+8</f>
        <v>221</v>
      </c>
      <c r="T45">
        <v>10</v>
      </c>
    </row>
    <row r="46" spans="1:38" ht="15.75" thickBot="1">
      <c r="D46" s="500">
        <f>221+9</f>
        <v>230</v>
      </c>
      <c r="T46">
        <v>9</v>
      </c>
    </row>
    <row r="47" spans="1:38" ht="15.75" thickBot="1">
      <c r="D47" s="500">
        <f>230+10</f>
        <v>240</v>
      </c>
      <c r="T47">
        <v>9</v>
      </c>
    </row>
    <row r="48" spans="1:38" ht="15.75" thickBot="1">
      <c r="D48" s="500">
        <f>240+9</f>
        <v>249</v>
      </c>
    </row>
    <row r="49" spans="4:4" ht="15.7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60" zoomScaleNormal="60" workbookViewId="0">
      <pane xSplit="1" topLeftCell="AL1" activePane="topRight" state="frozen"/>
      <selection pane="topRight" activeCell="AT28" sqref="AT28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8.5703125" style="472" customWidth="1"/>
    <col min="41" max="41" width="11.425781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3" t="s">
        <v>108</v>
      </c>
      <c r="AS3" s="633" t="s">
        <v>231</v>
      </c>
      <c r="AT3" s="631" t="s">
        <v>299</v>
      </c>
      <c r="AU3" s="632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4"/>
      <c r="AS4" s="634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44804</v>
      </c>
      <c r="B5" s="497">
        <f>[2]tanks!B36</f>
        <v>199</v>
      </c>
      <c r="C5" s="497">
        <f>[2]tanks!C36</f>
        <v>4281.7096774193551</v>
      </c>
      <c r="D5" s="497">
        <f>[2]tanks!D36</f>
        <v>199</v>
      </c>
      <c r="E5" s="497">
        <f>[2]tanks!E36</f>
        <v>4281.7096774193551</v>
      </c>
      <c r="F5" s="497">
        <f>[2]tanks!F36</f>
        <v>199</v>
      </c>
      <c r="G5" s="497">
        <f>[2]tanks!G36</f>
        <v>4281.7096774193551</v>
      </c>
      <c r="H5" s="497">
        <f>[2]tanks!H36</f>
        <v>199</v>
      </c>
      <c r="I5" s="497">
        <f>[2]tanks!I36</f>
        <v>4281.7096774193551</v>
      </c>
      <c r="J5" s="497">
        <f>[2]tanks!J36</f>
        <v>199</v>
      </c>
      <c r="K5" s="497">
        <f>[2]tanks!K36</f>
        <v>4281.7096774193551</v>
      </c>
      <c r="L5" s="497">
        <f>[2]tanks!L36</f>
        <v>199</v>
      </c>
      <c r="M5" s="497">
        <f>[2]tanks!M36</f>
        <v>4281.7096774193551</v>
      </c>
      <c r="N5" s="497">
        <f>[2]tanks!N36</f>
        <v>199</v>
      </c>
      <c r="O5" s="497">
        <f>[2]tanks!O36</f>
        <v>4281.7096774193551</v>
      </c>
      <c r="P5" s="497">
        <f>[2]tanks!P36</f>
        <v>199</v>
      </c>
      <c r="Q5" s="497">
        <f>[2]tanks!Q36</f>
        <v>4281.7096774193551</v>
      </c>
      <c r="R5" s="497">
        <f>[2]tanks!R36</f>
        <v>199</v>
      </c>
      <c r="S5" s="497">
        <f>[2]tanks!S36</f>
        <v>4281.7096774193551</v>
      </c>
      <c r="T5" s="497">
        <f>[2]tanks!T36</f>
        <v>199</v>
      </c>
      <c r="U5" s="497">
        <f>[2]tanks!U36</f>
        <v>4281.7096774193551</v>
      </c>
      <c r="V5" s="497">
        <f>[2]tanks!V36</f>
        <v>199</v>
      </c>
      <c r="W5" s="497">
        <f>[2]tanks!W36</f>
        <v>4281.7096774193551</v>
      </c>
      <c r="X5" s="476">
        <f>[2]tanks!X36</f>
        <v>0.64193548387096777</v>
      </c>
      <c r="Y5" s="497">
        <f>[2]tanks!Y36</f>
        <v>47098.806451612909</v>
      </c>
      <c r="Z5" s="497">
        <f>[2]tanks!Z36</f>
        <v>206</v>
      </c>
      <c r="AA5" s="497">
        <f>[2]tanks!AA36</f>
        <v>2060</v>
      </c>
      <c r="AB5" s="497">
        <f>[2]tanks!AB36</f>
        <v>206</v>
      </c>
      <c r="AC5" s="497">
        <f>[2]tanks!AC36</f>
        <v>2060</v>
      </c>
      <c r="AD5" s="497">
        <f>[2]tanks!AD36</f>
        <v>206</v>
      </c>
      <c r="AE5" s="497">
        <f>[2]tanks!AE36</f>
        <v>2060</v>
      </c>
      <c r="AF5" s="497">
        <f>[2]tanks!AF36</f>
        <v>206</v>
      </c>
      <c r="AG5" s="497">
        <f>[2]tanks!AG36</f>
        <v>2060</v>
      </c>
      <c r="AH5" s="497">
        <f>[2]tanks!AH36</f>
        <v>206</v>
      </c>
      <c r="AI5" s="497">
        <f>[2]tanks!AI36</f>
        <v>2060</v>
      </c>
      <c r="AJ5" s="497">
        <f>[2]tanks!AJ36</f>
        <v>206</v>
      </c>
      <c r="AK5" s="497">
        <f>[2]tanks!AK36</f>
        <v>2060</v>
      </c>
      <c r="AL5" s="497">
        <f>[2]tanks!AL36</f>
        <v>206</v>
      </c>
      <c r="AM5" s="497">
        <f>[2]tanks!AM36</f>
        <v>2060</v>
      </c>
      <c r="AN5" s="476">
        <f>[2]tanks!AN36</f>
        <v>0.73571428571428577</v>
      </c>
      <c r="AO5" s="497">
        <f>[2]tanks!AO36</f>
        <v>14420</v>
      </c>
      <c r="AP5" s="497"/>
      <c r="AQ5" s="476">
        <f>[2]tanks!AQ36</f>
        <v>0.6617059960375703</v>
      </c>
      <c r="AR5" s="605">
        <f>[2]tanks!AR36</f>
        <v>61518.806451612909</v>
      </c>
      <c r="AS5" s="605">
        <f>[2]tanks!AS36</f>
        <v>-1533.3870967741823</v>
      </c>
      <c r="AT5" s="605">
        <f>[2]tanks!AT36</f>
        <v>0</v>
      </c>
      <c r="AU5" s="605">
        <f>[2]tanks!AU36</f>
        <v>0</v>
      </c>
      <c r="AV5" s="605">
        <f>[2]tanks!AV36</f>
        <v>0</v>
      </c>
      <c r="AW5" s="605">
        <f>[2]tanks!AW36</f>
        <v>-144</v>
      </c>
      <c r="AX5" s="605">
        <f>[2]tanks!AX36</f>
        <v>-1389.3870967741823</v>
      </c>
      <c r="AY5" s="605">
        <f>[2]tanks!AY36</f>
        <v>-1533.3870967741823</v>
      </c>
      <c r="AZ5" s="476">
        <f>[2]tanks!AZ36</f>
        <v>0</v>
      </c>
      <c r="BA5" s="605">
        <f>[2]tanks!BA36</f>
        <v>29.5</v>
      </c>
      <c r="BB5" s="476">
        <f>[2]tanks!BB36</f>
        <v>0.8</v>
      </c>
      <c r="BC5" s="605">
        <f>[5]tanks!BC36</f>
        <v>0</v>
      </c>
      <c r="BD5" s="605">
        <f>[5]tanks!BD36</f>
        <v>19225</v>
      </c>
      <c r="BE5" s="605" t="e">
        <f>[5]tanks!BE36</f>
        <v>#REF!</v>
      </c>
      <c r="BF5" s="605">
        <f>[5]tanks!BF36</f>
        <v>0</v>
      </c>
      <c r="BG5" s="605" t="e">
        <f>[5]tanks!BG36</f>
        <v>#REF!</v>
      </c>
      <c r="BH5" s="605">
        <f>[5]tanks!BH36</f>
        <v>0</v>
      </c>
      <c r="BI5" s="605">
        <f>[5]tanks!BI36</f>
        <v>23</v>
      </c>
    </row>
    <row r="6" spans="1:63">
      <c r="A6" s="425">
        <f>ELEC!C4</f>
        <v>44805</v>
      </c>
      <c r="B6" s="497">
        <f>'B5'!B5</f>
        <v>194.5</v>
      </c>
      <c r="C6" s="203">
        <f>B6*$B$4</f>
        <v>4184.8870967741932</v>
      </c>
      <c r="D6">
        <f>SUM(B6)</f>
        <v>194.5</v>
      </c>
      <c r="E6" s="203">
        <f>D6*$B$4</f>
        <v>4184.8870967741932</v>
      </c>
      <c r="F6">
        <f>SUM(D6)</f>
        <v>194.5</v>
      </c>
      <c r="G6" s="203">
        <f t="shared" ref="G6:G33" si="1">F6*$B$4</f>
        <v>4184.8870967741932</v>
      </c>
      <c r="H6" s="203">
        <f>SUM(F6)</f>
        <v>194.5</v>
      </c>
      <c r="I6" s="203">
        <f t="shared" ref="I6:I33" si="2">H6*$B$4</f>
        <v>4184.8870967741932</v>
      </c>
      <c r="J6" s="203">
        <f>SUM(H6)</f>
        <v>194.5</v>
      </c>
      <c r="K6" s="203">
        <f t="shared" ref="K6:K33" si="3">J6*$B$4</f>
        <v>4184.8870967741932</v>
      </c>
      <c r="L6" s="203">
        <f>SUM(J6)</f>
        <v>194.5</v>
      </c>
      <c r="M6" s="203">
        <f t="shared" ref="M6:M33" si="4">L6*$B$4</f>
        <v>4184.8870967741932</v>
      </c>
      <c r="N6" s="203">
        <f>SUM(L6)</f>
        <v>194.5</v>
      </c>
      <c r="O6" s="203">
        <f t="shared" ref="O6:O33" si="5">N6*$B$4</f>
        <v>4184.8870967741932</v>
      </c>
      <c r="P6" s="203">
        <f>SUM(N6)</f>
        <v>194.5</v>
      </c>
      <c r="Q6" s="203">
        <f t="shared" ref="Q6:Q33" si="6">P6*$B$4</f>
        <v>4184.8870967741932</v>
      </c>
      <c r="R6" s="203">
        <f>SUM(P6)</f>
        <v>194.5</v>
      </c>
      <c r="S6" s="203">
        <f t="shared" ref="S6:S33" si="7">R6*$B$4</f>
        <v>4184.8870967741932</v>
      </c>
      <c r="T6" s="203">
        <f>SUM(R6)</f>
        <v>194.5</v>
      </c>
      <c r="U6" s="203">
        <f t="shared" ref="U6:U33" si="8">T6*$B$4</f>
        <v>4184.8870967741932</v>
      </c>
      <c r="V6" s="203">
        <f>SUM(T6)</f>
        <v>194.5</v>
      </c>
      <c r="W6" s="203">
        <f t="shared" ref="W6:W33" si="9">V6*$B$4</f>
        <v>4184.8870967741932</v>
      </c>
      <c r="X6" s="35">
        <f t="shared" ref="X6:X29" si="10">SUM(Y6/73370)</f>
        <v>0.62741935483870981</v>
      </c>
      <c r="Y6" s="36">
        <f>SUM(C6+E6+G6+I6+K6+M6+O6+Q6+S6+U6+W6)</f>
        <v>46033.758064516136</v>
      </c>
      <c r="Z6" s="203">
        <f>'B5'!C5</f>
        <v>201</v>
      </c>
      <c r="AA6" s="203">
        <f>SUM(Z6*$Z$4)</f>
        <v>2010</v>
      </c>
      <c r="AB6" s="203">
        <f>SUM(Z6)</f>
        <v>201</v>
      </c>
      <c r="AC6" s="203">
        <f>SUM(AB6*$Z$4)</f>
        <v>2010</v>
      </c>
      <c r="AD6" s="203">
        <f>SUM(AB6)</f>
        <v>201</v>
      </c>
      <c r="AE6" s="203">
        <f t="shared" ref="AE6:AE33" si="11">SUM(AD6*$Z$4)</f>
        <v>2010</v>
      </c>
      <c r="AF6" s="203">
        <f>SUM(AD6)</f>
        <v>201</v>
      </c>
      <c r="AG6" s="203">
        <f t="shared" ref="AG6:AG33" si="12">SUM(AF6*$Z$4)</f>
        <v>2010</v>
      </c>
      <c r="AH6" s="203">
        <f>SUM(AF6)</f>
        <v>201</v>
      </c>
      <c r="AI6" s="203">
        <f t="shared" ref="AI6:AI33" si="13">SUM(AH6*$Z$4)</f>
        <v>2010</v>
      </c>
      <c r="AJ6" s="203">
        <f>SUM(AH6)</f>
        <v>201</v>
      </c>
      <c r="AK6" s="203">
        <f t="shared" ref="AK6:AK33" si="14">SUM(AJ6*$Z$4)</f>
        <v>2010</v>
      </c>
      <c r="AL6" s="203">
        <f>SUM(AJ6)</f>
        <v>201</v>
      </c>
      <c r="AM6" s="203">
        <f t="shared" ref="AM6:AM33" si="15">SUM(AL6*$Z$4)</f>
        <v>2010</v>
      </c>
      <c r="AN6" s="35">
        <f t="shared" ref="AN6:AN29" si="16">SUM(AO6/19600)</f>
        <v>0.71785714285714286</v>
      </c>
      <c r="AO6" s="36">
        <f>SUM(AA6+AC6+AE6+AG6+AI6+AK6+AM6)</f>
        <v>14070</v>
      </c>
      <c r="AQ6" s="223">
        <f>SUM(AR6/92970)</f>
        <v>0.64648551214925387</v>
      </c>
      <c r="AR6" s="38">
        <f>Y6+AO6</f>
        <v>60103.758064516136</v>
      </c>
      <c r="AS6" s="197">
        <f>SUM(AR6-AR5-AT6)</f>
        <v>-1415.0483870967728</v>
      </c>
      <c r="AT6" s="340"/>
      <c r="AU6" s="546"/>
      <c r="AV6" s="485">
        <f>IF(AT6&gt;0,AU6,AV5)</f>
        <v>0</v>
      </c>
      <c r="AW6" s="279">
        <f>-SUM('B5'!AI5)</f>
        <v>-25</v>
      </c>
      <c r="AX6" s="279">
        <f t="shared" ref="AX6:AX33" si="17">-SUM(AW6-AS6)</f>
        <v>-1390.0483870967728</v>
      </c>
      <c r="AY6" s="37">
        <f>SUM(AX6+AW6)</f>
        <v>-1415.0483870967728</v>
      </c>
      <c r="AZ6" s="100">
        <f>ELEC!A4</f>
        <v>0</v>
      </c>
      <c r="BA6" s="118">
        <f>'General information '!D5</f>
        <v>29.5</v>
      </c>
      <c r="BB6" s="269">
        <f>SUM('General information '!E5)</f>
        <v>0.79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-115.83736559139773</v>
      </c>
      <c r="BK6" s="536"/>
    </row>
    <row r="7" spans="1:63">
      <c r="A7" s="425">
        <f>ELEC!C5</f>
        <v>44806</v>
      </c>
      <c r="B7">
        <f>'B5'!B6</f>
        <v>194.5</v>
      </c>
      <c r="C7" s="203">
        <f t="shared" ref="C7:E33" si="18">B7*$B$4</f>
        <v>4184.8870967741932</v>
      </c>
      <c r="D7">
        <f t="shared" ref="D7:D29" si="19">SUM(B7)</f>
        <v>194.5</v>
      </c>
      <c r="E7" s="203">
        <f t="shared" si="18"/>
        <v>4184.8870967741932</v>
      </c>
      <c r="F7">
        <f t="shared" ref="F7:F29" si="20">SUM(D7)</f>
        <v>194.5</v>
      </c>
      <c r="G7" s="203">
        <f t="shared" si="1"/>
        <v>4184.8870967741932</v>
      </c>
      <c r="H7" s="203">
        <f t="shared" ref="H7:H29" si="21">SUM(F7)</f>
        <v>194.5</v>
      </c>
      <c r="I7" s="203">
        <f t="shared" si="2"/>
        <v>4184.8870967741932</v>
      </c>
      <c r="J7" s="203">
        <f t="shared" ref="J7:J29" si="22">SUM(H7)</f>
        <v>194.5</v>
      </c>
      <c r="K7" s="203">
        <f t="shared" si="3"/>
        <v>4184.8870967741932</v>
      </c>
      <c r="L7" s="203">
        <f t="shared" ref="L7:L29" si="23">SUM(J7)</f>
        <v>194.5</v>
      </c>
      <c r="M7" s="203">
        <f t="shared" si="4"/>
        <v>4184.8870967741932</v>
      </c>
      <c r="N7" s="203">
        <f t="shared" ref="N7:N29" si="24">SUM(L7)</f>
        <v>194.5</v>
      </c>
      <c r="O7" s="203">
        <f t="shared" si="5"/>
        <v>4184.8870967741932</v>
      </c>
      <c r="P7" s="203">
        <f t="shared" ref="P7:P29" si="25">SUM(N7)</f>
        <v>194.5</v>
      </c>
      <c r="Q7" s="203">
        <f t="shared" si="6"/>
        <v>4184.8870967741932</v>
      </c>
      <c r="R7" s="203">
        <f t="shared" ref="R7:R29" si="26">SUM(P7)</f>
        <v>194.5</v>
      </c>
      <c r="S7" s="203">
        <f t="shared" si="7"/>
        <v>4184.8870967741932</v>
      </c>
      <c r="T7" s="203">
        <f t="shared" ref="T7:T29" si="27">SUM(R7)</f>
        <v>194.5</v>
      </c>
      <c r="U7" s="203">
        <f t="shared" si="8"/>
        <v>4184.8870967741932</v>
      </c>
      <c r="V7" s="203">
        <f t="shared" ref="V7:V29" si="28">SUM(T7)</f>
        <v>194.5</v>
      </c>
      <c r="W7" s="203">
        <f t="shared" si="9"/>
        <v>4184.8870967741932</v>
      </c>
      <c r="X7" s="35">
        <f t="shared" si="10"/>
        <v>0.62741935483870981</v>
      </c>
      <c r="Y7" s="36">
        <f t="shared" ref="Y7:Y29" si="29">SUM(C7+E7+G7+I7+K7+M7+O7+Q7+S7+U7+W7)</f>
        <v>46033.758064516136</v>
      </c>
      <c r="Z7" s="203">
        <f>'B5'!C6</f>
        <v>201</v>
      </c>
      <c r="AA7" s="203">
        <f t="shared" ref="AA7:AC33" si="30">SUM(Z7*$Z$4)</f>
        <v>2010</v>
      </c>
      <c r="AB7" s="203">
        <f t="shared" ref="AB7:AB29" si="31">SUM(Z7)</f>
        <v>201</v>
      </c>
      <c r="AC7" s="203">
        <f t="shared" si="30"/>
        <v>2010</v>
      </c>
      <c r="AD7" s="203">
        <f t="shared" ref="AD7:AD29" si="32">SUM(AB7)</f>
        <v>201</v>
      </c>
      <c r="AE7" s="203">
        <f t="shared" si="11"/>
        <v>2010</v>
      </c>
      <c r="AF7" s="203">
        <f t="shared" ref="AF7:AF29" si="33">SUM(AD7)</f>
        <v>201</v>
      </c>
      <c r="AG7" s="203">
        <f t="shared" si="12"/>
        <v>2010</v>
      </c>
      <c r="AH7" s="203">
        <f t="shared" ref="AH7:AH29" si="34">SUM(AF7)</f>
        <v>201</v>
      </c>
      <c r="AI7" s="203">
        <f t="shared" si="13"/>
        <v>2010</v>
      </c>
      <c r="AJ7" s="203">
        <f t="shared" ref="AJ7:AJ29" si="35">SUM(AH7)</f>
        <v>201</v>
      </c>
      <c r="AK7" s="203">
        <f t="shared" si="14"/>
        <v>2010</v>
      </c>
      <c r="AL7" s="203">
        <f t="shared" ref="AL7:AL29" si="36">SUM(AJ7)</f>
        <v>201</v>
      </c>
      <c r="AM7" s="203">
        <f t="shared" si="15"/>
        <v>2010</v>
      </c>
      <c r="AN7" s="35">
        <f>SUM(AO7/19600)</f>
        <v>0.71785714285714286</v>
      </c>
      <c r="AO7" s="36">
        <f>SUM(AA7+AC7+AE7+AG7+AI7+AK7+AM7)</f>
        <v>14070</v>
      </c>
      <c r="AQ7" s="223">
        <f>SUM(AR7/92970)</f>
        <v>0.64648551214925387</v>
      </c>
      <c r="AR7" s="38">
        <f>Y7+AO7</f>
        <v>60103.758064516136</v>
      </c>
      <c r="AS7" s="197">
        <f>SUM(AR7-AR6-AT7)</f>
        <v>0</v>
      </c>
      <c r="AT7" s="340"/>
      <c r="AU7" s="546"/>
      <c r="AV7" s="485">
        <f>IF(AT7&gt;0,AU7,AV6)</f>
        <v>0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6"/>
    </row>
    <row r="8" spans="1:63">
      <c r="A8" s="425">
        <f>ELEC!C6</f>
        <v>44807</v>
      </c>
      <c r="B8">
        <f>'B5'!B7</f>
        <v>194.5</v>
      </c>
      <c r="C8" s="203">
        <f t="shared" si="18"/>
        <v>4184.8870967741932</v>
      </c>
      <c r="D8">
        <f t="shared" si="19"/>
        <v>194.5</v>
      </c>
      <c r="E8" s="203">
        <f t="shared" si="18"/>
        <v>4184.8870967741932</v>
      </c>
      <c r="F8">
        <f t="shared" si="20"/>
        <v>194.5</v>
      </c>
      <c r="G8" s="203">
        <f t="shared" si="1"/>
        <v>4184.8870967741932</v>
      </c>
      <c r="H8" s="203">
        <f t="shared" si="21"/>
        <v>194.5</v>
      </c>
      <c r="I8" s="203">
        <f t="shared" si="2"/>
        <v>4184.8870967741932</v>
      </c>
      <c r="J8" s="203">
        <f t="shared" si="22"/>
        <v>194.5</v>
      </c>
      <c r="K8" s="203">
        <f t="shared" si="3"/>
        <v>4184.8870967741932</v>
      </c>
      <c r="L8" s="203">
        <f t="shared" si="23"/>
        <v>194.5</v>
      </c>
      <c r="M8" s="203">
        <f t="shared" si="4"/>
        <v>4184.8870967741932</v>
      </c>
      <c r="N8" s="203">
        <f t="shared" si="24"/>
        <v>194.5</v>
      </c>
      <c r="O8" s="203">
        <f t="shared" si="5"/>
        <v>4184.8870967741932</v>
      </c>
      <c r="P8" s="203">
        <f t="shared" si="25"/>
        <v>194.5</v>
      </c>
      <c r="Q8" s="203">
        <f t="shared" si="6"/>
        <v>4184.8870967741932</v>
      </c>
      <c r="R8" s="203">
        <f t="shared" si="26"/>
        <v>194.5</v>
      </c>
      <c r="S8" s="203">
        <f t="shared" si="7"/>
        <v>4184.8870967741932</v>
      </c>
      <c r="T8" s="203">
        <f t="shared" si="27"/>
        <v>194.5</v>
      </c>
      <c r="U8" s="203">
        <f t="shared" si="8"/>
        <v>4184.8870967741932</v>
      </c>
      <c r="V8" s="203">
        <f t="shared" si="28"/>
        <v>194.5</v>
      </c>
      <c r="W8" s="203">
        <f t="shared" si="9"/>
        <v>4184.8870967741932</v>
      </c>
      <c r="X8" s="35">
        <f t="shared" si="10"/>
        <v>0.62741935483870981</v>
      </c>
      <c r="Y8" s="36">
        <f t="shared" si="29"/>
        <v>46033.758064516136</v>
      </c>
      <c r="Z8" s="203">
        <f>'B5'!C7</f>
        <v>201</v>
      </c>
      <c r="AA8" s="203">
        <f t="shared" si="30"/>
        <v>2010</v>
      </c>
      <c r="AB8" s="203">
        <f t="shared" si="31"/>
        <v>201</v>
      </c>
      <c r="AC8" s="203">
        <f t="shared" si="30"/>
        <v>2010</v>
      </c>
      <c r="AD8" s="203">
        <f t="shared" si="32"/>
        <v>201</v>
      </c>
      <c r="AE8" s="203">
        <f t="shared" si="11"/>
        <v>2010</v>
      </c>
      <c r="AF8" s="203">
        <f t="shared" si="33"/>
        <v>201</v>
      </c>
      <c r="AG8" s="203">
        <f t="shared" si="12"/>
        <v>2010</v>
      </c>
      <c r="AH8" s="203">
        <f t="shared" si="34"/>
        <v>201</v>
      </c>
      <c r="AI8" s="203">
        <f t="shared" si="13"/>
        <v>2010</v>
      </c>
      <c r="AJ8" s="203">
        <f t="shared" si="35"/>
        <v>201</v>
      </c>
      <c r="AK8" s="203">
        <f t="shared" si="14"/>
        <v>2010</v>
      </c>
      <c r="AL8" s="203">
        <f t="shared" si="36"/>
        <v>201</v>
      </c>
      <c r="AM8" s="203">
        <f t="shared" si="15"/>
        <v>2010</v>
      </c>
      <c r="AN8" s="35">
        <f t="shared" si="16"/>
        <v>0.71785714285714286</v>
      </c>
      <c r="AO8" s="36">
        <f t="shared" ref="AO8:AO29" si="39">SUM(AA8+AC8+AE8+AG8+AI8+AK8+AM8)</f>
        <v>14070</v>
      </c>
      <c r="AQ8" s="223">
        <f t="shared" ref="AQ8:AQ33" si="40">SUM(AR8/92970)</f>
        <v>0.64648551214925387</v>
      </c>
      <c r="AR8" s="38">
        <f t="shared" ref="AR8:AR36" si="41">Y8+AO8</f>
        <v>60103.758064516136</v>
      </c>
      <c r="AS8" s="197">
        <f t="shared" ref="AS8:AS20" si="42">SUM(AR8-AR7-AT8)</f>
        <v>0</v>
      </c>
      <c r="AT8" s="340"/>
      <c r="AU8" s="546"/>
      <c r="AV8" s="485">
        <f t="shared" ref="AV8:AV31" si="43">IF(AT8&gt;0,AU8,AV7)</f>
        <v>0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824.14345991590403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6" t="e">
        <f>GEN!AF5</f>
        <v>#DIV/0!</v>
      </c>
    </row>
    <row r="9" spans="1:63">
      <c r="A9" s="425">
        <f>ELEC!C7</f>
        <v>44808</v>
      </c>
      <c r="B9">
        <f>'B5'!B8</f>
        <v>190.5</v>
      </c>
      <c r="C9" s="203">
        <f t="shared" si="18"/>
        <v>4098.822580645161</v>
      </c>
      <c r="D9">
        <f t="shared" si="19"/>
        <v>190.5</v>
      </c>
      <c r="E9" s="203">
        <f t="shared" si="18"/>
        <v>4098.822580645161</v>
      </c>
      <c r="F9">
        <f t="shared" si="20"/>
        <v>190.5</v>
      </c>
      <c r="G9" s="203">
        <f t="shared" si="1"/>
        <v>4098.822580645161</v>
      </c>
      <c r="H9" s="203">
        <f t="shared" si="21"/>
        <v>190.5</v>
      </c>
      <c r="I9" s="203">
        <f t="shared" si="2"/>
        <v>4098.822580645161</v>
      </c>
      <c r="J9" s="203">
        <f t="shared" si="22"/>
        <v>190.5</v>
      </c>
      <c r="K9" s="203">
        <f t="shared" si="3"/>
        <v>4098.822580645161</v>
      </c>
      <c r="L9" s="203">
        <f t="shared" si="23"/>
        <v>190.5</v>
      </c>
      <c r="M9" s="203">
        <f t="shared" si="4"/>
        <v>4098.822580645161</v>
      </c>
      <c r="N9" s="203">
        <f t="shared" si="24"/>
        <v>190.5</v>
      </c>
      <c r="O9" s="203">
        <f t="shared" si="5"/>
        <v>4098.822580645161</v>
      </c>
      <c r="P9" s="203">
        <f t="shared" si="25"/>
        <v>190.5</v>
      </c>
      <c r="Q9" s="203">
        <f t="shared" si="6"/>
        <v>4098.822580645161</v>
      </c>
      <c r="R9" s="203">
        <f t="shared" si="26"/>
        <v>190.5</v>
      </c>
      <c r="S9" s="203">
        <f t="shared" si="7"/>
        <v>4098.822580645161</v>
      </c>
      <c r="T9" s="203">
        <f t="shared" si="27"/>
        <v>190.5</v>
      </c>
      <c r="U9" s="203">
        <f t="shared" si="8"/>
        <v>4098.822580645161</v>
      </c>
      <c r="V9" s="203">
        <f t="shared" si="28"/>
        <v>190.5</v>
      </c>
      <c r="W9" s="203">
        <f t="shared" si="9"/>
        <v>4098.822580645161</v>
      </c>
      <c r="X9" s="35">
        <f t="shared" si="10"/>
        <v>0.61451612903225783</v>
      </c>
      <c r="Y9" s="36">
        <f t="shared" si="29"/>
        <v>45087.048387096758</v>
      </c>
      <c r="Z9" s="203">
        <f>'B5'!C8</f>
        <v>198</v>
      </c>
      <c r="AA9" s="203">
        <f t="shared" si="30"/>
        <v>1980</v>
      </c>
      <c r="AB9" s="203">
        <f t="shared" si="31"/>
        <v>198</v>
      </c>
      <c r="AC9" s="203">
        <f t="shared" si="30"/>
        <v>1980</v>
      </c>
      <c r="AD9" s="203">
        <f t="shared" si="32"/>
        <v>198</v>
      </c>
      <c r="AE9" s="203">
        <f t="shared" si="11"/>
        <v>1980</v>
      </c>
      <c r="AF9" s="203">
        <f t="shared" si="33"/>
        <v>198</v>
      </c>
      <c r="AG9" s="203">
        <f t="shared" si="12"/>
        <v>1980</v>
      </c>
      <c r="AH9" s="203">
        <f t="shared" si="34"/>
        <v>198</v>
      </c>
      <c r="AI9" s="203">
        <f t="shared" si="13"/>
        <v>1980</v>
      </c>
      <c r="AJ9" s="203">
        <f t="shared" si="35"/>
        <v>198</v>
      </c>
      <c r="AK9" s="203">
        <f t="shared" si="14"/>
        <v>1980</v>
      </c>
      <c r="AL9" s="203">
        <f t="shared" si="36"/>
        <v>198</v>
      </c>
      <c r="AM9" s="203">
        <f t="shared" si="15"/>
        <v>1980</v>
      </c>
      <c r="AN9" s="35">
        <f t="shared" si="16"/>
        <v>0.70714285714285718</v>
      </c>
      <c r="AO9" s="36">
        <f>SUM(AA9+AC9+AE9+AG9+AI9+AK9+AM9)</f>
        <v>13860</v>
      </c>
      <c r="AQ9" s="223">
        <f t="shared" si="40"/>
        <v>0.63404376021401265</v>
      </c>
      <c r="AR9" s="38">
        <f t="shared" si="41"/>
        <v>58947.048387096758</v>
      </c>
      <c r="AS9" s="197">
        <f>SUM(AR9-AR8-AT9)</f>
        <v>-1156.7096774193778</v>
      </c>
      <c r="AT9" s="340"/>
      <c r="AU9" s="546"/>
      <c r="AV9" s="485">
        <f t="shared" si="43"/>
        <v>0</v>
      </c>
      <c r="AW9" s="279">
        <f>-SUM('B5'!AI8)</f>
        <v>-148</v>
      </c>
      <c r="AX9" s="279">
        <f t="shared" si="17"/>
        <v>-1008.7096774193778</v>
      </c>
      <c r="AY9" s="37">
        <f t="shared" si="37"/>
        <v>-1156.7096774193778</v>
      </c>
      <c r="AZ9" s="100">
        <f>ELEC!A7</f>
        <v>0</v>
      </c>
      <c r="BA9" s="118">
        <f>'General information '!D8</f>
        <v>27.5</v>
      </c>
      <c r="BB9" s="378">
        <f>SUM('General information '!E8)</f>
        <v>0.69</v>
      </c>
      <c r="BC9" s="3">
        <f t="shared" si="44"/>
        <v>0</v>
      </c>
      <c r="BD9" s="102">
        <v>19222</v>
      </c>
      <c r="BE9" s="14">
        <f>(305/1185)*ELEC!Q8</f>
        <v>880.51054852280981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-168.11827956989632</v>
      </c>
      <c r="BK9" s="536">
        <f>GEN!AF6</f>
        <v>0.18193181818188267</v>
      </c>
    </row>
    <row r="10" spans="1:63">
      <c r="A10" s="425">
        <f>ELEC!C8</f>
        <v>44809</v>
      </c>
      <c r="B10">
        <f>'B5'!B9</f>
        <v>187</v>
      </c>
      <c r="C10" s="203">
        <f t="shared" si="18"/>
        <v>4023.516129032258</v>
      </c>
      <c r="D10">
        <f t="shared" si="19"/>
        <v>187</v>
      </c>
      <c r="E10" s="203">
        <f t="shared" si="18"/>
        <v>4023.516129032258</v>
      </c>
      <c r="F10">
        <f t="shared" si="20"/>
        <v>187</v>
      </c>
      <c r="G10" s="203">
        <f t="shared" si="1"/>
        <v>4023.516129032258</v>
      </c>
      <c r="H10" s="203">
        <f t="shared" si="21"/>
        <v>187</v>
      </c>
      <c r="I10" s="203">
        <f t="shared" si="2"/>
        <v>4023.516129032258</v>
      </c>
      <c r="J10" s="203">
        <f t="shared" si="22"/>
        <v>187</v>
      </c>
      <c r="K10" s="203">
        <f t="shared" si="3"/>
        <v>4023.516129032258</v>
      </c>
      <c r="L10" s="203">
        <f t="shared" si="23"/>
        <v>187</v>
      </c>
      <c r="M10" s="203">
        <f t="shared" si="4"/>
        <v>4023.516129032258</v>
      </c>
      <c r="N10" s="203">
        <f t="shared" si="24"/>
        <v>187</v>
      </c>
      <c r="O10" s="203">
        <f t="shared" si="5"/>
        <v>4023.516129032258</v>
      </c>
      <c r="P10" s="203">
        <f t="shared" si="25"/>
        <v>187</v>
      </c>
      <c r="Q10" s="203">
        <f t="shared" si="6"/>
        <v>4023.516129032258</v>
      </c>
      <c r="R10" s="203">
        <f t="shared" si="26"/>
        <v>187</v>
      </c>
      <c r="S10" s="203">
        <f t="shared" si="7"/>
        <v>4023.516129032258</v>
      </c>
      <c r="T10" s="203">
        <f t="shared" si="27"/>
        <v>187</v>
      </c>
      <c r="U10" s="203">
        <f t="shared" si="8"/>
        <v>4023.516129032258</v>
      </c>
      <c r="V10" s="203">
        <f t="shared" si="28"/>
        <v>187</v>
      </c>
      <c r="W10" s="203">
        <f t="shared" si="9"/>
        <v>4023.516129032258</v>
      </c>
      <c r="X10" s="35">
        <f t="shared" si="10"/>
        <v>0.60322580645161294</v>
      </c>
      <c r="Y10" s="36">
        <f t="shared" si="29"/>
        <v>44258.677419354841</v>
      </c>
      <c r="Z10" s="203">
        <f>'B5'!C9</f>
        <v>193</v>
      </c>
      <c r="AA10" s="203">
        <f t="shared" si="30"/>
        <v>1930</v>
      </c>
      <c r="AB10" s="203">
        <f t="shared" si="31"/>
        <v>193</v>
      </c>
      <c r="AC10" s="203">
        <f t="shared" si="30"/>
        <v>1930</v>
      </c>
      <c r="AD10" s="203">
        <f t="shared" si="32"/>
        <v>193</v>
      </c>
      <c r="AE10" s="203">
        <f t="shared" si="11"/>
        <v>1930</v>
      </c>
      <c r="AF10" s="203">
        <f t="shared" si="33"/>
        <v>193</v>
      </c>
      <c r="AG10" s="203">
        <f t="shared" si="12"/>
        <v>1930</v>
      </c>
      <c r="AH10" s="203">
        <f t="shared" si="34"/>
        <v>193</v>
      </c>
      <c r="AI10" s="203">
        <f t="shared" si="13"/>
        <v>1930</v>
      </c>
      <c r="AJ10" s="203">
        <f t="shared" si="35"/>
        <v>193</v>
      </c>
      <c r="AK10" s="203">
        <f t="shared" si="14"/>
        <v>1930</v>
      </c>
      <c r="AL10" s="203">
        <f t="shared" si="36"/>
        <v>193</v>
      </c>
      <c r="AM10" s="203">
        <f t="shared" si="15"/>
        <v>1930</v>
      </c>
      <c r="AN10" s="35">
        <f t="shared" si="16"/>
        <v>0.68928571428571428</v>
      </c>
      <c r="AO10" s="36">
        <f t="shared" si="39"/>
        <v>13510</v>
      </c>
      <c r="AQ10" s="223">
        <f t="shared" si="40"/>
        <v>0.62136901601973582</v>
      </c>
      <c r="AR10" s="38">
        <f t="shared" si="41"/>
        <v>57768.677419354841</v>
      </c>
      <c r="AS10" s="197">
        <f>SUM(AR10-AR9-AT10)</f>
        <v>-1178.3709677419174</v>
      </c>
      <c r="AT10" s="340"/>
      <c r="AU10" s="546"/>
      <c r="AV10" s="485">
        <f>IF(AT10&gt;0,AU10,AV9)</f>
        <v>0</v>
      </c>
      <c r="AW10" s="279">
        <f>-SUM('B5'!AI9)</f>
        <v>-113</v>
      </c>
      <c r="AX10" s="279">
        <f t="shared" si="17"/>
        <v>-1065.3709677419174</v>
      </c>
      <c r="AY10" s="37">
        <f t="shared" si="37"/>
        <v>-1178.3709677419174</v>
      </c>
      <c r="AZ10" s="100">
        <f>ELEC!A8</f>
        <v>0</v>
      </c>
      <c r="BA10" s="118">
        <f>'General information '!D9</f>
        <v>27.5</v>
      </c>
      <c r="BB10" s="378">
        <f>SUM('General information '!E9)</f>
        <v>0.69</v>
      </c>
      <c r="BC10" s="3">
        <f t="shared" si="44"/>
        <v>0</v>
      </c>
      <c r="BD10" s="102">
        <v>19222</v>
      </c>
      <c r="BE10" s="14">
        <f>(305/1185)*ELEC!Q9</f>
        <v>1322.1814345988491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-152.19585253455963</v>
      </c>
      <c r="BK10" s="536">
        <f>GEN!AF7</f>
        <v>0.19437499999991237</v>
      </c>
    </row>
    <row r="11" spans="1:63">
      <c r="A11" s="425">
        <f>ELEC!C9</f>
        <v>44810</v>
      </c>
      <c r="B11">
        <f>'B5'!B10</f>
        <v>180</v>
      </c>
      <c r="C11" s="203">
        <f t="shared" si="18"/>
        <v>3872.9032258064517</v>
      </c>
      <c r="D11">
        <f>SUM(B11)</f>
        <v>180</v>
      </c>
      <c r="E11" s="203">
        <f t="shared" si="18"/>
        <v>3872.9032258064517</v>
      </c>
      <c r="F11">
        <f>SUM(D11)</f>
        <v>180</v>
      </c>
      <c r="G11" s="203">
        <f t="shared" si="1"/>
        <v>3872.9032258064517</v>
      </c>
      <c r="H11" s="203">
        <f>SUM(F11)</f>
        <v>180</v>
      </c>
      <c r="I11" s="203">
        <f t="shared" si="2"/>
        <v>3872.9032258064517</v>
      </c>
      <c r="J11" s="203">
        <f>SUM(H11)</f>
        <v>180</v>
      </c>
      <c r="K11" s="203">
        <f t="shared" si="3"/>
        <v>3872.9032258064517</v>
      </c>
      <c r="L11" s="203">
        <f>SUM(J11)</f>
        <v>180</v>
      </c>
      <c r="M11" s="203">
        <f t="shared" si="4"/>
        <v>3872.9032258064517</v>
      </c>
      <c r="N11" s="203">
        <f>SUM(L11)</f>
        <v>180</v>
      </c>
      <c r="O11" s="203">
        <f t="shared" si="5"/>
        <v>3872.9032258064517</v>
      </c>
      <c r="P11" s="203">
        <f>SUM(N11)</f>
        <v>180</v>
      </c>
      <c r="Q11" s="203">
        <f t="shared" si="6"/>
        <v>3872.9032258064517</v>
      </c>
      <c r="R11" s="203">
        <f>SUM(P11)</f>
        <v>180</v>
      </c>
      <c r="S11" s="203">
        <f t="shared" si="7"/>
        <v>3872.9032258064517</v>
      </c>
      <c r="T11" s="203">
        <f>SUM(R11)</f>
        <v>180</v>
      </c>
      <c r="U11" s="203">
        <f t="shared" si="8"/>
        <v>3872.9032258064517</v>
      </c>
      <c r="V11" s="203">
        <f>SUM(T11)</f>
        <v>180</v>
      </c>
      <c r="W11" s="203">
        <f t="shared" si="9"/>
        <v>3872.9032258064517</v>
      </c>
      <c r="X11" s="35">
        <f>SUM(Y11/73370)</f>
        <v>0.58064516129032262</v>
      </c>
      <c r="Y11" s="36">
        <f>SUM(C11+E11+G11+I11+K11+M11+O11+Q11+S11+U11+W11)</f>
        <v>42601.93548387097</v>
      </c>
      <c r="Z11" s="203">
        <f>'B5'!C10</f>
        <v>187</v>
      </c>
      <c r="AA11" s="203">
        <f t="shared" si="30"/>
        <v>1870</v>
      </c>
      <c r="AB11" s="203">
        <f>SUM(Z11)</f>
        <v>187</v>
      </c>
      <c r="AC11" s="203">
        <f t="shared" si="30"/>
        <v>1870</v>
      </c>
      <c r="AD11" s="203">
        <f>SUM(AB11)</f>
        <v>187</v>
      </c>
      <c r="AE11" s="203">
        <f t="shared" si="11"/>
        <v>1870</v>
      </c>
      <c r="AF11" s="203">
        <f>SUM(AD11)</f>
        <v>187</v>
      </c>
      <c r="AG11" s="203">
        <f t="shared" si="12"/>
        <v>1870</v>
      </c>
      <c r="AH11" s="203">
        <f>SUM(AF11)</f>
        <v>187</v>
      </c>
      <c r="AI11" s="203">
        <f t="shared" si="13"/>
        <v>1870</v>
      </c>
      <c r="AJ11" s="203">
        <f>SUM(AH11)</f>
        <v>187</v>
      </c>
      <c r="AK11" s="203">
        <f t="shared" si="14"/>
        <v>1870</v>
      </c>
      <c r="AL11" s="203">
        <f>SUM(AJ11)</f>
        <v>187</v>
      </c>
      <c r="AM11" s="203">
        <f t="shared" si="15"/>
        <v>1870</v>
      </c>
      <c r="AN11" s="35">
        <f>SUM(AO11/19600)</f>
        <v>0.66785714285714282</v>
      </c>
      <c r="AO11" s="36">
        <f t="shared" si="39"/>
        <v>13090</v>
      </c>
      <c r="AP11" s="523"/>
      <c r="AQ11" s="223">
        <f t="shared" si="40"/>
        <v>0.5990312518432932</v>
      </c>
      <c r="AR11" s="38">
        <f>Y11+AO11</f>
        <v>55691.93548387097</v>
      </c>
      <c r="AS11" s="197">
        <f t="shared" si="42"/>
        <v>-2076.7419354838712</v>
      </c>
      <c r="AT11" s="340"/>
      <c r="AU11" s="546"/>
      <c r="AV11" s="485">
        <f>IF(AT11&gt;0,AU11,AV10)</f>
        <v>0</v>
      </c>
      <c r="AW11" s="279">
        <f>-SUM('B5'!AI10)</f>
        <v>-74</v>
      </c>
      <c r="AX11" s="279">
        <f t="shared" si="17"/>
        <v>-2002.7419354838712</v>
      </c>
      <c r="AY11" s="37">
        <f t="shared" si="37"/>
        <v>-2076.7419354838712</v>
      </c>
      <c r="AZ11" s="100">
        <f>ELEC!A9</f>
        <v>0</v>
      </c>
      <c r="BA11" s="118">
        <f>'General information '!D10</f>
        <v>28</v>
      </c>
      <c r="BB11" s="378">
        <f>SUM('General information '!E10)</f>
        <v>0.65</v>
      </c>
      <c r="BC11" s="3">
        <f t="shared" si="44"/>
        <v>0</v>
      </c>
      <c r="BD11" s="102">
        <v>19222</v>
      </c>
      <c r="BE11" s="14">
        <f>(305/1185)*ELEC!Q10</f>
        <v>1251.6582278484084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-215.34859521333632</v>
      </c>
      <c r="BK11" s="536"/>
    </row>
    <row r="12" spans="1:63">
      <c r="A12" s="425">
        <f>ELEC!C10</f>
        <v>44811</v>
      </c>
      <c r="B12">
        <f>'B5'!B11</f>
        <v>190</v>
      </c>
      <c r="C12" s="203">
        <f t="shared" si="18"/>
        <v>4088.0645161290322</v>
      </c>
      <c r="D12">
        <f t="shared" si="19"/>
        <v>190</v>
      </c>
      <c r="E12" s="203">
        <f t="shared" si="18"/>
        <v>4088.0645161290322</v>
      </c>
      <c r="F12">
        <f t="shared" si="20"/>
        <v>190</v>
      </c>
      <c r="G12" s="203">
        <f t="shared" si="1"/>
        <v>4088.0645161290322</v>
      </c>
      <c r="H12" s="203">
        <f t="shared" si="21"/>
        <v>190</v>
      </c>
      <c r="I12" s="203">
        <f t="shared" si="2"/>
        <v>4088.0645161290322</v>
      </c>
      <c r="J12" s="203">
        <f t="shared" si="22"/>
        <v>190</v>
      </c>
      <c r="K12" s="203">
        <f t="shared" si="3"/>
        <v>4088.0645161290322</v>
      </c>
      <c r="L12" s="203">
        <f t="shared" si="23"/>
        <v>190</v>
      </c>
      <c r="M12" s="203">
        <f t="shared" si="4"/>
        <v>4088.0645161290322</v>
      </c>
      <c r="N12" s="203">
        <f t="shared" si="24"/>
        <v>190</v>
      </c>
      <c r="O12" s="203">
        <f t="shared" si="5"/>
        <v>4088.0645161290322</v>
      </c>
      <c r="P12" s="203">
        <f t="shared" si="25"/>
        <v>190</v>
      </c>
      <c r="Q12" s="203">
        <f t="shared" si="6"/>
        <v>4088.0645161290322</v>
      </c>
      <c r="R12" s="203">
        <f t="shared" si="26"/>
        <v>190</v>
      </c>
      <c r="S12" s="203">
        <f t="shared" si="7"/>
        <v>4088.0645161290322</v>
      </c>
      <c r="T12" s="203">
        <f t="shared" si="27"/>
        <v>190</v>
      </c>
      <c r="U12" s="203">
        <f t="shared" si="8"/>
        <v>4088.0645161290322</v>
      </c>
      <c r="V12" s="203">
        <f t="shared" si="28"/>
        <v>190</v>
      </c>
      <c r="W12" s="203">
        <f t="shared" si="9"/>
        <v>4088.0645161290322</v>
      </c>
      <c r="X12" s="35">
        <f t="shared" si="10"/>
        <v>0.6129032258064514</v>
      </c>
      <c r="Y12" s="36">
        <f t="shared" si="29"/>
        <v>44968.709677419341</v>
      </c>
      <c r="Z12" s="203">
        <f>'B5'!C11</f>
        <v>197</v>
      </c>
      <c r="AA12" s="203">
        <f t="shared" si="30"/>
        <v>1970</v>
      </c>
      <c r="AB12" s="203">
        <f t="shared" si="31"/>
        <v>197</v>
      </c>
      <c r="AC12" s="203">
        <f t="shared" si="30"/>
        <v>1970</v>
      </c>
      <c r="AD12" s="203">
        <f t="shared" si="32"/>
        <v>197</v>
      </c>
      <c r="AE12" s="203">
        <f t="shared" si="11"/>
        <v>1970</v>
      </c>
      <c r="AF12" s="203">
        <f t="shared" si="33"/>
        <v>197</v>
      </c>
      <c r="AG12" s="203">
        <f t="shared" si="12"/>
        <v>1970</v>
      </c>
      <c r="AH12" s="203">
        <f t="shared" si="34"/>
        <v>197</v>
      </c>
      <c r="AI12" s="203">
        <f t="shared" si="13"/>
        <v>1970</v>
      </c>
      <c r="AJ12" s="203">
        <f t="shared" si="35"/>
        <v>197</v>
      </c>
      <c r="AK12" s="203">
        <f t="shared" si="14"/>
        <v>1970</v>
      </c>
      <c r="AL12" s="203">
        <f t="shared" si="36"/>
        <v>197</v>
      </c>
      <c r="AM12" s="203">
        <f t="shared" si="15"/>
        <v>1970</v>
      </c>
      <c r="AN12" s="35">
        <f t="shared" si="16"/>
        <v>0.70357142857142863</v>
      </c>
      <c r="AO12" s="36">
        <f t="shared" si="39"/>
        <v>13790</v>
      </c>
      <c r="AP12" s="523"/>
      <c r="AQ12" s="223">
        <f t="shared" si="40"/>
        <v>0.63201795931396521</v>
      </c>
      <c r="AR12" s="38">
        <f t="shared" si="41"/>
        <v>58758.709677419341</v>
      </c>
      <c r="AS12" s="197">
        <f>SUM(AR12-AR11-AT12)</f>
        <v>-1933.2258064516282</v>
      </c>
      <c r="AT12" s="340">
        <v>5000</v>
      </c>
      <c r="AU12" s="546">
        <v>1.111</v>
      </c>
      <c r="AV12" s="485">
        <f t="shared" si="43"/>
        <v>1.111</v>
      </c>
      <c r="AW12" s="279">
        <f>-SUM('B5'!AI11)</f>
        <v>-90</v>
      </c>
      <c r="AX12" s="279">
        <f t="shared" si="17"/>
        <v>-1843.2258064516282</v>
      </c>
      <c r="AY12" s="37">
        <f t="shared" si="37"/>
        <v>-1933.2258064516282</v>
      </c>
      <c r="AZ12" s="100">
        <f>ELEC!A10</f>
        <v>0</v>
      </c>
      <c r="BA12" s="118">
        <f>'General information '!D11</f>
        <v>28</v>
      </c>
      <c r="BB12" s="378">
        <f>SUM('General information '!E11)</f>
        <v>0.67</v>
      </c>
      <c r="BC12" s="3">
        <f t="shared" si="44"/>
        <v>1</v>
      </c>
      <c r="BD12" s="102">
        <v>19222</v>
      </c>
      <c r="BE12" s="14">
        <f>(305/1185)*ELEC!Q11</f>
        <v>975.22784810143821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-498.16913687872045</v>
      </c>
      <c r="BK12" s="536"/>
    </row>
    <row r="13" spans="1:63">
      <c r="A13" s="425">
        <f>ELEC!C11</f>
        <v>44812</v>
      </c>
      <c r="B13">
        <f>'B5'!B12</f>
        <v>187</v>
      </c>
      <c r="C13" s="203">
        <f t="shared" si="18"/>
        <v>4023.516129032258</v>
      </c>
      <c r="D13">
        <f t="shared" si="19"/>
        <v>187</v>
      </c>
      <c r="E13" s="203">
        <f t="shared" si="18"/>
        <v>4023.516129032258</v>
      </c>
      <c r="F13">
        <f t="shared" si="20"/>
        <v>187</v>
      </c>
      <c r="G13" s="203">
        <f t="shared" si="1"/>
        <v>4023.516129032258</v>
      </c>
      <c r="H13" s="203">
        <f t="shared" si="21"/>
        <v>187</v>
      </c>
      <c r="I13" s="203">
        <f t="shared" si="2"/>
        <v>4023.516129032258</v>
      </c>
      <c r="J13" s="203">
        <f t="shared" si="22"/>
        <v>187</v>
      </c>
      <c r="K13" s="203">
        <f t="shared" si="3"/>
        <v>4023.516129032258</v>
      </c>
      <c r="L13" s="203">
        <f t="shared" si="23"/>
        <v>187</v>
      </c>
      <c r="M13" s="203">
        <f t="shared" si="4"/>
        <v>4023.516129032258</v>
      </c>
      <c r="N13" s="203">
        <f t="shared" si="24"/>
        <v>187</v>
      </c>
      <c r="O13" s="203">
        <f t="shared" si="5"/>
        <v>4023.516129032258</v>
      </c>
      <c r="P13" s="203">
        <f t="shared" si="25"/>
        <v>187</v>
      </c>
      <c r="Q13" s="203">
        <f t="shared" si="6"/>
        <v>4023.516129032258</v>
      </c>
      <c r="R13" s="203">
        <f t="shared" si="26"/>
        <v>187</v>
      </c>
      <c r="S13" s="203">
        <f t="shared" si="7"/>
        <v>4023.516129032258</v>
      </c>
      <c r="T13" s="203">
        <f t="shared" si="27"/>
        <v>187</v>
      </c>
      <c r="U13" s="203">
        <f t="shared" si="8"/>
        <v>4023.516129032258</v>
      </c>
      <c r="V13" s="203">
        <f t="shared" si="28"/>
        <v>187</v>
      </c>
      <c r="W13" s="203">
        <f t="shared" si="9"/>
        <v>4023.516129032258</v>
      </c>
      <c r="X13" s="35">
        <f t="shared" si="10"/>
        <v>0.60322580645161294</v>
      </c>
      <c r="Y13" s="36">
        <f t="shared" si="29"/>
        <v>44258.677419354841</v>
      </c>
      <c r="Z13" s="203">
        <f>'B5'!C12</f>
        <v>193</v>
      </c>
      <c r="AA13" s="203">
        <f t="shared" si="30"/>
        <v>1930</v>
      </c>
      <c r="AB13" s="203">
        <f t="shared" si="31"/>
        <v>193</v>
      </c>
      <c r="AC13" s="203">
        <f t="shared" si="30"/>
        <v>1930</v>
      </c>
      <c r="AD13" s="203">
        <f t="shared" si="32"/>
        <v>193</v>
      </c>
      <c r="AE13" s="203">
        <f t="shared" si="11"/>
        <v>1930</v>
      </c>
      <c r="AF13" s="203">
        <f t="shared" si="33"/>
        <v>193</v>
      </c>
      <c r="AG13" s="203">
        <f t="shared" si="12"/>
        <v>1930</v>
      </c>
      <c r="AH13" s="203">
        <f t="shared" si="34"/>
        <v>193</v>
      </c>
      <c r="AI13" s="203">
        <f t="shared" si="13"/>
        <v>1930</v>
      </c>
      <c r="AJ13" s="203">
        <f t="shared" si="35"/>
        <v>193</v>
      </c>
      <c r="AK13" s="203">
        <f t="shared" si="14"/>
        <v>1930</v>
      </c>
      <c r="AL13" s="203">
        <f t="shared" si="36"/>
        <v>193</v>
      </c>
      <c r="AM13" s="203">
        <f t="shared" si="15"/>
        <v>1930</v>
      </c>
      <c r="AN13" s="35">
        <f t="shared" si="16"/>
        <v>0.68928571428571428</v>
      </c>
      <c r="AO13" s="36">
        <f t="shared" si="39"/>
        <v>13510</v>
      </c>
      <c r="AP13" s="523"/>
      <c r="AQ13" s="223">
        <f t="shared" si="40"/>
        <v>0.62136901601973582</v>
      </c>
      <c r="AR13" s="38">
        <f>Y13+AO13</f>
        <v>57768.677419354841</v>
      </c>
      <c r="AS13" s="197">
        <f>SUM(AR13-AR12-AT13)</f>
        <v>-990.03225806450064</v>
      </c>
      <c r="AT13" s="340"/>
      <c r="AU13" s="546"/>
      <c r="AV13" s="485">
        <f t="shared" si="43"/>
        <v>1.111</v>
      </c>
      <c r="AW13" s="279">
        <f>-SUM('B5'!AI12)</f>
        <v>0</v>
      </c>
      <c r="AX13" s="279">
        <f t="shared" si="17"/>
        <v>-990.03225806450064</v>
      </c>
      <c r="AY13" s="37">
        <f t="shared" si="37"/>
        <v>-990.03225806450064</v>
      </c>
      <c r="AZ13" s="100">
        <f>ELEC!A11</f>
        <v>0</v>
      </c>
      <c r="BA13" s="118">
        <f>'General information '!D12</f>
        <v>29</v>
      </c>
      <c r="BB13" s="378">
        <f>SUM('General information '!E12)</f>
        <v>0.62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-198.00645161290012</v>
      </c>
      <c r="BK13" s="536">
        <f>GEN!AF10</f>
        <v>0.21528409090912895</v>
      </c>
    </row>
    <row r="14" spans="1:63">
      <c r="A14" s="425">
        <f>ELEC!C12</f>
        <v>44813</v>
      </c>
      <c r="B14">
        <f>'B5'!B13</f>
        <v>187</v>
      </c>
      <c r="C14" s="203">
        <f t="shared" si="18"/>
        <v>4023.516129032258</v>
      </c>
      <c r="D14">
        <f t="shared" si="19"/>
        <v>187</v>
      </c>
      <c r="E14" s="203">
        <f t="shared" si="18"/>
        <v>4023.516129032258</v>
      </c>
      <c r="F14">
        <f t="shared" si="20"/>
        <v>187</v>
      </c>
      <c r="G14" s="203">
        <f t="shared" si="1"/>
        <v>4023.516129032258</v>
      </c>
      <c r="H14" s="203">
        <f t="shared" si="21"/>
        <v>187</v>
      </c>
      <c r="I14" s="203">
        <f t="shared" si="2"/>
        <v>4023.516129032258</v>
      </c>
      <c r="J14" s="203">
        <f t="shared" si="22"/>
        <v>187</v>
      </c>
      <c r="K14" s="203">
        <f t="shared" si="3"/>
        <v>4023.516129032258</v>
      </c>
      <c r="L14" s="203">
        <f t="shared" si="23"/>
        <v>187</v>
      </c>
      <c r="M14" s="203">
        <f t="shared" si="4"/>
        <v>4023.516129032258</v>
      </c>
      <c r="N14" s="203">
        <f t="shared" si="24"/>
        <v>187</v>
      </c>
      <c r="O14" s="203">
        <f t="shared" si="5"/>
        <v>4023.516129032258</v>
      </c>
      <c r="P14" s="203">
        <f t="shared" si="25"/>
        <v>187</v>
      </c>
      <c r="Q14" s="203">
        <f t="shared" si="6"/>
        <v>4023.516129032258</v>
      </c>
      <c r="R14" s="203">
        <f t="shared" si="26"/>
        <v>187</v>
      </c>
      <c r="S14" s="203">
        <f t="shared" si="7"/>
        <v>4023.516129032258</v>
      </c>
      <c r="T14" s="203">
        <f t="shared" si="27"/>
        <v>187</v>
      </c>
      <c r="U14" s="203">
        <f t="shared" si="8"/>
        <v>4023.516129032258</v>
      </c>
      <c r="V14" s="203">
        <f t="shared" si="28"/>
        <v>187</v>
      </c>
      <c r="W14" s="203">
        <f t="shared" si="9"/>
        <v>4023.516129032258</v>
      </c>
      <c r="X14" s="35">
        <f t="shared" si="10"/>
        <v>0.60322580645161294</v>
      </c>
      <c r="Y14" s="36">
        <f t="shared" si="29"/>
        <v>44258.677419354841</v>
      </c>
      <c r="Z14" s="203">
        <f>'B5'!C13</f>
        <v>193</v>
      </c>
      <c r="AA14" s="203">
        <f t="shared" si="30"/>
        <v>1930</v>
      </c>
      <c r="AB14" s="203">
        <f t="shared" si="31"/>
        <v>193</v>
      </c>
      <c r="AC14" s="203">
        <f t="shared" si="30"/>
        <v>1930</v>
      </c>
      <c r="AD14" s="203">
        <f t="shared" si="32"/>
        <v>193</v>
      </c>
      <c r="AE14" s="203">
        <f t="shared" si="11"/>
        <v>1930</v>
      </c>
      <c r="AF14" s="203">
        <f t="shared" si="33"/>
        <v>193</v>
      </c>
      <c r="AG14" s="203">
        <f t="shared" si="12"/>
        <v>1930</v>
      </c>
      <c r="AH14" s="203">
        <f t="shared" si="34"/>
        <v>193</v>
      </c>
      <c r="AI14" s="203">
        <f t="shared" si="13"/>
        <v>1930</v>
      </c>
      <c r="AJ14" s="203">
        <f t="shared" si="35"/>
        <v>193</v>
      </c>
      <c r="AK14" s="203">
        <f t="shared" si="14"/>
        <v>1930</v>
      </c>
      <c r="AL14" s="203">
        <f t="shared" si="36"/>
        <v>193</v>
      </c>
      <c r="AM14" s="203">
        <f t="shared" si="15"/>
        <v>1930</v>
      </c>
      <c r="AN14" s="35">
        <f t="shared" si="16"/>
        <v>0.68928571428571428</v>
      </c>
      <c r="AO14" s="36">
        <f t="shared" si="39"/>
        <v>13510</v>
      </c>
      <c r="AQ14" s="223">
        <f t="shared" si="40"/>
        <v>0.62136901601973582</v>
      </c>
      <c r="AR14" s="38">
        <f t="shared" si="41"/>
        <v>57768.677419354841</v>
      </c>
      <c r="AS14" s="197">
        <f>SUM(AR14-AR13-AT14)</f>
        <v>0</v>
      </c>
      <c r="AT14" s="340"/>
      <c r="AU14" s="546"/>
      <c r="AV14" s="485">
        <f t="shared" si="43"/>
        <v>1.111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6">
        <f>GEN!AF11</f>
        <v>0</v>
      </c>
    </row>
    <row r="15" spans="1:63" ht="13.5" customHeight="1">
      <c r="A15" s="425">
        <f>ELEC!C13</f>
        <v>44814</v>
      </c>
      <c r="B15">
        <f>'B5'!B14</f>
        <v>187</v>
      </c>
      <c r="C15" s="203">
        <f>B15*$B$4</f>
        <v>4023.516129032258</v>
      </c>
      <c r="D15">
        <f t="shared" si="19"/>
        <v>187</v>
      </c>
      <c r="E15" s="203">
        <f t="shared" si="18"/>
        <v>4023.516129032258</v>
      </c>
      <c r="F15">
        <f t="shared" si="20"/>
        <v>187</v>
      </c>
      <c r="G15" s="203">
        <f t="shared" si="1"/>
        <v>4023.516129032258</v>
      </c>
      <c r="H15" s="203">
        <f t="shared" si="21"/>
        <v>187</v>
      </c>
      <c r="I15" s="203">
        <f t="shared" si="2"/>
        <v>4023.516129032258</v>
      </c>
      <c r="J15" s="203">
        <f t="shared" si="22"/>
        <v>187</v>
      </c>
      <c r="K15" s="203">
        <f t="shared" si="3"/>
        <v>4023.516129032258</v>
      </c>
      <c r="L15" s="203">
        <f t="shared" si="23"/>
        <v>187</v>
      </c>
      <c r="M15" s="203">
        <f t="shared" si="4"/>
        <v>4023.516129032258</v>
      </c>
      <c r="N15" s="203">
        <f t="shared" si="24"/>
        <v>187</v>
      </c>
      <c r="O15" s="203">
        <f t="shared" si="5"/>
        <v>4023.516129032258</v>
      </c>
      <c r="P15" s="203">
        <f t="shared" si="25"/>
        <v>187</v>
      </c>
      <c r="Q15" s="203">
        <f t="shared" si="6"/>
        <v>4023.516129032258</v>
      </c>
      <c r="R15" s="203">
        <f t="shared" si="26"/>
        <v>187</v>
      </c>
      <c r="S15" s="203">
        <f t="shared" si="7"/>
        <v>4023.516129032258</v>
      </c>
      <c r="T15" s="203">
        <f t="shared" si="27"/>
        <v>187</v>
      </c>
      <c r="U15" s="203">
        <f t="shared" si="8"/>
        <v>4023.516129032258</v>
      </c>
      <c r="V15" s="203">
        <f t="shared" si="28"/>
        <v>187</v>
      </c>
      <c r="W15" s="203">
        <f t="shared" si="9"/>
        <v>4023.516129032258</v>
      </c>
      <c r="X15" s="35">
        <f t="shared" si="10"/>
        <v>0.60322580645161294</v>
      </c>
      <c r="Y15" s="36">
        <f t="shared" si="29"/>
        <v>44258.677419354841</v>
      </c>
      <c r="Z15" s="203">
        <f>'B5'!C14</f>
        <v>193</v>
      </c>
      <c r="AA15" s="203">
        <f t="shared" si="30"/>
        <v>1930</v>
      </c>
      <c r="AB15" s="203">
        <f t="shared" si="31"/>
        <v>193</v>
      </c>
      <c r="AC15" s="203">
        <f t="shared" si="30"/>
        <v>1930</v>
      </c>
      <c r="AD15" s="203">
        <f t="shared" si="32"/>
        <v>193</v>
      </c>
      <c r="AE15" s="203">
        <f t="shared" si="11"/>
        <v>1930</v>
      </c>
      <c r="AF15" s="203">
        <f t="shared" si="33"/>
        <v>193</v>
      </c>
      <c r="AG15" s="203">
        <f t="shared" si="12"/>
        <v>1930</v>
      </c>
      <c r="AH15" s="203">
        <f t="shared" si="34"/>
        <v>193</v>
      </c>
      <c r="AI15" s="203">
        <f t="shared" si="13"/>
        <v>1930</v>
      </c>
      <c r="AJ15" s="203">
        <f t="shared" si="35"/>
        <v>193</v>
      </c>
      <c r="AK15" s="203">
        <f t="shared" si="14"/>
        <v>1930</v>
      </c>
      <c r="AL15" s="203">
        <f t="shared" si="36"/>
        <v>193</v>
      </c>
      <c r="AM15" s="203">
        <f t="shared" si="15"/>
        <v>1930</v>
      </c>
      <c r="AN15" s="35">
        <f t="shared" si="16"/>
        <v>0.68928571428571428</v>
      </c>
      <c r="AO15" s="36">
        <f t="shared" si="39"/>
        <v>13510</v>
      </c>
      <c r="AQ15" s="223">
        <f t="shared" si="40"/>
        <v>0.62136901601973582</v>
      </c>
      <c r="AR15" s="38">
        <f t="shared" si="41"/>
        <v>57768.677419354841</v>
      </c>
      <c r="AS15" s="197">
        <f t="shared" si="42"/>
        <v>0</v>
      </c>
      <c r="AT15" s="340"/>
      <c r="AU15" s="546"/>
      <c r="AV15" s="485">
        <f>IF(AT15&gt;0,AU15,AV14)</f>
        <v>1.111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1105.9789029532419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6" t="e">
        <f>GEN!AF12</f>
        <v>#DIV/0!</v>
      </c>
    </row>
    <row r="16" spans="1:63">
      <c r="A16" s="425">
        <f>ELEC!C14</f>
        <v>44815</v>
      </c>
      <c r="B16">
        <f>'B5'!B15</f>
        <v>182.5</v>
      </c>
      <c r="C16" s="203">
        <f t="shared" si="18"/>
        <v>3926.6935483870966</v>
      </c>
      <c r="D16">
        <f t="shared" si="19"/>
        <v>182.5</v>
      </c>
      <c r="E16" s="203">
        <f t="shared" si="18"/>
        <v>3926.6935483870966</v>
      </c>
      <c r="F16">
        <f t="shared" si="20"/>
        <v>182.5</v>
      </c>
      <c r="G16" s="203">
        <f t="shared" si="1"/>
        <v>3926.6935483870966</v>
      </c>
      <c r="H16" s="203">
        <f t="shared" si="21"/>
        <v>182.5</v>
      </c>
      <c r="I16" s="203">
        <f t="shared" si="2"/>
        <v>3926.6935483870966</v>
      </c>
      <c r="J16" s="203">
        <f t="shared" si="22"/>
        <v>182.5</v>
      </c>
      <c r="K16" s="203">
        <f t="shared" si="3"/>
        <v>3926.6935483870966</v>
      </c>
      <c r="L16" s="203">
        <f t="shared" si="23"/>
        <v>182.5</v>
      </c>
      <c r="M16" s="203">
        <f t="shared" si="4"/>
        <v>3926.6935483870966</v>
      </c>
      <c r="N16" s="203">
        <f t="shared" si="24"/>
        <v>182.5</v>
      </c>
      <c r="O16" s="203">
        <f t="shared" si="5"/>
        <v>3926.6935483870966</v>
      </c>
      <c r="P16" s="203">
        <f t="shared" si="25"/>
        <v>182.5</v>
      </c>
      <c r="Q16" s="203">
        <f t="shared" si="6"/>
        <v>3926.6935483870966</v>
      </c>
      <c r="R16" s="203">
        <f t="shared" si="26"/>
        <v>182.5</v>
      </c>
      <c r="S16" s="203">
        <f t="shared" si="7"/>
        <v>3926.6935483870966</v>
      </c>
      <c r="T16" s="203">
        <f t="shared" si="27"/>
        <v>182.5</v>
      </c>
      <c r="U16" s="203">
        <f t="shared" si="8"/>
        <v>3926.6935483870966</v>
      </c>
      <c r="V16" s="203">
        <f t="shared" si="28"/>
        <v>182.5</v>
      </c>
      <c r="W16" s="203">
        <f t="shared" si="9"/>
        <v>3926.6935483870966</v>
      </c>
      <c r="X16" s="35">
        <f t="shared" si="10"/>
        <v>0.58870967741935498</v>
      </c>
      <c r="Y16" s="36">
        <f t="shared" si="29"/>
        <v>43193.629032258075</v>
      </c>
      <c r="Z16" s="203">
        <f>'B5'!C15</f>
        <v>189</v>
      </c>
      <c r="AA16" s="203">
        <f t="shared" si="30"/>
        <v>1890</v>
      </c>
      <c r="AB16" s="203">
        <f t="shared" si="31"/>
        <v>189</v>
      </c>
      <c r="AC16" s="203">
        <f t="shared" si="30"/>
        <v>1890</v>
      </c>
      <c r="AD16" s="203">
        <f t="shared" si="32"/>
        <v>189</v>
      </c>
      <c r="AE16" s="203">
        <f t="shared" si="11"/>
        <v>1890</v>
      </c>
      <c r="AF16" s="203">
        <f t="shared" si="33"/>
        <v>189</v>
      </c>
      <c r="AG16" s="203">
        <f t="shared" si="12"/>
        <v>1890</v>
      </c>
      <c r="AH16" s="203">
        <f t="shared" si="34"/>
        <v>189</v>
      </c>
      <c r="AI16" s="203">
        <f t="shared" si="13"/>
        <v>1890</v>
      </c>
      <c r="AJ16" s="203">
        <f t="shared" si="35"/>
        <v>189</v>
      </c>
      <c r="AK16" s="203">
        <f t="shared" si="14"/>
        <v>1890</v>
      </c>
      <c r="AL16" s="203">
        <f t="shared" si="36"/>
        <v>189</v>
      </c>
      <c r="AM16" s="203">
        <f t="shared" si="15"/>
        <v>1890</v>
      </c>
      <c r="AN16" s="35">
        <f t="shared" si="16"/>
        <v>0.67500000000000004</v>
      </c>
      <c r="AO16" s="36">
        <f t="shared" si="39"/>
        <v>13230</v>
      </c>
      <c r="AQ16" s="223">
        <f t="shared" si="40"/>
        <v>0.60690146318444738</v>
      </c>
      <c r="AR16" s="38">
        <f>Y16+AO16</f>
        <v>56423.629032258075</v>
      </c>
      <c r="AS16" s="197">
        <f>SUM(AR16-AR15-AT16)</f>
        <v>-1345.0483870967655</v>
      </c>
      <c r="AT16" s="340"/>
      <c r="AU16" s="546"/>
      <c r="AV16" s="485">
        <f t="shared" ref="AV16:AV21" si="45">IF(AT16&gt;0,AU16,AV15)</f>
        <v>1.111</v>
      </c>
      <c r="AW16" s="279">
        <f>-SUM('B5'!AI15)</f>
        <v>-217</v>
      </c>
      <c r="AX16" s="279">
        <f t="shared" si="17"/>
        <v>-1128.0483870967655</v>
      </c>
      <c r="AY16" s="37">
        <f t="shared" si="37"/>
        <v>-1345.0483870967655</v>
      </c>
      <c r="AZ16" s="100">
        <f>ELEC!A14</f>
        <v>0</v>
      </c>
      <c r="BA16" s="118">
        <f>'General information '!D15</f>
        <v>27</v>
      </c>
      <c r="BB16" s="378">
        <f>SUM('General information '!E15)</f>
        <v>0.66</v>
      </c>
      <c r="BC16" s="3">
        <f t="shared" si="44"/>
        <v>0</v>
      </c>
      <c r="BD16" s="102">
        <v>19222</v>
      </c>
      <c r="BE16" s="14">
        <f>(305/1185)*ELEC!Q15</f>
        <v>838.04219409314169</v>
      </c>
      <c r="BF16" s="14"/>
      <c r="BG16" s="14" t="e">
        <f>#REF!-BE16</f>
        <v>#REF!</v>
      </c>
      <c r="BH16" s="11"/>
      <c r="BI16">
        <v>3</v>
      </c>
      <c r="BJ16">
        <f t="shared" si="38"/>
        <v>-376.01612903225515</v>
      </c>
      <c r="BK16" s="536">
        <f>GEN!AF13</f>
        <v>0.24414772727265122</v>
      </c>
    </row>
    <row r="17" spans="1:64">
      <c r="A17" s="425">
        <f>ELEC!C15</f>
        <v>44816</v>
      </c>
      <c r="B17">
        <f>'B5'!B16</f>
        <v>233</v>
      </c>
      <c r="C17" s="203">
        <f t="shared" si="18"/>
        <v>5013.2580645161288</v>
      </c>
      <c r="D17">
        <f t="shared" si="19"/>
        <v>233</v>
      </c>
      <c r="E17" s="203">
        <f t="shared" si="18"/>
        <v>5013.2580645161288</v>
      </c>
      <c r="F17">
        <f t="shared" si="20"/>
        <v>233</v>
      </c>
      <c r="G17" s="203">
        <f t="shared" si="1"/>
        <v>5013.2580645161288</v>
      </c>
      <c r="H17" s="203">
        <f t="shared" si="21"/>
        <v>233</v>
      </c>
      <c r="I17" s="203">
        <f t="shared" si="2"/>
        <v>5013.2580645161288</v>
      </c>
      <c r="J17" s="203">
        <f t="shared" si="22"/>
        <v>233</v>
      </c>
      <c r="K17" s="203">
        <f t="shared" si="3"/>
        <v>5013.2580645161288</v>
      </c>
      <c r="L17" s="203">
        <f t="shared" si="23"/>
        <v>233</v>
      </c>
      <c r="M17" s="203">
        <f t="shared" si="4"/>
        <v>5013.2580645161288</v>
      </c>
      <c r="N17" s="203">
        <f t="shared" si="24"/>
        <v>233</v>
      </c>
      <c r="O17" s="203">
        <f t="shared" si="5"/>
        <v>5013.2580645161288</v>
      </c>
      <c r="P17" s="203">
        <f t="shared" si="25"/>
        <v>233</v>
      </c>
      <c r="Q17" s="203">
        <f t="shared" si="6"/>
        <v>5013.2580645161288</v>
      </c>
      <c r="R17" s="203">
        <f t="shared" si="26"/>
        <v>233</v>
      </c>
      <c r="S17" s="203">
        <f t="shared" si="7"/>
        <v>5013.2580645161288</v>
      </c>
      <c r="T17" s="203">
        <f t="shared" si="27"/>
        <v>233</v>
      </c>
      <c r="U17" s="203">
        <f t="shared" si="8"/>
        <v>5013.2580645161288</v>
      </c>
      <c r="V17" s="203">
        <f t="shared" si="28"/>
        <v>233</v>
      </c>
      <c r="W17" s="203">
        <f t="shared" si="9"/>
        <v>5013.2580645161288</v>
      </c>
      <c r="X17" s="35">
        <f t="shared" si="10"/>
        <v>0.75161290322580643</v>
      </c>
      <c r="Y17" s="36">
        <f t="shared" si="29"/>
        <v>55145.838709677417</v>
      </c>
      <c r="Z17" s="203">
        <f>'B5'!C16</f>
        <v>239</v>
      </c>
      <c r="AA17" s="203">
        <f t="shared" si="30"/>
        <v>2390</v>
      </c>
      <c r="AB17" s="203">
        <f t="shared" si="31"/>
        <v>239</v>
      </c>
      <c r="AC17" s="203">
        <f t="shared" si="30"/>
        <v>2390</v>
      </c>
      <c r="AD17" s="203">
        <f t="shared" si="32"/>
        <v>239</v>
      </c>
      <c r="AE17" s="203">
        <f t="shared" si="11"/>
        <v>2390</v>
      </c>
      <c r="AF17" s="203">
        <f t="shared" si="33"/>
        <v>239</v>
      </c>
      <c r="AG17" s="203">
        <f t="shared" si="12"/>
        <v>2390</v>
      </c>
      <c r="AH17" s="203">
        <f t="shared" si="34"/>
        <v>239</v>
      </c>
      <c r="AI17" s="203">
        <f t="shared" si="13"/>
        <v>2390</v>
      </c>
      <c r="AJ17" s="203">
        <f t="shared" si="35"/>
        <v>239</v>
      </c>
      <c r="AK17" s="203">
        <f t="shared" si="14"/>
        <v>2390</v>
      </c>
      <c r="AL17" s="203">
        <f t="shared" si="36"/>
        <v>239</v>
      </c>
      <c r="AM17" s="203">
        <f t="shared" si="15"/>
        <v>2390</v>
      </c>
      <c r="AN17" s="35">
        <f t="shared" si="16"/>
        <v>0.85357142857142854</v>
      </c>
      <c r="AO17" s="36">
        <f>SUM(AA17+AC17+AE17+AG17+AI17+AK17+AM17)</f>
        <v>16730</v>
      </c>
      <c r="AQ17" s="223">
        <f t="shared" si="40"/>
        <v>0.77310787038482764</v>
      </c>
      <c r="AR17" s="38">
        <f t="shared" si="41"/>
        <v>71875.838709677424</v>
      </c>
      <c r="AS17" s="197">
        <f t="shared" si="42"/>
        <v>1089.2096774193487</v>
      </c>
      <c r="AT17" s="610">
        <v>14363</v>
      </c>
      <c r="AU17" s="3">
        <v>1.0629999999999999</v>
      </c>
      <c r="AV17" s="485">
        <f t="shared" si="45"/>
        <v>1.0629999999999999</v>
      </c>
      <c r="AW17" s="279">
        <f>-SUM('B5'!AI16)</f>
        <v>-8</v>
      </c>
      <c r="AX17" s="279">
        <f t="shared" si="17"/>
        <v>1097.2096774193487</v>
      </c>
      <c r="AY17" s="37">
        <f t="shared" si="37"/>
        <v>1089.2096774193487</v>
      </c>
      <c r="AZ17" s="100">
        <f>ELEC!A15</f>
        <v>0</v>
      </c>
      <c r="BA17" s="118">
        <f>'General information '!D16</f>
        <v>27</v>
      </c>
      <c r="BB17" s="378">
        <f>SUM('General information '!E16)</f>
        <v>0.67</v>
      </c>
      <c r="BC17" s="3">
        <f t="shared" si="44"/>
        <v>1</v>
      </c>
      <c r="BD17" s="102">
        <v>19222</v>
      </c>
      <c r="BE17" s="14">
        <f>(305/1185)*ELEC!Q16</f>
        <v>770.86497890269152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274.30241935483718</v>
      </c>
      <c r="BK17" s="536">
        <f>GEN!AF14</f>
        <v>0.18500000000006944</v>
      </c>
    </row>
    <row r="18" spans="1:64">
      <c r="A18" s="425">
        <f>ELEC!C16</f>
        <v>44817</v>
      </c>
      <c r="B18">
        <f>'B5'!B17</f>
        <v>229</v>
      </c>
      <c r="C18" s="203">
        <f t="shared" si="18"/>
        <v>4927.1935483870966</v>
      </c>
      <c r="D18">
        <f t="shared" si="19"/>
        <v>229</v>
      </c>
      <c r="E18" s="203">
        <f t="shared" si="18"/>
        <v>4927.1935483870966</v>
      </c>
      <c r="F18">
        <f t="shared" si="20"/>
        <v>229</v>
      </c>
      <c r="G18" s="203">
        <f t="shared" si="1"/>
        <v>4927.1935483870966</v>
      </c>
      <c r="H18" s="203">
        <f t="shared" si="21"/>
        <v>229</v>
      </c>
      <c r="I18" s="203">
        <f t="shared" si="2"/>
        <v>4927.1935483870966</v>
      </c>
      <c r="J18" s="203">
        <f t="shared" si="22"/>
        <v>229</v>
      </c>
      <c r="K18" s="203">
        <f t="shared" si="3"/>
        <v>4927.1935483870966</v>
      </c>
      <c r="L18" s="203">
        <f t="shared" si="23"/>
        <v>229</v>
      </c>
      <c r="M18" s="203">
        <f t="shared" si="4"/>
        <v>4927.1935483870966</v>
      </c>
      <c r="N18" s="203">
        <f t="shared" si="24"/>
        <v>229</v>
      </c>
      <c r="O18" s="203">
        <f t="shared" si="5"/>
        <v>4927.1935483870966</v>
      </c>
      <c r="P18" s="203">
        <f t="shared" si="25"/>
        <v>229</v>
      </c>
      <c r="Q18" s="203">
        <f t="shared" si="6"/>
        <v>4927.1935483870966</v>
      </c>
      <c r="R18" s="203">
        <f t="shared" si="26"/>
        <v>229</v>
      </c>
      <c r="S18" s="203">
        <f t="shared" si="7"/>
        <v>4927.1935483870966</v>
      </c>
      <c r="T18" s="203">
        <f t="shared" si="27"/>
        <v>229</v>
      </c>
      <c r="U18" s="203">
        <f t="shared" si="8"/>
        <v>4927.1935483870966</v>
      </c>
      <c r="V18" s="203">
        <f t="shared" si="28"/>
        <v>229</v>
      </c>
      <c r="W18" s="203">
        <f t="shared" si="9"/>
        <v>4927.1935483870966</v>
      </c>
      <c r="X18" s="35">
        <f t="shared" si="10"/>
        <v>0.738709677419355</v>
      </c>
      <c r="Y18" s="36">
        <f t="shared" si="29"/>
        <v>54199.129032258075</v>
      </c>
      <c r="Z18" s="203">
        <f>'B5'!C17</f>
        <v>236</v>
      </c>
      <c r="AA18" s="203">
        <f t="shared" si="30"/>
        <v>2360</v>
      </c>
      <c r="AB18" s="203">
        <f t="shared" si="31"/>
        <v>236</v>
      </c>
      <c r="AC18" s="203">
        <f t="shared" si="30"/>
        <v>2360</v>
      </c>
      <c r="AD18" s="203">
        <f t="shared" si="32"/>
        <v>236</v>
      </c>
      <c r="AE18" s="203">
        <f t="shared" si="11"/>
        <v>2360</v>
      </c>
      <c r="AF18" s="203">
        <f t="shared" si="33"/>
        <v>236</v>
      </c>
      <c r="AG18" s="203">
        <f t="shared" si="12"/>
        <v>2360</v>
      </c>
      <c r="AH18" s="203">
        <f t="shared" si="34"/>
        <v>236</v>
      </c>
      <c r="AI18" s="203">
        <f t="shared" si="13"/>
        <v>2360</v>
      </c>
      <c r="AJ18" s="203">
        <f t="shared" si="35"/>
        <v>236</v>
      </c>
      <c r="AK18" s="203">
        <f t="shared" si="14"/>
        <v>2360</v>
      </c>
      <c r="AL18" s="203">
        <f t="shared" si="36"/>
        <v>236</v>
      </c>
      <c r="AM18" s="203">
        <f t="shared" si="15"/>
        <v>2360</v>
      </c>
      <c r="AN18" s="35">
        <f t="shared" si="16"/>
        <v>0.84285714285714286</v>
      </c>
      <c r="AO18" s="36">
        <f t="shared" si="39"/>
        <v>16520</v>
      </c>
      <c r="AQ18" s="223">
        <f t="shared" si="40"/>
        <v>0.76066611844958665</v>
      </c>
      <c r="AR18" s="38">
        <f t="shared" si="41"/>
        <v>70719.129032258075</v>
      </c>
      <c r="AS18" s="197">
        <f>SUM(AR18-AR17-AT18)</f>
        <v>-1156.7096774193487</v>
      </c>
      <c r="AT18" s="340"/>
      <c r="AU18" s="546"/>
      <c r="AV18" s="485">
        <f t="shared" si="45"/>
        <v>1.0629999999999999</v>
      </c>
      <c r="AW18" s="279">
        <f>-SUM('B5'!AI17)</f>
        <v>-187</v>
      </c>
      <c r="AX18" s="279">
        <f t="shared" si="17"/>
        <v>-969.70967741934874</v>
      </c>
      <c r="AY18" s="37">
        <f t="shared" si="37"/>
        <v>-1156.7096774193487</v>
      </c>
      <c r="AZ18" s="100">
        <f>ELEC!A16</f>
        <v>0</v>
      </c>
      <c r="BA18" s="118">
        <f>'General information '!D17</f>
        <v>26</v>
      </c>
      <c r="BB18" s="378">
        <f>SUM('General information '!E17)</f>
        <v>0.56999999999999995</v>
      </c>
      <c r="BC18" s="3">
        <f t="shared" si="44"/>
        <v>0</v>
      </c>
      <c r="BD18" s="102">
        <v>19222</v>
      </c>
      <c r="BE18" s="14">
        <f>(305/1185)*ELEC!Q17</f>
        <v>813.07594936699877</v>
      </c>
      <c r="BF18" s="14"/>
      <c r="BG18" s="14" t="e">
        <f>#REF!-BE18</f>
        <v>#REF!</v>
      </c>
      <c r="BH18" s="11"/>
      <c r="BI18">
        <v>5</v>
      </c>
      <c r="BJ18">
        <f t="shared" si="46"/>
        <v>-193.94193548386974</v>
      </c>
      <c r="BK18" s="536"/>
    </row>
    <row r="19" spans="1:64">
      <c r="A19" s="425">
        <f>ELEC!C17</f>
        <v>44818</v>
      </c>
      <c r="B19">
        <f>'B5'!B18</f>
        <v>226</v>
      </c>
      <c r="C19" s="203">
        <f t="shared" si="18"/>
        <v>4862.6451612903229</v>
      </c>
      <c r="D19">
        <f t="shared" si="19"/>
        <v>226</v>
      </c>
      <c r="E19" s="203">
        <f t="shared" si="18"/>
        <v>4862.6451612903229</v>
      </c>
      <c r="F19">
        <f t="shared" si="20"/>
        <v>226</v>
      </c>
      <c r="G19" s="203">
        <f t="shared" si="1"/>
        <v>4862.6451612903229</v>
      </c>
      <c r="H19" s="203">
        <f t="shared" si="21"/>
        <v>226</v>
      </c>
      <c r="I19" s="203">
        <f t="shared" si="2"/>
        <v>4862.6451612903229</v>
      </c>
      <c r="J19" s="203">
        <f t="shared" si="22"/>
        <v>226</v>
      </c>
      <c r="K19" s="203">
        <f t="shared" si="3"/>
        <v>4862.6451612903229</v>
      </c>
      <c r="L19" s="203">
        <f t="shared" si="23"/>
        <v>226</v>
      </c>
      <c r="M19" s="203">
        <f t="shared" si="4"/>
        <v>4862.6451612903229</v>
      </c>
      <c r="N19" s="203">
        <f t="shared" si="24"/>
        <v>226</v>
      </c>
      <c r="O19" s="203">
        <f t="shared" si="5"/>
        <v>4862.6451612903229</v>
      </c>
      <c r="P19" s="203">
        <f t="shared" si="25"/>
        <v>226</v>
      </c>
      <c r="Q19" s="203">
        <f t="shared" si="6"/>
        <v>4862.6451612903229</v>
      </c>
      <c r="R19" s="203">
        <f t="shared" si="26"/>
        <v>226</v>
      </c>
      <c r="S19" s="203">
        <f t="shared" si="7"/>
        <v>4862.6451612903229</v>
      </c>
      <c r="T19" s="203">
        <f t="shared" si="27"/>
        <v>226</v>
      </c>
      <c r="U19" s="203">
        <f t="shared" si="8"/>
        <v>4862.6451612903229</v>
      </c>
      <c r="V19" s="203">
        <f t="shared" si="28"/>
        <v>226</v>
      </c>
      <c r="W19" s="203">
        <f t="shared" si="9"/>
        <v>4862.6451612903229</v>
      </c>
      <c r="X19" s="35">
        <f t="shared" si="10"/>
        <v>0.72903225806451633</v>
      </c>
      <c r="Y19" s="36">
        <f t="shared" si="29"/>
        <v>53489.09677419356</v>
      </c>
      <c r="Z19" s="203">
        <f>'B5'!C18</f>
        <v>232</v>
      </c>
      <c r="AA19" s="203">
        <f t="shared" si="30"/>
        <v>2320</v>
      </c>
      <c r="AB19" s="203">
        <f t="shared" si="31"/>
        <v>232</v>
      </c>
      <c r="AC19" s="203">
        <f t="shared" si="30"/>
        <v>2320</v>
      </c>
      <c r="AD19" s="203">
        <f t="shared" si="32"/>
        <v>232</v>
      </c>
      <c r="AE19" s="203">
        <f t="shared" si="11"/>
        <v>2320</v>
      </c>
      <c r="AF19" s="203">
        <f t="shared" si="33"/>
        <v>232</v>
      </c>
      <c r="AG19" s="203">
        <f t="shared" si="12"/>
        <v>2320</v>
      </c>
      <c r="AH19" s="203">
        <f t="shared" si="34"/>
        <v>232</v>
      </c>
      <c r="AI19" s="203">
        <f t="shared" si="13"/>
        <v>2320</v>
      </c>
      <c r="AJ19" s="203">
        <f t="shared" si="35"/>
        <v>232</v>
      </c>
      <c r="AK19" s="203">
        <f t="shared" si="14"/>
        <v>2320</v>
      </c>
      <c r="AL19" s="203">
        <f t="shared" si="36"/>
        <v>232</v>
      </c>
      <c r="AM19" s="203">
        <f t="shared" si="15"/>
        <v>2320</v>
      </c>
      <c r="AN19" s="35">
        <f t="shared" si="16"/>
        <v>0.82857142857142863</v>
      </c>
      <c r="AO19" s="36">
        <f t="shared" si="39"/>
        <v>16240</v>
      </c>
      <c r="AQ19" s="223">
        <f t="shared" si="40"/>
        <v>0.75001717515535726</v>
      </c>
      <c r="AR19" s="38">
        <f t="shared" si="41"/>
        <v>69729.09677419356</v>
      </c>
      <c r="AS19" s="197">
        <f t="shared" si="42"/>
        <v>-990.03225806451519</v>
      </c>
      <c r="AT19" s="340"/>
      <c r="AU19" s="546"/>
      <c r="AV19" s="485">
        <f t="shared" si="45"/>
        <v>1.0629999999999999</v>
      </c>
      <c r="AW19" s="279">
        <f>-SUM('B5'!AI18)</f>
        <v>-81</v>
      </c>
      <c r="AX19" s="279">
        <f t="shared" si="17"/>
        <v>-909.03225806451519</v>
      </c>
      <c r="AY19" s="37">
        <f t="shared" si="37"/>
        <v>-990.03225806451519</v>
      </c>
      <c r="AZ19" s="100">
        <f>ELEC!A17</f>
        <v>0</v>
      </c>
      <c r="BA19" s="118">
        <f>'General information '!D18</f>
        <v>28</v>
      </c>
      <c r="BB19" s="378">
        <f>SUM('General information '!E18)</f>
        <v>0.57999999999999996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-151.50537634408587</v>
      </c>
      <c r="BK19" s="536"/>
    </row>
    <row r="20" spans="1:64">
      <c r="A20" s="425">
        <f>ELEC!C18</f>
        <v>44819</v>
      </c>
      <c r="B20">
        <f>'B5'!B19</f>
        <v>223</v>
      </c>
      <c r="C20" s="203">
        <f t="shared" si="18"/>
        <v>4798.0967741935483</v>
      </c>
      <c r="D20">
        <f t="shared" si="19"/>
        <v>223</v>
      </c>
      <c r="E20" s="203">
        <f t="shared" si="18"/>
        <v>4798.0967741935483</v>
      </c>
      <c r="F20">
        <f t="shared" si="20"/>
        <v>223</v>
      </c>
      <c r="G20" s="203">
        <f t="shared" si="1"/>
        <v>4798.0967741935483</v>
      </c>
      <c r="H20" s="203">
        <f t="shared" si="21"/>
        <v>223</v>
      </c>
      <c r="I20" s="203">
        <f t="shared" si="2"/>
        <v>4798.0967741935483</v>
      </c>
      <c r="J20" s="203">
        <f t="shared" si="22"/>
        <v>223</v>
      </c>
      <c r="K20" s="203">
        <f t="shared" si="3"/>
        <v>4798.0967741935483</v>
      </c>
      <c r="L20" s="203">
        <f t="shared" si="23"/>
        <v>223</v>
      </c>
      <c r="M20" s="203">
        <f t="shared" si="4"/>
        <v>4798.0967741935483</v>
      </c>
      <c r="N20" s="203">
        <f t="shared" si="24"/>
        <v>223</v>
      </c>
      <c r="O20" s="203">
        <f t="shared" si="5"/>
        <v>4798.0967741935483</v>
      </c>
      <c r="P20" s="203">
        <f t="shared" si="25"/>
        <v>223</v>
      </c>
      <c r="Q20" s="203">
        <f t="shared" si="6"/>
        <v>4798.0967741935483</v>
      </c>
      <c r="R20" s="203">
        <f t="shared" si="26"/>
        <v>223</v>
      </c>
      <c r="S20" s="203">
        <f t="shared" si="7"/>
        <v>4798.0967741935483</v>
      </c>
      <c r="T20" s="203">
        <f t="shared" si="27"/>
        <v>223</v>
      </c>
      <c r="U20" s="203">
        <f t="shared" si="8"/>
        <v>4798.0967741935483</v>
      </c>
      <c r="V20" s="203">
        <f t="shared" si="28"/>
        <v>223</v>
      </c>
      <c r="W20" s="203">
        <f t="shared" si="9"/>
        <v>4798.0967741935483</v>
      </c>
      <c r="X20" s="35">
        <f t="shared" si="10"/>
        <v>0.71935483870967731</v>
      </c>
      <c r="Y20" s="36">
        <f t="shared" si="29"/>
        <v>52779.064516129023</v>
      </c>
      <c r="Z20" s="203">
        <f>'B5'!C19</f>
        <v>229</v>
      </c>
      <c r="AA20" s="203">
        <f t="shared" si="30"/>
        <v>2290</v>
      </c>
      <c r="AB20" s="203">
        <f t="shared" si="31"/>
        <v>229</v>
      </c>
      <c r="AC20" s="203">
        <f t="shared" si="30"/>
        <v>2290</v>
      </c>
      <c r="AD20" s="203">
        <f t="shared" si="32"/>
        <v>229</v>
      </c>
      <c r="AE20" s="203">
        <f t="shared" si="11"/>
        <v>2290</v>
      </c>
      <c r="AF20" s="203">
        <f t="shared" si="33"/>
        <v>229</v>
      </c>
      <c r="AG20" s="203">
        <f t="shared" si="12"/>
        <v>2290</v>
      </c>
      <c r="AH20" s="203">
        <f t="shared" si="34"/>
        <v>229</v>
      </c>
      <c r="AI20" s="203">
        <f t="shared" si="13"/>
        <v>2290</v>
      </c>
      <c r="AJ20" s="203">
        <f t="shared" si="35"/>
        <v>229</v>
      </c>
      <c r="AK20" s="203">
        <f t="shared" si="14"/>
        <v>2290</v>
      </c>
      <c r="AL20" s="203">
        <f t="shared" si="36"/>
        <v>229</v>
      </c>
      <c r="AM20" s="203">
        <f t="shared" si="15"/>
        <v>2290</v>
      </c>
      <c r="AN20" s="35">
        <f t="shared" si="16"/>
        <v>0.81785714285714284</v>
      </c>
      <c r="AO20" s="36">
        <f t="shared" si="39"/>
        <v>16030</v>
      </c>
      <c r="AQ20" s="223">
        <f t="shared" si="40"/>
        <v>0.74012116291415542</v>
      </c>
      <c r="AR20" s="38">
        <f t="shared" si="41"/>
        <v>68809.06451612903</v>
      </c>
      <c r="AS20" s="197">
        <f t="shared" si="42"/>
        <v>-920.03225806452974</v>
      </c>
      <c r="AT20" s="340"/>
      <c r="AU20" s="546"/>
      <c r="AV20" s="485">
        <f t="shared" si="45"/>
        <v>1.0629999999999999</v>
      </c>
      <c r="AW20" s="279">
        <f>-SUM('B5'!AI19)</f>
        <v>0</v>
      </c>
      <c r="AX20" s="279">
        <f>-SUM(AW20-AS20)</f>
        <v>-920.03225806452974</v>
      </c>
      <c r="AY20" s="37">
        <f t="shared" si="37"/>
        <v>-920.03225806452974</v>
      </c>
      <c r="AZ20" s="100">
        <f>ELEC!A18</f>
        <v>0</v>
      </c>
      <c r="BA20" s="118">
        <f>'General information '!D19</f>
        <v>27</v>
      </c>
      <c r="BB20" s="378">
        <f>SUM('General information '!E19)</f>
        <v>0.56999999999999995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-131.43317972350425</v>
      </c>
      <c r="BK20" s="536">
        <f>GEN!AF17</f>
        <v>0</v>
      </c>
      <c r="BL20" s="203"/>
    </row>
    <row r="21" spans="1:64">
      <c r="A21" s="425">
        <f>ELEC!C19</f>
        <v>44820</v>
      </c>
      <c r="B21">
        <f>'B5'!B20</f>
        <v>223</v>
      </c>
      <c r="C21" s="203">
        <f t="shared" si="18"/>
        <v>4798.0967741935483</v>
      </c>
      <c r="D21">
        <f t="shared" si="19"/>
        <v>223</v>
      </c>
      <c r="E21" s="203">
        <f t="shared" si="18"/>
        <v>4798.0967741935483</v>
      </c>
      <c r="F21">
        <f t="shared" si="20"/>
        <v>223</v>
      </c>
      <c r="G21" s="203">
        <f t="shared" si="1"/>
        <v>4798.0967741935483</v>
      </c>
      <c r="H21" s="203">
        <f t="shared" si="21"/>
        <v>223</v>
      </c>
      <c r="I21" s="203">
        <f t="shared" si="2"/>
        <v>4798.0967741935483</v>
      </c>
      <c r="J21" s="203">
        <f t="shared" si="22"/>
        <v>223</v>
      </c>
      <c r="K21" s="203">
        <f t="shared" si="3"/>
        <v>4798.0967741935483</v>
      </c>
      <c r="L21" s="203">
        <f t="shared" si="23"/>
        <v>223</v>
      </c>
      <c r="M21" s="203">
        <f t="shared" si="4"/>
        <v>4798.0967741935483</v>
      </c>
      <c r="N21" s="203">
        <f t="shared" si="24"/>
        <v>223</v>
      </c>
      <c r="O21" s="203">
        <f t="shared" si="5"/>
        <v>4798.0967741935483</v>
      </c>
      <c r="P21" s="203">
        <f t="shared" si="25"/>
        <v>223</v>
      </c>
      <c r="Q21" s="203">
        <f t="shared" si="6"/>
        <v>4798.0967741935483</v>
      </c>
      <c r="R21" s="203">
        <f t="shared" si="26"/>
        <v>223</v>
      </c>
      <c r="S21" s="203">
        <f t="shared" si="7"/>
        <v>4798.0967741935483</v>
      </c>
      <c r="T21" s="203">
        <f t="shared" si="27"/>
        <v>223</v>
      </c>
      <c r="U21" s="203">
        <f t="shared" si="8"/>
        <v>4798.0967741935483</v>
      </c>
      <c r="V21" s="203">
        <f t="shared" si="28"/>
        <v>223</v>
      </c>
      <c r="W21" s="203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3">
        <f>'B5'!C20</f>
        <v>229</v>
      </c>
      <c r="AA21" s="203">
        <f t="shared" si="30"/>
        <v>2290</v>
      </c>
      <c r="AB21" s="203">
        <f t="shared" si="31"/>
        <v>229</v>
      </c>
      <c r="AC21" s="203">
        <f t="shared" si="30"/>
        <v>2290</v>
      </c>
      <c r="AD21" s="203">
        <f t="shared" si="32"/>
        <v>229</v>
      </c>
      <c r="AE21" s="203">
        <f t="shared" si="11"/>
        <v>2290</v>
      </c>
      <c r="AF21" s="203">
        <f t="shared" si="33"/>
        <v>229</v>
      </c>
      <c r="AG21" s="203">
        <f t="shared" si="12"/>
        <v>2290</v>
      </c>
      <c r="AH21" s="203">
        <f t="shared" si="34"/>
        <v>229</v>
      </c>
      <c r="AI21" s="203">
        <f t="shared" si="13"/>
        <v>2290</v>
      </c>
      <c r="AJ21" s="203">
        <f t="shared" si="35"/>
        <v>229</v>
      </c>
      <c r="AK21" s="203">
        <f t="shared" si="14"/>
        <v>2290</v>
      </c>
      <c r="AL21" s="203">
        <f t="shared" si="36"/>
        <v>229</v>
      </c>
      <c r="AM21" s="203">
        <f t="shared" si="15"/>
        <v>2290</v>
      </c>
      <c r="AN21" s="35">
        <f t="shared" si="16"/>
        <v>0.81785714285714284</v>
      </c>
      <c r="AO21" s="36">
        <f t="shared" si="39"/>
        <v>16030</v>
      </c>
      <c r="AQ21" s="223">
        <f t="shared" si="40"/>
        <v>0.74012116291415542</v>
      </c>
      <c r="AR21" s="38">
        <f t="shared" si="41"/>
        <v>68809.06451612903</v>
      </c>
      <c r="AS21" s="197">
        <f>SUM(AR21-AR20-AT21)</f>
        <v>0</v>
      </c>
      <c r="AT21" s="340"/>
      <c r="AU21" s="546"/>
      <c r="AV21" s="485">
        <f t="shared" si="45"/>
        <v>1.0629999999999999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6" t="e">
        <f>GEN!AF18</f>
        <v>#DIV/0!</v>
      </c>
    </row>
    <row r="22" spans="1:64">
      <c r="A22" s="425">
        <f>ELEC!C20</f>
        <v>44821</v>
      </c>
      <c r="B22">
        <f>'B5'!B21</f>
        <v>223</v>
      </c>
      <c r="C22" s="203">
        <f t="shared" si="18"/>
        <v>4798.0967741935483</v>
      </c>
      <c r="D22">
        <f t="shared" si="19"/>
        <v>223</v>
      </c>
      <c r="E22" s="203">
        <f t="shared" si="18"/>
        <v>4798.0967741935483</v>
      </c>
      <c r="F22">
        <f t="shared" si="20"/>
        <v>223</v>
      </c>
      <c r="G22" s="203">
        <f t="shared" si="1"/>
        <v>4798.0967741935483</v>
      </c>
      <c r="H22" s="203">
        <f t="shared" si="21"/>
        <v>223</v>
      </c>
      <c r="I22" s="203">
        <f t="shared" si="2"/>
        <v>4798.0967741935483</v>
      </c>
      <c r="J22" s="203">
        <f t="shared" si="22"/>
        <v>223</v>
      </c>
      <c r="K22" s="203">
        <f t="shared" si="3"/>
        <v>4798.0967741935483</v>
      </c>
      <c r="L22" s="203">
        <f t="shared" si="23"/>
        <v>223</v>
      </c>
      <c r="M22" s="203">
        <f t="shared" si="4"/>
        <v>4798.0967741935483</v>
      </c>
      <c r="N22" s="203">
        <f t="shared" si="24"/>
        <v>223</v>
      </c>
      <c r="O22" s="203">
        <f t="shared" si="5"/>
        <v>4798.0967741935483</v>
      </c>
      <c r="P22" s="203">
        <f t="shared" si="25"/>
        <v>223</v>
      </c>
      <c r="Q22" s="203">
        <f t="shared" si="6"/>
        <v>4798.0967741935483</v>
      </c>
      <c r="R22" s="203">
        <f t="shared" si="26"/>
        <v>223</v>
      </c>
      <c r="S22" s="203">
        <f t="shared" si="7"/>
        <v>4798.0967741935483</v>
      </c>
      <c r="T22" s="203">
        <f t="shared" si="27"/>
        <v>223</v>
      </c>
      <c r="U22" s="203">
        <f t="shared" si="8"/>
        <v>4798.0967741935483</v>
      </c>
      <c r="V22" s="203">
        <f t="shared" si="28"/>
        <v>223</v>
      </c>
      <c r="W22" s="203">
        <f t="shared" si="9"/>
        <v>4798.0967741935483</v>
      </c>
      <c r="X22" s="35">
        <f t="shared" si="10"/>
        <v>0.71935483870967731</v>
      </c>
      <c r="Y22" s="36">
        <f t="shared" si="29"/>
        <v>52779.064516129023</v>
      </c>
      <c r="Z22" s="203">
        <f>'B5'!C21</f>
        <v>229</v>
      </c>
      <c r="AA22" s="203">
        <f t="shared" si="30"/>
        <v>2290</v>
      </c>
      <c r="AB22" s="203">
        <f t="shared" si="31"/>
        <v>229</v>
      </c>
      <c r="AC22" s="203">
        <f t="shared" si="30"/>
        <v>2290</v>
      </c>
      <c r="AD22" s="203">
        <f t="shared" si="32"/>
        <v>229</v>
      </c>
      <c r="AE22" s="203">
        <f t="shared" si="11"/>
        <v>2290</v>
      </c>
      <c r="AF22" s="203">
        <f t="shared" si="33"/>
        <v>229</v>
      </c>
      <c r="AG22" s="203">
        <f t="shared" si="12"/>
        <v>2290</v>
      </c>
      <c r="AH22" s="203">
        <f t="shared" si="34"/>
        <v>229</v>
      </c>
      <c r="AI22" s="203">
        <f t="shared" si="13"/>
        <v>2290</v>
      </c>
      <c r="AJ22" s="203">
        <f t="shared" si="35"/>
        <v>229</v>
      </c>
      <c r="AK22" s="203">
        <f t="shared" si="14"/>
        <v>2290</v>
      </c>
      <c r="AL22" s="203">
        <f t="shared" si="36"/>
        <v>229</v>
      </c>
      <c r="AM22" s="203">
        <f t="shared" si="15"/>
        <v>2290</v>
      </c>
      <c r="AN22" s="35">
        <f t="shared" si="16"/>
        <v>0.81785714285714284</v>
      </c>
      <c r="AO22" s="36">
        <f t="shared" si="39"/>
        <v>16030</v>
      </c>
      <c r="AQ22" s="223">
        <f t="shared" si="40"/>
        <v>0.74012116291415542</v>
      </c>
      <c r="AR22" s="38">
        <f t="shared" si="41"/>
        <v>68809.06451612903</v>
      </c>
      <c r="AS22" s="197">
        <f t="shared" ref="AS22:AS32" si="47">SUM(AR22-AR21-AT22)</f>
        <v>0</v>
      </c>
      <c r="AT22" s="340"/>
      <c r="AU22" s="546"/>
      <c r="AV22" s="485">
        <f t="shared" si="43"/>
        <v>1.0629999999999999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1586.0000000000675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6" t="e">
        <f>GEN!AF19</f>
        <v>#DIV/0!</v>
      </c>
    </row>
    <row r="23" spans="1:64">
      <c r="A23" s="425">
        <f>ELEC!C21</f>
        <v>44822</v>
      </c>
      <c r="B23">
        <f>'B5'!B22</f>
        <v>239</v>
      </c>
      <c r="C23" s="203">
        <f t="shared" si="18"/>
        <v>5142.3548387096771</v>
      </c>
      <c r="D23">
        <f t="shared" si="19"/>
        <v>239</v>
      </c>
      <c r="E23" s="203">
        <f t="shared" si="18"/>
        <v>5142.3548387096771</v>
      </c>
      <c r="F23">
        <f t="shared" si="20"/>
        <v>239</v>
      </c>
      <c r="G23" s="203">
        <f t="shared" si="1"/>
        <v>5142.3548387096771</v>
      </c>
      <c r="H23" s="203">
        <f t="shared" si="21"/>
        <v>239</v>
      </c>
      <c r="I23" s="203">
        <f t="shared" si="2"/>
        <v>5142.3548387096771</v>
      </c>
      <c r="J23" s="203">
        <f t="shared" si="22"/>
        <v>239</v>
      </c>
      <c r="K23" s="203">
        <f t="shared" si="3"/>
        <v>5142.3548387096771</v>
      </c>
      <c r="L23" s="203">
        <f t="shared" si="23"/>
        <v>239</v>
      </c>
      <c r="M23" s="203">
        <f t="shared" si="4"/>
        <v>5142.3548387096771</v>
      </c>
      <c r="N23" s="203">
        <f t="shared" si="24"/>
        <v>239</v>
      </c>
      <c r="O23" s="203">
        <f t="shared" si="5"/>
        <v>5142.3548387096771</v>
      </c>
      <c r="P23" s="203">
        <f t="shared" si="25"/>
        <v>239</v>
      </c>
      <c r="Q23" s="203">
        <f t="shared" si="6"/>
        <v>5142.3548387096771</v>
      </c>
      <c r="R23" s="203">
        <f t="shared" si="26"/>
        <v>239</v>
      </c>
      <c r="S23" s="203">
        <f t="shared" si="7"/>
        <v>5142.3548387096771</v>
      </c>
      <c r="T23" s="203">
        <f t="shared" si="27"/>
        <v>239</v>
      </c>
      <c r="U23" s="203">
        <f t="shared" si="8"/>
        <v>5142.3548387096771</v>
      </c>
      <c r="V23" s="203">
        <f t="shared" si="28"/>
        <v>239</v>
      </c>
      <c r="W23" s="203">
        <f t="shared" si="9"/>
        <v>5142.3548387096771</v>
      </c>
      <c r="X23" s="35">
        <f t="shared" si="10"/>
        <v>0.77096774193548367</v>
      </c>
      <c r="Y23" s="36">
        <f t="shared" si="29"/>
        <v>56565.90322580644</v>
      </c>
      <c r="Z23" s="203">
        <f>'B5'!C22</f>
        <v>245</v>
      </c>
      <c r="AA23" s="203">
        <f t="shared" si="30"/>
        <v>2450</v>
      </c>
      <c r="AB23" s="203">
        <f t="shared" si="31"/>
        <v>245</v>
      </c>
      <c r="AC23" s="203">
        <f t="shared" si="30"/>
        <v>2450</v>
      </c>
      <c r="AD23" s="203">
        <f t="shared" si="32"/>
        <v>245</v>
      </c>
      <c r="AE23" s="203">
        <f t="shared" si="11"/>
        <v>2450</v>
      </c>
      <c r="AF23" s="203">
        <f t="shared" si="33"/>
        <v>245</v>
      </c>
      <c r="AG23" s="203">
        <f t="shared" si="12"/>
        <v>2450</v>
      </c>
      <c r="AH23" s="203">
        <f t="shared" si="34"/>
        <v>245</v>
      </c>
      <c r="AI23" s="203">
        <f t="shared" si="13"/>
        <v>2450</v>
      </c>
      <c r="AJ23" s="203">
        <f t="shared" si="35"/>
        <v>245</v>
      </c>
      <c r="AK23" s="203">
        <f t="shared" si="14"/>
        <v>2450</v>
      </c>
      <c r="AL23" s="203">
        <f t="shared" si="36"/>
        <v>245</v>
      </c>
      <c r="AM23" s="203">
        <f t="shared" si="15"/>
        <v>2450</v>
      </c>
      <c r="AN23" s="35">
        <f t="shared" si="16"/>
        <v>0.875</v>
      </c>
      <c r="AO23" s="36">
        <f t="shared" si="39"/>
        <v>17150</v>
      </c>
      <c r="AQ23" s="223">
        <f t="shared" si="40"/>
        <v>0.79289989486723067</v>
      </c>
      <c r="AR23" s="38">
        <f t="shared" si="41"/>
        <v>73715.90322580644</v>
      </c>
      <c r="AS23" s="197">
        <f t="shared" si="47"/>
        <v>4906.8387096774095</v>
      </c>
      <c r="AT23" s="340"/>
      <c r="AU23" s="546"/>
      <c r="AV23" s="485">
        <f t="shared" si="43"/>
        <v>1.0629999999999999</v>
      </c>
      <c r="AW23" s="279">
        <f>-SUM('B5'!AI22)</f>
        <v>-113</v>
      </c>
      <c r="AX23" s="279">
        <f t="shared" si="17"/>
        <v>5019.8387096774095</v>
      </c>
      <c r="AY23" s="37">
        <f t="shared" si="37"/>
        <v>4906.8387096774095</v>
      </c>
      <c r="AZ23" s="100">
        <f>ELEC!A21</f>
        <v>0</v>
      </c>
      <c r="BA23" s="118">
        <f>'General information '!D22</f>
        <v>27</v>
      </c>
      <c r="BB23" s="378">
        <f>SUM('General information '!E22)</f>
        <v>0.7</v>
      </c>
      <c r="BC23" s="3">
        <f t="shared" si="44"/>
        <v>1</v>
      </c>
      <c r="BD23" s="102">
        <v>19222</v>
      </c>
      <c r="BE23" s="14">
        <f>(305/1185)*ELEC!Q22</f>
        <v>727.881856540429</v>
      </c>
      <c r="BF23" s="14"/>
      <c r="BG23" s="14" t="e">
        <f>#REF!-BE23</f>
        <v>#REF!</v>
      </c>
      <c r="BH23" s="11"/>
      <c r="BI23">
        <v>10</v>
      </c>
      <c r="BJ23">
        <f t="shared" si="46"/>
        <v>501.98387096774093</v>
      </c>
      <c r="BK23" s="536">
        <f>GEN!AF20</f>
        <v>0.32093750000001364</v>
      </c>
    </row>
    <row r="24" spans="1:64">
      <c r="A24" s="425">
        <f>ELEC!C22</f>
        <v>44823</v>
      </c>
      <c r="B24">
        <f>'B5'!B23</f>
        <v>235</v>
      </c>
      <c r="C24" s="203">
        <f t="shared" si="18"/>
        <v>5056.2903225806449</v>
      </c>
      <c r="D24">
        <f t="shared" si="19"/>
        <v>235</v>
      </c>
      <c r="E24" s="203">
        <f t="shared" si="18"/>
        <v>5056.2903225806449</v>
      </c>
      <c r="F24">
        <f t="shared" si="20"/>
        <v>235</v>
      </c>
      <c r="G24" s="203">
        <f t="shared" si="1"/>
        <v>5056.2903225806449</v>
      </c>
      <c r="H24" s="203">
        <f t="shared" si="21"/>
        <v>235</v>
      </c>
      <c r="I24" s="203">
        <f t="shared" si="2"/>
        <v>5056.2903225806449</v>
      </c>
      <c r="J24" s="203">
        <f t="shared" si="22"/>
        <v>235</v>
      </c>
      <c r="K24" s="203">
        <f t="shared" si="3"/>
        <v>5056.2903225806449</v>
      </c>
      <c r="L24" s="203">
        <f t="shared" si="23"/>
        <v>235</v>
      </c>
      <c r="M24" s="203">
        <f t="shared" si="4"/>
        <v>5056.2903225806449</v>
      </c>
      <c r="N24" s="203">
        <f t="shared" si="24"/>
        <v>235</v>
      </c>
      <c r="O24" s="203">
        <f t="shared" si="5"/>
        <v>5056.2903225806449</v>
      </c>
      <c r="P24" s="203">
        <f t="shared" si="25"/>
        <v>235</v>
      </c>
      <c r="Q24" s="203">
        <f t="shared" si="6"/>
        <v>5056.2903225806449</v>
      </c>
      <c r="R24" s="203">
        <f t="shared" si="26"/>
        <v>235</v>
      </c>
      <c r="S24" s="203">
        <f t="shared" si="7"/>
        <v>5056.2903225806449</v>
      </c>
      <c r="T24" s="203">
        <f t="shared" si="27"/>
        <v>235</v>
      </c>
      <c r="U24" s="203">
        <f t="shared" si="8"/>
        <v>5056.2903225806449</v>
      </c>
      <c r="V24" s="203">
        <f t="shared" si="28"/>
        <v>235</v>
      </c>
      <c r="W24" s="203">
        <f t="shared" si="9"/>
        <v>5056.2903225806449</v>
      </c>
      <c r="X24" s="35">
        <f t="shared" si="10"/>
        <v>0.75806451612903214</v>
      </c>
      <c r="Y24" s="36">
        <f t="shared" si="29"/>
        <v>55619.193548387091</v>
      </c>
      <c r="Z24" s="203">
        <f>'B5'!C23</f>
        <v>241</v>
      </c>
      <c r="AA24" s="203">
        <f t="shared" si="30"/>
        <v>2410</v>
      </c>
      <c r="AB24" s="203">
        <f t="shared" si="31"/>
        <v>241</v>
      </c>
      <c r="AC24" s="203">
        <f t="shared" si="30"/>
        <v>2410</v>
      </c>
      <c r="AD24" s="203">
        <f t="shared" si="32"/>
        <v>241</v>
      </c>
      <c r="AE24" s="203">
        <f t="shared" si="11"/>
        <v>2410</v>
      </c>
      <c r="AF24" s="203">
        <f t="shared" si="33"/>
        <v>241</v>
      </c>
      <c r="AG24" s="203">
        <f t="shared" si="12"/>
        <v>2410</v>
      </c>
      <c r="AH24" s="203">
        <f t="shared" si="34"/>
        <v>241</v>
      </c>
      <c r="AI24" s="203">
        <f t="shared" si="13"/>
        <v>2410</v>
      </c>
      <c r="AJ24" s="203">
        <f t="shared" si="35"/>
        <v>241</v>
      </c>
      <c r="AK24" s="203">
        <f t="shared" si="14"/>
        <v>2410</v>
      </c>
      <c r="AL24" s="203">
        <f t="shared" si="36"/>
        <v>241</v>
      </c>
      <c r="AM24" s="203">
        <f t="shared" si="15"/>
        <v>2410</v>
      </c>
      <c r="AN24" s="35">
        <f t="shared" si="16"/>
        <v>0.86071428571428577</v>
      </c>
      <c r="AO24" s="36">
        <f t="shared" si="39"/>
        <v>16870</v>
      </c>
      <c r="AQ24" s="223">
        <f t="shared" si="40"/>
        <v>0.77970521187896191</v>
      </c>
      <c r="AR24" s="38">
        <f t="shared" si="41"/>
        <v>72489.193548387091</v>
      </c>
      <c r="AS24" s="197">
        <f t="shared" si="47"/>
        <v>-1226.7096774193487</v>
      </c>
      <c r="AT24" s="340"/>
      <c r="AU24" s="546"/>
      <c r="AV24" s="485">
        <f t="shared" si="43"/>
        <v>1.0629999999999999</v>
      </c>
      <c r="AW24" s="279">
        <f>-SUM('B5'!AI23)</f>
        <v>-113</v>
      </c>
      <c r="AX24" s="279">
        <f t="shared" si="17"/>
        <v>-1113.7096774193487</v>
      </c>
      <c r="AY24" s="37">
        <f t="shared" si="37"/>
        <v>-1226.7096774193487</v>
      </c>
      <c r="AZ24" s="100">
        <f>ELEC!A22</f>
        <v>0</v>
      </c>
      <c r="BA24" s="118">
        <f>'General information '!D23</f>
        <v>26</v>
      </c>
      <c r="BB24" s="378">
        <f>SUM('General information '!E23)</f>
        <v>0.6</v>
      </c>
      <c r="BC24" s="3">
        <f t="shared" si="44"/>
        <v>0</v>
      </c>
      <c r="BD24" s="102">
        <v>19222</v>
      </c>
      <c r="BE24" s="14">
        <f>(305/1185)*ELEC!Q23</f>
        <v>990.92827004181959</v>
      </c>
      <c r="BF24" s="14"/>
      <c r="BG24" s="14" t="e">
        <f>#REF!-BE24</f>
        <v>#REF!</v>
      </c>
      <c r="BH24" s="11"/>
      <c r="BI24">
        <v>11</v>
      </c>
      <c r="BJ24">
        <f t="shared" si="46"/>
        <v>-101.24633431084989</v>
      </c>
      <c r="BK24" s="536">
        <f>GEN!AF21</f>
        <v>0.17675000000008367</v>
      </c>
    </row>
    <row r="25" spans="1:64">
      <c r="A25" s="425">
        <f>ELEC!C23</f>
        <v>44824</v>
      </c>
      <c r="B25">
        <f>'B5'!B24</f>
        <v>231</v>
      </c>
      <c r="C25" s="203">
        <f t="shared" si="18"/>
        <v>4970.2258064516127</v>
      </c>
      <c r="D25">
        <f t="shared" si="19"/>
        <v>231</v>
      </c>
      <c r="E25" s="203">
        <f t="shared" si="18"/>
        <v>4970.2258064516127</v>
      </c>
      <c r="F25">
        <f t="shared" si="20"/>
        <v>231</v>
      </c>
      <c r="G25" s="203">
        <f t="shared" si="1"/>
        <v>4970.2258064516127</v>
      </c>
      <c r="H25" s="203">
        <f t="shared" si="21"/>
        <v>231</v>
      </c>
      <c r="I25" s="203">
        <f t="shared" si="2"/>
        <v>4970.2258064516127</v>
      </c>
      <c r="J25" s="203">
        <f t="shared" si="22"/>
        <v>231</v>
      </c>
      <c r="K25" s="203">
        <f t="shared" si="3"/>
        <v>4970.2258064516127</v>
      </c>
      <c r="L25" s="203">
        <f t="shared" si="23"/>
        <v>231</v>
      </c>
      <c r="M25" s="203">
        <f t="shared" si="4"/>
        <v>4970.2258064516127</v>
      </c>
      <c r="N25" s="203">
        <f t="shared" si="24"/>
        <v>231</v>
      </c>
      <c r="O25" s="203">
        <f t="shared" si="5"/>
        <v>4970.2258064516127</v>
      </c>
      <c r="P25" s="203">
        <f t="shared" si="25"/>
        <v>231</v>
      </c>
      <c r="Q25" s="203">
        <f t="shared" si="6"/>
        <v>4970.2258064516127</v>
      </c>
      <c r="R25" s="203">
        <f t="shared" si="26"/>
        <v>231</v>
      </c>
      <c r="S25" s="203">
        <f t="shared" si="7"/>
        <v>4970.2258064516127</v>
      </c>
      <c r="T25" s="203">
        <f t="shared" si="27"/>
        <v>231</v>
      </c>
      <c r="U25" s="203">
        <f t="shared" si="8"/>
        <v>4970.2258064516127</v>
      </c>
      <c r="V25" s="203">
        <f t="shared" si="28"/>
        <v>231</v>
      </c>
      <c r="W25" s="203">
        <f t="shared" si="9"/>
        <v>4970.2258064516127</v>
      </c>
      <c r="X25" s="35">
        <f t="shared" si="10"/>
        <v>0.74516129032258061</v>
      </c>
      <c r="Y25" s="36">
        <f t="shared" si="29"/>
        <v>54672.483870967742</v>
      </c>
      <c r="Z25" s="203">
        <f>'B5'!C24</f>
        <v>237</v>
      </c>
      <c r="AA25" s="203">
        <f t="shared" si="30"/>
        <v>2370</v>
      </c>
      <c r="AB25" s="203">
        <f t="shared" si="31"/>
        <v>237</v>
      </c>
      <c r="AC25" s="203">
        <f t="shared" si="30"/>
        <v>2370</v>
      </c>
      <c r="AD25" s="203">
        <f t="shared" si="32"/>
        <v>237</v>
      </c>
      <c r="AE25" s="203">
        <f t="shared" si="11"/>
        <v>2370</v>
      </c>
      <c r="AF25" s="203">
        <f t="shared" si="33"/>
        <v>237</v>
      </c>
      <c r="AG25" s="203">
        <f t="shared" si="12"/>
        <v>2370</v>
      </c>
      <c r="AH25" s="203">
        <f t="shared" si="34"/>
        <v>237</v>
      </c>
      <c r="AI25" s="203">
        <f t="shared" si="13"/>
        <v>2370</v>
      </c>
      <c r="AJ25" s="203">
        <f t="shared" si="35"/>
        <v>237</v>
      </c>
      <c r="AK25" s="203">
        <f t="shared" si="14"/>
        <v>2370</v>
      </c>
      <c r="AL25" s="203">
        <f t="shared" si="36"/>
        <v>237</v>
      </c>
      <c r="AM25" s="203">
        <f t="shared" si="15"/>
        <v>2370</v>
      </c>
      <c r="AN25" s="35">
        <f t="shared" si="16"/>
        <v>0.84642857142857142</v>
      </c>
      <c r="AO25" s="36">
        <f t="shared" si="39"/>
        <v>16590</v>
      </c>
      <c r="AQ25" s="223">
        <f t="shared" si="40"/>
        <v>0.76651052889069315</v>
      </c>
      <c r="AR25" s="38">
        <f t="shared" si="41"/>
        <v>71262.483870967742</v>
      </c>
      <c r="AS25" s="197">
        <f t="shared" si="47"/>
        <v>-1226.7096774193487</v>
      </c>
      <c r="AT25" s="340"/>
      <c r="AU25" s="547"/>
      <c r="AV25" s="485">
        <f t="shared" si="43"/>
        <v>1.0629999999999999</v>
      </c>
      <c r="AW25" s="279">
        <f>-SUM('B5'!AI24)</f>
        <v>-31</v>
      </c>
      <c r="AX25" s="279">
        <f t="shared" si="17"/>
        <v>-1195.7096774193487</v>
      </c>
      <c r="AY25" s="37">
        <f t="shared" si="37"/>
        <v>-1226.7096774193487</v>
      </c>
      <c r="AZ25" s="100">
        <f>ELEC!A23</f>
        <v>0</v>
      </c>
      <c r="BA25" s="118">
        <f>'General information '!D24</f>
        <v>25.5</v>
      </c>
      <c r="BB25" s="378">
        <f>SUM('General information '!E24)</f>
        <v>0.53</v>
      </c>
      <c r="BC25" s="3">
        <f t="shared" si="44"/>
        <v>0</v>
      </c>
      <c r="BD25" s="102">
        <v>19222</v>
      </c>
      <c r="BE25" s="14">
        <f>(305/1185)*ELEC!Q24</f>
        <v>752.84810126563559</v>
      </c>
      <c r="BF25" s="14"/>
      <c r="BG25" s="14" t="e">
        <f>#REF!-BE25</f>
        <v>#REF!</v>
      </c>
      <c r="BH25" s="11"/>
      <c r="BI25">
        <v>12</v>
      </c>
      <c r="BJ25">
        <f t="shared" si="46"/>
        <v>-99.642473118279057</v>
      </c>
      <c r="BK25" s="536"/>
    </row>
    <row r="26" spans="1:64">
      <c r="A26" s="425">
        <f>ELEC!C24</f>
        <v>44825</v>
      </c>
      <c r="B26">
        <f>'B5'!B25</f>
        <v>227</v>
      </c>
      <c r="C26" s="203">
        <f t="shared" si="18"/>
        <v>4884.1612903225805</v>
      </c>
      <c r="D26">
        <f t="shared" si="19"/>
        <v>227</v>
      </c>
      <c r="E26" s="203">
        <f t="shared" si="18"/>
        <v>4884.1612903225805</v>
      </c>
      <c r="F26">
        <f t="shared" si="20"/>
        <v>227</v>
      </c>
      <c r="G26" s="203">
        <f t="shared" si="1"/>
        <v>4884.1612903225805</v>
      </c>
      <c r="H26" s="203">
        <f t="shared" si="21"/>
        <v>227</v>
      </c>
      <c r="I26" s="203">
        <f t="shared" si="2"/>
        <v>4884.1612903225805</v>
      </c>
      <c r="J26" s="203">
        <f t="shared" si="22"/>
        <v>227</v>
      </c>
      <c r="K26" s="203">
        <f t="shared" si="3"/>
        <v>4884.1612903225805</v>
      </c>
      <c r="L26" s="203">
        <f t="shared" si="23"/>
        <v>227</v>
      </c>
      <c r="M26" s="203">
        <f t="shared" si="4"/>
        <v>4884.1612903225805</v>
      </c>
      <c r="N26" s="203">
        <f t="shared" si="24"/>
        <v>227</v>
      </c>
      <c r="O26" s="203">
        <f t="shared" si="5"/>
        <v>4884.1612903225805</v>
      </c>
      <c r="P26" s="203">
        <f t="shared" si="25"/>
        <v>227</v>
      </c>
      <c r="Q26" s="203">
        <f t="shared" si="6"/>
        <v>4884.1612903225805</v>
      </c>
      <c r="R26" s="203">
        <f t="shared" si="26"/>
        <v>227</v>
      </c>
      <c r="S26" s="203">
        <f t="shared" si="7"/>
        <v>4884.1612903225805</v>
      </c>
      <c r="T26" s="203">
        <f t="shared" si="27"/>
        <v>227</v>
      </c>
      <c r="U26" s="203">
        <f t="shared" si="8"/>
        <v>4884.1612903225805</v>
      </c>
      <c r="V26" s="203">
        <f t="shared" si="28"/>
        <v>227</v>
      </c>
      <c r="W26" s="203">
        <f t="shared" si="9"/>
        <v>4884.1612903225805</v>
      </c>
      <c r="X26" s="35">
        <f t="shared" si="10"/>
        <v>0.73225806451612907</v>
      </c>
      <c r="Y26" s="36">
        <f t="shared" si="29"/>
        <v>53725.774193548394</v>
      </c>
      <c r="Z26" s="203">
        <f>'B5'!C25</f>
        <v>233</v>
      </c>
      <c r="AA26" s="203">
        <f t="shared" si="30"/>
        <v>2330</v>
      </c>
      <c r="AB26" s="203">
        <f t="shared" si="31"/>
        <v>233</v>
      </c>
      <c r="AC26" s="203">
        <f t="shared" si="30"/>
        <v>2330</v>
      </c>
      <c r="AD26" s="203">
        <f t="shared" si="32"/>
        <v>233</v>
      </c>
      <c r="AE26" s="203">
        <f t="shared" si="11"/>
        <v>2330</v>
      </c>
      <c r="AF26" s="203">
        <f t="shared" si="33"/>
        <v>233</v>
      </c>
      <c r="AG26" s="203">
        <f t="shared" si="12"/>
        <v>2330</v>
      </c>
      <c r="AH26" s="203">
        <f t="shared" si="34"/>
        <v>233</v>
      </c>
      <c r="AI26" s="203">
        <f t="shared" si="13"/>
        <v>2330</v>
      </c>
      <c r="AJ26" s="203">
        <f t="shared" si="35"/>
        <v>233</v>
      </c>
      <c r="AK26" s="203">
        <f t="shared" si="14"/>
        <v>2330</v>
      </c>
      <c r="AL26" s="203">
        <f t="shared" si="36"/>
        <v>233</v>
      </c>
      <c r="AM26" s="203">
        <f t="shared" si="15"/>
        <v>2330</v>
      </c>
      <c r="AN26" s="35">
        <f t="shared" si="16"/>
        <v>0.83214285714285718</v>
      </c>
      <c r="AO26" s="36">
        <f t="shared" si="39"/>
        <v>16310</v>
      </c>
      <c r="AQ26" s="223">
        <f t="shared" si="40"/>
        <v>0.7533158459024244</v>
      </c>
      <c r="AR26" s="38">
        <f t="shared" si="41"/>
        <v>70035.774193548394</v>
      </c>
      <c r="AS26" s="197">
        <f t="shared" si="47"/>
        <v>-1226.7096774193487</v>
      </c>
      <c r="AT26" s="340"/>
      <c r="AU26" s="546"/>
      <c r="AV26" s="485">
        <f t="shared" si="43"/>
        <v>1.0629999999999999</v>
      </c>
      <c r="AW26" s="279">
        <f>-SUM('B5'!AI25)</f>
        <v>-119</v>
      </c>
      <c r="AX26" s="279">
        <f t="shared" si="17"/>
        <v>-1107.7096774193487</v>
      </c>
      <c r="AY26" s="37">
        <f t="shared" si="37"/>
        <v>-1226.7096774193487</v>
      </c>
      <c r="AZ26" s="100">
        <f>ELEC!A24</f>
        <v>0</v>
      </c>
      <c r="BA26" s="118">
        <f>'General information '!D25</f>
        <v>26</v>
      </c>
      <c r="BB26" s="378">
        <f>SUM('General information '!E25)</f>
        <v>0.51</v>
      </c>
      <c r="BC26" s="3">
        <f t="shared" si="44"/>
        <v>0</v>
      </c>
      <c r="BD26" s="102">
        <v>19222</v>
      </c>
      <c r="BE26" s="14">
        <f>(305/1185)*ELEC!Q25</f>
        <v>715.5274261609743</v>
      </c>
      <c r="BF26" s="14"/>
      <c r="BG26" s="14" t="e">
        <f>#REF!-BE26</f>
        <v>#REF!</v>
      </c>
      <c r="BH26" s="11"/>
      <c r="BI26">
        <v>13</v>
      </c>
      <c r="BJ26">
        <f t="shared" si="46"/>
        <v>-85.208436724565289</v>
      </c>
      <c r="BK26" s="536"/>
    </row>
    <row r="27" spans="1:64">
      <c r="A27" s="425">
        <f>ELEC!C25</f>
        <v>44826</v>
      </c>
      <c r="B27">
        <f>'B5'!B26</f>
        <v>246</v>
      </c>
      <c r="C27" s="203">
        <f t="shared" si="18"/>
        <v>5292.9677419354839</v>
      </c>
      <c r="D27">
        <f t="shared" si="19"/>
        <v>246</v>
      </c>
      <c r="E27" s="203">
        <f t="shared" si="18"/>
        <v>5292.9677419354839</v>
      </c>
      <c r="F27">
        <f t="shared" si="20"/>
        <v>246</v>
      </c>
      <c r="G27" s="203">
        <f t="shared" si="1"/>
        <v>5292.9677419354839</v>
      </c>
      <c r="H27" s="203">
        <f t="shared" si="21"/>
        <v>246</v>
      </c>
      <c r="I27" s="203">
        <f t="shared" si="2"/>
        <v>5292.9677419354839</v>
      </c>
      <c r="J27" s="203">
        <f t="shared" si="22"/>
        <v>246</v>
      </c>
      <c r="K27" s="203">
        <f t="shared" si="3"/>
        <v>5292.9677419354839</v>
      </c>
      <c r="L27" s="203">
        <f t="shared" si="23"/>
        <v>246</v>
      </c>
      <c r="M27" s="203">
        <f t="shared" si="4"/>
        <v>5292.9677419354839</v>
      </c>
      <c r="N27" s="203">
        <f t="shared" si="24"/>
        <v>246</v>
      </c>
      <c r="O27" s="203">
        <f t="shared" si="5"/>
        <v>5292.9677419354839</v>
      </c>
      <c r="P27" s="203">
        <f t="shared" si="25"/>
        <v>246</v>
      </c>
      <c r="Q27" s="203">
        <f t="shared" si="6"/>
        <v>5292.9677419354839</v>
      </c>
      <c r="R27" s="203">
        <f t="shared" si="26"/>
        <v>246</v>
      </c>
      <c r="S27" s="203">
        <f t="shared" si="7"/>
        <v>5292.9677419354839</v>
      </c>
      <c r="T27" s="203">
        <f t="shared" si="27"/>
        <v>246</v>
      </c>
      <c r="U27" s="203">
        <f t="shared" si="8"/>
        <v>5292.9677419354839</v>
      </c>
      <c r="V27" s="203">
        <f t="shared" si="28"/>
        <v>246</v>
      </c>
      <c r="W27" s="203">
        <f t="shared" si="9"/>
        <v>5292.9677419354839</v>
      </c>
      <c r="X27" s="35">
        <f t="shared" si="10"/>
        <v>0.79354838709677422</v>
      </c>
      <c r="Y27" s="36">
        <f t="shared" si="29"/>
        <v>58222.645161290326</v>
      </c>
      <c r="Z27" s="203">
        <f>'B5'!C26</f>
        <v>251</v>
      </c>
      <c r="AA27" s="203">
        <f t="shared" si="30"/>
        <v>2510</v>
      </c>
      <c r="AB27" s="203">
        <f t="shared" si="31"/>
        <v>251</v>
      </c>
      <c r="AC27" s="203">
        <f t="shared" si="30"/>
        <v>2510</v>
      </c>
      <c r="AD27" s="203">
        <f t="shared" si="32"/>
        <v>251</v>
      </c>
      <c r="AE27" s="203">
        <f t="shared" si="11"/>
        <v>2510</v>
      </c>
      <c r="AF27" s="203">
        <f t="shared" si="33"/>
        <v>251</v>
      </c>
      <c r="AG27" s="203">
        <f t="shared" si="12"/>
        <v>2510</v>
      </c>
      <c r="AH27" s="203">
        <f t="shared" si="34"/>
        <v>251</v>
      </c>
      <c r="AI27" s="203">
        <f t="shared" si="13"/>
        <v>2510</v>
      </c>
      <c r="AJ27" s="203">
        <f t="shared" si="35"/>
        <v>251</v>
      </c>
      <c r="AK27" s="203">
        <f t="shared" si="14"/>
        <v>2510</v>
      </c>
      <c r="AL27" s="203">
        <f t="shared" si="36"/>
        <v>251</v>
      </c>
      <c r="AM27" s="203">
        <f t="shared" si="15"/>
        <v>2510</v>
      </c>
      <c r="AN27" s="35">
        <f t="shared" si="16"/>
        <v>0.89642857142857146</v>
      </c>
      <c r="AO27" s="36">
        <f t="shared" si="39"/>
        <v>17570</v>
      </c>
      <c r="AQ27" s="223">
        <f t="shared" si="40"/>
        <v>0.81523765904367362</v>
      </c>
      <c r="AR27" s="38">
        <f t="shared" si="41"/>
        <v>75792.645161290333</v>
      </c>
      <c r="AS27" s="197">
        <f t="shared" si="47"/>
        <v>630.87096774193924</v>
      </c>
      <c r="AT27" s="340">
        <v>5126</v>
      </c>
      <c r="AU27" s="546"/>
      <c r="AV27" s="485">
        <v>0</v>
      </c>
      <c r="AW27" s="279">
        <f>-SUM('B5'!AI26)</f>
        <v>-101</v>
      </c>
      <c r="AX27" s="279">
        <f t="shared" si="17"/>
        <v>731.87096774193924</v>
      </c>
      <c r="AY27" s="37">
        <f t="shared" si="37"/>
        <v>630.87096774193924</v>
      </c>
      <c r="AZ27" s="100">
        <f>ELEC!A25</f>
        <v>0</v>
      </c>
      <c r="BA27" s="118">
        <f>'General information '!D26</f>
        <v>26</v>
      </c>
      <c r="BB27" s="378">
        <f>SUM('General information '!E26)</f>
        <v>0.52</v>
      </c>
      <c r="BC27" s="3">
        <f t="shared" si="44"/>
        <v>1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52.276497695852804</v>
      </c>
      <c r="BK27" s="536" t="e">
        <f>GEN!AF24</f>
        <v>#DIV/0!</v>
      </c>
    </row>
    <row r="28" spans="1:64">
      <c r="A28" s="425">
        <f>ELEC!C26</f>
        <v>44827</v>
      </c>
      <c r="B28">
        <f>'B5'!B27</f>
        <v>246</v>
      </c>
      <c r="C28" s="203">
        <f t="shared" si="18"/>
        <v>5292.9677419354839</v>
      </c>
      <c r="D28">
        <f t="shared" si="19"/>
        <v>246</v>
      </c>
      <c r="E28" s="203">
        <f t="shared" si="18"/>
        <v>5292.9677419354839</v>
      </c>
      <c r="F28">
        <f t="shared" si="20"/>
        <v>246</v>
      </c>
      <c r="G28" s="203">
        <f t="shared" si="1"/>
        <v>5292.9677419354839</v>
      </c>
      <c r="H28" s="203">
        <f t="shared" si="21"/>
        <v>246</v>
      </c>
      <c r="I28" s="203">
        <f t="shared" si="2"/>
        <v>5292.9677419354839</v>
      </c>
      <c r="J28" s="203">
        <f t="shared" si="22"/>
        <v>246</v>
      </c>
      <c r="K28" s="203">
        <f t="shared" si="3"/>
        <v>5292.9677419354839</v>
      </c>
      <c r="L28" s="203">
        <f t="shared" si="23"/>
        <v>246</v>
      </c>
      <c r="M28" s="203">
        <f t="shared" si="4"/>
        <v>5292.9677419354839</v>
      </c>
      <c r="N28" s="203">
        <f t="shared" si="24"/>
        <v>246</v>
      </c>
      <c r="O28" s="203">
        <f t="shared" si="5"/>
        <v>5292.9677419354839</v>
      </c>
      <c r="P28" s="203">
        <f t="shared" si="25"/>
        <v>246</v>
      </c>
      <c r="Q28" s="203">
        <f t="shared" si="6"/>
        <v>5292.9677419354839</v>
      </c>
      <c r="R28" s="203">
        <f t="shared" si="26"/>
        <v>246</v>
      </c>
      <c r="S28" s="203">
        <f t="shared" si="7"/>
        <v>5292.9677419354839</v>
      </c>
      <c r="T28" s="203">
        <f t="shared" si="27"/>
        <v>246</v>
      </c>
      <c r="U28" s="203">
        <f t="shared" si="8"/>
        <v>5292.9677419354839</v>
      </c>
      <c r="V28" s="203">
        <f t="shared" si="28"/>
        <v>246</v>
      </c>
      <c r="W28" s="203">
        <f t="shared" si="9"/>
        <v>5292.9677419354839</v>
      </c>
      <c r="X28" s="35">
        <f t="shared" si="10"/>
        <v>0.79354838709677422</v>
      </c>
      <c r="Y28" s="36">
        <f t="shared" si="29"/>
        <v>58222.645161290326</v>
      </c>
      <c r="Z28" s="203">
        <f>'B5'!C27</f>
        <v>251</v>
      </c>
      <c r="AA28" s="203">
        <f t="shared" si="30"/>
        <v>2510</v>
      </c>
      <c r="AB28" s="203">
        <f t="shared" si="31"/>
        <v>251</v>
      </c>
      <c r="AC28" s="203">
        <f t="shared" si="30"/>
        <v>2510</v>
      </c>
      <c r="AD28" s="203">
        <f t="shared" si="32"/>
        <v>251</v>
      </c>
      <c r="AE28" s="203">
        <f t="shared" si="11"/>
        <v>2510</v>
      </c>
      <c r="AF28" s="203">
        <f t="shared" si="33"/>
        <v>251</v>
      </c>
      <c r="AG28" s="203">
        <f t="shared" si="12"/>
        <v>2510</v>
      </c>
      <c r="AH28" s="203">
        <f t="shared" si="34"/>
        <v>251</v>
      </c>
      <c r="AI28" s="203">
        <f t="shared" si="13"/>
        <v>2510</v>
      </c>
      <c r="AJ28" s="203">
        <f t="shared" si="35"/>
        <v>251</v>
      </c>
      <c r="AK28" s="203">
        <f t="shared" si="14"/>
        <v>2510</v>
      </c>
      <c r="AL28" s="203">
        <f t="shared" si="36"/>
        <v>251</v>
      </c>
      <c r="AM28" s="203">
        <f t="shared" si="15"/>
        <v>2510</v>
      </c>
      <c r="AN28" s="35">
        <f t="shared" si="16"/>
        <v>0.89642857142857146</v>
      </c>
      <c r="AO28" s="36">
        <f t="shared" si="39"/>
        <v>17570</v>
      </c>
      <c r="AQ28" s="223">
        <f t="shared" si="40"/>
        <v>0.81523765904367362</v>
      </c>
      <c r="AR28" s="38">
        <f t="shared" si="41"/>
        <v>75792.645161290333</v>
      </c>
      <c r="AS28" s="197">
        <f t="shared" si="47"/>
        <v>0</v>
      </c>
      <c r="AT28" s="340"/>
      <c r="AU28" s="547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6" t="e">
        <f>GEN!AF25</f>
        <v>#DIV/0!</v>
      </c>
    </row>
    <row r="29" spans="1:64">
      <c r="A29" s="425">
        <f>ELEC!C27</f>
        <v>44828</v>
      </c>
      <c r="B29">
        <f>'B5'!B28</f>
        <v>246</v>
      </c>
      <c r="C29" s="203">
        <f t="shared" si="18"/>
        <v>5292.9677419354839</v>
      </c>
      <c r="D29">
        <f t="shared" si="19"/>
        <v>246</v>
      </c>
      <c r="E29" s="203">
        <f t="shared" si="18"/>
        <v>5292.9677419354839</v>
      </c>
      <c r="F29">
        <f t="shared" si="20"/>
        <v>246</v>
      </c>
      <c r="G29" s="203">
        <f t="shared" si="1"/>
        <v>5292.9677419354839</v>
      </c>
      <c r="H29" s="203">
        <f t="shared" si="21"/>
        <v>246</v>
      </c>
      <c r="I29" s="203">
        <f t="shared" si="2"/>
        <v>5292.9677419354839</v>
      </c>
      <c r="J29" s="203">
        <f t="shared" si="22"/>
        <v>246</v>
      </c>
      <c r="K29" s="203">
        <f t="shared" si="3"/>
        <v>5292.9677419354839</v>
      </c>
      <c r="L29" s="203">
        <f t="shared" si="23"/>
        <v>246</v>
      </c>
      <c r="M29" s="203">
        <f t="shared" si="4"/>
        <v>5292.9677419354839</v>
      </c>
      <c r="N29" s="203">
        <f t="shared" si="24"/>
        <v>246</v>
      </c>
      <c r="O29" s="203">
        <f t="shared" si="5"/>
        <v>5292.9677419354839</v>
      </c>
      <c r="P29" s="203">
        <f t="shared" si="25"/>
        <v>246</v>
      </c>
      <c r="Q29" s="203">
        <f t="shared" si="6"/>
        <v>5292.9677419354839</v>
      </c>
      <c r="R29" s="203">
        <f t="shared" si="26"/>
        <v>246</v>
      </c>
      <c r="S29" s="203">
        <f t="shared" si="7"/>
        <v>5292.9677419354839</v>
      </c>
      <c r="T29" s="203">
        <f t="shared" si="27"/>
        <v>246</v>
      </c>
      <c r="U29" s="203">
        <f t="shared" si="8"/>
        <v>5292.9677419354839</v>
      </c>
      <c r="V29" s="203">
        <f t="shared" si="28"/>
        <v>246</v>
      </c>
      <c r="W29" s="203">
        <f t="shared" si="9"/>
        <v>5292.9677419354839</v>
      </c>
      <c r="X29" s="35">
        <f t="shared" si="10"/>
        <v>0.79354838709677422</v>
      </c>
      <c r="Y29" s="36">
        <f t="shared" si="29"/>
        <v>58222.645161290326</v>
      </c>
      <c r="Z29" s="203">
        <f>'B5'!C28</f>
        <v>251</v>
      </c>
      <c r="AA29" s="203">
        <f t="shared" si="30"/>
        <v>2510</v>
      </c>
      <c r="AB29" s="203">
        <f t="shared" si="31"/>
        <v>251</v>
      </c>
      <c r="AC29" s="203">
        <f t="shared" si="30"/>
        <v>2510</v>
      </c>
      <c r="AD29" s="203">
        <f t="shared" si="32"/>
        <v>251</v>
      </c>
      <c r="AE29" s="203">
        <f t="shared" si="11"/>
        <v>2510</v>
      </c>
      <c r="AF29" s="203">
        <f t="shared" si="33"/>
        <v>251</v>
      </c>
      <c r="AG29" s="203">
        <f t="shared" si="12"/>
        <v>2510</v>
      </c>
      <c r="AH29" s="203">
        <f t="shared" si="34"/>
        <v>251</v>
      </c>
      <c r="AI29" s="203">
        <f t="shared" si="13"/>
        <v>2510</v>
      </c>
      <c r="AJ29" s="203">
        <f t="shared" si="35"/>
        <v>251</v>
      </c>
      <c r="AK29" s="203">
        <f t="shared" si="14"/>
        <v>2510</v>
      </c>
      <c r="AL29" s="203">
        <f t="shared" si="36"/>
        <v>251</v>
      </c>
      <c r="AM29" s="203">
        <f t="shared" si="15"/>
        <v>2510</v>
      </c>
      <c r="AN29" s="35">
        <f t="shared" si="16"/>
        <v>0.89642857142857146</v>
      </c>
      <c r="AO29" s="36">
        <f t="shared" si="39"/>
        <v>17570</v>
      </c>
      <c r="AQ29" s="223">
        <f t="shared" si="40"/>
        <v>0.81523765904367362</v>
      </c>
      <c r="AR29" s="38">
        <f t="shared" si="41"/>
        <v>75792.645161290333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716.81434599152374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 t="e">
        <f>GEN!AF26</f>
        <v>#DIV/0!</v>
      </c>
    </row>
    <row r="30" spans="1:64">
      <c r="A30" s="425">
        <f>ELEC!C28</f>
        <v>44829</v>
      </c>
      <c r="B30">
        <f>'B5'!B29</f>
        <v>240</v>
      </c>
      <c r="C30" s="203">
        <f t="shared" si="18"/>
        <v>5163.8709677419356</v>
      </c>
      <c r="D30">
        <f>SUM(B30)</f>
        <v>240</v>
      </c>
      <c r="E30" s="203">
        <f t="shared" si="18"/>
        <v>5163.8709677419356</v>
      </c>
      <c r="F30">
        <f>SUM(D30)</f>
        <v>240</v>
      </c>
      <c r="G30" s="203">
        <f t="shared" si="1"/>
        <v>5163.8709677419356</v>
      </c>
      <c r="H30" s="203">
        <f>SUM(F30)</f>
        <v>240</v>
      </c>
      <c r="I30" s="203">
        <f t="shared" si="2"/>
        <v>5163.8709677419356</v>
      </c>
      <c r="J30" s="203">
        <f>SUM(H30)</f>
        <v>240</v>
      </c>
      <c r="K30" s="203">
        <f t="shared" si="3"/>
        <v>5163.8709677419356</v>
      </c>
      <c r="L30" s="203">
        <f>SUM(J30)</f>
        <v>240</v>
      </c>
      <c r="M30" s="203">
        <f t="shared" si="4"/>
        <v>5163.8709677419356</v>
      </c>
      <c r="N30" s="203">
        <f>SUM(L30)</f>
        <v>240</v>
      </c>
      <c r="O30" s="203">
        <f t="shared" si="5"/>
        <v>5163.8709677419356</v>
      </c>
      <c r="P30" s="203">
        <f>SUM(N30)</f>
        <v>240</v>
      </c>
      <c r="Q30" s="203">
        <f t="shared" si="6"/>
        <v>5163.8709677419356</v>
      </c>
      <c r="R30" s="203">
        <f>SUM(P30)</f>
        <v>240</v>
      </c>
      <c r="S30" s="203">
        <f t="shared" si="7"/>
        <v>5163.8709677419356</v>
      </c>
      <c r="T30" s="203">
        <f>SUM(R30)</f>
        <v>240</v>
      </c>
      <c r="U30" s="203">
        <f t="shared" si="8"/>
        <v>5163.8709677419356</v>
      </c>
      <c r="V30" s="203">
        <f>SUM(T30)</f>
        <v>240</v>
      </c>
      <c r="W30" s="203">
        <f t="shared" si="9"/>
        <v>5163.8709677419356</v>
      </c>
      <c r="X30" s="35">
        <f>SUM(Y30/73370)</f>
        <v>0.77419354838709697</v>
      </c>
      <c r="Y30" s="36">
        <f>SUM(C30+E30+G30+I30+K30+M30+O30+Q30+S30+U30+W30)</f>
        <v>56802.580645161303</v>
      </c>
      <c r="Z30" s="203">
        <f>'B5'!C29</f>
        <v>247</v>
      </c>
      <c r="AA30" s="203">
        <f t="shared" si="30"/>
        <v>2470</v>
      </c>
      <c r="AB30" s="203">
        <f>SUM(Z30)</f>
        <v>247</v>
      </c>
      <c r="AC30" s="203">
        <f t="shared" si="30"/>
        <v>2470</v>
      </c>
      <c r="AD30" s="203">
        <f>SUM(AB30)</f>
        <v>247</v>
      </c>
      <c r="AE30" s="203">
        <f t="shared" si="11"/>
        <v>2470</v>
      </c>
      <c r="AF30" s="203">
        <f>SUM(AD30)</f>
        <v>247</v>
      </c>
      <c r="AG30" s="203">
        <f t="shared" si="12"/>
        <v>2470</v>
      </c>
      <c r="AH30" s="203">
        <f>SUM(AF30)</f>
        <v>247</v>
      </c>
      <c r="AI30" s="203">
        <f t="shared" si="13"/>
        <v>2470</v>
      </c>
      <c r="AJ30" s="203">
        <f>SUM(AH30)</f>
        <v>247</v>
      </c>
      <c r="AK30" s="203">
        <f t="shared" si="14"/>
        <v>2470</v>
      </c>
      <c r="AL30" s="203">
        <f>SUM(AJ30)</f>
        <v>247</v>
      </c>
      <c r="AM30" s="203">
        <f t="shared" si="15"/>
        <v>2470</v>
      </c>
      <c r="AN30" s="35">
        <f>SUM(AO30/19600)</f>
        <v>0.88214285714285712</v>
      </c>
      <c r="AO30" s="36">
        <f>SUM(AA30+AC30+AE30+AG30+AI30+AK30+AM30)</f>
        <v>17290</v>
      </c>
      <c r="AQ30" s="223">
        <f t="shared" si="40"/>
        <v>0.79695149666732601</v>
      </c>
      <c r="AR30" s="38">
        <f t="shared" si="41"/>
        <v>74092.580645161303</v>
      </c>
      <c r="AS30" s="197">
        <f>SUM(AR30-AR29-AT30)</f>
        <v>-1700.0645161290304</v>
      </c>
      <c r="AT30" s="340"/>
      <c r="AU30" s="547"/>
      <c r="AV30" s="485">
        <f t="shared" si="43"/>
        <v>0</v>
      </c>
      <c r="AW30" s="279">
        <f>-SUM('B5'!AI29)</f>
        <v>-197</v>
      </c>
      <c r="AX30" s="279">
        <f t="shared" si="17"/>
        <v>-1503.0645161290304</v>
      </c>
      <c r="AY30" s="37">
        <f t="shared" si="37"/>
        <v>-1700.0645161290304</v>
      </c>
      <c r="AZ30" s="100">
        <f>ELEC!A28</f>
        <v>0</v>
      </c>
      <c r="BA30" s="118">
        <f>'General information '!D29</f>
        <v>27.5</v>
      </c>
      <c r="BB30" s="378">
        <f>SUM('General information '!E29)</f>
        <v>0.49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-88.415559772295907</v>
      </c>
      <c r="BK30" s="536">
        <f>GEN!AF27</f>
        <v>8.2886904761900429E-2</v>
      </c>
    </row>
    <row r="31" spans="1:64">
      <c r="A31" s="425">
        <f>ELEC!C29</f>
        <v>44830</v>
      </c>
      <c r="B31">
        <f>'B5'!B30</f>
        <v>240</v>
      </c>
      <c r="C31" s="203">
        <f t="shared" si="18"/>
        <v>5163.8709677419356</v>
      </c>
      <c r="D31">
        <f>SUM(B31)</f>
        <v>240</v>
      </c>
      <c r="E31" s="203">
        <f t="shared" si="18"/>
        <v>5163.8709677419356</v>
      </c>
      <c r="F31">
        <f>SUM(D31)</f>
        <v>240</v>
      </c>
      <c r="G31" s="203">
        <f t="shared" si="1"/>
        <v>5163.8709677419356</v>
      </c>
      <c r="H31" s="203">
        <f>SUM(F31)</f>
        <v>240</v>
      </c>
      <c r="I31" s="203">
        <f t="shared" si="2"/>
        <v>5163.8709677419356</v>
      </c>
      <c r="J31" s="203">
        <f>SUM(H31)</f>
        <v>240</v>
      </c>
      <c r="K31" s="203">
        <f t="shared" si="3"/>
        <v>5163.8709677419356</v>
      </c>
      <c r="L31" s="203">
        <f>SUM(J31)</f>
        <v>240</v>
      </c>
      <c r="M31" s="203">
        <f t="shared" si="4"/>
        <v>5163.8709677419356</v>
      </c>
      <c r="N31" s="203">
        <f>SUM(L31)</f>
        <v>240</v>
      </c>
      <c r="O31" s="203">
        <f t="shared" si="5"/>
        <v>5163.8709677419356</v>
      </c>
      <c r="P31" s="203">
        <f>SUM(N31)</f>
        <v>240</v>
      </c>
      <c r="Q31" s="203">
        <f t="shared" si="6"/>
        <v>5163.8709677419356</v>
      </c>
      <c r="R31" s="203">
        <f>SUM(P31)</f>
        <v>240</v>
      </c>
      <c r="S31" s="203">
        <f t="shared" si="7"/>
        <v>5163.8709677419356</v>
      </c>
      <c r="T31" s="203">
        <f>SUM(R31)</f>
        <v>240</v>
      </c>
      <c r="U31" s="203">
        <f t="shared" si="8"/>
        <v>5163.8709677419356</v>
      </c>
      <c r="V31" s="203">
        <f>SUM(T31)</f>
        <v>240</v>
      </c>
      <c r="W31" s="203">
        <f t="shared" si="9"/>
        <v>5163.8709677419356</v>
      </c>
      <c r="X31" s="35">
        <f>SUM(Y31/73370)</f>
        <v>0.77419354838709697</v>
      </c>
      <c r="Y31" s="36">
        <f>SUM(C31+E31+G31+I31+K31+M31+O31+Q31+S31+U31+W31)</f>
        <v>56802.580645161303</v>
      </c>
      <c r="Z31" s="203">
        <f>'B5'!C30</f>
        <v>247</v>
      </c>
      <c r="AA31" s="203">
        <f t="shared" si="30"/>
        <v>2470</v>
      </c>
      <c r="AB31" s="203">
        <f>SUM(Z31)</f>
        <v>247</v>
      </c>
      <c r="AC31" s="203">
        <f t="shared" si="30"/>
        <v>2470</v>
      </c>
      <c r="AD31" s="203">
        <f>SUM(AB31)</f>
        <v>247</v>
      </c>
      <c r="AE31" s="203">
        <f t="shared" si="11"/>
        <v>2470</v>
      </c>
      <c r="AF31" s="203">
        <f>SUM(AD31)</f>
        <v>247</v>
      </c>
      <c r="AG31" s="203">
        <f t="shared" si="12"/>
        <v>2470</v>
      </c>
      <c r="AH31" s="203">
        <f>SUM(AF31)</f>
        <v>247</v>
      </c>
      <c r="AI31" s="203">
        <f t="shared" si="13"/>
        <v>2470</v>
      </c>
      <c r="AJ31" s="203">
        <f>SUM(AH31)</f>
        <v>247</v>
      </c>
      <c r="AK31" s="203">
        <f t="shared" si="14"/>
        <v>2470</v>
      </c>
      <c r="AL31" s="203">
        <f>SUM(AJ31)</f>
        <v>247</v>
      </c>
      <c r="AM31" s="203">
        <f t="shared" si="15"/>
        <v>2470</v>
      </c>
      <c r="AN31" s="35">
        <f>SUM(AO31/19600)</f>
        <v>0.88214285714285712</v>
      </c>
      <c r="AO31" s="36">
        <f>SUM(AA31+AC31+AE31+AG31+AI31+AK31+AM31)</f>
        <v>17290</v>
      </c>
      <c r="AQ31" s="223">
        <f t="shared" si="40"/>
        <v>0.79695149666732601</v>
      </c>
      <c r="AR31" s="38">
        <f t="shared" si="41"/>
        <v>74092.580645161303</v>
      </c>
      <c r="AS31" s="197">
        <f t="shared" si="47"/>
        <v>0</v>
      </c>
      <c r="AT31" s="340"/>
      <c r="AU31" s="547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26</v>
      </c>
      <c r="BB31" s="378">
        <f>SUM('General information '!E30)</f>
        <v>0.46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6" t="e">
        <f>GEN!AF28</f>
        <v>#DIV/0!</v>
      </c>
    </row>
    <row r="32" spans="1:64">
      <c r="A32" s="425">
        <f>ELEC!C30</f>
        <v>44831</v>
      </c>
      <c r="B32">
        <f>'B5'!B31</f>
        <v>240</v>
      </c>
      <c r="C32" s="203">
        <f t="shared" si="18"/>
        <v>5163.8709677419356</v>
      </c>
      <c r="D32">
        <f>SUM(B32)</f>
        <v>240</v>
      </c>
      <c r="E32" s="203">
        <f t="shared" si="18"/>
        <v>5163.8709677419356</v>
      </c>
      <c r="F32">
        <f>SUM(D32)</f>
        <v>240</v>
      </c>
      <c r="G32" s="203">
        <f t="shared" si="1"/>
        <v>5163.8709677419356</v>
      </c>
      <c r="H32" s="203">
        <f>SUM(F32)</f>
        <v>240</v>
      </c>
      <c r="I32" s="203">
        <f t="shared" si="2"/>
        <v>5163.8709677419356</v>
      </c>
      <c r="J32" s="203">
        <f>SUM(H32)</f>
        <v>240</v>
      </c>
      <c r="K32" s="203">
        <f t="shared" si="3"/>
        <v>5163.8709677419356</v>
      </c>
      <c r="L32" s="203">
        <f>SUM(J32)</f>
        <v>240</v>
      </c>
      <c r="M32" s="203">
        <f t="shared" si="4"/>
        <v>5163.8709677419356</v>
      </c>
      <c r="N32" s="203">
        <f>SUM(L32)</f>
        <v>240</v>
      </c>
      <c r="O32" s="203">
        <f t="shared" si="5"/>
        <v>5163.8709677419356</v>
      </c>
      <c r="P32" s="203">
        <f>SUM(N32)</f>
        <v>240</v>
      </c>
      <c r="Q32" s="203">
        <f t="shared" si="6"/>
        <v>5163.8709677419356</v>
      </c>
      <c r="R32" s="203">
        <f>SUM(P32)</f>
        <v>240</v>
      </c>
      <c r="S32" s="203">
        <f t="shared" si="7"/>
        <v>5163.8709677419356</v>
      </c>
      <c r="T32" s="203">
        <f>SUM(R32)</f>
        <v>240</v>
      </c>
      <c r="U32" s="203">
        <f t="shared" si="8"/>
        <v>5163.8709677419356</v>
      </c>
      <c r="V32" s="203">
        <f>SUM(T32)</f>
        <v>240</v>
      </c>
      <c r="W32" s="203">
        <f t="shared" si="9"/>
        <v>5163.8709677419356</v>
      </c>
      <c r="X32" s="35">
        <f>SUM(Y32/73370)</f>
        <v>0.77419354838709697</v>
      </c>
      <c r="Y32" s="36">
        <f>SUM(C32+E32+G32+I32+K32+M32+O32+Q32+S32+U32+W32)</f>
        <v>56802.580645161303</v>
      </c>
      <c r="Z32" s="203">
        <f>'B5'!C31</f>
        <v>247</v>
      </c>
      <c r="AA32" s="203">
        <f t="shared" si="30"/>
        <v>2470</v>
      </c>
      <c r="AB32" s="203">
        <f>SUM(Z32)</f>
        <v>247</v>
      </c>
      <c r="AC32" s="203">
        <f t="shared" si="30"/>
        <v>2470</v>
      </c>
      <c r="AD32" s="203">
        <f>SUM(AB32)</f>
        <v>247</v>
      </c>
      <c r="AE32" s="203">
        <f t="shared" si="11"/>
        <v>2470</v>
      </c>
      <c r="AF32" s="203">
        <f>SUM(AD32)</f>
        <v>247</v>
      </c>
      <c r="AG32" s="203">
        <f t="shared" si="12"/>
        <v>2470</v>
      </c>
      <c r="AH32" s="203">
        <f>SUM(AF32)</f>
        <v>247</v>
      </c>
      <c r="AI32" s="203">
        <f t="shared" si="13"/>
        <v>2470</v>
      </c>
      <c r="AJ32" s="203">
        <f>SUM(AH32)</f>
        <v>247</v>
      </c>
      <c r="AK32" s="203">
        <f t="shared" si="14"/>
        <v>2470</v>
      </c>
      <c r="AL32" s="203">
        <f>SUM(AJ32)</f>
        <v>247</v>
      </c>
      <c r="AM32" s="203">
        <f t="shared" si="15"/>
        <v>2470</v>
      </c>
      <c r="AN32" s="35">
        <f>SUM(AO32/19600)</f>
        <v>0.88214285714285712</v>
      </c>
      <c r="AO32" s="36">
        <f>SUM(AA32+AC32+AE32+AG32+AI32+AK32+AM32)</f>
        <v>17290</v>
      </c>
      <c r="AQ32" s="223">
        <f t="shared" si="40"/>
        <v>0.79695149666732601</v>
      </c>
      <c r="AR32" s="38">
        <f t="shared" si="41"/>
        <v>74092.580645161303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44832</v>
      </c>
      <c r="B33">
        <f>'B5'!B32</f>
        <v>240</v>
      </c>
      <c r="C33" s="203">
        <f t="shared" si="18"/>
        <v>5163.8709677419356</v>
      </c>
      <c r="D33">
        <f>SUM(B33)</f>
        <v>240</v>
      </c>
      <c r="E33" s="203">
        <f t="shared" si="18"/>
        <v>5163.8709677419356</v>
      </c>
      <c r="F33">
        <f>SUM(D33)</f>
        <v>240</v>
      </c>
      <c r="G33" s="203">
        <f t="shared" si="1"/>
        <v>5163.8709677419356</v>
      </c>
      <c r="H33" s="203">
        <f>SUM(F33)</f>
        <v>240</v>
      </c>
      <c r="I33" s="203">
        <f t="shared" si="2"/>
        <v>5163.8709677419356</v>
      </c>
      <c r="J33" s="203">
        <f>SUM(H33)</f>
        <v>240</v>
      </c>
      <c r="K33" s="203">
        <f t="shared" si="3"/>
        <v>5163.8709677419356</v>
      </c>
      <c r="L33" s="203">
        <f>SUM(J33)</f>
        <v>240</v>
      </c>
      <c r="M33" s="203">
        <f t="shared" si="4"/>
        <v>5163.8709677419356</v>
      </c>
      <c r="N33" s="203">
        <f>SUM(L33)</f>
        <v>240</v>
      </c>
      <c r="O33" s="203">
        <f t="shared" si="5"/>
        <v>5163.8709677419356</v>
      </c>
      <c r="P33" s="203">
        <f>SUM(N33)</f>
        <v>240</v>
      </c>
      <c r="Q33" s="203">
        <f t="shared" si="6"/>
        <v>5163.8709677419356</v>
      </c>
      <c r="R33" s="203">
        <f>SUM(P33)</f>
        <v>240</v>
      </c>
      <c r="S33" s="203">
        <f t="shared" si="7"/>
        <v>5163.8709677419356</v>
      </c>
      <c r="T33" s="203">
        <f>SUM(R33)</f>
        <v>240</v>
      </c>
      <c r="U33" s="203">
        <f t="shared" si="8"/>
        <v>5163.8709677419356</v>
      </c>
      <c r="V33" s="203">
        <f>SUM(T33)</f>
        <v>240</v>
      </c>
      <c r="W33" s="203">
        <f t="shared" si="9"/>
        <v>5163.8709677419356</v>
      </c>
      <c r="X33" s="35">
        <f>SUM(Y33/73370)</f>
        <v>0.77419354838709697</v>
      </c>
      <c r="Y33" s="36">
        <f>SUM(C33+E33+G33+I33+K33+M33+O33+Q33+S33+U33+W33)</f>
        <v>56802.580645161303</v>
      </c>
      <c r="Z33" s="203">
        <f>'B5'!C32</f>
        <v>247</v>
      </c>
      <c r="AA33" s="203">
        <f t="shared" si="30"/>
        <v>2470</v>
      </c>
      <c r="AB33" s="203">
        <f>SUM(Z33)</f>
        <v>247</v>
      </c>
      <c r="AC33" s="203">
        <f t="shared" si="30"/>
        <v>2470</v>
      </c>
      <c r="AD33" s="203">
        <f>SUM(AB33)</f>
        <v>247</v>
      </c>
      <c r="AE33" s="203">
        <f t="shared" si="11"/>
        <v>2470</v>
      </c>
      <c r="AF33" s="203">
        <f>SUM(AD33)</f>
        <v>247</v>
      </c>
      <c r="AG33" s="203">
        <f t="shared" si="12"/>
        <v>2470</v>
      </c>
      <c r="AH33" s="203">
        <f>SUM(AF33)</f>
        <v>247</v>
      </c>
      <c r="AI33" s="203">
        <f t="shared" si="13"/>
        <v>2470</v>
      </c>
      <c r="AJ33" s="203">
        <f>SUM(AH33)</f>
        <v>247</v>
      </c>
      <c r="AK33" s="203">
        <f t="shared" si="14"/>
        <v>2470</v>
      </c>
      <c r="AL33" s="203">
        <f>SUM(AJ33)</f>
        <v>247</v>
      </c>
      <c r="AM33" s="203">
        <f t="shared" si="15"/>
        <v>2470</v>
      </c>
      <c r="AN33" s="35">
        <f>SUM(AO33/19600)</f>
        <v>0.88214285714285712</v>
      </c>
      <c r="AO33" s="36">
        <f>SUM(AA33+AC33+AE33+AG33+AI33+AK33+AM33)</f>
        <v>17290</v>
      </c>
      <c r="AQ33" s="223">
        <f t="shared" si="40"/>
        <v>0.79695149666732601</v>
      </c>
      <c r="AR33" s="38">
        <f t="shared" si="41"/>
        <v>74092.580645161303</v>
      </c>
      <c r="AS33" s="197">
        <f>SUM(AR33-AR32-AT33)</f>
        <v>0</v>
      </c>
      <c r="AT33" s="340"/>
      <c r="AU33" s="546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44833</v>
      </c>
      <c r="B34">
        <f>'B5'!B33</f>
        <v>240</v>
      </c>
      <c r="C34" s="203">
        <f t="shared" ref="C34:C36" si="48">B34*$B$4</f>
        <v>5163.8709677419356</v>
      </c>
      <c r="D34">
        <f t="shared" ref="D34:D36" si="49">SUM(B34)</f>
        <v>240</v>
      </c>
      <c r="E34" s="203">
        <f t="shared" ref="E34:E36" si="50">D34*$B$4</f>
        <v>5163.8709677419356</v>
      </c>
      <c r="F34">
        <f t="shared" ref="F34:F36" si="51">SUM(D34)</f>
        <v>240</v>
      </c>
      <c r="G34" s="203">
        <f t="shared" ref="G34:G36" si="52">F34*$B$4</f>
        <v>5163.8709677419356</v>
      </c>
      <c r="H34" s="203">
        <f t="shared" ref="H34:H36" si="53">SUM(F34)</f>
        <v>240</v>
      </c>
      <c r="I34" s="203">
        <f t="shared" ref="I34:I36" si="54">H34*$B$4</f>
        <v>5163.8709677419356</v>
      </c>
      <c r="J34" s="203">
        <f t="shared" ref="J34:J36" si="55">SUM(H34)</f>
        <v>240</v>
      </c>
      <c r="K34" s="203">
        <f t="shared" ref="K34:K36" si="56">J34*$B$4</f>
        <v>5163.8709677419356</v>
      </c>
      <c r="L34" s="203">
        <f t="shared" ref="L34:L36" si="57">SUM(J34)</f>
        <v>240</v>
      </c>
      <c r="M34" s="203">
        <f t="shared" ref="M34:M36" si="58">L34*$B$4</f>
        <v>5163.8709677419356</v>
      </c>
      <c r="N34" s="203">
        <f t="shared" ref="N34:N36" si="59">SUM(L34)</f>
        <v>240</v>
      </c>
      <c r="O34" s="203">
        <f t="shared" ref="O34:O36" si="60">N34*$B$4</f>
        <v>5163.8709677419356</v>
      </c>
      <c r="P34" s="203">
        <f t="shared" ref="P34:P36" si="61">SUM(N34)</f>
        <v>240</v>
      </c>
      <c r="Q34" s="203">
        <f t="shared" ref="Q34:Q36" si="62">P34*$B$4</f>
        <v>5163.8709677419356</v>
      </c>
      <c r="R34" s="203">
        <f t="shared" ref="R34:R36" si="63">SUM(P34)</f>
        <v>240</v>
      </c>
      <c r="S34" s="203">
        <f t="shared" ref="S34:S36" si="64">R34*$B$4</f>
        <v>5163.8709677419356</v>
      </c>
      <c r="T34" s="203">
        <f t="shared" ref="T34:T36" si="65">SUM(R34)</f>
        <v>240</v>
      </c>
      <c r="U34" s="203">
        <f t="shared" ref="U34:U36" si="66">T34*$B$4</f>
        <v>5163.8709677419356</v>
      </c>
      <c r="V34" s="203">
        <f t="shared" ref="V34:V36" si="67">SUM(T34)</f>
        <v>240</v>
      </c>
      <c r="W34" s="203">
        <f t="shared" ref="W34:W36" si="68">V34*$B$4</f>
        <v>5163.8709677419356</v>
      </c>
      <c r="X34" s="35">
        <f t="shared" ref="X34:X36" si="69">SUM(Y34/73370)</f>
        <v>0.77419354838709697</v>
      </c>
      <c r="Y34" s="36">
        <f t="shared" ref="Y34:Y36" si="70">SUM(C34+E34+G34+I34+K34+M34+O34+Q34+S34+U34+W34)</f>
        <v>56802.580645161303</v>
      </c>
      <c r="Z34" s="203">
        <f>'B5'!C33</f>
        <v>247</v>
      </c>
      <c r="AA34" s="203">
        <f t="shared" ref="AA34:AA36" si="71">SUM(Z34*$Z$4)</f>
        <v>2470</v>
      </c>
      <c r="AB34" s="203">
        <f t="shared" ref="AB34:AB36" si="72">SUM(Z34)</f>
        <v>247</v>
      </c>
      <c r="AC34" s="203">
        <f t="shared" ref="AC34:AC36" si="73">SUM(AB34*$Z$4)</f>
        <v>2470</v>
      </c>
      <c r="AD34" s="203">
        <f t="shared" ref="AD34:AD36" si="74">SUM(AB34)</f>
        <v>247</v>
      </c>
      <c r="AE34" s="203">
        <f t="shared" ref="AE34:AE36" si="75">SUM(AD34*$Z$4)</f>
        <v>2470</v>
      </c>
      <c r="AF34" s="203">
        <f t="shared" ref="AF34:AF36" si="76">SUM(AD34)</f>
        <v>247</v>
      </c>
      <c r="AG34" s="203">
        <f t="shared" ref="AG34:AG36" si="77">SUM(AF34*$Z$4)</f>
        <v>2470</v>
      </c>
      <c r="AH34" s="203">
        <f t="shared" ref="AH34:AH36" si="78">SUM(AF34)</f>
        <v>247</v>
      </c>
      <c r="AI34" s="203">
        <f t="shared" ref="AI34:AI36" si="79">SUM(AH34*$Z$4)</f>
        <v>2470</v>
      </c>
      <c r="AJ34" s="203">
        <f t="shared" ref="AJ34:AJ36" si="80">SUM(AH34)</f>
        <v>247</v>
      </c>
      <c r="AK34" s="203">
        <f t="shared" ref="AK34:AK36" si="81">SUM(AJ34*$Z$4)</f>
        <v>2470</v>
      </c>
      <c r="AL34" s="203">
        <f t="shared" ref="AL34:AL36" si="82">SUM(AJ34)</f>
        <v>247</v>
      </c>
      <c r="AM34" s="203">
        <f t="shared" ref="AM34:AM36" si="83">SUM(AL34*$Z$4)</f>
        <v>2470</v>
      </c>
      <c r="AN34" s="35">
        <f t="shared" ref="AN34:AN36" si="84">SUM(AO34/19600)</f>
        <v>0.88214285714285712</v>
      </c>
      <c r="AO34" s="36">
        <f t="shared" ref="AO34:AO36" si="85">SUM(AA34+AC34+AE34+AG34+AI34+AK34+AM34)</f>
        <v>17290</v>
      </c>
      <c r="AQ34" s="223">
        <f t="shared" ref="AQ34:AQ36" si="86">SUM(AR34/92970)</f>
        <v>0.79695149666732601</v>
      </c>
      <c r="AR34" s="38">
        <f t="shared" si="41"/>
        <v>74092.580645161303</v>
      </c>
      <c r="AS34" s="197">
        <f t="shared" ref="AS34:AS36" si="87">SUM(AR34-AR33-AT34)</f>
        <v>0</v>
      </c>
      <c r="AT34" s="340"/>
      <c r="AU34" s="546"/>
      <c r="AV34" s="485">
        <f t="shared" ref="AV34:AV36" si="88">IF(AT34&gt;0,AU34,AV33)</f>
        <v>0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44834</v>
      </c>
      <c r="B35">
        <f>'B5'!B34</f>
        <v>240</v>
      </c>
      <c r="C35" s="203">
        <f t="shared" si="48"/>
        <v>5163.8709677419356</v>
      </c>
      <c r="D35">
        <f t="shared" si="49"/>
        <v>240</v>
      </c>
      <c r="E35" s="203">
        <f t="shared" si="50"/>
        <v>5163.8709677419356</v>
      </c>
      <c r="F35">
        <f t="shared" si="51"/>
        <v>240</v>
      </c>
      <c r="G35" s="203">
        <f t="shared" si="52"/>
        <v>5163.8709677419356</v>
      </c>
      <c r="H35" s="203">
        <f t="shared" si="53"/>
        <v>240</v>
      </c>
      <c r="I35" s="203">
        <f t="shared" si="54"/>
        <v>5163.8709677419356</v>
      </c>
      <c r="J35" s="203">
        <f t="shared" si="55"/>
        <v>240</v>
      </c>
      <c r="K35" s="203">
        <f t="shared" si="56"/>
        <v>5163.8709677419356</v>
      </c>
      <c r="L35" s="203">
        <f t="shared" si="57"/>
        <v>240</v>
      </c>
      <c r="M35" s="203">
        <f t="shared" si="58"/>
        <v>5163.8709677419356</v>
      </c>
      <c r="N35" s="203">
        <f t="shared" si="59"/>
        <v>240</v>
      </c>
      <c r="O35" s="203">
        <f t="shared" si="60"/>
        <v>5163.8709677419356</v>
      </c>
      <c r="P35" s="203">
        <f t="shared" si="61"/>
        <v>240</v>
      </c>
      <c r="Q35" s="203">
        <f t="shared" si="62"/>
        <v>5163.8709677419356</v>
      </c>
      <c r="R35" s="203">
        <f t="shared" si="63"/>
        <v>240</v>
      </c>
      <c r="S35" s="203">
        <f t="shared" si="64"/>
        <v>5163.8709677419356</v>
      </c>
      <c r="T35" s="203">
        <f t="shared" si="65"/>
        <v>240</v>
      </c>
      <c r="U35" s="203">
        <f t="shared" si="66"/>
        <v>5163.8709677419356</v>
      </c>
      <c r="V35" s="203">
        <f t="shared" si="67"/>
        <v>240</v>
      </c>
      <c r="W35" s="203">
        <f t="shared" si="68"/>
        <v>5163.8709677419356</v>
      </c>
      <c r="X35" s="35">
        <f t="shared" si="69"/>
        <v>0.77419354838709697</v>
      </c>
      <c r="Y35" s="36">
        <f t="shared" si="70"/>
        <v>56802.580645161303</v>
      </c>
      <c r="Z35" s="203">
        <f>'B5'!C34</f>
        <v>247</v>
      </c>
      <c r="AA35" s="203">
        <f t="shared" si="71"/>
        <v>2470</v>
      </c>
      <c r="AB35" s="203">
        <f t="shared" si="72"/>
        <v>247</v>
      </c>
      <c r="AC35" s="203">
        <f t="shared" si="73"/>
        <v>2470</v>
      </c>
      <c r="AD35" s="203">
        <f t="shared" si="74"/>
        <v>247</v>
      </c>
      <c r="AE35" s="203">
        <f t="shared" si="75"/>
        <v>2470</v>
      </c>
      <c r="AF35" s="203">
        <f t="shared" si="76"/>
        <v>247</v>
      </c>
      <c r="AG35" s="203">
        <f t="shared" si="77"/>
        <v>2470</v>
      </c>
      <c r="AH35" s="203">
        <f t="shared" si="78"/>
        <v>247</v>
      </c>
      <c r="AI35" s="203">
        <f t="shared" si="79"/>
        <v>2470</v>
      </c>
      <c r="AJ35" s="203">
        <f t="shared" si="80"/>
        <v>247</v>
      </c>
      <c r="AK35" s="203">
        <f t="shared" si="81"/>
        <v>2470</v>
      </c>
      <c r="AL35" s="203">
        <f t="shared" si="82"/>
        <v>247</v>
      </c>
      <c r="AM35" s="203">
        <f t="shared" si="83"/>
        <v>2470</v>
      </c>
      <c r="AN35" s="35">
        <f t="shared" si="84"/>
        <v>0.88214285714285712</v>
      </c>
      <c r="AO35" s="36">
        <f t="shared" si="85"/>
        <v>17290</v>
      </c>
      <c r="AQ35" s="223">
        <f t="shared" si="86"/>
        <v>0.79695149666732601</v>
      </c>
      <c r="AR35" s="38">
        <f t="shared" si="41"/>
        <v>74092.580645161303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44835</v>
      </c>
      <c r="B36">
        <f>'B5'!B35</f>
        <v>240</v>
      </c>
      <c r="C36" s="203">
        <f t="shared" si="48"/>
        <v>5163.8709677419356</v>
      </c>
      <c r="D36">
        <f t="shared" si="49"/>
        <v>240</v>
      </c>
      <c r="E36" s="203">
        <f t="shared" si="50"/>
        <v>5163.8709677419356</v>
      </c>
      <c r="F36">
        <f t="shared" si="51"/>
        <v>240</v>
      </c>
      <c r="G36" s="203">
        <f t="shared" si="52"/>
        <v>5163.8709677419356</v>
      </c>
      <c r="H36" s="203">
        <f t="shared" si="53"/>
        <v>240</v>
      </c>
      <c r="I36" s="203">
        <f t="shared" si="54"/>
        <v>5163.8709677419356</v>
      </c>
      <c r="J36" s="203">
        <f t="shared" si="55"/>
        <v>240</v>
      </c>
      <c r="K36" s="203">
        <f t="shared" si="56"/>
        <v>5163.8709677419356</v>
      </c>
      <c r="L36" s="203">
        <f t="shared" si="57"/>
        <v>240</v>
      </c>
      <c r="M36" s="203">
        <f t="shared" si="58"/>
        <v>5163.8709677419356</v>
      </c>
      <c r="N36" s="203">
        <f t="shared" si="59"/>
        <v>240</v>
      </c>
      <c r="O36" s="203">
        <f t="shared" si="60"/>
        <v>5163.8709677419356</v>
      </c>
      <c r="P36" s="203">
        <f t="shared" si="61"/>
        <v>240</v>
      </c>
      <c r="Q36" s="203">
        <f t="shared" si="62"/>
        <v>5163.8709677419356</v>
      </c>
      <c r="R36" s="203">
        <f t="shared" si="63"/>
        <v>240</v>
      </c>
      <c r="S36" s="203">
        <f t="shared" si="64"/>
        <v>5163.8709677419356</v>
      </c>
      <c r="T36" s="203">
        <f t="shared" si="65"/>
        <v>240</v>
      </c>
      <c r="U36" s="203">
        <f t="shared" si="66"/>
        <v>5163.8709677419356</v>
      </c>
      <c r="V36" s="203">
        <f t="shared" si="67"/>
        <v>240</v>
      </c>
      <c r="W36" s="203">
        <f t="shared" si="68"/>
        <v>5163.8709677419356</v>
      </c>
      <c r="X36" s="35">
        <f t="shared" si="69"/>
        <v>0.77419354838709697</v>
      </c>
      <c r="Y36" s="36">
        <f t="shared" si="70"/>
        <v>56802.580645161303</v>
      </c>
      <c r="Z36" s="203">
        <f>'B5'!C35</f>
        <v>247</v>
      </c>
      <c r="AA36" s="203">
        <f t="shared" si="71"/>
        <v>2470</v>
      </c>
      <c r="AB36" s="203">
        <f t="shared" si="72"/>
        <v>247</v>
      </c>
      <c r="AC36" s="203">
        <f t="shared" si="73"/>
        <v>2470</v>
      </c>
      <c r="AD36" s="203">
        <f t="shared" si="74"/>
        <v>247</v>
      </c>
      <c r="AE36" s="203">
        <f t="shared" si="75"/>
        <v>2470</v>
      </c>
      <c r="AF36" s="203">
        <f t="shared" si="76"/>
        <v>247</v>
      </c>
      <c r="AG36" s="203">
        <f t="shared" si="77"/>
        <v>2470</v>
      </c>
      <c r="AH36" s="203">
        <f t="shared" si="78"/>
        <v>247</v>
      </c>
      <c r="AI36" s="203">
        <f t="shared" si="79"/>
        <v>2470</v>
      </c>
      <c r="AJ36" s="203">
        <f t="shared" si="80"/>
        <v>247</v>
      </c>
      <c r="AK36" s="203">
        <f t="shared" si="81"/>
        <v>2470</v>
      </c>
      <c r="AL36" s="203">
        <f t="shared" si="82"/>
        <v>247</v>
      </c>
      <c r="AM36" s="203">
        <f t="shared" si="83"/>
        <v>2470</v>
      </c>
      <c r="AN36" s="35">
        <f t="shared" si="84"/>
        <v>0.88214285714285712</v>
      </c>
      <c r="AO36" s="36">
        <f t="shared" si="85"/>
        <v>17290</v>
      </c>
      <c r="AQ36" s="223">
        <f t="shared" si="86"/>
        <v>0.79695149666732601</v>
      </c>
      <c r="AR36" s="38">
        <f t="shared" si="41"/>
        <v>74092.580645161303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3</v>
      </c>
      <c r="AT37" s="203">
        <f>SUM(AT6:AT36)</f>
        <v>24489</v>
      </c>
      <c r="AU37" s="542">
        <f>SUM(AU6:AU36)/AS37</f>
        <v>0.72466666666666668</v>
      </c>
      <c r="AX37" s="203">
        <f>SUM(AX6:AX36)</f>
        <v>-10298.225806451606</v>
      </c>
      <c r="AY37" s="203">
        <f>SUM(AY6:AY36)</f>
        <v>-11915.225806451606</v>
      </c>
    </row>
    <row r="38" spans="1:63">
      <c r="AS38" s="206"/>
      <c r="AT38" s="82">
        <f>+AT37*AU37</f>
        <v>17746.362000000001</v>
      </c>
    </row>
    <row r="40" spans="1:63">
      <c r="AS40" s="165" t="e">
        <f>SUM(AS6:AS36)/'EDl log'!A35</f>
        <v>#DIV/0!</v>
      </c>
      <c r="AT40" s="203"/>
    </row>
    <row r="41" spans="1:63">
      <c r="AX41">
        <v>43309</v>
      </c>
    </row>
    <row r="42" spans="1:63">
      <c r="AR42" s="203">
        <f>AR36-22000</f>
        <v>52092.580645161303</v>
      </c>
      <c r="AU42" s="203"/>
      <c r="AX42">
        <f>AX37/AX41</f>
        <v>-0.23778489012564608</v>
      </c>
    </row>
    <row r="43" spans="1:63">
      <c r="AR43">
        <f>AR42/5500</f>
        <v>9.4713782991202375</v>
      </c>
    </row>
    <row r="44" spans="1:63">
      <c r="AR44">
        <f>AR43*2</f>
        <v>18.942756598240475</v>
      </c>
    </row>
    <row r="45" spans="1:63">
      <c r="AR45" s="203"/>
    </row>
    <row r="46" spans="1:63">
      <c r="AT46" s="592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tabSelected="1" zoomScale="85" zoomScaleNormal="85" workbookViewId="0">
      <selection activeCell="J25" sqref="J2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9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44804</v>
      </c>
      <c r="B3" s="254">
        <f>'[2]EDl log'!B34</f>
        <v>1124410</v>
      </c>
      <c r="C3" s="254">
        <f>'[2]EDl log'!C34</f>
        <v>0</v>
      </c>
      <c r="D3" s="254">
        <f>'[2]EDl log'!D34</f>
        <v>0</v>
      </c>
      <c r="E3" s="254">
        <f>'[2]EDl log'!E34</f>
        <v>1124410</v>
      </c>
      <c r="F3" s="254">
        <f>'[2]EDl log'!F34</f>
        <v>161410</v>
      </c>
      <c r="G3" s="254">
        <f>'[2]EDl log'!G34</f>
        <v>0</v>
      </c>
      <c r="H3" s="254">
        <f>'[2]EDl log'!H34</f>
        <v>561097</v>
      </c>
      <c r="I3" s="254">
        <f>'[2]EDl log'!I34</f>
        <v>0</v>
      </c>
      <c r="J3" s="254">
        <f>'[2]EDl log'!J34</f>
        <v>401903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609">
        <f>'[2]EDl log'!O34</f>
        <v>154.80303857058792</v>
      </c>
      <c r="P3" s="254">
        <f>'[2]EDl log'!P34</f>
        <v>154.80303857058792</v>
      </c>
      <c r="Q3" s="254">
        <f>'[2]EDl log'!Q34</f>
        <v>1460.9405322580526</v>
      </c>
      <c r="R3" s="254">
        <f>'[2]EDl log'!R34</f>
        <v>1615.7435708286405</v>
      </c>
      <c r="S3" s="254">
        <f>'[2]EDl log'!S34</f>
        <v>4078.7999999998137</v>
      </c>
      <c r="T3" s="254">
        <f>'[2]EDl log'!T34</f>
        <v>0.39613209052385856</v>
      </c>
      <c r="Z3" t="s">
        <v>213</v>
      </c>
      <c r="AA3">
        <v>0.1</v>
      </c>
    </row>
    <row r="4" spans="1:32" ht="20.100000000000001" customHeight="1">
      <c r="A4" s="163">
        <f>ELEC!C4</f>
        <v>44805</v>
      </c>
      <c r="B4" s="534">
        <f>B3</f>
        <v>1124410</v>
      </c>
      <c r="C4" s="254">
        <f t="shared" ref="C4:C30" si="0">SUM(B4-B3)</f>
        <v>0</v>
      </c>
      <c r="D4" s="295">
        <f>SUM(G4+I4+K4)</f>
        <v>0</v>
      </c>
      <c r="E4" s="295">
        <f>B3+D4</f>
        <v>1124410</v>
      </c>
      <c r="F4" s="537">
        <f>F3</f>
        <v>161410</v>
      </c>
      <c r="G4" s="160">
        <f t="shared" ref="G4:G30" si="1">F4-F3</f>
        <v>0</v>
      </c>
      <c r="H4" s="537">
        <f>H3</f>
        <v>561097</v>
      </c>
      <c r="I4" s="161">
        <f t="shared" ref="I4:I30" si="2">H4-H3</f>
        <v>0</v>
      </c>
      <c r="J4" s="581">
        <f>J3</f>
        <v>401903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>($AC$29/$A$37)/1507.5</f>
        <v>159.96313985627418</v>
      </c>
      <c r="P4" s="285">
        <f>SUM(L4:O4)</f>
        <v>159.96313985627418</v>
      </c>
      <c r="Q4" s="285">
        <f>SUM(-tanks!AX6*tanks!$AU$37)</f>
        <v>1007.3217311827947</v>
      </c>
      <c r="R4" s="285">
        <f>SUM(P4:Q4)</f>
        <v>1167.2848710390688</v>
      </c>
      <c r="S4" s="287">
        <f>SUM(ELEC!N4)</f>
        <v>3873</v>
      </c>
      <c r="T4" s="321">
        <f>IF(S4&gt;0,R4/S4,0)</f>
        <v>0.30139036174517653</v>
      </c>
      <c r="U4" s="245"/>
      <c r="V4" s="166" t="s">
        <v>200</v>
      </c>
      <c r="W4" s="167">
        <f>'[2]EDl log'!$W$21</f>
        <v>44795</v>
      </c>
      <c r="X4" s="168"/>
      <c r="Y4" s="168"/>
      <c r="Z4" s="169" t="s">
        <v>201</v>
      </c>
      <c r="AA4" s="168"/>
      <c r="AB4" s="649"/>
      <c r="AC4" s="650"/>
    </row>
    <row r="5" spans="1:32" ht="20.100000000000001" customHeight="1">
      <c r="A5" s="163">
        <f>ELEC!C5</f>
        <v>44806</v>
      </c>
      <c r="B5" s="608">
        <f t="shared" ref="B5:B34" si="6">B4</f>
        <v>1124410</v>
      </c>
      <c r="C5" s="254">
        <f t="shared" si="0"/>
        <v>0</v>
      </c>
      <c r="D5" s="295">
        <f>SUM(G5+I5+K5)</f>
        <v>0</v>
      </c>
      <c r="E5" s="295">
        <f>B4+D5</f>
        <v>1124410</v>
      </c>
      <c r="F5" s="608">
        <f t="shared" ref="F5:F34" si="7">F4</f>
        <v>161410</v>
      </c>
      <c r="G5" s="160">
        <f t="shared" si="1"/>
        <v>0</v>
      </c>
      <c r="H5" s="608">
        <f t="shared" ref="H5:H34" si="8">H4</f>
        <v>561097</v>
      </c>
      <c r="I5" s="161">
        <f t="shared" si="2"/>
        <v>0</v>
      </c>
      <c r="J5" s="606">
        <f t="shared" ref="J5:J34" si="9">J4</f>
        <v>401903</v>
      </c>
      <c r="K5" s="162">
        <f t="shared" ref="K5:K30" si="10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ref="O5:O34" si="11">($AC$29/$A$37)/1507.5</f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43"/>
      <c r="W5" s="644"/>
      <c r="X5" s="644"/>
      <c r="Y5" s="645"/>
      <c r="Z5" s="26" t="s">
        <v>202</v>
      </c>
      <c r="AA5" s="26">
        <v>5000</v>
      </c>
      <c r="AB5" s="651"/>
      <c r="AC5" s="652"/>
    </row>
    <row r="6" spans="1:32" ht="20.100000000000001" customHeight="1">
      <c r="A6" s="163">
        <f>ELEC!C6</f>
        <v>44807</v>
      </c>
      <c r="B6" s="608">
        <f t="shared" si="6"/>
        <v>1124410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1124410</v>
      </c>
      <c r="F6" s="608">
        <f t="shared" si="7"/>
        <v>161410</v>
      </c>
      <c r="G6" s="160">
        <f t="shared" si="1"/>
        <v>0</v>
      </c>
      <c r="H6" s="608">
        <f t="shared" si="8"/>
        <v>561097</v>
      </c>
      <c r="I6" s="161">
        <f t="shared" si="2"/>
        <v>0</v>
      </c>
      <c r="J6" s="606">
        <f t="shared" si="9"/>
        <v>401903</v>
      </c>
      <c r="K6" s="162">
        <f t="shared" si="10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11"/>
        <v>159.96313985627418</v>
      </c>
      <c r="P6" s="285">
        <f t="shared" si="12"/>
        <v>159.96313985627418</v>
      </c>
      <c r="Q6" s="285">
        <f>SUM(-tanks!AX8*tanks!$AU$37)</f>
        <v>0</v>
      </c>
      <c r="R6" s="285">
        <f t="shared" si="13"/>
        <v>159.96313985627418</v>
      </c>
      <c r="S6" s="287">
        <f>SUM(ELEC!N6)</f>
        <v>0</v>
      </c>
      <c r="T6" s="321">
        <f t="shared" ref="T6:T30" si="16">IF(S6&gt;0,R6/S6,0)</f>
        <v>0</v>
      </c>
      <c r="V6" s="646"/>
      <c r="W6" s="647"/>
      <c r="X6" s="647"/>
      <c r="Y6" s="648"/>
      <c r="Z6" s="655"/>
      <c r="AA6" s="656"/>
      <c r="AB6" s="651"/>
      <c r="AC6" s="652"/>
    </row>
    <row r="7" spans="1:32" ht="20.100000000000001" customHeight="1">
      <c r="A7" s="163">
        <f>ELEC!C7</f>
        <v>44808</v>
      </c>
      <c r="B7" s="608">
        <f t="shared" si="6"/>
        <v>1124410</v>
      </c>
      <c r="C7" s="254">
        <f>SUM(B7-B6)</f>
        <v>0</v>
      </c>
      <c r="D7" s="295">
        <f>SUM(G7+I7+K7)</f>
        <v>0</v>
      </c>
      <c r="E7" s="295">
        <f t="shared" si="15"/>
        <v>1124410</v>
      </c>
      <c r="F7" s="608">
        <f t="shared" si="7"/>
        <v>161410</v>
      </c>
      <c r="G7" s="160">
        <f t="shared" si="1"/>
        <v>0</v>
      </c>
      <c r="H7" s="608">
        <f t="shared" si="8"/>
        <v>561097</v>
      </c>
      <c r="I7" s="161">
        <f t="shared" si="2"/>
        <v>0</v>
      </c>
      <c r="J7" s="606">
        <f t="shared" si="9"/>
        <v>401903</v>
      </c>
      <c r="K7" s="162">
        <f t="shared" si="10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11"/>
        <v>159.96313985627418</v>
      </c>
      <c r="P7" s="285">
        <f t="shared" si="12"/>
        <v>159.96313985627418</v>
      </c>
      <c r="Q7" s="285">
        <f>SUM(-tanks!AX9*tanks!$AU$37)</f>
        <v>730.9782795699092</v>
      </c>
      <c r="R7" s="285">
        <f t="shared" si="13"/>
        <v>890.94141942618342</v>
      </c>
      <c r="S7" s="287">
        <f>SUM(ELEC!N7)</f>
        <v>3120</v>
      </c>
      <c r="T7" s="321">
        <f t="shared" si="16"/>
        <v>0.28555814725198186</v>
      </c>
      <c r="V7" s="638" t="s">
        <v>203</v>
      </c>
      <c r="W7" s="639"/>
      <c r="X7" s="640" t="s">
        <v>204</v>
      </c>
      <c r="Y7" s="641"/>
      <c r="Z7" s="642"/>
      <c r="AA7" s="170"/>
      <c r="AB7" s="653"/>
      <c r="AC7" s="654"/>
    </row>
    <row r="8" spans="1:32" ht="20.100000000000001" customHeight="1">
      <c r="A8" s="163">
        <f>ELEC!C8</f>
        <v>44809</v>
      </c>
      <c r="B8" s="608">
        <f t="shared" si="6"/>
        <v>1124410</v>
      </c>
      <c r="C8" s="254">
        <f t="shared" si="0"/>
        <v>0</v>
      </c>
      <c r="D8" s="295">
        <f t="shared" si="14"/>
        <v>0</v>
      </c>
      <c r="E8" s="295">
        <f t="shared" si="15"/>
        <v>1124410</v>
      </c>
      <c r="F8" s="608">
        <f t="shared" si="7"/>
        <v>161410</v>
      </c>
      <c r="G8" s="160">
        <f t="shared" si="1"/>
        <v>0</v>
      </c>
      <c r="H8" s="608">
        <f t="shared" si="8"/>
        <v>561097</v>
      </c>
      <c r="I8" s="161">
        <f t="shared" si="2"/>
        <v>0</v>
      </c>
      <c r="J8" s="606">
        <f t="shared" si="9"/>
        <v>401903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11"/>
        <v>159.96313985627418</v>
      </c>
      <c r="P8" s="285">
        <f t="shared" si="12"/>
        <v>159.96313985627418</v>
      </c>
      <c r="Q8" s="285">
        <f>SUM(-tanks!AX10*tanks!$AU$37)</f>
        <v>772.03882795697621</v>
      </c>
      <c r="R8" s="285">
        <f t="shared" si="13"/>
        <v>932.00196781325042</v>
      </c>
      <c r="S8" s="287">
        <f>SUM(ELEC!N8)</f>
        <v>3326</v>
      </c>
      <c r="T8" s="321">
        <f>IF(S8&gt;0,R8/S8,0)</f>
        <v>0.2802170678933405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44810</v>
      </c>
      <c r="B9" s="608">
        <f t="shared" si="6"/>
        <v>1124410</v>
      </c>
      <c r="C9" s="254">
        <f t="shared" si="0"/>
        <v>0</v>
      </c>
      <c r="D9" s="295">
        <f t="shared" si="14"/>
        <v>0</v>
      </c>
      <c r="E9" s="295">
        <f t="shared" si="15"/>
        <v>1124410</v>
      </c>
      <c r="F9" s="608">
        <f t="shared" si="7"/>
        <v>161410</v>
      </c>
      <c r="G9" s="160">
        <f t="shared" si="1"/>
        <v>0</v>
      </c>
      <c r="H9" s="608">
        <f t="shared" si="8"/>
        <v>561097</v>
      </c>
      <c r="I9" s="161">
        <f t="shared" si="2"/>
        <v>0</v>
      </c>
      <c r="J9" s="606">
        <f t="shared" si="9"/>
        <v>401903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11"/>
        <v>159.96313985627418</v>
      </c>
      <c r="P9" s="285">
        <f t="shared" si="12"/>
        <v>159.96313985627418</v>
      </c>
      <c r="Q9" s="285">
        <f>SUM(-tanks!AX11*tanks!$AU$37)</f>
        <v>1451.3203225806453</v>
      </c>
      <c r="R9" s="285">
        <f>SUM(P9:Q9)</f>
        <v>1611.2834624369195</v>
      </c>
      <c r="S9" s="287">
        <f>SUM(ELEC!N9)</f>
        <v>5010</v>
      </c>
      <c r="T9" s="321">
        <f t="shared" si="16"/>
        <v>0.32161346555627135</v>
      </c>
      <c r="V9" s="246">
        <f>'[2]EDl log'!V26</f>
        <v>401847</v>
      </c>
      <c r="W9" s="246">
        <f>'[2]EDl log'!W26</f>
        <v>401903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604">
        <f>'[2]EDl log'!AA26</f>
        <v>56</v>
      </c>
      <c r="AB9" s="604">
        <f>'[2]EDl log'!AB26</f>
        <v>4480</v>
      </c>
      <c r="AC9" s="604">
        <f>'[2]EDl log'!AC26</f>
        <v>1033333</v>
      </c>
      <c r="AD9" s="604">
        <f>'[2]EDl log'!AD26</f>
        <v>5.185185185185185E-2</v>
      </c>
      <c r="AE9" s="593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44811</v>
      </c>
      <c r="B10" s="608">
        <f t="shared" si="6"/>
        <v>1124410</v>
      </c>
      <c r="C10" s="254">
        <f t="shared" si="0"/>
        <v>0</v>
      </c>
      <c r="D10" s="295">
        <f t="shared" si="14"/>
        <v>0</v>
      </c>
      <c r="E10" s="295">
        <f t="shared" si="15"/>
        <v>1124410</v>
      </c>
      <c r="F10" s="608">
        <f t="shared" si="7"/>
        <v>161410</v>
      </c>
      <c r="G10" s="160">
        <f t="shared" si="1"/>
        <v>0</v>
      </c>
      <c r="H10" s="608">
        <f t="shared" si="8"/>
        <v>561097</v>
      </c>
      <c r="I10" s="161">
        <f t="shared" si="2"/>
        <v>0</v>
      </c>
      <c r="J10" s="606">
        <f t="shared" si="9"/>
        <v>401903</v>
      </c>
      <c r="K10" s="162">
        <f t="shared" si="10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11"/>
        <v>159.96313985627418</v>
      </c>
      <c r="P10" s="285">
        <f t="shared" si="12"/>
        <v>159.96313985627418</v>
      </c>
      <c r="Q10" s="285">
        <f>SUM(-tanks!AX12*tanks!$AU$37)</f>
        <v>1335.72430107528</v>
      </c>
      <c r="R10" s="285">
        <f t="shared" si="13"/>
        <v>1495.6874409315542</v>
      </c>
      <c r="S10" s="287">
        <f>SUM(ELEC!N10)</f>
        <v>4771</v>
      </c>
      <c r="T10" s="321">
        <f t="shared" si="16"/>
        <v>0.31349558602631611</v>
      </c>
      <c r="V10" s="246">
        <f>'[2]EDl log'!V27</f>
        <v>560074</v>
      </c>
      <c r="W10" s="246">
        <f>'[2]EDl log'!W27</f>
        <v>561097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04">
        <f>'[2]EDl log'!AA27</f>
        <v>1023</v>
      </c>
      <c r="AB10" s="604">
        <f>'[2]EDl log'!AB27</f>
        <v>114576</v>
      </c>
      <c r="AC10" s="604">
        <f>'[2]EDl log'!AC27</f>
        <v>6200000</v>
      </c>
      <c r="AD10" s="604">
        <f>'[2]EDl log'!AD27</f>
        <v>0.94722222222222219</v>
      </c>
      <c r="AE10" s="593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44812</v>
      </c>
      <c r="B11" s="608">
        <f t="shared" si="6"/>
        <v>1124410</v>
      </c>
      <c r="C11" s="254">
        <f>SUM(B11-B10)</f>
        <v>0</v>
      </c>
      <c r="D11" s="295">
        <f>SUM(G11+I11+K11)</f>
        <v>0</v>
      </c>
      <c r="E11" s="295">
        <f t="shared" si="15"/>
        <v>1124410</v>
      </c>
      <c r="F11" s="608">
        <f t="shared" si="7"/>
        <v>161410</v>
      </c>
      <c r="G11" s="160">
        <f t="shared" si="1"/>
        <v>0</v>
      </c>
      <c r="H11" s="608">
        <f t="shared" si="8"/>
        <v>561097</v>
      </c>
      <c r="I11" s="161">
        <f t="shared" si="2"/>
        <v>0</v>
      </c>
      <c r="J11" s="606">
        <f t="shared" si="9"/>
        <v>401903</v>
      </c>
      <c r="K11" s="162">
        <f t="shared" si="10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11"/>
        <v>159.96313985627418</v>
      </c>
      <c r="P11" s="285">
        <f t="shared" si="12"/>
        <v>159.96313985627418</v>
      </c>
      <c r="Q11" s="285">
        <f>SUM(-tanks!AX13*tanks!$AU$37)</f>
        <v>717.44337634407486</v>
      </c>
      <c r="R11" s="285">
        <f t="shared" si="13"/>
        <v>877.40651620034907</v>
      </c>
      <c r="S11" s="287">
        <f>SUM(ELEC!N11)</f>
        <v>3693</v>
      </c>
      <c r="T11" s="321">
        <f t="shared" si="16"/>
        <v>0.23758638402392337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604">
        <f>'[2]EDl log'!AA28</f>
        <v>0</v>
      </c>
      <c r="AB11" s="604">
        <f>'[2]EDl log'!AB28</f>
        <v>0</v>
      </c>
      <c r="AC11" s="604">
        <f>'[2]EDl log'!AC28</f>
        <v>1000</v>
      </c>
      <c r="AD11" s="246">
        <f>'[2]EDl log'!AD28</f>
        <v>0</v>
      </c>
      <c r="AE11" s="593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44813</v>
      </c>
      <c r="B12" s="608">
        <f t="shared" si="6"/>
        <v>1124410</v>
      </c>
      <c r="C12" s="254">
        <f t="shared" si="0"/>
        <v>0</v>
      </c>
      <c r="D12" s="295">
        <f t="shared" si="14"/>
        <v>0</v>
      </c>
      <c r="E12" s="295">
        <f t="shared" si="15"/>
        <v>1124410</v>
      </c>
      <c r="F12" s="608">
        <f t="shared" si="7"/>
        <v>161410</v>
      </c>
      <c r="G12" s="160">
        <f t="shared" si="1"/>
        <v>0</v>
      </c>
      <c r="H12" s="608">
        <f t="shared" si="8"/>
        <v>561097</v>
      </c>
      <c r="I12" s="161">
        <f t="shared" si="2"/>
        <v>0</v>
      </c>
      <c r="J12" s="606">
        <v>401903</v>
      </c>
      <c r="K12" s="162">
        <f t="shared" si="10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11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7"/>
      <c r="X12" s="214"/>
      <c r="Y12" s="215"/>
      <c r="Z12" s="3"/>
      <c r="AA12" s="604">
        <f>'[2]EDl log'!AA29</f>
        <v>1079</v>
      </c>
      <c r="AB12" s="604">
        <f>'[2]EDl log'!AB29</f>
        <v>119056</v>
      </c>
      <c r="AC12" s="604">
        <f>'[2]EDl log'!AC29</f>
        <v>7234333</v>
      </c>
    </row>
    <row r="13" spans="1:32" ht="20.100000000000001" customHeight="1">
      <c r="A13" s="163">
        <f>ELEC!C13</f>
        <v>44814</v>
      </c>
      <c r="B13" s="608">
        <f t="shared" si="6"/>
        <v>1124410</v>
      </c>
      <c r="C13" s="254">
        <f t="shared" si="0"/>
        <v>0</v>
      </c>
      <c r="D13" s="295">
        <f t="shared" si="14"/>
        <v>0</v>
      </c>
      <c r="E13" s="295">
        <f t="shared" si="15"/>
        <v>1124410</v>
      </c>
      <c r="F13" s="608">
        <f t="shared" si="7"/>
        <v>161410</v>
      </c>
      <c r="G13" s="160">
        <f t="shared" si="1"/>
        <v>0</v>
      </c>
      <c r="H13" s="608">
        <f t="shared" si="8"/>
        <v>561097</v>
      </c>
      <c r="I13" s="161">
        <f t="shared" si="2"/>
        <v>0</v>
      </c>
      <c r="J13" s="606">
        <f t="shared" si="9"/>
        <v>401903</v>
      </c>
      <c r="K13" s="162">
        <f t="shared" si="10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11"/>
        <v>159.96313985627418</v>
      </c>
      <c r="P13" s="285">
        <f t="shared" si="12"/>
        <v>159.96313985627418</v>
      </c>
      <c r="Q13" s="285">
        <f>SUM(-tanks!AX15*tanks!$AU$37)</f>
        <v>0</v>
      </c>
      <c r="R13" s="285">
        <f t="shared" si="13"/>
        <v>159.96313985627418</v>
      </c>
      <c r="S13" s="287">
        <f>SUM(ELEC!N13)</f>
        <v>0</v>
      </c>
      <c r="T13" s="321">
        <f>IF(S13&gt;0,R13/S13,0)</f>
        <v>0</v>
      </c>
      <c r="V13" s="216" t="s">
        <v>314</v>
      </c>
      <c r="W13" s="593">
        <f>'[2]EDl log'!W30</f>
        <v>0</v>
      </c>
      <c r="X13" s="217"/>
      <c r="Y13" s="218" t="s">
        <v>327</v>
      </c>
      <c r="Z13" s="3"/>
      <c r="AA13" s="604">
        <f>'[2]EDl log'!AA30</f>
        <v>0</v>
      </c>
      <c r="AB13" s="604">
        <f>'[2]EDl log'!AB30</f>
        <v>7353389</v>
      </c>
      <c r="AC13" s="604">
        <f>'[2]EDl log'!AC30</f>
        <v>0</v>
      </c>
    </row>
    <row r="14" spans="1:32" ht="20.100000000000001" customHeight="1">
      <c r="A14" s="163">
        <f>ELEC!C14</f>
        <v>44815</v>
      </c>
      <c r="B14" s="608">
        <f t="shared" si="6"/>
        <v>1124410</v>
      </c>
      <c r="C14" s="254">
        <f t="shared" si="0"/>
        <v>0</v>
      </c>
      <c r="D14" s="295">
        <f t="shared" si="14"/>
        <v>0</v>
      </c>
      <c r="E14" s="295">
        <f t="shared" si="15"/>
        <v>1124410</v>
      </c>
      <c r="F14" s="608">
        <f t="shared" si="7"/>
        <v>161410</v>
      </c>
      <c r="G14" s="160">
        <f t="shared" si="1"/>
        <v>0</v>
      </c>
      <c r="H14" s="608">
        <f t="shared" si="8"/>
        <v>561097</v>
      </c>
      <c r="I14" s="161">
        <f t="shared" si="2"/>
        <v>0</v>
      </c>
      <c r="J14" s="606">
        <f t="shared" si="9"/>
        <v>401903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11"/>
        <v>159.96313985627418</v>
      </c>
      <c r="P14" s="285">
        <f>SUM(L14:O14)</f>
        <v>159.96313985627418</v>
      </c>
      <c r="Q14" s="285">
        <f>SUM(-tanks!AX16*tanks!$AU$37)</f>
        <v>817.45906451612279</v>
      </c>
      <c r="R14" s="285">
        <f>SUM(P14:Q14)</f>
        <v>977.422204372397</v>
      </c>
      <c r="S14" s="287">
        <f>SUM(ELEC!N14)</f>
        <v>4209.3999999999069</v>
      </c>
      <c r="T14" s="321">
        <f>IF(S14&gt;0,R14/S14,0)</f>
        <v>0.23219988700822414</v>
      </c>
      <c r="V14" s="216"/>
      <c r="W14" s="217"/>
      <c r="X14" s="217"/>
      <c r="Y14" s="218"/>
      <c r="Z14" s="3"/>
      <c r="AA14" s="604">
        <f>'[2]EDl log'!AA31</f>
        <v>0</v>
      </c>
      <c r="AB14" s="604">
        <f>'[2]EDl log'!AB31</f>
        <v>0</v>
      </c>
      <c r="AC14" s="604">
        <f>'[2]EDl log'!AC31</f>
        <v>0</v>
      </c>
    </row>
    <row r="15" spans="1:32" ht="20.100000000000001" customHeight="1">
      <c r="A15" s="163">
        <f>ELEC!C15</f>
        <v>44816</v>
      </c>
      <c r="B15" s="608">
        <f t="shared" si="6"/>
        <v>1124410</v>
      </c>
      <c r="C15" s="254">
        <f t="shared" si="0"/>
        <v>0</v>
      </c>
      <c r="D15" s="295">
        <f t="shared" si="14"/>
        <v>0</v>
      </c>
      <c r="E15" s="295">
        <f t="shared" si="15"/>
        <v>1124410</v>
      </c>
      <c r="F15" s="608">
        <f t="shared" si="7"/>
        <v>161410</v>
      </c>
      <c r="G15" s="160">
        <f t="shared" si="1"/>
        <v>0</v>
      </c>
      <c r="H15" s="608">
        <f t="shared" si="8"/>
        <v>561097</v>
      </c>
      <c r="I15" s="161">
        <f t="shared" si="2"/>
        <v>0</v>
      </c>
      <c r="J15" s="606">
        <f t="shared" si="9"/>
        <v>401903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11"/>
        <v>159.96313985627418</v>
      </c>
      <c r="P15" s="285">
        <f>SUM(L15:O15)</f>
        <v>159.96313985627418</v>
      </c>
      <c r="Q15" s="285">
        <f>SUM(-tanks!AX17*tanks!$AU$37)</f>
        <v>-795.1112795698881</v>
      </c>
      <c r="R15" s="285">
        <f>SUM(P15:Q15)</f>
        <v>-635.14813971361389</v>
      </c>
      <c r="S15" s="287">
        <f>SUM(ELEC!N15)</f>
        <v>3162.6000000000931</v>
      </c>
      <c r="T15" s="321">
        <f>IF(S15&gt;0,R15/S15,0)</f>
        <v>-0.20083100604363346</v>
      </c>
      <c r="V15" s="216" t="s">
        <v>315</v>
      </c>
      <c r="W15" s="246">
        <f>'[2]EDl log'!W32</f>
        <v>219</v>
      </c>
      <c r="X15" s="246">
        <f>'[2]EDl log'!X32</f>
        <v>54.75</v>
      </c>
      <c r="Y15" s="246">
        <f>'[2]EDl log'!Y32</f>
        <v>54.75</v>
      </c>
      <c r="Z15" s="3"/>
      <c r="AA15" s="604">
        <f>'[2]EDl log'!AA32</f>
        <v>0</v>
      </c>
      <c r="AB15" s="604">
        <f>'[2]EDl log'!AB32</f>
        <v>0</v>
      </c>
      <c r="AC15" s="604">
        <f>'[2]EDl log'!AC32</f>
        <v>0</v>
      </c>
    </row>
    <row r="16" spans="1:32" ht="20.100000000000001" customHeight="1">
      <c r="A16" s="163">
        <f>ELEC!C16</f>
        <v>44817</v>
      </c>
      <c r="B16" s="608">
        <f t="shared" si="6"/>
        <v>1124410</v>
      </c>
      <c r="C16" s="254">
        <f t="shared" si="0"/>
        <v>0</v>
      </c>
      <c r="D16" s="295">
        <f t="shared" si="14"/>
        <v>0</v>
      </c>
      <c r="E16" s="295">
        <f t="shared" si="15"/>
        <v>1124410</v>
      </c>
      <c r="F16" s="608">
        <f t="shared" si="7"/>
        <v>161410</v>
      </c>
      <c r="G16" s="160">
        <f t="shared" si="1"/>
        <v>0</v>
      </c>
      <c r="H16" s="608">
        <f t="shared" si="8"/>
        <v>561097</v>
      </c>
      <c r="I16" s="161">
        <f t="shared" si="2"/>
        <v>0</v>
      </c>
      <c r="J16" s="606">
        <f t="shared" si="9"/>
        <v>401903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11"/>
        <v>159.96313985627418</v>
      </c>
      <c r="P16" s="285">
        <f>SUM(L16:O16)</f>
        <v>159.96313985627418</v>
      </c>
      <c r="Q16" s="285">
        <f>SUM(-tanks!AX18*tanks!$AU$37)</f>
        <v>702.71627956988812</v>
      </c>
      <c r="R16" s="285">
        <f>SUM(P16:Q16)</f>
        <v>862.67941942616233</v>
      </c>
      <c r="S16" s="287">
        <f>SUM(ELEC!N16)</f>
        <v>2901</v>
      </c>
      <c r="T16" s="321">
        <f>IF(S16&gt;0,R16/S16,0)</f>
        <v>0.29737311941611938</v>
      </c>
      <c r="V16" s="216" t="s">
        <v>413</v>
      </c>
      <c r="X16" s="222"/>
      <c r="Y16" s="250"/>
      <c r="Z16" s="3" t="s">
        <v>415</v>
      </c>
      <c r="AA16" s="604">
        <f>'[2]EDl log'!AA33</f>
        <v>0.11</v>
      </c>
      <c r="AB16" s="604">
        <f>'[2]EDl log'!AB33</f>
        <v>808872.79</v>
      </c>
      <c r="AC16" s="604">
        <f>'[2]EDl log'!AC33</f>
        <v>7234333</v>
      </c>
    </row>
    <row r="17" spans="1:32" ht="20.100000000000001" customHeight="1">
      <c r="A17" s="163">
        <f>ELEC!C17</f>
        <v>44818</v>
      </c>
      <c r="B17" s="608">
        <f t="shared" si="6"/>
        <v>1124410</v>
      </c>
      <c r="C17" s="254">
        <f t="shared" si="0"/>
        <v>0</v>
      </c>
      <c r="D17" s="295">
        <f t="shared" si="14"/>
        <v>0</v>
      </c>
      <c r="E17" s="295">
        <f t="shared" si="15"/>
        <v>1124410</v>
      </c>
      <c r="F17" s="608">
        <f t="shared" si="7"/>
        <v>161410</v>
      </c>
      <c r="G17" s="160">
        <f>F17-F16</f>
        <v>0</v>
      </c>
      <c r="H17" s="608">
        <f t="shared" si="8"/>
        <v>561097</v>
      </c>
      <c r="I17" s="161">
        <f t="shared" si="2"/>
        <v>0</v>
      </c>
      <c r="J17" s="606">
        <f t="shared" si="9"/>
        <v>401903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11"/>
        <v>159.96313985627418</v>
      </c>
      <c r="P17" s="285">
        <f>SUM(L17:O17)</f>
        <v>159.96313985627418</v>
      </c>
      <c r="Q17" s="285">
        <f>SUM(-tanks!AX19*tanks!$AU$37)</f>
        <v>658.74537634408534</v>
      </c>
      <c r="R17" s="285">
        <f>SUM(P17:Q17)</f>
        <v>818.70851620035955</v>
      </c>
      <c r="S17" s="287">
        <f>SUM(ELEC!N17)</f>
        <v>2980.3999999999069</v>
      </c>
      <c r="T17" s="321">
        <f>IF(S17&gt;0,R17/S17,0)</f>
        <v>0.27469752925794699</v>
      </c>
      <c r="V17" s="216" t="s">
        <v>414</v>
      </c>
      <c r="Z17" s="3"/>
      <c r="AA17" s="604">
        <f>'[2]EDl log'!AA34</f>
        <v>0</v>
      </c>
      <c r="AB17" s="604">
        <f>'[2]EDl log'!AB34</f>
        <v>8162261.79</v>
      </c>
      <c r="AC17" s="604">
        <f>'[2]EDl log'!AC34</f>
        <v>0</v>
      </c>
    </row>
    <row r="18" spans="1:32" ht="20.100000000000001" customHeight="1" thickBot="1">
      <c r="A18" s="163">
        <f>ELEC!C18</f>
        <v>44819</v>
      </c>
      <c r="B18" s="608">
        <f t="shared" si="6"/>
        <v>1124410</v>
      </c>
      <c r="C18" s="254">
        <f>SUM(B18-B17)</f>
        <v>0</v>
      </c>
      <c r="D18" s="295">
        <f>SUM(G18+I18+K18)</f>
        <v>0</v>
      </c>
      <c r="E18" s="295">
        <f t="shared" si="15"/>
        <v>1124410</v>
      </c>
      <c r="F18" s="608">
        <f t="shared" si="7"/>
        <v>161410</v>
      </c>
      <c r="G18" s="160">
        <f t="shared" si="1"/>
        <v>0</v>
      </c>
      <c r="H18" s="608">
        <f t="shared" si="8"/>
        <v>561097</v>
      </c>
      <c r="I18" s="161">
        <f t="shared" si="2"/>
        <v>0</v>
      </c>
      <c r="J18" s="606">
        <f t="shared" si="9"/>
        <v>401903</v>
      </c>
      <c r="K18" s="162">
        <f t="shared" si="10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11"/>
        <v>159.96313985627418</v>
      </c>
      <c r="P18" s="285">
        <f t="shared" si="12"/>
        <v>159.96313985627418</v>
      </c>
      <c r="Q18" s="285">
        <f>SUM(-tanks!AX20*tanks!$AU$37)</f>
        <v>666.71670967742921</v>
      </c>
      <c r="R18" s="285">
        <f t="shared" si="13"/>
        <v>826.67984953370342</v>
      </c>
      <c r="S18" s="287">
        <f>SUM(ELEC!N18)</f>
        <v>2919.6000000000931</v>
      </c>
      <c r="T18" s="321">
        <f t="shared" si="16"/>
        <v>0.28314832495330766</v>
      </c>
      <c r="V18" s="226"/>
      <c r="W18" s="227"/>
      <c r="X18" s="227"/>
      <c r="Y18" s="227"/>
      <c r="Z18" s="3"/>
      <c r="AA18" s="604">
        <f>'[2]EDl log'!AA35</f>
        <v>0</v>
      </c>
      <c r="AB18" s="604">
        <f>'[2]EDl log'!AB35</f>
        <v>0</v>
      </c>
      <c r="AC18" s="604">
        <f>'[2]EDl log'!AC35</f>
        <v>0</v>
      </c>
    </row>
    <row r="19" spans="1:32" ht="20.100000000000001" customHeight="1" thickBot="1">
      <c r="A19" s="163">
        <f>ELEC!C19</f>
        <v>44820</v>
      </c>
      <c r="B19" s="608">
        <f t="shared" si="6"/>
        <v>1124410</v>
      </c>
      <c r="C19" s="254">
        <f t="shared" si="0"/>
        <v>0</v>
      </c>
      <c r="D19" s="295">
        <f t="shared" si="14"/>
        <v>0</v>
      </c>
      <c r="E19" s="295">
        <f t="shared" si="15"/>
        <v>1124410</v>
      </c>
      <c r="F19" s="608">
        <f t="shared" si="7"/>
        <v>161410</v>
      </c>
      <c r="G19" s="160">
        <f t="shared" si="1"/>
        <v>0</v>
      </c>
      <c r="H19" s="608">
        <f t="shared" si="8"/>
        <v>561097</v>
      </c>
      <c r="I19" s="161">
        <f t="shared" si="2"/>
        <v>0</v>
      </c>
      <c r="J19" s="606">
        <f t="shared" si="9"/>
        <v>401903</v>
      </c>
      <c r="K19" s="162">
        <f t="shared" si="10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604" t="str">
        <f>'[6]EDl log'!AA36</f>
        <v>$ without VAT</v>
      </c>
      <c r="AB19" s="604">
        <f>'[2]EDl log'!AB36</f>
        <v>4877.8699834162517</v>
      </c>
      <c r="AC19" s="604">
        <f>'[2]EDl log'!AC36</f>
        <v>0</v>
      </c>
    </row>
    <row r="20" spans="1:32" ht="20.100000000000001" customHeight="1" thickBot="1">
      <c r="A20" s="163">
        <f>ELEC!C20</f>
        <v>44821</v>
      </c>
      <c r="B20" s="608">
        <f t="shared" si="6"/>
        <v>1124410</v>
      </c>
      <c r="C20" s="254">
        <f t="shared" si="0"/>
        <v>0</v>
      </c>
      <c r="D20" s="295">
        <f t="shared" si="14"/>
        <v>0</v>
      </c>
      <c r="E20" s="295">
        <f t="shared" si="15"/>
        <v>1124410</v>
      </c>
      <c r="F20" s="608">
        <f t="shared" si="7"/>
        <v>161410</v>
      </c>
      <c r="G20" s="160">
        <f t="shared" si="1"/>
        <v>0</v>
      </c>
      <c r="H20" s="608">
        <f t="shared" si="8"/>
        <v>561097</v>
      </c>
      <c r="I20" s="161">
        <f t="shared" si="2"/>
        <v>0</v>
      </c>
      <c r="J20" s="606">
        <f t="shared" si="9"/>
        <v>401903</v>
      </c>
      <c r="K20" s="162">
        <f t="shared" si="10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11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5"/>
    </row>
    <row r="21" spans="1:32" ht="20.100000000000001" customHeight="1">
      <c r="A21" s="163">
        <f>ELEC!C21</f>
        <v>44822</v>
      </c>
      <c r="B21" s="608">
        <f t="shared" si="6"/>
        <v>1124410</v>
      </c>
      <c r="C21" s="254">
        <f t="shared" si="0"/>
        <v>0</v>
      </c>
      <c r="D21" s="295">
        <f t="shared" si="14"/>
        <v>0</v>
      </c>
      <c r="E21" s="295">
        <f t="shared" si="15"/>
        <v>1124410</v>
      </c>
      <c r="F21" s="608">
        <f t="shared" si="7"/>
        <v>161410</v>
      </c>
      <c r="G21" s="160">
        <f t="shared" si="1"/>
        <v>0</v>
      </c>
      <c r="H21" s="608">
        <f t="shared" si="8"/>
        <v>561097</v>
      </c>
      <c r="I21" s="161">
        <f t="shared" si="2"/>
        <v>0</v>
      </c>
      <c r="J21" s="606">
        <f t="shared" si="9"/>
        <v>401903</v>
      </c>
      <c r="K21" s="162">
        <f t="shared" si="10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11"/>
        <v>159.96313985627418</v>
      </c>
      <c r="P21" s="285">
        <f t="shared" si="12"/>
        <v>159.96313985627418</v>
      </c>
      <c r="Q21" s="285">
        <f>SUM(-tanks!AX23*tanks!$AU$37)</f>
        <v>-3637.7097849462293</v>
      </c>
      <c r="R21" s="285">
        <f t="shared" si="13"/>
        <v>-3477.7466450899551</v>
      </c>
      <c r="S21" s="287">
        <f>SUM(ELEC!N21)</f>
        <v>3174</v>
      </c>
      <c r="T21" s="321">
        <f t="shared" si="16"/>
        <v>-1.0956983758947558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9"/>
      <c r="AC21" s="650"/>
    </row>
    <row r="22" spans="1:32" ht="20.100000000000001" customHeight="1">
      <c r="A22" s="163">
        <f>ELEC!C22</f>
        <v>44823</v>
      </c>
      <c r="B22" s="608">
        <f t="shared" si="6"/>
        <v>1124410</v>
      </c>
      <c r="C22" s="254">
        <f t="shared" si="0"/>
        <v>0</v>
      </c>
      <c r="D22" s="295">
        <f t="shared" si="14"/>
        <v>0</v>
      </c>
      <c r="E22" s="295">
        <f t="shared" si="15"/>
        <v>1124410</v>
      </c>
      <c r="F22" s="608">
        <f t="shared" si="7"/>
        <v>161410</v>
      </c>
      <c r="G22" s="160">
        <f t="shared" si="1"/>
        <v>0</v>
      </c>
      <c r="H22" s="608">
        <f t="shared" si="8"/>
        <v>561097</v>
      </c>
      <c r="I22" s="161">
        <f t="shared" si="2"/>
        <v>0</v>
      </c>
      <c r="J22" s="606">
        <f t="shared" si="9"/>
        <v>401903</v>
      </c>
      <c r="K22" s="162">
        <f t="shared" si="10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11"/>
        <v>159.96313985627418</v>
      </c>
      <c r="P22" s="285">
        <f t="shared" si="12"/>
        <v>159.96313985627418</v>
      </c>
      <c r="Q22" s="285">
        <f>SUM(-tanks!AX24*tanks!$AU$37)</f>
        <v>807.06827956988809</v>
      </c>
      <c r="R22" s="285">
        <f t="shared" si="13"/>
        <v>967.0314194261623</v>
      </c>
      <c r="S22" s="287">
        <f>SUM(ELEC!N22)</f>
        <v>2762</v>
      </c>
      <c r="T22" s="321">
        <f t="shared" si="16"/>
        <v>0.35011999255110871</v>
      </c>
      <c r="V22" s="643"/>
      <c r="W22" s="644"/>
      <c r="X22" s="644"/>
      <c r="Y22" s="645"/>
      <c r="Z22" s="26" t="s">
        <v>202</v>
      </c>
      <c r="AA22" s="26">
        <v>5000</v>
      </c>
      <c r="AB22" s="651"/>
      <c r="AC22" s="652"/>
    </row>
    <row r="23" spans="1:32" ht="20.100000000000001" customHeight="1">
      <c r="A23" s="163">
        <f>ELEC!C23</f>
        <v>44824</v>
      </c>
      <c r="B23" s="608">
        <f t="shared" si="6"/>
        <v>1124410</v>
      </c>
      <c r="C23" s="254">
        <f t="shared" si="0"/>
        <v>0</v>
      </c>
      <c r="D23" s="295">
        <f t="shared" si="14"/>
        <v>0</v>
      </c>
      <c r="E23" s="295">
        <f t="shared" si="15"/>
        <v>1124410</v>
      </c>
      <c r="F23" s="608">
        <f t="shared" si="7"/>
        <v>161410</v>
      </c>
      <c r="G23" s="160">
        <f t="shared" si="1"/>
        <v>0</v>
      </c>
      <c r="H23" s="608">
        <f t="shared" si="8"/>
        <v>561097</v>
      </c>
      <c r="I23" s="161">
        <f t="shared" si="2"/>
        <v>0</v>
      </c>
      <c r="J23" s="606">
        <f t="shared" si="9"/>
        <v>401903</v>
      </c>
      <c r="K23" s="162">
        <f t="shared" si="10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11"/>
        <v>159.96313985627418</v>
      </c>
      <c r="P23" s="285">
        <f t="shared" si="12"/>
        <v>159.96313985627418</v>
      </c>
      <c r="Q23" s="285">
        <f>SUM(-tanks!AX25*tanks!$AU$37)</f>
        <v>866.49094623655469</v>
      </c>
      <c r="R23" s="285">
        <f t="shared" si="13"/>
        <v>1026.4540860928289</v>
      </c>
      <c r="S23" s="287">
        <f>SUM(ELEC!N23)</f>
        <v>3770</v>
      </c>
      <c r="T23" s="321">
        <f t="shared" si="16"/>
        <v>0.27226898835353552</v>
      </c>
      <c r="V23" s="646"/>
      <c r="W23" s="647"/>
      <c r="X23" s="647"/>
      <c r="Y23" s="648"/>
      <c r="Z23" s="655"/>
      <c r="AA23" s="656"/>
      <c r="AB23" s="651"/>
      <c r="AC23" s="652"/>
    </row>
    <row r="24" spans="1:32" ht="20.100000000000001" customHeight="1">
      <c r="A24" s="163">
        <f>ELEC!C24</f>
        <v>44825</v>
      </c>
      <c r="B24" s="608">
        <f t="shared" si="6"/>
        <v>1124410</v>
      </c>
      <c r="C24" s="254">
        <f t="shared" si="0"/>
        <v>0</v>
      </c>
      <c r="D24" s="295">
        <f t="shared" si="14"/>
        <v>0</v>
      </c>
      <c r="E24" s="295">
        <f t="shared" si="15"/>
        <v>1124410</v>
      </c>
      <c r="F24" s="608">
        <f t="shared" si="7"/>
        <v>161410</v>
      </c>
      <c r="G24" s="160">
        <f t="shared" si="1"/>
        <v>0</v>
      </c>
      <c r="H24" s="608">
        <f t="shared" si="8"/>
        <v>561097</v>
      </c>
      <c r="I24" s="161">
        <f t="shared" si="2"/>
        <v>0</v>
      </c>
      <c r="J24" s="606">
        <f t="shared" si="9"/>
        <v>401903</v>
      </c>
      <c r="K24" s="162">
        <f t="shared" si="10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11"/>
        <v>159.96313985627418</v>
      </c>
      <c r="P24" s="285">
        <f t="shared" si="12"/>
        <v>159.96313985627418</v>
      </c>
      <c r="Q24" s="285">
        <f>SUM(-tanks!AX26*tanks!$AU$37)</f>
        <v>802.72027956988802</v>
      </c>
      <c r="R24" s="285">
        <f t="shared" si="13"/>
        <v>962.68341942616223</v>
      </c>
      <c r="S24" s="287">
        <f>SUM(ELEC!N24)</f>
        <v>2856</v>
      </c>
      <c r="T24" s="321">
        <f t="shared" si="16"/>
        <v>0.33707402640972067</v>
      </c>
      <c r="V24" s="638" t="s">
        <v>203</v>
      </c>
      <c r="W24" s="639"/>
      <c r="X24" s="640" t="s">
        <v>204</v>
      </c>
      <c r="Y24" s="641"/>
      <c r="Z24" s="642"/>
      <c r="AA24" s="170"/>
      <c r="AB24" s="653"/>
      <c r="AC24" s="654"/>
    </row>
    <row r="25" spans="1:32" ht="20.100000000000001" customHeight="1">
      <c r="A25" s="163">
        <f>ELEC!C25</f>
        <v>44826</v>
      </c>
      <c r="B25" s="608">
        <v>1124527</v>
      </c>
      <c r="C25" s="254">
        <f t="shared" si="0"/>
        <v>117</v>
      </c>
      <c r="D25" s="295">
        <f t="shared" si="14"/>
        <v>116</v>
      </c>
      <c r="E25" s="295">
        <f t="shared" si="15"/>
        <v>1124526</v>
      </c>
      <c r="F25" s="608">
        <v>161459</v>
      </c>
      <c r="G25" s="160">
        <f t="shared" si="1"/>
        <v>49</v>
      </c>
      <c r="H25" s="608">
        <v>561164</v>
      </c>
      <c r="I25" s="161">
        <f t="shared" si="2"/>
        <v>67</v>
      </c>
      <c r="J25" s="606">
        <f t="shared" si="9"/>
        <v>401903</v>
      </c>
      <c r="K25" s="162">
        <f t="shared" si="10"/>
        <v>0</v>
      </c>
      <c r="L25" s="284">
        <f t="shared" si="17"/>
        <v>10.401326699834163</v>
      </c>
      <c r="M25" s="284">
        <f t="shared" si="18"/>
        <v>4.9777777777777779</v>
      </c>
      <c r="N25" s="284">
        <f t="shared" si="19"/>
        <v>0</v>
      </c>
      <c r="O25" s="284">
        <f t="shared" si="11"/>
        <v>159.96313985627418</v>
      </c>
      <c r="P25" s="285">
        <f t="shared" si="12"/>
        <v>175.34224433388613</v>
      </c>
      <c r="Q25" s="285">
        <f>SUM(-tanks!AX27*tanks!$AU$37)</f>
        <v>-530.36249462365868</v>
      </c>
      <c r="R25" s="285">
        <f t="shared" si="13"/>
        <v>-355.02025028977255</v>
      </c>
      <c r="S25" s="287">
        <f>SUM(ELEC!N25)</f>
        <v>2510</v>
      </c>
      <c r="T25" s="321">
        <f t="shared" si="16"/>
        <v>-0.14144233079273807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44827</v>
      </c>
      <c r="B26" s="608">
        <f t="shared" si="6"/>
        <v>1124527</v>
      </c>
      <c r="C26" s="254">
        <f t="shared" si="0"/>
        <v>0</v>
      </c>
      <c r="D26" s="295">
        <f t="shared" si="14"/>
        <v>0</v>
      </c>
      <c r="E26" s="295">
        <f t="shared" si="15"/>
        <v>1124527</v>
      </c>
      <c r="F26" s="608">
        <f t="shared" si="7"/>
        <v>161459</v>
      </c>
      <c r="G26" s="160">
        <f t="shared" si="1"/>
        <v>0</v>
      </c>
      <c r="H26" s="608">
        <f t="shared" si="8"/>
        <v>561164</v>
      </c>
      <c r="I26" s="161">
        <f t="shared" si="2"/>
        <v>0</v>
      </c>
      <c r="J26" s="606">
        <f t="shared" si="9"/>
        <v>401903</v>
      </c>
      <c r="K26" s="162">
        <f t="shared" si="10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11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401903</v>
      </c>
      <c r="W26" s="170">
        <f>J34</f>
        <v>401903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 t="e">
        <f>SUM(K36)</f>
        <v>#DIV/0!</v>
      </c>
    </row>
    <row r="27" spans="1:32" ht="20.100000000000001" customHeight="1">
      <c r="A27" s="163">
        <f>ELEC!C27</f>
        <v>44828</v>
      </c>
      <c r="B27" s="608">
        <f t="shared" si="6"/>
        <v>1124527</v>
      </c>
      <c r="C27" s="254">
        <f t="shared" si="0"/>
        <v>0</v>
      </c>
      <c r="D27" s="295">
        <f t="shared" si="14"/>
        <v>0</v>
      </c>
      <c r="E27" s="295">
        <f t="shared" si="15"/>
        <v>1124527</v>
      </c>
      <c r="F27" s="608">
        <f t="shared" si="7"/>
        <v>161459</v>
      </c>
      <c r="G27" s="160">
        <f t="shared" si="1"/>
        <v>0</v>
      </c>
      <c r="H27" s="608">
        <f t="shared" si="8"/>
        <v>561164</v>
      </c>
      <c r="I27" s="161">
        <f t="shared" si="2"/>
        <v>0</v>
      </c>
      <c r="J27" s="606">
        <f t="shared" si="9"/>
        <v>401903</v>
      </c>
      <c r="K27" s="162">
        <f t="shared" si="10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11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561097</v>
      </c>
      <c r="W27" s="170">
        <f>H34</f>
        <v>561164</v>
      </c>
      <c r="X27" s="172" t="s">
        <v>212</v>
      </c>
      <c r="Y27" s="172">
        <v>112</v>
      </c>
      <c r="Z27" s="172">
        <v>1</v>
      </c>
      <c r="AA27" s="323">
        <f>(W27-V27)*Z27</f>
        <v>67</v>
      </c>
      <c r="AB27" s="323">
        <f>SUM(AA27*Y27)</f>
        <v>7504</v>
      </c>
      <c r="AC27" s="244">
        <f>AC10</f>
        <v>6200000</v>
      </c>
      <c r="AD27" s="476" t="e">
        <f>SUM(I36)</f>
        <v>#DIV/0!</v>
      </c>
    </row>
    <row r="28" spans="1:32" ht="20.100000000000001" customHeight="1">
      <c r="A28" s="163">
        <f>ELEC!C28</f>
        <v>44829</v>
      </c>
      <c r="B28" s="608">
        <f t="shared" si="6"/>
        <v>1124527</v>
      </c>
      <c r="C28" s="254">
        <f t="shared" si="0"/>
        <v>0</v>
      </c>
      <c r="D28" s="295">
        <f t="shared" si="14"/>
        <v>0</v>
      </c>
      <c r="E28" s="295">
        <f t="shared" si="15"/>
        <v>1124527</v>
      </c>
      <c r="F28" s="608">
        <f t="shared" si="7"/>
        <v>161459</v>
      </c>
      <c r="G28" s="160">
        <f t="shared" si="1"/>
        <v>0</v>
      </c>
      <c r="H28" s="608">
        <f t="shared" si="8"/>
        <v>561164</v>
      </c>
      <c r="I28" s="161">
        <f t="shared" si="2"/>
        <v>0</v>
      </c>
      <c r="J28" s="606">
        <f t="shared" si="9"/>
        <v>401903</v>
      </c>
      <c r="K28" s="162">
        <f t="shared" si="10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11"/>
        <v>159.96313985627418</v>
      </c>
      <c r="P28" s="285">
        <f t="shared" si="12"/>
        <v>159.96313985627418</v>
      </c>
      <c r="Q28" s="285">
        <f>SUM(-tanks!AX30*tanks!$AU$37)</f>
        <v>1089.2207526881707</v>
      </c>
      <c r="R28" s="285">
        <f t="shared" si="13"/>
        <v>1249.1838925444449</v>
      </c>
      <c r="S28" s="287">
        <f>SUM(ELEC!N28)</f>
        <v>3135</v>
      </c>
      <c r="T28" s="321">
        <f t="shared" si="16"/>
        <v>0.39846376157717539</v>
      </c>
      <c r="V28" s="246">
        <f>W11</f>
        <v>161410</v>
      </c>
      <c r="W28" s="170">
        <f>F34</f>
        <v>161459</v>
      </c>
      <c r="X28" s="172" t="s">
        <v>197</v>
      </c>
      <c r="Y28" s="172">
        <v>320</v>
      </c>
      <c r="Z28" s="172">
        <v>1</v>
      </c>
      <c r="AA28" s="323">
        <f>(W28-V28)*Z28</f>
        <v>49</v>
      </c>
      <c r="AB28" s="323">
        <f>SUM(AA28*Y28)</f>
        <v>15680</v>
      </c>
      <c r="AC28" s="244">
        <f>AC11</f>
        <v>1000</v>
      </c>
      <c r="AD28" s="476" t="e">
        <f>SUM(G36)</f>
        <v>#DIV/0!</v>
      </c>
      <c r="AE28" s="40">
        <f>SUM(AB28*5%)</f>
        <v>784</v>
      </c>
      <c r="AF28" s="82">
        <f>SUM(AE28/7)*31</f>
        <v>3472</v>
      </c>
    </row>
    <row r="29" spans="1:32" ht="20.100000000000001" customHeight="1">
      <c r="A29" s="163">
        <f>ELEC!C29</f>
        <v>44830</v>
      </c>
      <c r="B29" s="608">
        <f t="shared" si="6"/>
        <v>1124527</v>
      </c>
      <c r="C29" s="254">
        <f t="shared" si="0"/>
        <v>0</v>
      </c>
      <c r="D29" s="295">
        <f t="shared" si="14"/>
        <v>0</v>
      </c>
      <c r="E29" s="295">
        <f t="shared" si="15"/>
        <v>1124527</v>
      </c>
      <c r="F29" s="608">
        <f t="shared" si="7"/>
        <v>161459</v>
      </c>
      <c r="G29" s="160">
        <f t="shared" si="1"/>
        <v>0</v>
      </c>
      <c r="H29" s="608">
        <f t="shared" si="8"/>
        <v>561164</v>
      </c>
      <c r="I29" s="161">
        <f t="shared" si="2"/>
        <v>0</v>
      </c>
      <c r="J29" s="606">
        <f t="shared" si="9"/>
        <v>401903</v>
      </c>
      <c r="K29" s="162">
        <f t="shared" si="10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11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116</v>
      </c>
      <c r="AB29" s="323">
        <f>SUM(AB26:AB28)</f>
        <v>23184</v>
      </c>
      <c r="AC29" s="244">
        <f>SUM(AC26:AC28)</f>
        <v>7234333</v>
      </c>
    </row>
    <row r="30" spans="1:32" ht="20.100000000000001" customHeight="1">
      <c r="A30" s="163">
        <f>ELEC!C30</f>
        <v>44831</v>
      </c>
      <c r="B30" s="608">
        <f t="shared" si="6"/>
        <v>1124527</v>
      </c>
      <c r="C30" s="254">
        <f t="shared" si="0"/>
        <v>0</v>
      </c>
      <c r="D30" s="295">
        <f t="shared" si="14"/>
        <v>0</v>
      </c>
      <c r="E30" s="295">
        <f t="shared" si="15"/>
        <v>1124527</v>
      </c>
      <c r="F30" s="608">
        <f t="shared" si="7"/>
        <v>161459</v>
      </c>
      <c r="G30" s="160">
        <f t="shared" si="1"/>
        <v>0</v>
      </c>
      <c r="H30" s="608">
        <f t="shared" si="8"/>
        <v>561164</v>
      </c>
      <c r="I30" s="161">
        <f t="shared" si="2"/>
        <v>0</v>
      </c>
      <c r="J30" s="606">
        <f t="shared" si="9"/>
        <v>401903</v>
      </c>
      <c r="K30" s="162">
        <f t="shared" si="10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11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7257517</v>
      </c>
      <c r="AC30" s="244"/>
    </row>
    <row r="31" spans="1:32" ht="20.100000000000001" customHeight="1">
      <c r="A31" s="163">
        <f>ELEC!C31</f>
        <v>44832</v>
      </c>
      <c r="B31" s="608">
        <f t="shared" si="6"/>
        <v>1124527</v>
      </c>
      <c r="C31" s="254">
        <f>SUM(B31-B30)</f>
        <v>0</v>
      </c>
      <c r="D31" s="295">
        <f t="shared" si="14"/>
        <v>0</v>
      </c>
      <c r="E31" s="295">
        <f t="shared" si="15"/>
        <v>1124527</v>
      </c>
      <c r="F31" s="608">
        <f t="shared" si="7"/>
        <v>161459</v>
      </c>
      <c r="G31" s="160">
        <f>F31-F30</f>
        <v>0</v>
      </c>
      <c r="H31" s="608">
        <f t="shared" si="8"/>
        <v>561164</v>
      </c>
      <c r="I31" s="161">
        <f>H31-H30</f>
        <v>0</v>
      </c>
      <c r="J31" s="606">
        <f t="shared" si="9"/>
        <v>401903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11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44833</v>
      </c>
      <c r="B32" s="608">
        <f t="shared" si="6"/>
        <v>1124527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1124527</v>
      </c>
      <c r="F32" s="608">
        <f t="shared" si="7"/>
        <v>161459</v>
      </c>
      <c r="G32" s="160">
        <f t="shared" ref="G32:G34" si="22">F32-F31</f>
        <v>0</v>
      </c>
      <c r="H32" s="608">
        <f t="shared" si="8"/>
        <v>561164</v>
      </c>
      <c r="I32" s="161">
        <f t="shared" ref="I32:I34" si="23">H32-H31</f>
        <v>0</v>
      </c>
      <c r="J32" s="606">
        <f t="shared" si="9"/>
        <v>401903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11"/>
        <v>159.96313985627418</v>
      </c>
      <c r="P32" s="285">
        <f t="shared" ref="P32:P34" si="28">SUM(L32:O32)</f>
        <v>159.96313985627418</v>
      </c>
      <c r="Q32" s="285">
        <f>SUM(-tanks!AX34*tanks!$AU$37)</f>
        <v>0</v>
      </c>
      <c r="R32" s="285">
        <f t="shared" ref="R32:R34" si="29">SUM(P32:Q32)</f>
        <v>159.96313985627418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187</v>
      </c>
      <c r="X32" s="222" t="e">
        <f>SUM(W32/A35)</f>
        <v>#DIV/0!</v>
      </c>
      <c r="Y32" s="250" t="e">
        <f>SUM(X32/1)</f>
        <v>#DIV/0!</v>
      </c>
      <c r="Z32" s="3"/>
      <c r="AA32" s="323"/>
      <c r="AB32" s="323"/>
      <c r="AC32" s="244"/>
    </row>
    <row r="33" spans="1:32" ht="20.100000000000001" customHeight="1">
      <c r="A33" s="163">
        <f>ELEC!C33</f>
        <v>44834</v>
      </c>
      <c r="B33" s="608">
        <f t="shared" si="6"/>
        <v>1124527</v>
      </c>
      <c r="C33" s="254">
        <f t="shared" si="20"/>
        <v>0</v>
      </c>
      <c r="D33" s="295">
        <f t="shared" si="21"/>
        <v>0</v>
      </c>
      <c r="E33" s="295">
        <f t="shared" si="15"/>
        <v>1124527</v>
      </c>
      <c r="F33" s="608">
        <f t="shared" si="7"/>
        <v>161459</v>
      </c>
      <c r="G33" s="160">
        <f t="shared" si="22"/>
        <v>0</v>
      </c>
      <c r="H33" s="608">
        <f t="shared" si="8"/>
        <v>561164</v>
      </c>
      <c r="I33" s="161">
        <f t="shared" si="23"/>
        <v>0</v>
      </c>
      <c r="J33" s="606">
        <f t="shared" si="9"/>
        <v>401903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11"/>
        <v>159.96313985627418</v>
      </c>
      <c r="P33" s="285">
        <f t="shared" si="28"/>
        <v>159.96313985627418</v>
      </c>
      <c r="Q33" s="285">
        <f>SUM(-tanks!AX35*tanks!$AU$37)</f>
        <v>0</v>
      </c>
      <c r="R33" s="285">
        <f t="shared" si="29"/>
        <v>159.96313985627418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79">
        <v>0.11</v>
      </c>
      <c r="AB33" s="580">
        <f>AB30*AA33</f>
        <v>798326.87</v>
      </c>
      <c r="AC33" s="244">
        <f>SUM(AC29)</f>
        <v>7234333</v>
      </c>
    </row>
    <row r="34" spans="1:32" ht="20.100000000000001" customHeight="1">
      <c r="A34" s="163">
        <f>ELEC!C34</f>
        <v>44835</v>
      </c>
      <c r="B34" s="608">
        <f t="shared" si="6"/>
        <v>1124527</v>
      </c>
      <c r="C34" s="254">
        <f t="shared" si="20"/>
        <v>0</v>
      </c>
      <c r="D34" s="295">
        <f t="shared" si="21"/>
        <v>0</v>
      </c>
      <c r="E34" s="295">
        <f t="shared" si="15"/>
        <v>1124527</v>
      </c>
      <c r="F34" s="608">
        <f t="shared" si="7"/>
        <v>161459</v>
      </c>
      <c r="G34" s="160">
        <f t="shared" si="22"/>
        <v>0</v>
      </c>
      <c r="H34" s="608">
        <f t="shared" si="8"/>
        <v>561164</v>
      </c>
      <c r="I34" s="161">
        <f t="shared" si="23"/>
        <v>0</v>
      </c>
      <c r="J34" s="606">
        <f t="shared" si="9"/>
        <v>401903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11"/>
        <v>159.96313985627418</v>
      </c>
      <c r="P34" s="285">
        <f t="shared" si="28"/>
        <v>159.96313985627418</v>
      </c>
      <c r="Q34" s="285">
        <f>SUM(-tanks!AX36*tanks!$AU$37)</f>
        <v>0</v>
      </c>
      <c r="R34" s="285">
        <f t="shared" si="29"/>
        <v>159.96313985627418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8055843.8700000001</v>
      </c>
      <c r="AC34" s="244">
        <f>SUM(AC30)</f>
        <v>0</v>
      </c>
    </row>
    <row r="35" spans="1:32" ht="15.75" thickBot="1">
      <c r="A35" s="499">
        <f>A37-COUNTIF(C4:C34,0)</f>
        <v>0</v>
      </c>
      <c r="C35" s="173" t="e">
        <f>SUM(C4:C34)/A35</f>
        <v>#DIV/0!</v>
      </c>
      <c r="D35" s="173"/>
      <c r="E35" s="173"/>
      <c r="F35" s="562"/>
      <c r="G35" s="562" t="e">
        <f>SUM(G4:G34)/A35</f>
        <v>#DIV/0!</v>
      </c>
      <c r="H35" s="173"/>
      <c r="I35" s="173" t="e">
        <f>SUM(I4:I34)/A35</f>
        <v>#DIV/0!</v>
      </c>
      <c r="K35" s="173" t="e">
        <f>SUM(K4:K34)/A35</f>
        <v>#DIV/0!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.75" thickBot="1">
      <c r="A36" s="210"/>
      <c r="C36" s="212" t="e">
        <f>SUM(G36:K36)</f>
        <v>#DIV/0!</v>
      </c>
      <c r="G36" s="225" t="e">
        <f>IF(C35&gt;0,G35/C35,0)</f>
        <v>#DIV/0!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4814.2733001658371</v>
      </c>
      <c r="AC36" s="531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4814.2733001658371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35"/>
      <c r="AC45" s="635"/>
      <c r="AD45" s="540"/>
      <c r="AE45" s="17"/>
      <c r="AF45" s="17"/>
    </row>
    <row r="46" spans="1:32">
      <c r="V46" s="635"/>
      <c r="W46" s="635"/>
      <c r="X46" s="635"/>
      <c r="Y46" s="635"/>
      <c r="Z46" s="506"/>
      <c r="AA46" s="506"/>
      <c r="AB46" s="635"/>
      <c r="AC46" s="635"/>
      <c r="AD46" s="540"/>
      <c r="AE46" s="17"/>
      <c r="AF46" s="17"/>
    </row>
    <row r="47" spans="1:32">
      <c r="V47" s="635"/>
      <c r="W47" s="635"/>
      <c r="X47" s="635"/>
      <c r="Y47" s="635"/>
      <c r="Z47" s="635"/>
      <c r="AA47" s="635"/>
      <c r="AB47" s="635"/>
      <c r="AC47" s="635"/>
      <c r="AD47" s="540"/>
      <c r="AE47" s="17"/>
      <c r="AF47" s="17"/>
    </row>
    <row r="48" spans="1:32">
      <c r="V48" s="636"/>
      <c r="W48" s="636"/>
      <c r="X48" s="637"/>
      <c r="Y48" s="637"/>
      <c r="Z48" s="637"/>
      <c r="AA48" s="507"/>
      <c r="AB48" s="635"/>
      <c r="AC48" s="635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7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="60" zoomScaleNormal="60" workbookViewId="0">
      <pane ySplit="4" topLeftCell="A5" activePane="bottomLeft" state="frozen"/>
      <selection pane="bottomLeft" activeCell="F30" sqref="F30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7" t="s">
        <v>193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9"/>
    </row>
    <row r="2" spans="1:15" ht="15.75" customHeight="1" thickBot="1">
      <c r="A2" s="660"/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2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44805</v>
      </c>
      <c r="B5" s="37">
        <v>31</v>
      </c>
      <c r="C5" s="37">
        <v>28</v>
      </c>
      <c r="D5" s="26">
        <f t="shared" ref="D5:D11" si="0">(C5+B5)/2</f>
        <v>29.5</v>
      </c>
      <c r="E5" s="325">
        <v>0.79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44806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44807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44808</v>
      </c>
      <c r="B8" s="37">
        <v>29</v>
      </c>
      <c r="C8" s="37">
        <v>26</v>
      </c>
      <c r="D8" s="26">
        <f>(C8+B8)/2</f>
        <v>27.5</v>
      </c>
      <c r="E8" s="378">
        <v>0.69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44809</v>
      </c>
      <c r="B9" s="37">
        <v>29</v>
      </c>
      <c r="C9" s="37">
        <v>26</v>
      </c>
      <c r="D9" s="26">
        <f t="shared" si="0"/>
        <v>27.5</v>
      </c>
      <c r="E9" s="378">
        <v>0.69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44810</v>
      </c>
      <c r="B10" s="37">
        <v>31</v>
      </c>
      <c r="C10" s="37">
        <v>25</v>
      </c>
      <c r="D10" s="26">
        <f t="shared" si="0"/>
        <v>28</v>
      </c>
      <c r="E10" s="378">
        <v>0.65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44811</v>
      </c>
      <c r="B11" s="37">
        <v>30</v>
      </c>
      <c r="C11" s="37">
        <v>26</v>
      </c>
      <c r="D11" s="26">
        <f t="shared" si="0"/>
        <v>28</v>
      </c>
      <c r="E11" s="378">
        <v>0.67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44812</v>
      </c>
      <c r="B12" s="37">
        <v>31</v>
      </c>
      <c r="C12" s="37">
        <v>27</v>
      </c>
      <c r="D12" s="26">
        <f>(C12+B12)/2</f>
        <v>29</v>
      </c>
      <c r="E12" s="339">
        <v>0.62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44813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44814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44815</v>
      </c>
      <c r="B15" s="37">
        <v>30</v>
      </c>
      <c r="C15" s="37">
        <v>24</v>
      </c>
      <c r="D15" s="26">
        <f>(C15+B15)/2</f>
        <v>27</v>
      </c>
      <c r="E15" s="378">
        <v>0.66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44816</v>
      </c>
      <c r="B16" s="37">
        <v>29</v>
      </c>
      <c r="C16" s="37">
        <v>25</v>
      </c>
      <c r="D16" s="26">
        <f t="shared" si="3"/>
        <v>27</v>
      </c>
      <c r="E16" s="607">
        <v>0.67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44817</v>
      </c>
      <c r="B17" s="37">
        <v>29</v>
      </c>
      <c r="C17" s="37">
        <v>23</v>
      </c>
      <c r="D17" s="26">
        <f t="shared" si="3"/>
        <v>26</v>
      </c>
      <c r="E17" s="410">
        <v>0.56999999999999995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44818</v>
      </c>
      <c r="B18" s="37">
        <v>30</v>
      </c>
      <c r="C18" s="37">
        <v>26</v>
      </c>
      <c r="D18" s="26">
        <f t="shared" si="3"/>
        <v>28</v>
      </c>
      <c r="E18" s="325">
        <v>0.57999999999999996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44819</v>
      </c>
      <c r="B19" s="37">
        <v>29</v>
      </c>
      <c r="C19" s="37">
        <v>25</v>
      </c>
      <c r="D19" s="26">
        <f t="shared" si="3"/>
        <v>27</v>
      </c>
      <c r="E19" s="325">
        <v>0.56999999999999995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44820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44821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44822</v>
      </c>
      <c r="B22" s="37">
        <v>29</v>
      </c>
      <c r="C22" s="37">
        <v>25</v>
      </c>
      <c r="D22" s="26">
        <f>(C22+B22)/2</f>
        <v>27</v>
      </c>
      <c r="E22" s="378">
        <v>0.7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44823</v>
      </c>
      <c r="B23" s="37">
        <v>28</v>
      </c>
      <c r="C23" s="37">
        <v>24</v>
      </c>
      <c r="D23" s="26">
        <f t="shared" ref="D23:D26" si="5">(C23+B23)/2</f>
        <v>26</v>
      </c>
      <c r="E23" s="378">
        <v>0.6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44824</v>
      </c>
      <c r="B24" s="37">
        <v>28</v>
      </c>
      <c r="C24" s="37">
        <v>23</v>
      </c>
      <c r="D24" s="26">
        <f t="shared" si="5"/>
        <v>25.5</v>
      </c>
      <c r="E24" s="378">
        <v>0.53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44825</v>
      </c>
      <c r="B25" s="37">
        <v>29</v>
      </c>
      <c r="C25" s="37">
        <v>23</v>
      </c>
      <c r="D25" s="26">
        <f t="shared" si="5"/>
        <v>26</v>
      </c>
      <c r="E25" s="378">
        <v>0.51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44826</v>
      </c>
      <c r="B26" s="37">
        <v>29</v>
      </c>
      <c r="C26" s="37">
        <v>23</v>
      </c>
      <c r="D26" s="26">
        <f t="shared" si="5"/>
        <v>26</v>
      </c>
      <c r="E26" s="378">
        <v>0.52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44827</v>
      </c>
      <c r="B27" s="37"/>
      <c r="C27" s="37"/>
      <c r="D27" s="26"/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44828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44829</v>
      </c>
      <c r="B29" s="37">
        <v>31</v>
      </c>
      <c r="C29" s="37">
        <v>24</v>
      </c>
      <c r="D29" s="26">
        <f t="shared" si="3"/>
        <v>27.5</v>
      </c>
      <c r="E29" s="325">
        <v>0.49</v>
      </c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44830</v>
      </c>
      <c r="B30" s="37">
        <v>29</v>
      </c>
      <c r="C30" s="37">
        <v>23</v>
      </c>
      <c r="D30" s="26">
        <f t="shared" si="3"/>
        <v>26</v>
      </c>
      <c r="E30" s="327">
        <v>0.46</v>
      </c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44831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44832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44833</v>
      </c>
      <c r="B33" s="37"/>
      <c r="C33" s="37"/>
      <c r="D33" s="26">
        <f t="shared" ref="D33:D35" si="7">(C33+B33)/2</f>
        <v>0</v>
      </c>
      <c r="E33" s="378"/>
      <c r="F33" s="327">
        <v>0</v>
      </c>
      <c r="G33" s="238">
        <f t="shared" ref="G33:G35" si="8">F33*230</f>
        <v>0</v>
      </c>
      <c r="H33" s="3">
        <v>0</v>
      </c>
      <c r="I33" s="3">
        <v>0</v>
      </c>
      <c r="J33" s="37">
        <v>0</v>
      </c>
      <c r="K33" s="253">
        <f t="shared" ref="K33:K35" si="9">+J33+H33+I33</f>
        <v>0</v>
      </c>
      <c r="L33" s="3"/>
      <c r="M33" s="3"/>
      <c r="N33" s="155"/>
      <c r="O33" s="3"/>
    </row>
    <row r="34" spans="1:15">
      <c r="A34" s="459">
        <f>ELEC!C33</f>
        <v>44834</v>
      </c>
      <c r="B34" s="37"/>
      <c r="C34" s="37"/>
      <c r="D34" s="26">
        <f t="shared" si="7"/>
        <v>0</v>
      </c>
      <c r="E34" s="378"/>
      <c r="F34" s="327">
        <v>0</v>
      </c>
      <c r="G34" s="238">
        <f t="shared" si="8"/>
        <v>0</v>
      </c>
      <c r="H34" s="3">
        <v>0</v>
      </c>
      <c r="I34" s="3">
        <v>0</v>
      </c>
      <c r="J34" s="37">
        <v>0</v>
      </c>
      <c r="K34" s="253">
        <f t="shared" si="9"/>
        <v>0</v>
      </c>
      <c r="L34" s="3"/>
      <c r="M34" s="3"/>
      <c r="N34" s="155"/>
      <c r="O34" s="3"/>
    </row>
    <row r="35" spans="1:15">
      <c r="A35" s="459">
        <f>ELEC!C34</f>
        <v>44835</v>
      </c>
      <c r="B35" s="37"/>
      <c r="C35" s="37"/>
      <c r="D35" s="26">
        <f t="shared" si="7"/>
        <v>0</v>
      </c>
      <c r="E35" s="378"/>
      <c r="F35" s="327">
        <v>0</v>
      </c>
      <c r="G35" s="238">
        <f t="shared" si="8"/>
        <v>0</v>
      </c>
      <c r="H35" s="3">
        <v>0</v>
      </c>
      <c r="I35" s="3">
        <v>0</v>
      </c>
      <c r="J35" s="37">
        <v>0</v>
      </c>
      <c r="K35" s="253">
        <f t="shared" si="9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 t="e">
        <f>SUM(D5:D35)/'EDl log'!A35</f>
        <v>#DIV/0!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3873</v>
      </c>
      <c r="D2" s="3">
        <f>C2-E2</f>
        <v>-101.00000000197906</v>
      </c>
      <c r="E2" s="3">
        <f>ELEC!Q4</f>
        <v>3974.0000000019791</v>
      </c>
      <c r="F2" s="3">
        <f>GEN!Z2</f>
        <v>15</v>
      </c>
      <c r="G2" s="3">
        <f>WATER!C5+WATER!H5</f>
        <v>122</v>
      </c>
      <c r="H2" s="3">
        <f>WATER!L5</f>
        <v>0</v>
      </c>
      <c r="I2" s="15">
        <f>WATER!BC5+WATER!BD5+WATER!BE6-Sheet1!G2</f>
        <v>16.700000000000017</v>
      </c>
      <c r="J2" s="9">
        <f>'B5'!A4</f>
        <v>44804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-8</v>
      </c>
      <c r="J3" s="9">
        <f>'B5'!A5</f>
        <v>44805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44806</v>
      </c>
    </row>
    <row r="5" spans="1:10">
      <c r="A5" s="3">
        <f>ELEC!T7+ELEC!X7+ELEC!AB7</f>
        <v>0</v>
      </c>
      <c r="B5" s="3">
        <f>ELEC!AF7</f>
        <v>0</v>
      </c>
      <c r="C5" s="3">
        <f>ELEC!N7</f>
        <v>3120</v>
      </c>
      <c r="D5" s="3">
        <f t="shared" si="0"/>
        <v>-82.000000001135049</v>
      </c>
      <c r="E5" s="3">
        <f>ELEC!Q7</f>
        <v>3202.000000001135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69.999999999999972</v>
      </c>
      <c r="J5" s="9">
        <f>'B5'!A7</f>
        <v>44807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3326</v>
      </c>
      <c r="D6" s="3">
        <f t="shared" si="0"/>
        <v>545.99999999752617</v>
      </c>
      <c r="E6" s="3">
        <f>ELEC!Q25</f>
        <v>2780.0000000024738</v>
      </c>
      <c r="F6" s="3">
        <f>GEN!Z6</f>
        <v>11</v>
      </c>
      <c r="G6" s="3">
        <f>WATER!C9+WATER!H9</f>
        <v>134</v>
      </c>
      <c r="H6" s="3">
        <f>WATER!L9</f>
        <v>0</v>
      </c>
      <c r="I6" s="15">
        <f>WATER!BC9+WATER!BD9+WATER!BE10-Sheet1!G6</f>
        <v>-152.20000000000002</v>
      </c>
      <c r="J6" s="9">
        <f>'B5'!A8</f>
        <v>44808</v>
      </c>
    </row>
    <row r="7" spans="1:10">
      <c r="A7" s="3">
        <f>ELEC!T9+ELEC!X9+ELEC!AB9</f>
        <v>3</v>
      </c>
      <c r="B7" s="3">
        <f>ELEC!AF9</f>
        <v>654</v>
      </c>
      <c r="C7" s="3">
        <f>ELEC!N9</f>
        <v>5010</v>
      </c>
      <c r="D7" s="3">
        <f t="shared" si="0"/>
        <v>-126.99999999880674</v>
      </c>
      <c r="E7" s="3">
        <f>ELEC!Q9</f>
        <v>5136.9999999988067</v>
      </c>
      <c r="F7" s="3">
        <f>GEN!Z7</f>
        <v>11</v>
      </c>
      <c r="G7" s="3">
        <f>WATER!C10+WATER!H10</f>
        <v>0</v>
      </c>
      <c r="H7" s="3">
        <f>WATER!L10</f>
        <v>0</v>
      </c>
      <c r="I7" s="15">
        <f>WATER!BC10+WATER!BD10+WATER!BE11-Sheet1!G7</f>
        <v>14.700000000000003</v>
      </c>
      <c r="J7" s="9">
        <f>'B5'!A9</f>
        <v>44809</v>
      </c>
    </row>
    <row r="8" spans="1:10">
      <c r="A8" s="3">
        <f>ELEC!T10+ELEC!X10+ELEC!AB10</f>
        <v>3</v>
      </c>
      <c r="B8" s="3">
        <f>ELEC!AF10</f>
        <v>839</v>
      </c>
      <c r="C8" s="3">
        <f>ELEC!N10</f>
        <v>4771</v>
      </c>
      <c r="D8" s="3">
        <f t="shared" si="0"/>
        <v>-92.000000001193257</v>
      </c>
      <c r="E8" s="3">
        <f>ELEC!Q10</f>
        <v>4863.0000000011933</v>
      </c>
      <c r="F8" s="3">
        <f>GEN!Z8</f>
        <v>11</v>
      </c>
      <c r="G8" s="3">
        <f>WATER!C11+WATER!H11</f>
        <v>0</v>
      </c>
      <c r="H8" s="3">
        <f>WATER!L11</f>
        <v>0</v>
      </c>
      <c r="I8" s="15">
        <f>WATER!BC11+WATER!BD11+WATER!BE12-Sheet1!G8</f>
        <v>37.399999999999963</v>
      </c>
      <c r="J8" s="9">
        <f>'B5'!A10</f>
        <v>44810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3693</v>
      </c>
      <c r="D9" s="3">
        <f t="shared" si="0"/>
        <v>-96.000000000669388</v>
      </c>
      <c r="E9" s="3">
        <f>ELEC!Q11</f>
        <v>3789.0000000006694</v>
      </c>
      <c r="F9" s="3">
        <f>GEN!Z9</f>
        <v>11</v>
      </c>
      <c r="G9" s="3">
        <f>WATER!C12+WATER!H12</f>
        <v>112</v>
      </c>
      <c r="H9" s="3">
        <f>WATER!L12</f>
        <v>0</v>
      </c>
      <c r="I9" s="15">
        <f>WATER!BC12+WATER!BD12+WATER!BE13-Sheet1!G9</f>
        <v>-116.4</v>
      </c>
      <c r="J9" s="9">
        <f>'B5'!A11</f>
        <v>44811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13.400000000000006</v>
      </c>
      <c r="J10" s="9">
        <f>'B5'!A12</f>
        <v>44812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1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44813</v>
      </c>
    </row>
    <row r="12" spans="1:10">
      <c r="A12" s="3">
        <f>ELEC!T14+ELEC!X14+ELEC!AB14</f>
        <v>2</v>
      </c>
      <c r="B12" s="3">
        <f>ELEC!AF14</f>
        <v>384</v>
      </c>
      <c r="C12" s="3">
        <f>ELEC!N14</f>
        <v>4209.3999999999069</v>
      </c>
      <c r="D12" s="3">
        <f t="shared" si="0"/>
        <v>-87.599999998754356</v>
      </c>
      <c r="E12" s="3">
        <f>ELEC!Q14</f>
        <v>4296.9999999986612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27.100000000000023</v>
      </c>
      <c r="J12" s="9">
        <f>'B5'!A14</f>
        <v>44814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3162.6000000000931</v>
      </c>
      <c r="D13" s="3">
        <f t="shared" si="0"/>
        <v>-93.400000001129229</v>
      </c>
      <c r="E13" s="3">
        <f>ELEC!Q15</f>
        <v>3256.0000000012224</v>
      </c>
      <c r="F13" s="3">
        <f>GEN!Z13</f>
        <v>11</v>
      </c>
      <c r="G13" s="3">
        <f>WATER!C16+WATER!H16</f>
        <v>97</v>
      </c>
      <c r="H13" s="3">
        <f>WATER!L16</f>
        <v>0</v>
      </c>
      <c r="I13" s="15">
        <f>WATER!BC16+WATER!BD16+WATER!BE17-Sheet1!G13</f>
        <v>-165.09999999999997</v>
      </c>
      <c r="J13" s="9">
        <f>'B5'!A15</f>
        <v>44815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2901</v>
      </c>
      <c r="D14" s="3">
        <f t="shared" si="0"/>
        <v>-93.999999998981366</v>
      </c>
      <c r="E14" s="3">
        <f>ELEC!Q16</f>
        <v>2994.9999999989814</v>
      </c>
      <c r="F14" s="3">
        <f>GEN!Z14</f>
        <v>11</v>
      </c>
      <c r="G14" s="3">
        <f>WATER!C17+WATER!H17</f>
        <v>0</v>
      </c>
      <c r="H14" s="3">
        <f>WATER!L17</f>
        <v>0</v>
      </c>
      <c r="I14" s="15">
        <f>WATER!BC17+WATER!BD17+WATER!BE18-Sheet1!G14</f>
        <v>39.199999999999989</v>
      </c>
      <c r="J14" s="9">
        <f>'B5'!A16</f>
        <v>44816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2980.3999999999069</v>
      </c>
      <c r="D15" s="3">
        <f t="shared" si="0"/>
        <v>-178.59999999974389</v>
      </c>
      <c r="E15" s="3">
        <f>ELEC!Q17</f>
        <v>3158.9999999996508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-15.299999999999983</v>
      </c>
      <c r="J15" s="9">
        <f>'B5'!A17</f>
        <v>44817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2919.6000000000931</v>
      </c>
      <c r="D16" s="3">
        <f t="shared" si="0"/>
        <v>2919.6000000000931</v>
      </c>
      <c r="E16" s="3">
        <f>ELEC!Q18</f>
        <v>0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-10.19999999999996</v>
      </c>
      <c r="J16" s="9">
        <f>'B5'!A18</f>
        <v>44818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44819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44820</v>
      </c>
    </row>
    <row r="19" spans="1:10">
      <c r="A19" s="3">
        <f>ELEC!T21+ELEC!X21+ELEC!AB21</f>
        <v>0</v>
      </c>
      <c r="B19" s="3">
        <f>ELEC!AF21</f>
        <v>-1333</v>
      </c>
      <c r="C19" s="3">
        <f>ELEC!N21</f>
        <v>3174</v>
      </c>
      <c r="D19" s="3">
        <f t="shared" si="0"/>
        <v>-2988.0000000002619</v>
      </c>
      <c r="E19" s="3">
        <f>ELEC!Q21</f>
        <v>6162.0000000002619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-14.700000000000045</v>
      </c>
      <c r="J19" s="9">
        <f>'B5'!A21</f>
        <v>44821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2762</v>
      </c>
      <c r="D20" s="3">
        <f t="shared" si="0"/>
        <v>-66.000000001338776</v>
      </c>
      <c r="E20" s="3">
        <f>ELEC!Q22</f>
        <v>2828.0000000013388</v>
      </c>
      <c r="F20" s="3">
        <f>GEN!Z20</f>
        <v>12</v>
      </c>
      <c r="G20" s="3">
        <f>WATER!C23+WATER!H23</f>
        <v>0</v>
      </c>
      <c r="H20" s="3">
        <f>WATER!L23</f>
        <v>0</v>
      </c>
      <c r="I20" s="15">
        <f>WATER!BC23+WATER!BD23+WATER!BE24-Sheet1!G20</f>
        <v>26.69999999999996</v>
      </c>
      <c r="J20" s="9">
        <f>'B5'!A22</f>
        <v>44822</v>
      </c>
    </row>
    <row r="21" spans="1:10">
      <c r="A21" s="3">
        <f>ELEC!T23+ELEC!X23+ELEC!AB23</f>
        <v>3</v>
      </c>
      <c r="B21" s="3">
        <f>ELEC!AF23</f>
        <v>475</v>
      </c>
      <c r="C21" s="3">
        <f>ELEC!N23</f>
        <v>3770</v>
      </c>
      <c r="D21" s="3">
        <f t="shared" si="0"/>
        <v>-79.999999998544808</v>
      </c>
      <c r="E21" s="3">
        <f>ELEC!Q23</f>
        <v>3849.9999999985448</v>
      </c>
      <c r="F21" s="3">
        <f>GEN!Z21</f>
        <v>10</v>
      </c>
      <c r="G21" s="3">
        <f>WATER!C24+WATER!H24</f>
        <v>0</v>
      </c>
      <c r="H21" s="3">
        <f>WATER!L24</f>
        <v>0</v>
      </c>
      <c r="I21" s="15">
        <f>WATER!BC24+WATER!BD24+WATER!BE25-Sheet1!G21</f>
        <v>-9.7999999999999829</v>
      </c>
      <c r="J21" s="9">
        <f>'B5'!A23</f>
        <v>44823</v>
      </c>
    </row>
    <row r="22" spans="1:10">
      <c r="A22" s="3">
        <f>ELEC!T24+ELEC!X24+ELEC!AB24</f>
        <v>3</v>
      </c>
      <c r="B22" s="3">
        <f>ELEC!AF24</f>
        <v>1497</v>
      </c>
      <c r="C22" s="3">
        <f>ELEC!N24</f>
        <v>2856</v>
      </c>
      <c r="D22" s="3">
        <f t="shared" si="0"/>
        <v>-68.999999999272404</v>
      </c>
      <c r="E22" s="3">
        <f>ELEC!Q24</f>
        <v>2924.9999999992724</v>
      </c>
      <c r="F22" s="3">
        <f>GEN!Z22</f>
        <v>12</v>
      </c>
      <c r="G22" s="3">
        <f>WATER!C25+WATER!H25</f>
        <v>0</v>
      </c>
      <c r="H22" s="3">
        <f>WATER!L25</f>
        <v>0</v>
      </c>
      <c r="I22" s="15">
        <f>WATER!BC25+WATER!BD25+WATER!BE26-Sheet1!G22</f>
        <v>20.400000000000006</v>
      </c>
      <c r="J22" s="9">
        <f>'B5'!A24</f>
        <v>44824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2510</v>
      </c>
      <c r="D23" s="3">
        <f t="shared" si="0"/>
        <v>-270.00000000247383</v>
      </c>
      <c r="E23" s="3">
        <f>ELEC!Q25</f>
        <v>2780.0000000024738</v>
      </c>
      <c r="F23" s="3">
        <f>GEN!Z23</f>
        <v>10</v>
      </c>
      <c r="G23" s="3">
        <f>WATER!C26+WATER!H26</f>
        <v>0</v>
      </c>
      <c r="H23" s="3">
        <f>WATER!L26</f>
        <v>0</v>
      </c>
      <c r="I23" s="15">
        <f>WATER!BC26+WATER!BD26+WATER!BE27-Sheet1!G23</f>
        <v>-20.399999999999977</v>
      </c>
      <c r="J23" s="9">
        <f>'B5'!A25</f>
        <v>44825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-2.8999999999999773</v>
      </c>
      <c r="J24" s="9">
        <f>'B5'!A26</f>
        <v>44826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44827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3135</v>
      </c>
      <c r="D26" s="3">
        <f t="shared" si="0"/>
        <v>350.00000000014552</v>
      </c>
      <c r="E26" s="3">
        <f>ELEC!Q28</f>
        <v>2784.9999999998545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44828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21</v>
      </c>
      <c r="G27" s="3">
        <f>WATER!C30+WATER!H30</f>
        <v>0</v>
      </c>
      <c r="H27" s="3">
        <f>WATER!L30</f>
        <v>0</v>
      </c>
      <c r="I27" s="15">
        <f>WATER!BC30+WATER!BD30+WATER!BE31-Sheet1!G27</f>
        <v>-29.100000000000051</v>
      </c>
      <c r="J27" s="9">
        <f>'B5'!A29</f>
        <v>44829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-13.80000000000004</v>
      </c>
      <c r="J28" s="9">
        <f>'B5'!A30</f>
        <v>44830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44831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44832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6"/>
      <c r="B1" s="663" t="s">
        <v>119</v>
      </c>
      <c r="C1" s="663" t="s">
        <v>118</v>
      </c>
      <c r="D1" s="668" t="s">
        <v>113</v>
      </c>
      <c r="E1" s="668" t="s">
        <v>114</v>
      </c>
      <c r="F1" s="669" t="s">
        <v>120</v>
      </c>
      <c r="G1" s="670" t="s">
        <v>75</v>
      </c>
      <c r="H1" s="671" t="s">
        <v>115</v>
      </c>
      <c r="I1" s="672" t="s">
        <v>116</v>
      </c>
      <c r="J1" s="671" t="s">
        <v>117</v>
      </c>
      <c r="K1" s="665" t="s">
        <v>121</v>
      </c>
      <c r="L1" s="665" t="s">
        <v>122</v>
      </c>
      <c r="M1" s="665" t="s">
        <v>123</v>
      </c>
      <c r="N1" s="665" t="s">
        <v>124</v>
      </c>
    </row>
    <row r="2" spans="1:14">
      <c r="A2" s="667"/>
      <c r="B2" s="664"/>
      <c r="C2" s="664"/>
      <c r="D2" s="668"/>
      <c r="E2" s="668"/>
      <c r="F2" s="669"/>
      <c r="G2" s="670"/>
      <c r="H2" s="671"/>
      <c r="I2" s="673"/>
      <c r="J2" s="671"/>
      <c r="K2" s="665"/>
      <c r="L2" s="665"/>
      <c r="M2" s="665"/>
      <c r="N2" s="66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44805</v>
      </c>
      <c r="B5" s="76">
        <f>'B5'!V5</f>
        <v>25</v>
      </c>
      <c r="C5" s="76">
        <f>'B5'!AH5</f>
        <v>0</v>
      </c>
      <c r="D5" s="76">
        <f>GEN!AI3</f>
        <v>1022.8438818570495</v>
      </c>
      <c r="E5" s="239">
        <f t="shared" ref="E5:E33" si="0">B5+C5+D5</f>
        <v>1047.8438818570494</v>
      </c>
      <c r="F5" s="75">
        <f>WATER!L5</f>
        <v>0</v>
      </c>
      <c r="G5" s="78">
        <f>WATER!BG5</f>
        <v>119.80000000000001</v>
      </c>
      <c r="H5" s="79">
        <f>ELEC!AF4</f>
        <v>0</v>
      </c>
      <c r="I5" s="79">
        <f>ELEC!Q4</f>
        <v>3974.0000000019791</v>
      </c>
      <c r="J5" s="79">
        <f>ELEC!R4</f>
        <v>-101.00000000197906</v>
      </c>
      <c r="K5" s="80"/>
      <c r="L5" s="3"/>
      <c r="M5" s="3"/>
      <c r="N5" s="3"/>
    </row>
    <row r="6" spans="1:14">
      <c r="A6" s="63">
        <f>'B5'!A6</f>
        <v>44806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-8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44807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44808</v>
      </c>
      <c r="B8" s="76">
        <f>'B5'!V8</f>
        <v>148</v>
      </c>
      <c r="C8" s="76">
        <f>'B5'!AH8</f>
        <v>0</v>
      </c>
      <c r="D8" s="76">
        <f>GEN!AI6</f>
        <v>824.14345991590403</v>
      </c>
      <c r="E8" s="239">
        <f t="shared" si="0"/>
        <v>972.14345991590403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3202.000000001135</v>
      </c>
      <c r="J8" s="79">
        <f>ELEC!R7</f>
        <v>-82.000000001135049</v>
      </c>
      <c r="K8" s="3"/>
      <c r="L8" s="3"/>
      <c r="M8" s="3"/>
      <c r="N8" s="3"/>
    </row>
    <row r="9" spans="1:14">
      <c r="A9" s="63">
        <f>'B5'!A9</f>
        <v>44809</v>
      </c>
      <c r="B9" s="76">
        <f>'B5'!V9</f>
        <v>113</v>
      </c>
      <c r="C9" s="76">
        <f>'B5'!AH9</f>
        <v>0</v>
      </c>
      <c r="D9" s="76">
        <f>GEN!AI7</f>
        <v>880.51054852280981</v>
      </c>
      <c r="E9" s="239">
        <f t="shared" si="0"/>
        <v>993.51054852280981</v>
      </c>
      <c r="F9" s="75">
        <f>WATER!L9</f>
        <v>0</v>
      </c>
      <c r="G9" s="78">
        <f>WATER!BG9</f>
        <v>69.999999999999972</v>
      </c>
      <c r="H9" s="79">
        <f>ELEC!AF8</f>
        <v>0</v>
      </c>
      <c r="I9" s="79">
        <f>ELEC!Q8</f>
        <v>3420.9999999984575</v>
      </c>
      <c r="J9" s="79">
        <f>ELEC!R8</f>
        <v>-94.999999998457497</v>
      </c>
      <c r="K9" s="3"/>
      <c r="L9" s="3"/>
      <c r="M9" s="3"/>
      <c r="N9" s="3"/>
    </row>
    <row r="10" spans="1:14">
      <c r="A10" s="63">
        <f>'B5'!A10</f>
        <v>44810</v>
      </c>
      <c r="B10" s="76">
        <f>'B5'!V10</f>
        <v>74</v>
      </c>
      <c r="C10" s="76">
        <f>'B5'!AH10</f>
        <v>0</v>
      </c>
      <c r="D10" s="76">
        <f>GEN!AI8</f>
        <v>1322.1814345988491</v>
      </c>
      <c r="E10" s="239">
        <f t="shared" si="0"/>
        <v>1396.1814345988491</v>
      </c>
      <c r="F10" s="75">
        <f>WATER!L10</f>
        <v>0</v>
      </c>
      <c r="G10" s="78">
        <f>WATER!BG10</f>
        <v>-15.299999999999983</v>
      </c>
      <c r="H10" s="79">
        <f>ELEC!AF9</f>
        <v>654</v>
      </c>
      <c r="I10" s="79">
        <f>ELEC!Q9</f>
        <v>5136.9999999988067</v>
      </c>
      <c r="J10" s="79">
        <f>ELEC!R9</f>
        <v>-126.99999999880674</v>
      </c>
      <c r="K10" s="3"/>
      <c r="L10" s="3"/>
      <c r="M10" s="3"/>
      <c r="N10" s="3"/>
    </row>
    <row r="11" spans="1:14">
      <c r="A11" s="63">
        <f>'B5'!A11</f>
        <v>44811</v>
      </c>
      <c r="B11" s="76">
        <f>'B5'!V11</f>
        <v>79</v>
      </c>
      <c r="C11" s="76">
        <f>'B5'!AH11</f>
        <v>11</v>
      </c>
      <c r="D11" s="76">
        <f>GEN!AI9</f>
        <v>1251.6582278484084</v>
      </c>
      <c r="E11" s="239">
        <f t="shared" si="0"/>
        <v>1341.6582278484084</v>
      </c>
      <c r="F11" s="75">
        <f>WATER!L11</f>
        <v>0</v>
      </c>
      <c r="G11" s="78">
        <f>WATER!BG11</f>
        <v>-15.000000000000014</v>
      </c>
      <c r="H11" s="79">
        <f>ELEC!AF10</f>
        <v>839</v>
      </c>
      <c r="I11" s="79">
        <f>ELEC!Q10</f>
        <v>4863.0000000011933</v>
      </c>
      <c r="J11" s="79">
        <f>ELEC!R10</f>
        <v>-92.000000001193257</v>
      </c>
      <c r="K11" s="3"/>
      <c r="L11" s="3"/>
      <c r="M11" s="3"/>
      <c r="N11" s="3"/>
    </row>
    <row r="12" spans="1:14">
      <c r="A12" s="63">
        <f>'B5'!A12</f>
        <v>44812</v>
      </c>
      <c r="B12" s="76">
        <f>'B5'!V12</f>
        <v>0</v>
      </c>
      <c r="C12" s="76">
        <f>'B5'!AH12</f>
        <v>0</v>
      </c>
      <c r="D12" s="76">
        <f>GEN!AI10</f>
        <v>975.22784810143821</v>
      </c>
      <c r="E12" s="239">
        <f t="shared" si="0"/>
        <v>975.22784810143821</v>
      </c>
      <c r="F12" s="75">
        <f>WATER!L12</f>
        <v>0</v>
      </c>
      <c r="G12" s="78">
        <f>WATER!BG12</f>
        <v>42.499999999999986</v>
      </c>
      <c r="H12" s="79">
        <f>ELEC!AF11</f>
        <v>0</v>
      </c>
      <c r="I12" s="79">
        <f>ELEC!Q11</f>
        <v>3789.0000000006694</v>
      </c>
      <c r="J12" s="79">
        <f>ELEC!R11</f>
        <v>-96.000000000669388</v>
      </c>
      <c r="K12" s="3"/>
      <c r="L12" s="3"/>
      <c r="M12" s="3"/>
      <c r="N12" s="3"/>
    </row>
    <row r="13" spans="1:14">
      <c r="A13" s="63">
        <f>'B5'!A13</f>
        <v>44813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13.400000000000006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44814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44815</v>
      </c>
      <c r="B15" s="76">
        <f>'B5'!V15</f>
        <v>217</v>
      </c>
      <c r="C15" s="76">
        <f>'B5'!AH15</f>
        <v>0</v>
      </c>
      <c r="D15" s="76">
        <f>GEN!AI13</f>
        <v>1105.9789029532419</v>
      </c>
      <c r="E15" s="239">
        <f t="shared" si="0"/>
        <v>1322.9789029532419</v>
      </c>
      <c r="F15" s="75">
        <f>WATER!L15</f>
        <v>0</v>
      </c>
      <c r="G15" s="78">
        <f>WATER!BG15</f>
        <v>0</v>
      </c>
      <c r="H15" s="79">
        <f>ELEC!AF14</f>
        <v>384</v>
      </c>
      <c r="I15" s="79">
        <f>ELEC!Q14</f>
        <v>4296.9999999986612</v>
      </c>
      <c r="J15" s="79">
        <f>ELEC!R14</f>
        <v>-87.599999998754356</v>
      </c>
      <c r="K15" s="3"/>
      <c r="L15" s="3"/>
      <c r="M15" s="3"/>
      <c r="N15" s="3"/>
    </row>
    <row r="16" spans="1:14">
      <c r="A16" s="63">
        <f>'B5'!A16</f>
        <v>44816</v>
      </c>
      <c r="B16" s="76">
        <f>'B5'!V16</f>
        <v>8</v>
      </c>
      <c r="C16" s="76">
        <f>'B5'!AH16</f>
        <v>0</v>
      </c>
      <c r="D16" s="76">
        <f>GEN!AI14</f>
        <v>838.04219409314169</v>
      </c>
      <c r="E16" s="239">
        <f t="shared" si="0"/>
        <v>846.04219409314169</v>
      </c>
      <c r="F16" s="75">
        <f>WATER!L16</f>
        <v>0</v>
      </c>
      <c r="G16" s="78">
        <f>WATER!BG16</f>
        <v>27.100000000000023</v>
      </c>
      <c r="H16" s="79">
        <f>ELEC!AF15</f>
        <v>0</v>
      </c>
      <c r="I16" s="79">
        <f>ELEC!Q15</f>
        <v>3256.0000000012224</v>
      </c>
      <c r="J16" s="79">
        <f>ELEC!R15</f>
        <v>-93.400000001129229</v>
      </c>
      <c r="K16" s="3"/>
      <c r="L16" s="3"/>
      <c r="M16" s="3"/>
      <c r="N16" s="3"/>
    </row>
    <row r="17" spans="1:14">
      <c r="A17" s="63">
        <f>'B5'!A17</f>
        <v>44817</v>
      </c>
      <c r="B17" s="76">
        <f>'B5'!V17</f>
        <v>55</v>
      </c>
      <c r="C17" s="76">
        <f>'B5'!AH17</f>
        <v>132</v>
      </c>
      <c r="D17" s="76">
        <f>GEN!AI15</f>
        <v>770.86497890269152</v>
      </c>
      <c r="E17" s="239">
        <f t="shared" si="0"/>
        <v>957.86497890269152</v>
      </c>
      <c r="F17" s="75">
        <f>WATER!L17</f>
        <v>0</v>
      </c>
      <c r="G17" s="78">
        <f>WATER!BG17</f>
        <v>-37.599999999999994</v>
      </c>
      <c r="H17" s="79">
        <f>ELEC!AF16</f>
        <v>0</v>
      </c>
      <c r="I17" s="79">
        <f>ELEC!Q16</f>
        <v>2994.9999999989814</v>
      </c>
      <c r="J17" s="79">
        <f>ELEC!R16</f>
        <v>-93.999999998981366</v>
      </c>
      <c r="K17" s="3"/>
      <c r="L17" s="3"/>
      <c r="M17" s="3"/>
      <c r="N17" s="3"/>
    </row>
    <row r="18" spans="1:14">
      <c r="A18" s="63">
        <f>'B5'!A18</f>
        <v>44818</v>
      </c>
      <c r="B18" s="76">
        <f>'B5'!V18</f>
        <v>81</v>
      </c>
      <c r="C18" s="76">
        <f>'B5'!AH18</f>
        <v>0</v>
      </c>
      <c r="D18" s="76">
        <f>GEN!AI16</f>
        <v>813.07594936699877</v>
      </c>
      <c r="E18" s="239">
        <f t="shared" si="0"/>
        <v>894.07594936699877</v>
      </c>
      <c r="F18" s="75">
        <f>WATER!L18</f>
        <v>0</v>
      </c>
      <c r="G18" s="78">
        <f>WATER!BG18</f>
        <v>-17.700000000000017</v>
      </c>
      <c r="H18" s="79">
        <f>ELEC!AF17</f>
        <v>0</v>
      </c>
      <c r="I18" s="79">
        <f>ELEC!Q17</f>
        <v>3158.9999999996508</v>
      </c>
      <c r="J18" s="79">
        <f>ELEC!R17</f>
        <v>-178.59999999974389</v>
      </c>
      <c r="K18" s="3"/>
      <c r="L18" s="3"/>
      <c r="M18" s="3"/>
      <c r="N18" s="3"/>
    </row>
    <row r="19" spans="1:14">
      <c r="A19" s="63">
        <f>'B5'!A19</f>
        <v>44819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-10.19999999999996</v>
      </c>
      <c r="H19" s="79">
        <f>ELEC!AF18</f>
        <v>0</v>
      </c>
      <c r="I19" s="79">
        <f>ELEC!Q18</f>
        <v>0</v>
      </c>
      <c r="J19" s="79">
        <f>ELEC!R18</f>
        <v>2919.6000000000931</v>
      </c>
      <c r="K19" s="3"/>
      <c r="L19" s="3"/>
      <c r="M19" s="3"/>
      <c r="N19" s="3"/>
    </row>
    <row r="20" spans="1:14">
      <c r="A20" s="63">
        <f>'B5'!A20</f>
        <v>44820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44821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44822</v>
      </c>
      <c r="B22" s="76">
        <f>'B5'!V22</f>
        <v>113</v>
      </c>
      <c r="C22" s="76">
        <f>'B5'!AH22</f>
        <v>0</v>
      </c>
      <c r="D22" s="76">
        <f>GEN!AI20</f>
        <v>1586.0000000000675</v>
      </c>
      <c r="E22" s="239">
        <f t="shared" si="0"/>
        <v>1699.0000000000675</v>
      </c>
      <c r="F22" s="75">
        <f>WATER!L22</f>
        <v>0</v>
      </c>
      <c r="G22" s="78">
        <f>WATER!BG22</f>
        <v>0</v>
      </c>
      <c r="H22" s="79">
        <f>ELEC!AF21</f>
        <v>-1333</v>
      </c>
      <c r="I22" s="79">
        <f>ELEC!Q21</f>
        <v>6162.0000000002619</v>
      </c>
      <c r="J22" s="79">
        <f>ELEC!R21</f>
        <v>-2988.0000000002619</v>
      </c>
      <c r="K22" s="3"/>
      <c r="L22" s="3"/>
      <c r="M22" s="3"/>
      <c r="N22" s="3"/>
    </row>
    <row r="23" spans="1:14">
      <c r="A23" s="63">
        <f>'B5'!A23</f>
        <v>44823</v>
      </c>
      <c r="B23" s="76">
        <f>'B5'!V23</f>
        <v>113</v>
      </c>
      <c r="C23" s="76">
        <f>'B5'!AH23</f>
        <v>0</v>
      </c>
      <c r="D23" s="76">
        <f>GEN!AI21</f>
        <v>727.881856540429</v>
      </c>
      <c r="E23" s="239">
        <f t="shared" si="0"/>
        <v>840.881856540429</v>
      </c>
      <c r="F23" s="75">
        <f>WATER!L23</f>
        <v>0</v>
      </c>
      <c r="G23" s="78">
        <f>WATER!BG23</f>
        <v>-14.700000000000045</v>
      </c>
      <c r="H23" s="79">
        <f>ELEC!AF22</f>
        <v>0</v>
      </c>
      <c r="I23" s="79">
        <f>ELEC!Q22</f>
        <v>2828.0000000013388</v>
      </c>
      <c r="J23" s="79">
        <f>ELEC!R22</f>
        <v>-66.000000001338776</v>
      </c>
      <c r="K23" s="3"/>
      <c r="L23" s="3"/>
      <c r="M23" s="3"/>
      <c r="N23" s="3"/>
    </row>
    <row r="24" spans="1:14">
      <c r="A24" s="63">
        <f>'B5'!A24</f>
        <v>44824</v>
      </c>
      <c r="B24" s="76">
        <f>'B5'!V24</f>
        <v>31</v>
      </c>
      <c r="C24" s="76">
        <f>'B5'!AH24</f>
        <v>0</v>
      </c>
      <c r="D24" s="76">
        <f>GEN!AI22</f>
        <v>990.92827004181959</v>
      </c>
      <c r="E24" s="239">
        <f t="shared" si="0"/>
        <v>1021.9282700418196</v>
      </c>
      <c r="F24" s="75">
        <f>WATER!L24</f>
        <v>0</v>
      </c>
      <c r="G24" s="78">
        <f>WATER!BG24</f>
        <v>40.5</v>
      </c>
      <c r="H24" s="79">
        <f>ELEC!AF23</f>
        <v>475</v>
      </c>
      <c r="I24" s="79">
        <f>ELEC!Q23</f>
        <v>3849.9999999985448</v>
      </c>
      <c r="J24" s="79">
        <f>ELEC!R23</f>
        <v>-79.999999998544808</v>
      </c>
      <c r="K24" s="3"/>
      <c r="L24" s="3"/>
      <c r="M24" s="3"/>
      <c r="N24" s="3"/>
    </row>
    <row r="25" spans="1:14">
      <c r="A25" s="63">
        <f>'B5'!A25</f>
        <v>44825</v>
      </c>
      <c r="B25" s="76">
        <f>'B5'!V25</f>
        <v>119</v>
      </c>
      <c r="C25" s="76">
        <f>'B5'!AH25</f>
        <v>0</v>
      </c>
      <c r="D25" s="76">
        <f>GEN!AI23</f>
        <v>752.84810126563559</v>
      </c>
      <c r="E25" s="239">
        <f t="shared" si="0"/>
        <v>871.84810126563559</v>
      </c>
      <c r="F25" s="75">
        <f>WATER!L25</f>
        <v>0</v>
      </c>
      <c r="G25" s="78">
        <f>WATER!BG25</f>
        <v>-9.7999999999999829</v>
      </c>
      <c r="H25" s="79">
        <f>ELEC!AF24</f>
        <v>1497</v>
      </c>
      <c r="I25" s="79">
        <f>ELEC!Q24</f>
        <v>2924.9999999992724</v>
      </c>
      <c r="J25" s="79">
        <f>ELEC!R24</f>
        <v>-68.999999999272404</v>
      </c>
      <c r="K25" s="3"/>
      <c r="L25" s="3"/>
      <c r="M25" s="3"/>
      <c r="N25" s="3"/>
    </row>
    <row r="26" spans="1:14">
      <c r="A26" s="63">
        <f>'B5'!A26</f>
        <v>44826</v>
      </c>
      <c r="B26" s="76">
        <f>'B5'!V26</f>
        <v>8</v>
      </c>
      <c r="C26" s="76">
        <f>'B5'!AH26</f>
        <v>93</v>
      </c>
      <c r="D26" s="76">
        <f>GEN!AI24</f>
        <v>715.5274261609743</v>
      </c>
      <c r="E26" s="239">
        <f t="shared" si="0"/>
        <v>816.5274261609743</v>
      </c>
      <c r="F26" s="75">
        <f>WATER!L26</f>
        <v>0</v>
      </c>
      <c r="G26" s="78">
        <f>WATER!BG26</f>
        <v>30.199999999999989</v>
      </c>
      <c r="H26" s="79">
        <f>ELEC!AF25</f>
        <v>0</v>
      </c>
      <c r="I26" s="79">
        <f>ELEC!Q25</f>
        <v>2780.0000000024738</v>
      </c>
      <c r="J26" s="79">
        <f>ELEC!R25</f>
        <v>-270.00000000247383</v>
      </c>
      <c r="K26" s="3"/>
      <c r="L26" s="3"/>
      <c r="M26" s="3"/>
      <c r="N26" s="3"/>
    </row>
    <row r="27" spans="1:14">
      <c r="A27" s="63">
        <f>'B5'!A27</f>
        <v>44827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-1.0999999999999659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44828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44829</v>
      </c>
      <c r="B29" s="76">
        <f>'B5'!V29</f>
        <v>197</v>
      </c>
      <c r="C29" s="76">
        <f>'B5'!AH29</f>
        <v>0</v>
      </c>
      <c r="D29" s="76">
        <f>GEN!AI27</f>
        <v>716.81434599152374</v>
      </c>
      <c r="E29" s="77">
        <f t="shared" si="0"/>
        <v>913.81434599152374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2784.9999999998545</v>
      </c>
      <c r="J29" s="79">
        <f>ELEC!R28</f>
        <v>350.00000000014552</v>
      </c>
      <c r="K29" s="3"/>
      <c r="L29" s="3"/>
      <c r="M29" s="3"/>
      <c r="N29" s="3"/>
    </row>
    <row r="30" spans="1:14">
      <c r="A30" s="63">
        <f>'B5'!A30</f>
        <v>44830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44831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-29.100000000000051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44832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4" t="s">
        <v>151</v>
      </c>
      <c r="U3" s="674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13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1</v>
      </c>
      <c r="G18">
        <f t="shared" si="1"/>
        <v>107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1</v>
      </c>
      <c r="E23">
        <f t="shared" si="0"/>
        <v>90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1</v>
      </c>
      <c r="E24">
        <f t="shared" si="0"/>
        <v>90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1</v>
      </c>
      <c r="G27">
        <f t="shared" si="1"/>
        <v>107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4" t="s">
        <v>51</v>
      </c>
      <c r="B1" s="696" t="s">
        <v>316</v>
      </c>
      <c r="C1" s="697"/>
      <c r="D1" s="699"/>
      <c r="E1" s="696" t="s">
        <v>317</v>
      </c>
      <c r="F1" s="697"/>
      <c r="G1" s="698"/>
      <c r="H1" s="693" t="s">
        <v>321</v>
      </c>
      <c r="I1" s="690" t="s">
        <v>322</v>
      </c>
      <c r="J1" s="687" t="s">
        <v>43</v>
      </c>
    </row>
    <row r="2" spans="1:18" ht="38.25" thickBot="1">
      <c r="A2" s="685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4"/>
      <c r="I2" s="691"/>
      <c r="J2" s="688"/>
    </row>
    <row r="3" spans="1:18" ht="24" customHeight="1" thickBot="1">
      <c r="A3" s="686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5"/>
      <c r="I3" s="692"/>
      <c r="J3" s="689"/>
    </row>
    <row r="4" spans="1:18" ht="19.5" thickBot="1">
      <c r="A4" s="577"/>
      <c r="B4" s="582" t="s">
        <v>325</v>
      </c>
      <c r="C4" s="583" t="s">
        <v>320</v>
      </c>
      <c r="D4" s="584" t="s">
        <v>326</v>
      </c>
      <c r="E4" s="585" t="s">
        <v>325</v>
      </c>
      <c r="F4" s="584" t="s">
        <v>320</v>
      </c>
      <c r="G4" s="585" t="s">
        <v>326</v>
      </c>
      <c r="H4" s="569">
        <v>0</v>
      </c>
      <c r="I4" s="570"/>
      <c r="J4" s="571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1"/>
      <c r="B5" s="675" t="s">
        <v>417</v>
      </c>
      <c r="C5" s="676"/>
      <c r="D5" s="676"/>
      <c r="E5" s="676"/>
      <c r="F5" s="676"/>
      <c r="G5" s="677"/>
      <c r="H5" s="602"/>
      <c r="I5" s="603"/>
      <c r="J5" s="590"/>
      <c r="K5" s="578"/>
      <c r="L5" s="498"/>
      <c r="M5" s="477"/>
      <c r="N5" s="477"/>
      <c r="O5" s="477"/>
    </row>
    <row r="6" spans="1:18" ht="15.75" customHeight="1">
      <c r="A6" s="595">
        <f>ELEC!C4</f>
        <v>44805</v>
      </c>
      <c r="B6" s="678"/>
      <c r="C6" s="679"/>
      <c r="D6" s="679"/>
      <c r="E6" s="679"/>
      <c r="F6" s="679"/>
      <c r="G6" s="680"/>
      <c r="H6" s="594">
        <f>H5</f>
        <v>0</v>
      </c>
      <c r="I6" s="600">
        <f>H6-H5</f>
        <v>0</v>
      </c>
      <c r="J6" s="589">
        <v>0.29166666666666669</v>
      </c>
      <c r="L6" s="99">
        <f t="shared" ref="L6:L33" si="0">A6</f>
        <v>44805</v>
      </c>
      <c r="M6" s="3">
        <f>M5</f>
        <v>0</v>
      </c>
      <c r="N6" s="477"/>
      <c r="O6" s="477">
        <f>M6+N6</f>
        <v>0</v>
      </c>
    </row>
    <row r="7" spans="1:18">
      <c r="A7" s="596">
        <f>ELEC!C5</f>
        <v>44806</v>
      </c>
      <c r="B7" s="678"/>
      <c r="C7" s="679"/>
      <c r="D7" s="679"/>
      <c r="E7" s="679"/>
      <c r="F7" s="679"/>
      <c r="G7" s="680"/>
      <c r="H7" s="594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44806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6">
        <f>ELEC!C6</f>
        <v>44807</v>
      </c>
      <c r="B8" s="678"/>
      <c r="C8" s="679"/>
      <c r="D8" s="679"/>
      <c r="E8" s="679"/>
      <c r="F8" s="679"/>
      <c r="G8" s="680"/>
      <c r="H8" s="594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44807</v>
      </c>
      <c r="M8" s="3">
        <f t="shared" si="2"/>
        <v>0</v>
      </c>
      <c r="N8" s="477"/>
      <c r="O8" s="477">
        <f t="shared" si="3"/>
        <v>0</v>
      </c>
    </row>
    <row r="9" spans="1:18">
      <c r="A9" s="596">
        <f>ELEC!C7</f>
        <v>44808</v>
      </c>
      <c r="B9" s="678"/>
      <c r="C9" s="679"/>
      <c r="D9" s="679"/>
      <c r="E9" s="679"/>
      <c r="F9" s="679"/>
      <c r="G9" s="680"/>
      <c r="H9" s="594">
        <v>7082</v>
      </c>
      <c r="I9" s="477">
        <f t="shared" si="4"/>
        <v>7082</v>
      </c>
      <c r="J9" s="462">
        <v>0.25</v>
      </c>
      <c r="L9" s="99">
        <f t="shared" si="0"/>
        <v>44808</v>
      </c>
      <c r="M9" s="3">
        <f t="shared" si="2"/>
        <v>0</v>
      </c>
      <c r="N9" s="477"/>
      <c r="O9" s="477">
        <f t="shared" si="3"/>
        <v>0</v>
      </c>
    </row>
    <row r="10" spans="1:18">
      <c r="A10" s="596">
        <f>ELEC!C8</f>
        <v>44809</v>
      </c>
      <c r="B10" s="678"/>
      <c r="C10" s="679"/>
      <c r="D10" s="679"/>
      <c r="E10" s="679"/>
      <c r="F10" s="679"/>
      <c r="G10" s="680"/>
      <c r="H10" s="594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44809</v>
      </c>
      <c r="M10" s="3">
        <f t="shared" si="2"/>
        <v>0</v>
      </c>
      <c r="N10" s="477"/>
      <c r="O10" s="477">
        <f t="shared" si="3"/>
        <v>0</v>
      </c>
    </row>
    <row r="11" spans="1:18">
      <c r="A11" s="596">
        <f>ELEC!C9</f>
        <v>44810</v>
      </c>
      <c r="B11" s="678"/>
      <c r="C11" s="679"/>
      <c r="D11" s="679"/>
      <c r="E11" s="679"/>
      <c r="F11" s="679"/>
      <c r="G11" s="680"/>
      <c r="H11" s="594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44810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596">
        <f>ELEC!C10</f>
        <v>44811</v>
      </c>
      <c r="B12" s="678"/>
      <c r="C12" s="679"/>
      <c r="D12" s="679"/>
      <c r="E12" s="679"/>
      <c r="F12" s="679"/>
      <c r="G12" s="680"/>
      <c r="H12" s="594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44811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6">
        <f>ELEC!C11</f>
        <v>44812</v>
      </c>
      <c r="B13" s="678"/>
      <c r="C13" s="679"/>
      <c r="D13" s="679"/>
      <c r="E13" s="679"/>
      <c r="F13" s="679"/>
      <c r="G13" s="680"/>
      <c r="H13" s="594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44812</v>
      </c>
      <c r="M13" s="3">
        <f t="shared" si="2"/>
        <v>0</v>
      </c>
      <c r="N13" s="477"/>
      <c r="O13" s="477">
        <f t="shared" si="3"/>
        <v>0</v>
      </c>
    </row>
    <row r="14" spans="1:18">
      <c r="A14" s="596">
        <f>ELEC!C12</f>
        <v>44813</v>
      </c>
      <c r="B14" s="678"/>
      <c r="C14" s="679"/>
      <c r="D14" s="679"/>
      <c r="E14" s="679"/>
      <c r="F14" s="679"/>
      <c r="G14" s="680"/>
      <c r="H14" s="594">
        <v>7088</v>
      </c>
      <c r="I14" s="477">
        <f t="shared" si="4"/>
        <v>6</v>
      </c>
      <c r="J14" s="462">
        <v>0.29166666666666669</v>
      </c>
      <c r="L14" s="99">
        <f t="shared" si="0"/>
        <v>44813</v>
      </c>
      <c r="M14" s="3">
        <f t="shared" si="2"/>
        <v>0</v>
      </c>
      <c r="N14" s="477"/>
      <c r="O14" s="477">
        <f t="shared" si="3"/>
        <v>0</v>
      </c>
    </row>
    <row r="15" spans="1:18">
      <c r="A15" s="596">
        <f>ELEC!C13</f>
        <v>44814</v>
      </c>
      <c r="B15" s="678"/>
      <c r="C15" s="679"/>
      <c r="D15" s="679"/>
      <c r="E15" s="679"/>
      <c r="F15" s="679"/>
      <c r="G15" s="680"/>
      <c r="H15" s="594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44814</v>
      </c>
      <c r="M15" s="3">
        <f t="shared" si="2"/>
        <v>0</v>
      </c>
      <c r="N15" s="477"/>
      <c r="O15" s="477">
        <f t="shared" si="3"/>
        <v>0</v>
      </c>
    </row>
    <row r="16" spans="1:18">
      <c r="A16" s="596">
        <f>ELEC!C14</f>
        <v>44815</v>
      </c>
      <c r="B16" s="678"/>
      <c r="C16" s="679"/>
      <c r="D16" s="679"/>
      <c r="E16" s="679"/>
      <c r="F16" s="679"/>
      <c r="G16" s="680"/>
      <c r="H16" s="594">
        <v>7089</v>
      </c>
      <c r="I16" s="477">
        <f t="shared" si="4"/>
        <v>1</v>
      </c>
      <c r="J16" s="462">
        <v>0.29166666666666669</v>
      </c>
      <c r="L16" s="99">
        <f t="shared" si="0"/>
        <v>44815</v>
      </c>
      <c r="M16" s="3">
        <f t="shared" si="2"/>
        <v>0</v>
      </c>
      <c r="N16" s="477"/>
      <c r="O16" s="477">
        <f t="shared" si="3"/>
        <v>0</v>
      </c>
    </row>
    <row r="17" spans="1:15">
      <c r="A17" s="596">
        <f>ELEC!C15</f>
        <v>44816</v>
      </c>
      <c r="B17" s="678"/>
      <c r="C17" s="679"/>
      <c r="D17" s="679"/>
      <c r="E17" s="679"/>
      <c r="F17" s="679"/>
      <c r="G17" s="680"/>
      <c r="H17" s="594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44816</v>
      </c>
      <c r="M17" s="3">
        <f t="shared" si="2"/>
        <v>0</v>
      </c>
      <c r="N17" s="477"/>
      <c r="O17" s="477">
        <f t="shared" si="3"/>
        <v>0</v>
      </c>
    </row>
    <row r="18" spans="1:15">
      <c r="A18" s="596">
        <f>ELEC!C16</f>
        <v>44817</v>
      </c>
      <c r="B18" s="678"/>
      <c r="C18" s="679"/>
      <c r="D18" s="679"/>
      <c r="E18" s="679"/>
      <c r="F18" s="679"/>
      <c r="G18" s="680"/>
      <c r="H18" s="594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44817</v>
      </c>
      <c r="M18" s="3">
        <f t="shared" si="2"/>
        <v>0</v>
      </c>
      <c r="N18" s="477"/>
      <c r="O18" s="477">
        <f t="shared" si="3"/>
        <v>0</v>
      </c>
    </row>
    <row r="19" spans="1:15">
      <c r="A19" s="596">
        <f>ELEC!C17</f>
        <v>44818</v>
      </c>
      <c r="B19" s="678"/>
      <c r="C19" s="679"/>
      <c r="D19" s="679"/>
      <c r="E19" s="679"/>
      <c r="F19" s="679"/>
      <c r="G19" s="680"/>
      <c r="H19" s="594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44818</v>
      </c>
      <c r="M19" s="3">
        <f t="shared" si="2"/>
        <v>0</v>
      </c>
      <c r="N19" s="477"/>
      <c r="O19" s="477">
        <f t="shared" si="3"/>
        <v>0</v>
      </c>
    </row>
    <row r="20" spans="1:15">
      <c r="A20" s="596">
        <f>ELEC!C18</f>
        <v>44819</v>
      </c>
      <c r="B20" s="678"/>
      <c r="C20" s="679"/>
      <c r="D20" s="679"/>
      <c r="E20" s="679"/>
      <c r="F20" s="679"/>
      <c r="G20" s="680"/>
      <c r="H20" s="594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44819</v>
      </c>
      <c r="M20" s="3">
        <f t="shared" si="2"/>
        <v>0</v>
      </c>
      <c r="N20" s="477"/>
      <c r="O20" s="477">
        <f t="shared" si="3"/>
        <v>0</v>
      </c>
    </row>
    <row r="21" spans="1:15">
      <c r="A21" s="596">
        <f>ELEC!C19</f>
        <v>44820</v>
      </c>
      <c r="B21" s="678"/>
      <c r="C21" s="679"/>
      <c r="D21" s="679"/>
      <c r="E21" s="679"/>
      <c r="F21" s="679"/>
      <c r="G21" s="680"/>
      <c r="H21" s="594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44820</v>
      </c>
      <c r="M21" s="3">
        <f t="shared" si="2"/>
        <v>0</v>
      </c>
      <c r="N21" s="477"/>
      <c r="O21" s="477">
        <f t="shared" si="3"/>
        <v>0</v>
      </c>
    </row>
    <row r="22" spans="1:15">
      <c r="A22" s="596">
        <f>ELEC!C20</f>
        <v>44821</v>
      </c>
      <c r="B22" s="678"/>
      <c r="C22" s="679"/>
      <c r="D22" s="679"/>
      <c r="E22" s="679"/>
      <c r="F22" s="679"/>
      <c r="G22" s="680"/>
      <c r="H22" s="594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44821</v>
      </c>
      <c r="M22" s="3">
        <f t="shared" si="2"/>
        <v>0</v>
      </c>
      <c r="N22" s="477"/>
      <c r="O22" s="477">
        <f t="shared" si="3"/>
        <v>0</v>
      </c>
    </row>
    <row r="23" spans="1:15">
      <c r="A23" s="596">
        <f>ELEC!C21</f>
        <v>44822</v>
      </c>
      <c r="B23" s="678"/>
      <c r="C23" s="679"/>
      <c r="D23" s="679"/>
      <c r="E23" s="679"/>
      <c r="F23" s="679"/>
      <c r="G23" s="680"/>
      <c r="H23" s="594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44822</v>
      </c>
      <c r="M23" s="3">
        <f t="shared" si="2"/>
        <v>0</v>
      </c>
      <c r="N23" s="477"/>
      <c r="O23" s="477">
        <f t="shared" si="3"/>
        <v>0</v>
      </c>
    </row>
    <row r="24" spans="1:15">
      <c r="A24" s="596">
        <f>ELEC!C22</f>
        <v>44823</v>
      </c>
      <c r="B24" s="678"/>
      <c r="C24" s="679"/>
      <c r="D24" s="679"/>
      <c r="E24" s="679"/>
      <c r="F24" s="679"/>
      <c r="G24" s="680"/>
      <c r="H24" s="594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44823</v>
      </c>
      <c r="M24" s="3">
        <f t="shared" si="2"/>
        <v>0</v>
      </c>
      <c r="N24" s="477"/>
      <c r="O24" s="477">
        <f t="shared" si="3"/>
        <v>0</v>
      </c>
    </row>
    <row r="25" spans="1:15">
      <c r="A25" s="596">
        <f>ELEC!C23</f>
        <v>44824</v>
      </c>
      <c r="B25" s="678"/>
      <c r="C25" s="679"/>
      <c r="D25" s="679"/>
      <c r="E25" s="679"/>
      <c r="F25" s="679"/>
      <c r="G25" s="680"/>
      <c r="H25" s="594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44824</v>
      </c>
      <c r="M25" s="3">
        <f t="shared" si="2"/>
        <v>0</v>
      </c>
      <c r="N25" s="477"/>
      <c r="O25" s="477">
        <f t="shared" si="3"/>
        <v>0</v>
      </c>
    </row>
    <row r="26" spans="1:15">
      <c r="A26" s="596">
        <f>ELEC!C24</f>
        <v>44825</v>
      </c>
      <c r="B26" s="678"/>
      <c r="C26" s="679"/>
      <c r="D26" s="679"/>
      <c r="E26" s="679"/>
      <c r="F26" s="679"/>
      <c r="G26" s="680"/>
      <c r="H26" s="594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44825</v>
      </c>
      <c r="M26" s="3">
        <f t="shared" si="2"/>
        <v>0</v>
      </c>
      <c r="N26" s="477"/>
      <c r="O26" s="477">
        <f t="shared" si="3"/>
        <v>0</v>
      </c>
    </row>
    <row r="27" spans="1:15">
      <c r="A27" s="596">
        <f>ELEC!C25</f>
        <v>44826</v>
      </c>
      <c r="B27" s="678"/>
      <c r="C27" s="679"/>
      <c r="D27" s="679"/>
      <c r="E27" s="679"/>
      <c r="F27" s="679"/>
      <c r="G27" s="680"/>
      <c r="H27" s="594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44826</v>
      </c>
      <c r="M27" s="3">
        <f t="shared" si="2"/>
        <v>0</v>
      </c>
      <c r="N27" s="477"/>
      <c r="O27" s="477">
        <f t="shared" si="3"/>
        <v>0</v>
      </c>
    </row>
    <row r="28" spans="1:15">
      <c r="A28" s="596">
        <f>ELEC!C26</f>
        <v>44827</v>
      </c>
      <c r="B28" s="678"/>
      <c r="C28" s="679"/>
      <c r="D28" s="679"/>
      <c r="E28" s="679"/>
      <c r="F28" s="679"/>
      <c r="G28" s="680"/>
      <c r="H28" s="594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44827</v>
      </c>
      <c r="M28" s="3">
        <f t="shared" si="2"/>
        <v>0</v>
      </c>
      <c r="N28" s="477"/>
      <c r="O28" s="477">
        <f t="shared" si="3"/>
        <v>0</v>
      </c>
    </row>
    <row r="29" spans="1:15">
      <c r="A29" s="596">
        <f>ELEC!C27</f>
        <v>44828</v>
      </c>
      <c r="B29" s="678"/>
      <c r="C29" s="679"/>
      <c r="D29" s="679"/>
      <c r="E29" s="679"/>
      <c r="F29" s="679"/>
      <c r="G29" s="680"/>
      <c r="H29" s="594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44828</v>
      </c>
      <c r="M29" s="3">
        <f t="shared" si="2"/>
        <v>0</v>
      </c>
      <c r="N29" s="477"/>
      <c r="O29" s="477">
        <f t="shared" si="3"/>
        <v>0</v>
      </c>
    </row>
    <row r="30" spans="1:15">
      <c r="A30" s="596">
        <f>ELEC!C28</f>
        <v>44829</v>
      </c>
      <c r="B30" s="678"/>
      <c r="C30" s="679"/>
      <c r="D30" s="679"/>
      <c r="E30" s="679"/>
      <c r="F30" s="679"/>
      <c r="G30" s="680"/>
      <c r="H30" s="594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44829</v>
      </c>
      <c r="M30" s="3">
        <f t="shared" si="2"/>
        <v>0</v>
      </c>
      <c r="N30" s="477"/>
      <c r="O30" s="477">
        <f t="shared" si="3"/>
        <v>0</v>
      </c>
    </row>
    <row r="31" spans="1:15">
      <c r="A31" s="596">
        <f>ELEC!C29</f>
        <v>44830</v>
      </c>
      <c r="B31" s="678"/>
      <c r="C31" s="679"/>
      <c r="D31" s="679"/>
      <c r="E31" s="679"/>
      <c r="F31" s="679"/>
      <c r="G31" s="680"/>
      <c r="H31" s="594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44830</v>
      </c>
      <c r="M31" s="3">
        <f t="shared" si="2"/>
        <v>0</v>
      </c>
      <c r="N31" s="477"/>
      <c r="O31" s="477">
        <f t="shared" si="3"/>
        <v>0</v>
      </c>
    </row>
    <row r="32" spans="1:15">
      <c r="A32" s="596">
        <f>ELEC!C30</f>
        <v>44831</v>
      </c>
      <c r="B32" s="678"/>
      <c r="C32" s="679"/>
      <c r="D32" s="679"/>
      <c r="E32" s="679"/>
      <c r="F32" s="679"/>
      <c r="G32" s="680"/>
      <c r="H32" s="594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44831</v>
      </c>
      <c r="M32" s="3">
        <f t="shared" si="2"/>
        <v>0</v>
      </c>
      <c r="N32" s="477"/>
      <c r="O32" s="477">
        <v>6879</v>
      </c>
    </row>
    <row r="33" spans="1:15">
      <c r="A33" s="596">
        <f>ELEC!C31</f>
        <v>44832</v>
      </c>
      <c r="B33" s="678"/>
      <c r="C33" s="679"/>
      <c r="D33" s="679"/>
      <c r="E33" s="679"/>
      <c r="F33" s="679"/>
      <c r="G33" s="680"/>
      <c r="H33" s="594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44832</v>
      </c>
      <c r="M33" s="3">
        <f t="shared" si="2"/>
        <v>0</v>
      </c>
      <c r="N33" s="477"/>
      <c r="O33" s="477">
        <f t="shared" si="3"/>
        <v>0</v>
      </c>
    </row>
    <row r="34" spans="1:15">
      <c r="A34" s="596">
        <f>ELEC!C32</f>
        <v>44833</v>
      </c>
      <c r="B34" s="678"/>
      <c r="C34" s="679"/>
      <c r="D34" s="679"/>
      <c r="E34" s="679"/>
      <c r="F34" s="679"/>
      <c r="G34" s="680"/>
      <c r="H34" s="594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44833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6">
        <f>ELEC!C33</f>
        <v>44834</v>
      </c>
      <c r="B35" s="678"/>
      <c r="C35" s="679"/>
      <c r="D35" s="679"/>
      <c r="E35" s="679"/>
      <c r="F35" s="679"/>
      <c r="G35" s="680"/>
      <c r="H35" s="594">
        <f t="shared" si="1"/>
        <v>7089</v>
      </c>
      <c r="I35" s="477">
        <f t="shared" si="5"/>
        <v>0</v>
      </c>
      <c r="J35" s="462">
        <v>0.375</v>
      </c>
      <c r="L35" s="99">
        <f t="shared" si="6"/>
        <v>44834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597">
        <f>ELEC!C34</f>
        <v>44835</v>
      </c>
      <c r="B36" s="681"/>
      <c r="C36" s="682"/>
      <c r="D36" s="682"/>
      <c r="E36" s="682"/>
      <c r="F36" s="682"/>
      <c r="G36" s="683"/>
      <c r="H36" s="594">
        <f t="shared" si="1"/>
        <v>7089</v>
      </c>
      <c r="I36" s="598">
        <f t="shared" si="5"/>
        <v>0</v>
      </c>
      <c r="J36" s="599">
        <v>0.41666666666666702</v>
      </c>
      <c r="L36" s="99">
        <f t="shared" si="6"/>
        <v>44835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46" zoomScale="80" zoomScaleNormal="80" workbookViewId="0">
      <selection activeCell="F48" sqref="F48:G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0" t="s">
        <v>161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  <c r="O1" s="700"/>
      <c r="P1" s="700"/>
      <c r="Q1" s="700"/>
      <c r="R1" s="700"/>
      <c r="S1" s="700"/>
      <c r="T1" s="700"/>
      <c r="U1" s="700"/>
      <c r="V1" s="700"/>
      <c r="W1" s="700"/>
      <c r="X1" s="700"/>
    </row>
    <row r="2" spans="1:28" ht="19.5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701"/>
      <c r="S2" s="701"/>
      <c r="T2" s="701"/>
      <c r="U2" s="701"/>
      <c r="V2" s="701"/>
      <c r="W2" s="701"/>
      <c r="X2" s="701"/>
    </row>
    <row r="3" spans="1:28" ht="19.5">
      <c r="A3" s="701" t="s">
        <v>162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701"/>
      <c r="W3" s="701"/>
      <c r="X3" s="70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1" t="s">
        <v>404</v>
      </c>
      <c r="B5" s="701"/>
      <c r="C5" s="701"/>
      <c r="D5" s="701"/>
      <c r="E5" s="701"/>
      <c r="F5" s="701"/>
      <c r="G5" s="701"/>
      <c r="H5" s="701"/>
      <c r="I5" s="701"/>
      <c r="J5" s="701"/>
      <c r="K5" s="701"/>
      <c r="L5" s="701"/>
      <c r="M5" s="701"/>
      <c r="N5" s="701"/>
      <c r="O5" s="701"/>
      <c r="P5" s="701"/>
      <c r="Q5" s="701"/>
      <c r="R5" s="701"/>
      <c r="S5" s="701"/>
      <c r="T5" s="701"/>
      <c r="U5" s="701"/>
      <c r="V5" s="701"/>
      <c r="W5" s="701"/>
      <c r="X5" s="701"/>
    </row>
    <row r="6" spans="1:28" ht="15.75" thickBot="1">
      <c r="A6" s="702"/>
      <c r="B6" s="702"/>
      <c r="C6" s="702"/>
      <c r="D6" s="702"/>
      <c r="E6" s="702"/>
      <c r="F6" s="702"/>
      <c r="G6" s="702"/>
      <c r="H6" s="702"/>
      <c r="I6" s="702"/>
      <c r="J6" s="702"/>
      <c r="K6" s="702"/>
      <c r="L6" s="702"/>
      <c r="M6" s="702"/>
      <c r="N6" s="702"/>
      <c r="O6" s="702"/>
      <c r="P6" s="702"/>
      <c r="Q6" s="702"/>
      <c r="R6" s="702"/>
      <c r="S6" s="702"/>
      <c r="T6" s="702"/>
      <c r="U6" s="702"/>
      <c r="V6" s="702"/>
      <c r="W6" s="702"/>
      <c r="X6" s="702"/>
    </row>
    <row r="7" spans="1:28" ht="15.75" thickBot="1">
      <c r="A7" s="704" t="s">
        <v>163</v>
      </c>
      <c r="B7" s="705"/>
      <c r="C7" s="706" t="s">
        <v>164</v>
      </c>
      <c r="D7" s="707"/>
      <c r="E7" s="707"/>
      <c r="F7" s="707"/>
      <c r="G7" s="707"/>
      <c r="H7" s="707"/>
      <c r="I7" s="707"/>
      <c r="J7" s="707"/>
      <c r="K7" s="70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'[7]Degree Days 2022'!B10</f>
        <v>0</v>
      </c>
      <c r="C10" s="261">
        <f>'General information '!C5</f>
        <v>28</v>
      </c>
      <c r="D10" s="261">
        <f>'[8]Degree Days 2020'!D10</f>
        <v>-0.80000000000000071</v>
      </c>
      <c r="E10" s="496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6">
        <f>'[8]Degree Days 2020'!I10</f>
        <v>1</v>
      </c>
      <c r="J10" s="261">
        <f>'[10]Degree Days 2022'!J10</f>
        <v>17</v>
      </c>
      <c r="K10" s="261">
        <f>'[10]Degree Days 2022'!K10</f>
        <v>14</v>
      </c>
      <c r="L10" s="261">
        <f>'[8]Degree Days 2020'!L10</f>
        <v>-2.3000000000000007</v>
      </c>
      <c r="M10" s="496">
        <f>'[11]Degree Days 2020'!M10</f>
        <v>1</v>
      </c>
      <c r="N10" s="261">
        <f>'[12]Degree Days 2022'!N10</f>
        <v>0</v>
      </c>
      <c r="O10" s="261">
        <f>'[12]Degree Days 2022'!O10</f>
        <v>0</v>
      </c>
      <c r="P10" s="261">
        <f>(N10+O10)/2-18.3</f>
        <v>-18.3</v>
      </c>
      <c r="Q10" s="496">
        <v>1</v>
      </c>
      <c r="R10" s="261">
        <f>'[13]Degree Days 2022'!R10</f>
        <v>0</v>
      </c>
      <c r="S10" s="261">
        <f>'[13]Degree Days 2022'!S10</f>
        <v>0</v>
      </c>
      <c r="T10" s="261">
        <f>(R10+S10)/2-18.3</f>
        <v>-18.3</v>
      </c>
      <c r="U10" s="496">
        <v>1</v>
      </c>
      <c r="V10" s="261">
        <f>'[6]Degree Days 2022'!V10</f>
        <v>25</v>
      </c>
      <c r="W10" s="261">
        <f>'[6]Degree Days 2022'!W10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'[7]Degree Days 2022'!B11</f>
        <v>0</v>
      </c>
      <c r="C11" s="261">
        <f>'General information '!C6</f>
        <v>0</v>
      </c>
      <c r="D11" s="261">
        <f>'[8]Degree Days 2020'!D11</f>
        <v>-0.30000000000000071</v>
      </c>
      <c r="E11" s="496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6">
        <f>'[8]Degree Days 2020'!I11</f>
        <v>2</v>
      </c>
      <c r="J11" s="261">
        <f>'[10]Degree Days 2022'!J11</f>
        <v>24</v>
      </c>
      <c r="K11" s="261">
        <f>'[10]Degree Days 2022'!K11</f>
        <v>15</v>
      </c>
      <c r="L11" s="261">
        <f>'[8]Degree Days 2020'!L11</f>
        <v>-2.8000000000000007</v>
      </c>
      <c r="M11" s="496">
        <f>'[11]Degree Days 2020'!M11</f>
        <v>2</v>
      </c>
      <c r="N11" s="261">
        <f>'[12]Degree Days 2022'!N11</f>
        <v>0</v>
      </c>
      <c r="O11" s="261">
        <f>'[12]Degree Days 2022'!O11</f>
        <v>0</v>
      </c>
      <c r="P11" s="261">
        <f t="shared" ref="P11:P39" si="0">(N11+O11)/2-18.3</f>
        <v>-18.3</v>
      </c>
      <c r="Q11" s="496">
        <v>2</v>
      </c>
      <c r="R11" s="261">
        <f>'[13]Degree Days 2022'!R11</f>
        <v>0</v>
      </c>
      <c r="S11" s="261">
        <f>'[13]Degree Days 2022'!S11</f>
        <v>0</v>
      </c>
      <c r="T11" s="261">
        <f t="shared" ref="T11:T40" si="1">(R11+S11)/2-18.3</f>
        <v>-18.3</v>
      </c>
      <c r="U11" s="496">
        <v>2</v>
      </c>
      <c r="V11" s="261">
        <f>'[6]Degree Days 2022'!V11</f>
        <v>25</v>
      </c>
      <c r="W11" s="261">
        <f>'[6]Degree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'[7]Degree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6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6">
        <f>'[8]Degree Days 2020'!I12</f>
        <v>3</v>
      </c>
      <c r="J12" s="261">
        <f>'[10]Degree Days 2022'!J12</f>
        <v>20</v>
      </c>
      <c r="K12" s="261">
        <f>'[10]Degree Days 2022'!K12</f>
        <v>13</v>
      </c>
      <c r="L12" s="261">
        <f>'[8]Degree Days 2020'!L12</f>
        <v>-2.8000000000000007</v>
      </c>
      <c r="M12" s="496">
        <f>'[11]Degree Days 2020'!M12</f>
        <v>3</v>
      </c>
      <c r="N12" s="261">
        <f>'[12]Degree Days 2022'!N12</f>
        <v>24</v>
      </c>
      <c r="O12" s="261">
        <f>'[12]Degree Days 2022'!O12</f>
        <v>17</v>
      </c>
      <c r="P12" s="261">
        <f t="shared" si="0"/>
        <v>2.1999999999999993</v>
      </c>
      <c r="Q12" s="496">
        <v>3</v>
      </c>
      <c r="R12" s="261">
        <f>'[13]Degree Days 2022'!R12</f>
        <v>0</v>
      </c>
      <c r="S12" s="261">
        <f>'[13]Degree Days 2022'!S12</f>
        <v>0</v>
      </c>
      <c r="T12" s="261">
        <f t="shared" si="1"/>
        <v>-18.3</v>
      </c>
      <c r="U12" s="496">
        <v>3</v>
      </c>
      <c r="V12" s="261">
        <f>'[6]Degree Days 2022'!V12</f>
        <v>0</v>
      </c>
      <c r="W12" s="261">
        <f>'[6]Degree Days 2022'!W12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'[7]Degree Days 2022'!B13</f>
        <v>18</v>
      </c>
      <c r="C13" s="261">
        <f>'General information '!C8</f>
        <v>26</v>
      </c>
      <c r="D13" s="261">
        <f>'[8]Degree Days 2020'!D13</f>
        <v>0.19999999999999929</v>
      </c>
      <c r="E13" s="496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6">
        <f>'[8]Degree Days 2020'!I13</f>
        <v>4</v>
      </c>
      <c r="J13" s="261">
        <f>'[10]Degree Days 2022'!J13</f>
        <v>0</v>
      </c>
      <c r="K13" s="261">
        <f>'[10]Degree Days 2022'!K13</f>
        <v>0</v>
      </c>
      <c r="L13" s="261">
        <f>'[8]Degree Days 2020'!L13</f>
        <v>-2.8000000000000007</v>
      </c>
      <c r="M13" s="496">
        <f>'[11]Degree Days 2020'!M13</f>
        <v>4</v>
      </c>
      <c r="N13" s="261">
        <f>'[12]Degree Days 2022'!N13</f>
        <v>24</v>
      </c>
      <c r="O13" s="261">
        <f>'[12]Degree Days 2022'!O13</f>
        <v>16</v>
      </c>
      <c r="P13" s="261">
        <f t="shared" si="0"/>
        <v>1.6999999999999993</v>
      </c>
      <c r="Q13" s="496">
        <v>4</v>
      </c>
      <c r="R13" s="261">
        <f>'[13]Degree Days 2022'!R13</f>
        <v>23</v>
      </c>
      <c r="S13" s="261">
        <f>'[13]Degree Days 2022'!S13</f>
        <v>19</v>
      </c>
      <c r="T13" s="261">
        <f t="shared" si="1"/>
        <v>2.6999999999999993</v>
      </c>
      <c r="U13" s="496">
        <v>4</v>
      </c>
      <c r="V13" s="261">
        <f>'[6]Degree Days 2022'!V13</f>
        <v>0</v>
      </c>
      <c r="W13" s="261">
        <f>'[6]Degree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'[7]Degree Days 2022'!B14</f>
        <v>19</v>
      </c>
      <c r="C14" s="261">
        <f>'General information '!C9</f>
        <v>26</v>
      </c>
      <c r="D14" s="261">
        <f>'[8]Degree Days 2020'!D14</f>
        <v>0.69999999999999929</v>
      </c>
      <c r="E14" s="496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6">
        <f>'[8]Degree Days 2020'!I14</f>
        <v>5</v>
      </c>
      <c r="J14" s="261">
        <f>'[10]Degree Days 2022'!J14</f>
        <v>0</v>
      </c>
      <c r="K14" s="261">
        <f>'[10]Degree Days 2022'!K14</f>
        <v>0</v>
      </c>
      <c r="L14" s="261">
        <f>'[8]Degree Days 2020'!L14</f>
        <v>-2.8000000000000007</v>
      </c>
      <c r="M14" s="496">
        <f>'[11]Degree Days 2020'!M14</f>
        <v>5</v>
      </c>
      <c r="N14" s="261">
        <f>'[12]Degree Days 2022'!N14</f>
        <v>30</v>
      </c>
      <c r="O14" s="261">
        <f>'[12]Degree Days 2022'!O14</f>
        <v>16</v>
      </c>
      <c r="P14" s="261">
        <f t="shared" si="0"/>
        <v>4.6999999999999993</v>
      </c>
      <c r="Q14" s="496">
        <v>5</v>
      </c>
      <c r="R14" s="261">
        <f>'[13]Degree Days 2022'!R14</f>
        <v>22</v>
      </c>
      <c r="S14" s="261">
        <f>'[13]Degree Days 2022'!S14</f>
        <v>18</v>
      </c>
      <c r="T14" s="261">
        <f t="shared" si="1"/>
        <v>1.6999999999999993</v>
      </c>
      <c r="U14" s="496">
        <v>5</v>
      </c>
      <c r="V14" s="261">
        <f>'[6]Degree Days 2022'!V14</f>
        <v>27</v>
      </c>
      <c r="W14" s="261">
        <f>'[6]Degree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'[7]Degree Days 2022'!B15</f>
        <v>21</v>
      </c>
      <c r="C15" s="261">
        <f>'General information '!C10</f>
        <v>25</v>
      </c>
      <c r="D15" s="261">
        <f>'[8]Degree Days 2020'!D15</f>
        <v>0.19999999999999929</v>
      </c>
      <c r="E15" s="496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6">
        <f>'[8]Degree Days 2020'!I15</f>
        <v>6</v>
      </c>
      <c r="J15" s="261">
        <f>'[10]Degree Days 2022'!J15</f>
        <v>22</v>
      </c>
      <c r="K15" s="261">
        <f>'[10]Degree Days 2022'!K15</f>
        <v>13</v>
      </c>
      <c r="L15" s="261">
        <f>'[8]Degree Days 2020'!L15</f>
        <v>-2.3000000000000007</v>
      </c>
      <c r="M15" s="496">
        <f>'[11]Degree Days 2020'!M15</f>
        <v>6</v>
      </c>
      <c r="N15" s="261">
        <f>'[12]Degree Days 2022'!N15</f>
        <v>34</v>
      </c>
      <c r="O15" s="261">
        <f>'[12]Degree Days 2022'!O15</f>
        <v>18</v>
      </c>
      <c r="P15" s="261">
        <f t="shared" si="0"/>
        <v>7.6999999999999993</v>
      </c>
      <c r="Q15" s="496">
        <v>6</v>
      </c>
      <c r="R15" s="261">
        <f>'[13]Degree Days 2022'!R15</f>
        <v>0</v>
      </c>
      <c r="S15" s="261">
        <f>'[13]Degree Days 2022'!S15</f>
        <v>0</v>
      </c>
      <c r="T15" s="261">
        <f t="shared" si="1"/>
        <v>-18.3</v>
      </c>
      <c r="U15" s="496">
        <v>6</v>
      </c>
      <c r="V15" s="261">
        <f>'[6]Degree Days 2022'!V15</f>
        <v>26</v>
      </c>
      <c r="W15" s="261">
        <f>'[6]Degree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'[7]Degree Days 2022'!B16</f>
        <v>0</v>
      </c>
      <c r="C16" s="261">
        <f>'General information '!C11</f>
        <v>26</v>
      </c>
      <c r="D16" s="261">
        <f>'[8]Degree Days 2020'!D16</f>
        <v>-1.3000000000000007</v>
      </c>
      <c r="E16" s="496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6">
        <f>'[8]Degree Days 2020'!I16</f>
        <v>7</v>
      </c>
      <c r="J16" s="261">
        <f>'[10]Degree Days 2022'!J16</f>
        <v>17</v>
      </c>
      <c r="K16" s="261">
        <f>'[10]Degree Days 2022'!K16</f>
        <v>13</v>
      </c>
      <c r="L16" s="261">
        <f>'[8]Degree Days 2020'!L16</f>
        <v>-1.8000000000000007</v>
      </c>
      <c r="M16" s="496">
        <f>'[11]Degree Days 2020'!M16</f>
        <v>7</v>
      </c>
      <c r="N16" s="261">
        <f>'[12]Degree Days 2022'!N16</f>
        <v>21</v>
      </c>
      <c r="O16" s="261">
        <f>'[12]Degree Days 2022'!O16</f>
        <v>16</v>
      </c>
      <c r="P16" s="261">
        <f t="shared" si="0"/>
        <v>0.19999999999999929</v>
      </c>
      <c r="Q16" s="496">
        <v>7</v>
      </c>
      <c r="R16" s="261">
        <f>'[13]Degree Days 2022'!R16</f>
        <v>0</v>
      </c>
      <c r="S16" s="261">
        <f>'[13]Degree Days 2022'!S16</f>
        <v>0</v>
      </c>
      <c r="T16" s="261">
        <f t="shared" si="1"/>
        <v>-18.3</v>
      </c>
      <c r="U16" s="496">
        <v>7</v>
      </c>
      <c r="V16" s="261">
        <f>'[6]Degree Days 2022'!V16</f>
        <v>27</v>
      </c>
      <c r="W16" s="261">
        <f>'[6]Degree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'[7]Degree Days 2022'!B17</f>
        <v>0</v>
      </c>
      <c r="C17" s="261">
        <f>'General information '!C12</f>
        <v>27</v>
      </c>
      <c r="D17" s="261">
        <f>'[8]Degree Days 2020'!D17</f>
        <v>-0.80000000000000071</v>
      </c>
      <c r="E17" s="496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6">
        <f>'[8]Degree Days 2020'!I17</f>
        <v>8</v>
      </c>
      <c r="J17" s="261">
        <f>'[10]Degree Days 2022'!J17</f>
        <v>8</v>
      </c>
      <c r="K17" s="261">
        <f>'[10]Degree Days 2022'!K17</f>
        <v>13</v>
      </c>
      <c r="L17" s="261">
        <f>'[8]Degree Days 2020'!L17</f>
        <v>-0.30000000000000071</v>
      </c>
      <c r="M17" s="496">
        <f>'[11]Degree Days 2020'!M17</f>
        <v>8</v>
      </c>
      <c r="N17" s="261">
        <f>'[12]Degree Days 2022'!N17</f>
        <v>0</v>
      </c>
      <c r="O17" s="261">
        <f>'[12]Degree Days 2022'!O17</f>
        <v>0</v>
      </c>
      <c r="P17" s="261">
        <f t="shared" si="0"/>
        <v>-18.3</v>
      </c>
      <c r="Q17" s="496">
        <v>8</v>
      </c>
      <c r="R17" s="261">
        <f>'[13]Degree Days 2022'!R17</f>
        <v>22</v>
      </c>
      <c r="S17" s="261">
        <f>'[13]Degree Days 2022'!S17</f>
        <v>17</v>
      </c>
      <c r="T17" s="261">
        <f t="shared" si="1"/>
        <v>1.1999999999999993</v>
      </c>
      <c r="U17" s="496">
        <v>8</v>
      </c>
      <c r="V17" s="261">
        <f>'[6]Degree Days 2022'!V17</f>
        <v>27</v>
      </c>
      <c r="W17" s="261">
        <f>'[6]Degree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'[7]Degree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6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6">
        <f>'[8]Degree Days 2020'!I18</f>
        <v>9</v>
      </c>
      <c r="J18" s="261">
        <f>'[10]Degree Days 2022'!J18</f>
        <v>16</v>
      </c>
      <c r="K18" s="261">
        <f>'[10]Degree Days 2022'!K18</f>
        <v>14</v>
      </c>
      <c r="L18" s="261">
        <f>'[8]Degree Days 2020'!L18</f>
        <v>1.6999999999999993</v>
      </c>
      <c r="M18" s="496">
        <f>'[11]Degree Days 2020'!M18</f>
        <v>9</v>
      </c>
      <c r="N18" s="261">
        <f>'[12]Degree Days 2022'!N18</f>
        <v>0</v>
      </c>
      <c r="O18" s="261">
        <f>'[12]Degree Days 2022'!O18</f>
        <v>0</v>
      </c>
      <c r="P18" s="261">
        <f t="shared" si="0"/>
        <v>-18.3</v>
      </c>
      <c r="Q18" s="496">
        <v>9</v>
      </c>
      <c r="R18" s="261">
        <f>'[13]Degree Days 2022'!R18</f>
        <v>23</v>
      </c>
      <c r="S18" s="261">
        <f>'[13]Degree Days 2022'!S18</f>
        <v>18</v>
      </c>
      <c r="T18" s="261">
        <f t="shared" si="1"/>
        <v>2.1999999999999993</v>
      </c>
      <c r="U18" s="496">
        <v>9</v>
      </c>
      <c r="V18" s="261">
        <f>'[6]Degree Days 2022'!V18</f>
        <v>0</v>
      </c>
      <c r="W18" s="261">
        <f>'[6]Degree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'[7]Degree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6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6">
        <f>'[8]Degree Days 2020'!I19</f>
        <v>10</v>
      </c>
      <c r="J19" s="261">
        <f>'[10]Degree Days 2022'!J19</f>
        <v>14</v>
      </c>
      <c r="K19" s="261">
        <f>'[10]Degree Days 2022'!K19</f>
        <v>11</v>
      </c>
      <c r="L19" s="261">
        <f>'[8]Degree Days 2020'!L19</f>
        <v>-2.3000000000000007</v>
      </c>
      <c r="M19" s="496">
        <f>'[11]Degree Days 2020'!M19</f>
        <v>10</v>
      </c>
      <c r="N19" s="261">
        <f>'[12]Degree Days 2022'!N19</f>
        <v>22</v>
      </c>
      <c r="O19" s="261">
        <f>'[12]Degree Days 2022'!O19</f>
        <v>15</v>
      </c>
      <c r="P19" s="261">
        <f t="shared" si="0"/>
        <v>0.19999999999999929</v>
      </c>
      <c r="Q19" s="496">
        <v>10</v>
      </c>
      <c r="R19" s="261">
        <f>'[13]Degree Days 2022'!R19</f>
        <v>23</v>
      </c>
      <c r="S19" s="261">
        <f>'[13]Degree Days 2022'!S19</f>
        <v>17</v>
      </c>
      <c r="T19" s="261">
        <f t="shared" si="1"/>
        <v>1.6999999999999993</v>
      </c>
      <c r="U19" s="496">
        <v>10</v>
      </c>
      <c r="V19" s="261">
        <f>'[6]Degree Days 2022'!V19</f>
        <v>0</v>
      </c>
      <c r="W19" s="261">
        <f>'[6]Degree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'[7]Degree Days 2022'!B20</f>
        <v>19</v>
      </c>
      <c r="C20" s="261">
        <f>'General information '!C15</f>
        <v>24</v>
      </c>
      <c r="D20" s="261">
        <f>'[8]Degree Days 2020'!D20</f>
        <v>0.69999999999999929</v>
      </c>
      <c r="E20" s="496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6">
        <f>'[8]Degree Days 2020'!I20</f>
        <v>11</v>
      </c>
      <c r="J20" s="261">
        <f>'[10]Degree Days 2022'!J20</f>
        <v>14</v>
      </c>
      <c r="K20" s="261">
        <f>'[10]Degree Days 2022'!K20</f>
        <v>9</v>
      </c>
      <c r="L20" s="261">
        <f>'[8]Degree Days 2020'!L20</f>
        <v>-3.8000000000000007</v>
      </c>
      <c r="M20" s="496">
        <f>'[11]Degree Days 2020'!M20</f>
        <v>11</v>
      </c>
      <c r="N20" s="261">
        <f>'[12]Degree Days 2022'!N20</f>
        <v>21</v>
      </c>
      <c r="O20" s="261">
        <f>'[12]Degree Days 2022'!O20</f>
        <v>16</v>
      </c>
      <c r="P20" s="261">
        <f t="shared" si="0"/>
        <v>0.19999999999999929</v>
      </c>
      <c r="Q20" s="496">
        <v>11</v>
      </c>
      <c r="R20" s="261">
        <f>'[13]Degree Days 2022'!R20</f>
        <v>23</v>
      </c>
      <c r="S20" s="261">
        <f>'[13]Degree Days 2022'!S20</f>
        <v>17</v>
      </c>
      <c r="T20" s="261">
        <f t="shared" si="1"/>
        <v>1.6999999999999993</v>
      </c>
      <c r="U20" s="496">
        <v>11</v>
      </c>
      <c r="V20" s="261">
        <f>'[6]Degree Days 2022'!V20</f>
        <v>0</v>
      </c>
      <c r="W20" s="261">
        <f>'[6]Degree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'[7]Degree Days 2022'!B21</f>
        <v>0</v>
      </c>
      <c r="C21" s="261">
        <f>'General information '!C16</f>
        <v>25</v>
      </c>
      <c r="D21" s="261">
        <f>'[8]Degree Days 2020'!D21</f>
        <v>0.19999999999999929</v>
      </c>
      <c r="E21" s="496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6">
        <f>'[8]Degree Days 2020'!I21</f>
        <v>12</v>
      </c>
      <c r="J21" s="261">
        <f>'[10]Degree Days 2022'!J21</f>
        <v>0</v>
      </c>
      <c r="K21" s="261">
        <f>'[10]Degree Days 2022'!K21</f>
        <v>0</v>
      </c>
      <c r="L21" s="261">
        <f>'[8]Degree Days 2020'!L21</f>
        <v>-2.8000000000000007</v>
      </c>
      <c r="M21" s="496">
        <f>'[11]Degree Days 2020'!M21</f>
        <v>12</v>
      </c>
      <c r="N21" s="261">
        <f>'[12]Degree Days 2022'!N21</f>
        <v>20</v>
      </c>
      <c r="O21" s="261">
        <f>'[12]Degree Days 2022'!O21</f>
        <v>16</v>
      </c>
      <c r="P21" s="261">
        <f t="shared" si="0"/>
        <v>-0.30000000000000071</v>
      </c>
      <c r="Q21" s="496">
        <v>12</v>
      </c>
      <c r="R21" s="261">
        <f>'[13]Degree Days 2022'!R21</f>
        <v>22</v>
      </c>
      <c r="S21" s="261">
        <f>'[13]Degree Days 2022'!S21</f>
        <v>17</v>
      </c>
      <c r="T21" s="261">
        <f t="shared" si="1"/>
        <v>1.1999999999999993</v>
      </c>
      <c r="U21" s="496">
        <v>12</v>
      </c>
      <c r="V21" s="261">
        <f>'[6]Degree Days 2022'!V21</f>
        <v>0</v>
      </c>
      <c r="W21" s="261">
        <f>'[6]Degree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'[7]Degree Days 2022'!B22</f>
        <v>16</v>
      </c>
      <c r="C22" s="261">
        <f>'General information '!C17</f>
        <v>23</v>
      </c>
      <c r="D22" s="261">
        <f>'[8]Degree Days 2020'!D22</f>
        <v>-3.3000000000000007</v>
      </c>
      <c r="E22" s="496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6">
        <f>'[8]Degree Days 2020'!I22</f>
        <v>13</v>
      </c>
      <c r="J22" s="261">
        <f>'[10]Degree Days 2022'!J22</f>
        <v>13</v>
      </c>
      <c r="K22" s="261">
        <f>'[10]Degree Days 2022'!K22</f>
        <v>9</v>
      </c>
      <c r="L22" s="261">
        <f>'[8]Degree Days 2020'!L22</f>
        <v>-1.3000000000000007</v>
      </c>
      <c r="M22" s="496">
        <f>'[11]Degree Days 2020'!M22</f>
        <v>13</v>
      </c>
      <c r="N22" s="261">
        <f>'[12]Degree Days 2022'!N22</f>
        <v>20</v>
      </c>
      <c r="O22" s="261">
        <f>'[12]Degree Days 2022'!O22</f>
        <v>17</v>
      </c>
      <c r="P22" s="261">
        <f t="shared" si="0"/>
        <v>0.19999999999999929</v>
      </c>
      <c r="Q22" s="496">
        <v>13</v>
      </c>
      <c r="R22" s="261">
        <f>'[13]Degree Days 2022'!R22</f>
        <v>0</v>
      </c>
      <c r="S22" s="261">
        <f>'[13]Degree Days 2022'!S22</f>
        <v>0</v>
      </c>
      <c r="T22" s="261">
        <f t="shared" si="1"/>
        <v>-18.3</v>
      </c>
      <c r="U22" s="496">
        <v>13</v>
      </c>
      <c r="V22" s="261">
        <f>'[6]Degree Days 2022'!V22</f>
        <v>0</v>
      </c>
      <c r="W22" s="261">
        <f>'[6]Degree Days 2022'!W22</f>
        <v>0</v>
      </c>
      <c r="X22" s="261">
        <f t="shared" si="2"/>
        <v>-18.3</v>
      </c>
    </row>
    <row r="23" spans="1:28">
      <c r="A23" s="117">
        <v>14</v>
      </c>
      <c r="B23" s="261">
        <f>'[7]Degree Days 2022'!B23</f>
        <v>0</v>
      </c>
      <c r="C23" s="261">
        <f>'General information '!C18</f>
        <v>26</v>
      </c>
      <c r="D23" s="261">
        <f>'[8]Degree Days 2020'!D23</f>
        <v>-3.8000000000000007</v>
      </c>
      <c r="E23" s="496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6">
        <f>'[8]Degree Days 2020'!I23</f>
        <v>14</v>
      </c>
      <c r="J23" s="261">
        <f>'[10]Degree Days 2022'!J23</f>
        <v>12</v>
      </c>
      <c r="K23" s="261">
        <f>'[10]Degree Days 2022'!K23</f>
        <v>8</v>
      </c>
      <c r="L23" s="261">
        <f>'[8]Degree Days 2020'!L23</f>
        <v>-1.3000000000000007</v>
      </c>
      <c r="M23" s="496">
        <f>'[11]Degree Days 2020'!M23</f>
        <v>14</v>
      </c>
      <c r="N23" s="261">
        <f>'[12]Degree Days 2022'!N23</f>
        <v>0</v>
      </c>
      <c r="O23" s="261">
        <f>'[12]Degree Days 2022'!O23</f>
        <v>0</v>
      </c>
      <c r="P23" s="261">
        <f t="shared" si="0"/>
        <v>-18.3</v>
      </c>
      <c r="Q23" s="496">
        <v>14</v>
      </c>
      <c r="R23" s="261">
        <f>'[13]Degree Days 2022'!R23</f>
        <v>0</v>
      </c>
      <c r="S23" s="261">
        <f>'[13]Degree Days 2022'!S23</f>
        <v>0</v>
      </c>
      <c r="T23" s="261">
        <f t="shared" si="1"/>
        <v>-18.3</v>
      </c>
      <c r="U23" s="496">
        <v>14</v>
      </c>
      <c r="V23" s="261">
        <f>'[6]Degree Days 2022'!V23</f>
        <v>27</v>
      </c>
      <c r="W23" s="261">
        <f>'[6]Degree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'[7]Degree Days 2022'!B24</f>
        <v>0</v>
      </c>
      <c r="C24" s="261">
        <f>'General information '!C19</f>
        <v>25</v>
      </c>
      <c r="D24" s="261">
        <f>'[8]Degree Days 2020'!D24</f>
        <v>-2.3000000000000007</v>
      </c>
      <c r="E24" s="496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6">
        <f>'[8]Degree Days 2020'!I24</f>
        <v>15</v>
      </c>
      <c r="J24" s="261">
        <f>'[10]Degree Days 2022'!J24</f>
        <v>10</v>
      </c>
      <c r="K24" s="261">
        <f>'[10]Degree Days 2022'!K24</f>
        <v>5</v>
      </c>
      <c r="L24" s="261">
        <f>'[8]Degree Days 2020'!L24</f>
        <v>-1.3000000000000007</v>
      </c>
      <c r="M24" s="496">
        <f>'[11]Degree Days 2020'!M24</f>
        <v>15</v>
      </c>
      <c r="N24" s="261">
        <f>'[12]Degree Days 2022'!N24</f>
        <v>0</v>
      </c>
      <c r="O24" s="261">
        <f>'[12]Degree Days 2022'!O24</f>
        <v>0</v>
      </c>
      <c r="P24" s="261">
        <f t="shared" si="0"/>
        <v>-18.3</v>
      </c>
      <c r="Q24" s="496">
        <v>15</v>
      </c>
      <c r="R24" s="261">
        <f>'[13]Degree Days 2022'!R24</f>
        <v>22</v>
      </c>
      <c r="S24" s="261">
        <f>'[13]Degree Days 2022'!S24</f>
        <v>18</v>
      </c>
      <c r="T24" s="261">
        <f t="shared" si="1"/>
        <v>1.6999999999999993</v>
      </c>
      <c r="U24" s="496">
        <v>15</v>
      </c>
      <c r="V24" s="261">
        <f>'[6]Degree Days 2022'!V24</f>
        <v>28</v>
      </c>
      <c r="W24" s="261">
        <f>'[6]Degree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'[7]Degree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6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6">
        <f>'[8]Degree Days 2020'!I25</f>
        <v>16</v>
      </c>
      <c r="J25" s="261">
        <f>'[10]Degree Days 2022'!J25</f>
        <v>0</v>
      </c>
      <c r="K25" s="261">
        <f>'[10]Degree Days 2022'!K25</f>
        <v>0</v>
      </c>
      <c r="L25" s="261">
        <f>'[8]Degree Days 2020'!L25</f>
        <v>-1.8000000000000007</v>
      </c>
      <c r="M25" s="496">
        <f>'[11]Degree Days 2020'!M25</f>
        <v>16</v>
      </c>
      <c r="N25" s="261">
        <f>'[12]Degree Days 2022'!N25</f>
        <v>0</v>
      </c>
      <c r="O25" s="261">
        <f>'[12]Degree Days 2022'!O25</f>
        <v>0</v>
      </c>
      <c r="P25" s="261">
        <f t="shared" si="0"/>
        <v>-18.3</v>
      </c>
      <c r="Q25" s="496">
        <v>16</v>
      </c>
      <c r="R25" s="261">
        <f>'[13]Degree Days 2022'!R25</f>
        <v>22</v>
      </c>
      <c r="S25" s="261">
        <f>'[13]Degree Days 2022'!S25</f>
        <v>18</v>
      </c>
      <c r="T25" s="261">
        <f t="shared" si="1"/>
        <v>1.6999999999999993</v>
      </c>
      <c r="U25" s="496">
        <v>16</v>
      </c>
      <c r="V25" s="261">
        <f>'[6]Degree Days 2022'!V25</f>
        <v>30</v>
      </c>
      <c r="W25" s="261">
        <f>'[6]Degree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'[7]Degree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6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6">
        <f>'[8]Degree Days 2020'!I26</f>
        <v>17</v>
      </c>
      <c r="J26" s="261">
        <f>'[10]Degree Days 2022'!J26</f>
        <v>16</v>
      </c>
      <c r="K26" s="261">
        <f>'[10]Degree Days 2022'!K26</f>
        <v>9</v>
      </c>
      <c r="L26" s="261">
        <f>'[8]Degree Days 2020'!L26</f>
        <v>-0.80000000000000071</v>
      </c>
      <c r="M26" s="496">
        <f>'[11]Degree Days 2020'!M26</f>
        <v>17</v>
      </c>
      <c r="N26" s="261">
        <f>'[12]Degree Days 2022'!N26</f>
        <v>0</v>
      </c>
      <c r="O26" s="261">
        <f>'[12]Degree Days 2022'!O26</f>
        <v>0</v>
      </c>
      <c r="P26" s="261">
        <f t="shared" si="0"/>
        <v>-18.3</v>
      </c>
      <c r="Q26" s="496">
        <v>17</v>
      </c>
      <c r="R26" s="261">
        <f>'[13]Degree Days 2022'!R26</f>
        <v>23</v>
      </c>
      <c r="S26" s="261">
        <f>'[13]Degree Days 2022'!S26</f>
        <v>18</v>
      </c>
      <c r="T26" s="261">
        <f t="shared" si="1"/>
        <v>2.1999999999999993</v>
      </c>
      <c r="U26" s="496">
        <v>17</v>
      </c>
      <c r="V26" s="261">
        <f>'[6]Degree Days 2022'!V26</f>
        <v>0</v>
      </c>
      <c r="W26" s="261">
        <f>'[6]Degree Days 2022'!W26</f>
        <v>0</v>
      </c>
      <c r="X26" s="261">
        <f t="shared" si="2"/>
        <v>-18.3</v>
      </c>
    </row>
    <row r="27" spans="1:28">
      <c r="A27" s="117">
        <v>18</v>
      </c>
      <c r="B27" s="261">
        <f>'[7]Degree Days 2022'!B27</f>
        <v>15</v>
      </c>
      <c r="C27" s="261">
        <f>'General information '!C22</f>
        <v>25</v>
      </c>
      <c r="D27" s="261">
        <f>'[8]Degree Days 2020'!D27</f>
        <v>-7.3000000000000007</v>
      </c>
      <c r="E27" s="496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6">
        <f>'[8]Degree Days 2020'!I27</f>
        <v>18</v>
      </c>
      <c r="J27" s="261">
        <f>'[10]Degree Days 2022'!J27</f>
        <v>0</v>
      </c>
      <c r="K27" s="261">
        <f>'[10]Degree Days 2022'!K27</f>
        <v>0</v>
      </c>
      <c r="L27" s="261">
        <f>'[8]Degree Days 2020'!L27</f>
        <v>-0.80000000000000071</v>
      </c>
      <c r="M27" s="496">
        <f>'[11]Degree Days 2020'!M27</f>
        <v>18</v>
      </c>
      <c r="N27" s="261">
        <f>'[12]Degree Days 2022'!N27</f>
        <v>35</v>
      </c>
      <c r="O27" s="261">
        <f>'[12]Degree Days 2022'!O27</f>
        <v>19</v>
      </c>
      <c r="P27" s="261">
        <f t="shared" si="0"/>
        <v>8.6999999999999993</v>
      </c>
      <c r="Q27" s="496">
        <v>18</v>
      </c>
      <c r="R27" s="261">
        <f>'[13]Degree Days 2022'!R27</f>
        <v>23</v>
      </c>
      <c r="S27" s="261">
        <f>'[13]Degree Days 2022'!S27</f>
        <v>17</v>
      </c>
      <c r="T27" s="261">
        <f t="shared" si="1"/>
        <v>1.6999999999999993</v>
      </c>
      <c r="U27" s="496">
        <v>18</v>
      </c>
      <c r="V27" s="261">
        <f>'[6]Degree Days 2022'!V27</f>
        <v>0</v>
      </c>
      <c r="W27" s="261">
        <f>'[6]Degree Days 2022'!W27</f>
        <v>0</v>
      </c>
      <c r="X27" s="261">
        <f t="shared" si="2"/>
        <v>-18.3</v>
      </c>
    </row>
    <row r="28" spans="1:28">
      <c r="A28" s="117">
        <v>19</v>
      </c>
      <c r="B28" s="261">
        <f>'[7]Degree Days 2022'!B28</f>
        <v>14</v>
      </c>
      <c r="C28" s="261">
        <f>'General information '!C23</f>
        <v>24</v>
      </c>
      <c r="D28" s="261">
        <f>'[8]Degree Days 2020'!D28</f>
        <v>-4.8000000000000007</v>
      </c>
      <c r="E28" s="496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6">
        <f>'[8]Degree Days 2020'!I28</f>
        <v>19</v>
      </c>
      <c r="J28" s="261">
        <f>'[10]Degree Days 2022'!J28</f>
        <v>0</v>
      </c>
      <c r="K28" s="261">
        <f>'[10]Degree Days 2022'!K28</f>
        <v>0</v>
      </c>
      <c r="L28" s="261">
        <f>'[8]Degree Days 2020'!L28</f>
        <v>-0.30000000000000071</v>
      </c>
      <c r="M28" s="496">
        <f>'[11]Degree Days 2020'!M28</f>
        <v>19</v>
      </c>
      <c r="N28" s="261">
        <f>'[12]Degree Days 2022'!N28</f>
        <v>21</v>
      </c>
      <c r="O28" s="261">
        <f>'[12]Degree Days 2022'!O28</f>
        <v>16</v>
      </c>
      <c r="P28" s="261">
        <f t="shared" si="0"/>
        <v>0.19999999999999929</v>
      </c>
      <c r="Q28" s="496">
        <v>19</v>
      </c>
      <c r="R28" s="261">
        <f>'[13]Degree Days 2022'!R28</f>
        <v>24</v>
      </c>
      <c r="S28" s="261">
        <f>'[13]Degree Days 2022'!S28</f>
        <v>19</v>
      </c>
      <c r="T28" s="261">
        <f t="shared" si="1"/>
        <v>3.1999999999999993</v>
      </c>
      <c r="U28" s="496">
        <v>19</v>
      </c>
      <c r="V28" s="261">
        <f>'[6]Degree Days 2022'!V28</f>
        <v>0</v>
      </c>
      <c r="W28" s="261">
        <f>'[6]Degree Days 2022'!W28</f>
        <v>0</v>
      </c>
      <c r="X28" s="261">
        <f t="shared" si="2"/>
        <v>-18.3</v>
      </c>
    </row>
    <row r="29" spans="1:28">
      <c r="A29" s="117">
        <v>20</v>
      </c>
      <c r="B29" s="261">
        <f>'[7]Degree Days 2022'!B29</f>
        <v>11</v>
      </c>
      <c r="C29" s="261">
        <f>'General information '!C24</f>
        <v>23</v>
      </c>
      <c r="D29" s="261">
        <f>'[8]Degree Days 2020'!D29</f>
        <v>-4.8000000000000007</v>
      </c>
      <c r="E29" s="496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6">
        <f>'[8]Degree Days 2020'!I29</f>
        <v>20</v>
      </c>
      <c r="J29" s="261">
        <f>'[10]Degree Days 2022'!J29</f>
        <v>11</v>
      </c>
      <c r="K29" s="261">
        <f>'[10]Degree Days 2022'!K29</f>
        <v>9</v>
      </c>
      <c r="L29" s="261">
        <f>'[8]Degree Days 2020'!L29</f>
        <v>1.1999999999999993</v>
      </c>
      <c r="M29" s="496">
        <f>'[11]Degree Days 2020'!M29</f>
        <v>20</v>
      </c>
      <c r="N29" s="261">
        <f>'[12]Degree Days 2022'!N29</f>
        <v>20</v>
      </c>
      <c r="O29" s="261">
        <f>'[12]Degree Days 2022'!O29</f>
        <v>16</v>
      </c>
      <c r="P29" s="261">
        <f t="shared" si="0"/>
        <v>-0.30000000000000071</v>
      </c>
      <c r="Q29" s="496">
        <v>20</v>
      </c>
      <c r="R29" s="261">
        <f>'[13]Degree Days 2022'!R29</f>
        <v>0</v>
      </c>
      <c r="S29" s="261">
        <f>'[13]Degree Days 2022'!S29</f>
        <v>0</v>
      </c>
      <c r="T29" s="261">
        <f t="shared" si="1"/>
        <v>-18.3</v>
      </c>
      <c r="U29" s="496">
        <v>20</v>
      </c>
      <c r="V29" s="261">
        <f>'[6]Degree Days 2022'!V29</f>
        <v>27</v>
      </c>
      <c r="W29" s="261">
        <f>'[6]Degree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'[7]Degree Days 2022'!B30</f>
        <v>0</v>
      </c>
      <c r="C30" s="261">
        <f>'General information '!C25</f>
        <v>23</v>
      </c>
      <c r="D30" s="261">
        <f>'[8]Degree Days 2020'!D30</f>
        <v>-5.8000000000000007</v>
      </c>
      <c r="E30" s="496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6">
        <f>'[8]Degree Days 2020'!I30</f>
        <v>21</v>
      </c>
      <c r="J30" s="261">
        <f>'[10]Degree Days 2022'!J30</f>
        <v>14</v>
      </c>
      <c r="K30" s="261">
        <f>'[10]Degree Days 2022'!K30</f>
        <v>8</v>
      </c>
      <c r="L30" s="261">
        <f>'[8]Degree Days 2020'!L30</f>
        <v>0.19999999999999929</v>
      </c>
      <c r="M30" s="496">
        <f>'[11]Degree Days 2020'!M30</f>
        <v>21</v>
      </c>
      <c r="N30" s="261">
        <f>'[12]Degree Days 2022'!N30</f>
        <v>0</v>
      </c>
      <c r="O30" s="261">
        <f>'[12]Degree Days 2022'!O30</f>
        <v>0</v>
      </c>
      <c r="P30" s="261">
        <f t="shared" si="0"/>
        <v>-18.3</v>
      </c>
      <c r="Q30" s="496">
        <v>21</v>
      </c>
      <c r="R30" s="261">
        <f>'[13]Degree Days 2022'!R30</f>
        <v>0</v>
      </c>
      <c r="S30" s="261">
        <f>'[13]Degree Days 2022'!S30</f>
        <v>0</v>
      </c>
      <c r="T30" s="261">
        <f t="shared" si="1"/>
        <v>-18.3</v>
      </c>
      <c r="U30" s="496">
        <v>21</v>
      </c>
      <c r="V30" s="261">
        <f>'[6]Degree Days 2022'!V30</f>
        <v>28</v>
      </c>
      <c r="W30" s="261">
        <f>'[6]Degree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'[7]Degree Days 2022'!B31</f>
        <v>0</v>
      </c>
      <c r="C31" s="261">
        <f>'General information '!C26</f>
        <v>23</v>
      </c>
      <c r="D31" s="261">
        <f>'[8]Degree Days 2020'!D31</f>
        <v>-4.8000000000000007</v>
      </c>
      <c r="E31" s="496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6">
        <f>'[8]Degree Days 2020'!I31</f>
        <v>22</v>
      </c>
      <c r="J31" s="261">
        <f>'[10]Degree Days 2022'!J31</f>
        <v>15</v>
      </c>
      <c r="K31" s="261">
        <f>'[10]Degree Days 2022'!K31</f>
        <v>11</v>
      </c>
      <c r="L31" s="261">
        <f>'[8]Degree Days 2020'!L31</f>
        <v>1.6999999999999993</v>
      </c>
      <c r="M31" s="496">
        <f>'[11]Degree Days 2020'!M31</f>
        <v>22</v>
      </c>
      <c r="N31" s="261">
        <f>'[12]Degree Days 2022'!N31</f>
        <v>0</v>
      </c>
      <c r="O31" s="261">
        <f>'[12]Degree Days 2022'!O31</f>
        <v>0</v>
      </c>
      <c r="P31" s="261">
        <f t="shared" si="0"/>
        <v>-18.3</v>
      </c>
      <c r="Q31" s="496">
        <v>22</v>
      </c>
      <c r="R31" s="261">
        <f>'[13]Degree Days 2022'!R31</f>
        <v>24</v>
      </c>
      <c r="S31" s="261">
        <f>'[13]Degree Days 2022'!S31</f>
        <v>21</v>
      </c>
      <c r="T31" s="261">
        <f t="shared" si="1"/>
        <v>4.1999999999999993</v>
      </c>
      <c r="U31" s="496">
        <v>22</v>
      </c>
      <c r="V31" s="261">
        <f>'[6]Degree Days 2022'!V31</f>
        <v>0</v>
      </c>
      <c r="W31" s="261">
        <f>'[6]Degree Days 2022'!W31</f>
        <v>0</v>
      </c>
      <c r="X31" s="261">
        <f t="shared" si="2"/>
        <v>-18.3</v>
      </c>
    </row>
    <row r="32" spans="1:28">
      <c r="A32" s="117">
        <v>23</v>
      </c>
      <c r="B32" s="261">
        <f>'[7]Degree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6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6">
        <f>'[8]Degree Days 2020'!I32</f>
        <v>23</v>
      </c>
      <c r="J32" s="261">
        <f>'[10]Degree Days 2022'!J32</f>
        <v>15</v>
      </c>
      <c r="K32" s="261">
        <f>'[10]Degree Days 2022'!K32</f>
        <v>9</v>
      </c>
      <c r="L32" s="261">
        <f>'[8]Degree Days 2020'!L32</f>
        <v>6.6999999999999993</v>
      </c>
      <c r="M32" s="496">
        <f>'[11]Degree Days 2020'!M32</f>
        <v>23</v>
      </c>
      <c r="N32" s="261">
        <f>'[12]Degree Days 2022'!N32</f>
        <v>0</v>
      </c>
      <c r="O32" s="261">
        <f>'[12]Degree Days 2022'!O32</f>
        <v>0</v>
      </c>
      <c r="P32" s="261">
        <f t="shared" si="0"/>
        <v>-18.3</v>
      </c>
      <c r="Q32" s="496">
        <v>23</v>
      </c>
      <c r="R32" s="261">
        <f>'[13]Degree Days 2022'!R32</f>
        <v>24</v>
      </c>
      <c r="S32" s="261">
        <f>'[13]Degree Days 2022'!S32</f>
        <v>20</v>
      </c>
      <c r="T32" s="261">
        <f t="shared" si="1"/>
        <v>3.6999999999999993</v>
      </c>
      <c r="U32" s="496">
        <v>23</v>
      </c>
      <c r="V32" s="261">
        <f>'[6]Degree Days 2022'!V32</f>
        <v>0</v>
      </c>
      <c r="W32" s="261">
        <f>'[6]Degree Days 2022'!W32</f>
        <v>0</v>
      </c>
      <c r="X32" s="261">
        <f t="shared" si="2"/>
        <v>-18.3</v>
      </c>
    </row>
    <row r="33" spans="1:24">
      <c r="A33" s="117">
        <v>24</v>
      </c>
      <c r="B33" s="261">
        <f>'[7]Degree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6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6">
        <f>'[8]Degree Days 2020'!I33</f>
        <v>24</v>
      </c>
      <c r="J33" s="261">
        <f>'[10]Degree Days 2022'!J33</f>
        <v>13</v>
      </c>
      <c r="K33" s="261">
        <f>'[10]Degree Days 2022'!K33</f>
        <v>9</v>
      </c>
      <c r="L33" s="261">
        <f>'[8]Degree Days 2020'!L33</f>
        <v>-4.8000000000000007</v>
      </c>
      <c r="M33" s="496">
        <f>'[11]Degree Days 2020'!M33</f>
        <v>24</v>
      </c>
      <c r="N33" s="261">
        <f>'[12]Degree Days 2022'!N33</f>
        <v>0</v>
      </c>
      <c r="O33" s="261">
        <f>'[12]Degree Days 2022'!O33</f>
        <v>0</v>
      </c>
      <c r="P33" s="261">
        <f t="shared" si="0"/>
        <v>-18.3</v>
      </c>
      <c r="Q33" s="496">
        <v>24</v>
      </c>
      <c r="R33" s="261">
        <f>'[13]Degree Days 2022'!R33</f>
        <v>24</v>
      </c>
      <c r="S33" s="261">
        <f>'[13]Degree Days 2022'!S33</f>
        <v>20</v>
      </c>
      <c r="T33" s="261">
        <f t="shared" si="1"/>
        <v>3.6999999999999993</v>
      </c>
      <c r="U33" s="496">
        <v>24</v>
      </c>
      <c r="V33" s="261">
        <f>'[6]Degree Days 2022'!V33</f>
        <v>0</v>
      </c>
      <c r="W33" s="261">
        <f>'[6]Degree Days 2022'!W33</f>
        <v>0</v>
      </c>
      <c r="X33" s="261">
        <f t="shared" si="2"/>
        <v>-18.3</v>
      </c>
    </row>
    <row r="34" spans="1:24">
      <c r="A34" s="117">
        <v>25</v>
      </c>
      <c r="B34" s="261">
        <f>'[7]Degree Days 2022'!B34</f>
        <v>16</v>
      </c>
      <c r="C34" s="261">
        <f>'General information '!C29</f>
        <v>24</v>
      </c>
      <c r="D34" s="261">
        <f>'[8]Degree Days 2020'!D34</f>
        <v>-1.8000000000000007</v>
      </c>
      <c r="E34" s="496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6">
        <f>'[8]Degree Days 2020'!I34</f>
        <v>25</v>
      </c>
      <c r="J34" s="261">
        <f>'[10]Degree Days 2022'!J34</f>
        <v>0</v>
      </c>
      <c r="K34" s="261">
        <f>'[10]Degree Days 2022'!K34</f>
        <v>0</v>
      </c>
      <c r="L34" s="261">
        <f>'[8]Degree Days 2020'!L34</f>
        <v>-4.8000000000000007</v>
      </c>
      <c r="M34" s="496">
        <f>'[11]Degree Days 2020'!M34</f>
        <v>25</v>
      </c>
      <c r="N34" s="261">
        <f>'[12]Degree Days 2022'!N34</f>
        <v>23</v>
      </c>
      <c r="O34" s="261">
        <f>'[12]Degree Days 2022'!O34</f>
        <v>18</v>
      </c>
      <c r="P34" s="261">
        <f t="shared" si="0"/>
        <v>2.1999999999999993</v>
      </c>
      <c r="Q34" s="496">
        <v>25</v>
      </c>
      <c r="R34" s="261">
        <f>'[13]Degree Days 2022'!R34</f>
        <v>24</v>
      </c>
      <c r="S34" s="261">
        <f>'[13]Degree Days 2022'!S34</f>
        <v>20</v>
      </c>
      <c r="T34" s="261">
        <f t="shared" si="1"/>
        <v>3.6999999999999993</v>
      </c>
      <c r="U34" s="496">
        <v>25</v>
      </c>
      <c r="V34" s="261">
        <f>'[6]Degree Days 2022'!V34</f>
        <v>0</v>
      </c>
      <c r="W34" s="261">
        <f>'[6]Degree Days 2022'!W34</f>
        <v>0</v>
      </c>
      <c r="X34" s="261">
        <f t="shared" si="2"/>
        <v>-18.3</v>
      </c>
    </row>
    <row r="35" spans="1:24">
      <c r="A35" s="117">
        <v>26</v>
      </c>
      <c r="B35" s="261">
        <f>'[7]Degree Days 2022'!B35</f>
        <v>12</v>
      </c>
      <c r="C35" s="261">
        <f>'General information '!C30</f>
        <v>23</v>
      </c>
      <c r="D35" s="261">
        <f>'[8]Degree Days 2020'!D35</f>
        <v>-3.8000000000000007</v>
      </c>
      <c r="E35" s="496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6">
        <f>'[8]Degree Days 2020'!I35</f>
        <v>26</v>
      </c>
      <c r="J35" s="261">
        <f>'[10]Degree Days 2022'!J35</f>
        <v>0</v>
      </c>
      <c r="K35" s="261">
        <f>'[10]Degree Days 2022'!K35</f>
        <v>0</v>
      </c>
      <c r="L35" s="261">
        <f>'[8]Degree Days 2020'!L35</f>
        <v>-5.3000000000000007</v>
      </c>
      <c r="M35" s="496">
        <f>'[11]Degree Days 2020'!M35</f>
        <v>26</v>
      </c>
      <c r="N35" s="261">
        <f>'[12]Degree Days 2022'!N35</f>
        <v>25</v>
      </c>
      <c r="O35" s="261">
        <f>'[12]Degree Days 2022'!O35</f>
        <v>16</v>
      </c>
      <c r="P35" s="261">
        <f t="shared" si="0"/>
        <v>2.1999999999999993</v>
      </c>
      <c r="Q35" s="496">
        <v>26</v>
      </c>
      <c r="R35" s="261">
        <f>'[13]Degree Days 2022'!R35</f>
        <v>28</v>
      </c>
      <c r="S35" s="261">
        <f>'[13]Degree Days 2022'!S35</f>
        <v>19</v>
      </c>
      <c r="T35" s="261">
        <f t="shared" si="1"/>
        <v>5.1999999999999993</v>
      </c>
      <c r="U35" s="496">
        <v>26</v>
      </c>
      <c r="V35" s="261">
        <f>'[6]Degree Days 2022'!V35</f>
        <v>29</v>
      </c>
      <c r="W35" s="261">
        <f>'[6]Degree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'[7]Degree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6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6">
        <f>'[8]Degree Days 2020'!I36</f>
        <v>27</v>
      </c>
      <c r="J36" s="261">
        <f>'[10]Degree Days 2022'!J36</f>
        <v>18</v>
      </c>
      <c r="K36" s="261">
        <f>'[10]Degree Days 2022'!K36</f>
        <v>11</v>
      </c>
      <c r="L36" s="261">
        <f>'[8]Degree Days 2020'!L36</f>
        <v>-4.3000000000000007</v>
      </c>
      <c r="M36" s="496">
        <f>'[11]Degree Days 2020'!M36</f>
        <v>27</v>
      </c>
      <c r="N36" s="261">
        <f>'[12]Degree Days 2022'!N36</f>
        <v>23</v>
      </c>
      <c r="O36" s="261">
        <f>'[12]Degree Days 2022'!O36</f>
        <v>17</v>
      </c>
      <c r="P36" s="261">
        <f t="shared" si="0"/>
        <v>1.6999999999999993</v>
      </c>
      <c r="Q36" s="496">
        <v>27</v>
      </c>
      <c r="R36" s="261">
        <f>'[13]Degree Days 2022'!R36</f>
        <v>0</v>
      </c>
      <c r="S36" s="261">
        <f>'[13]Degree Days 2022'!S36</f>
        <v>0</v>
      </c>
      <c r="T36" s="261">
        <f t="shared" si="1"/>
        <v>-18.3</v>
      </c>
      <c r="U36" s="496">
        <v>27</v>
      </c>
      <c r="V36" s="261">
        <f>'[6]Degree Days 2022'!V36</f>
        <v>29</v>
      </c>
      <c r="W36" s="261">
        <f>'[6]Degree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'[7]Degree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6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6">
        <f>'[8]Degree Days 2020'!I37</f>
        <v>28</v>
      </c>
      <c r="J37" s="261">
        <f>'[10]Degree Days 2022'!J37</f>
        <v>18</v>
      </c>
      <c r="K37" s="261">
        <f>'[10]Degree Days 2022'!K37</f>
        <v>11</v>
      </c>
      <c r="L37" s="261">
        <f>'[8]Degree Days 2020'!L37</f>
        <v>-3.3000000000000007</v>
      </c>
      <c r="M37" s="496">
        <f>'[11]Degree Days 2020'!M37</f>
        <v>28</v>
      </c>
      <c r="N37" s="261">
        <f>'[12]Degree Days 2022'!N37</f>
        <v>22</v>
      </c>
      <c r="O37" s="261">
        <f>'[12]Degree Days 2022'!O37</f>
        <v>19</v>
      </c>
      <c r="P37" s="261">
        <f t="shared" si="0"/>
        <v>2.1999999999999993</v>
      </c>
      <c r="Q37" s="496">
        <v>28</v>
      </c>
      <c r="R37" s="261">
        <f>'[13]Degree Days 2022'!R37</f>
        <v>0</v>
      </c>
      <c r="S37" s="261">
        <f>'[13]Degree Days 2022'!S37</f>
        <v>0</v>
      </c>
      <c r="T37" s="261">
        <f t="shared" si="1"/>
        <v>-18.3</v>
      </c>
      <c r="U37" s="496">
        <v>28</v>
      </c>
      <c r="V37" s="261">
        <f>'[6]Degree Days 2022'!V37</f>
        <v>28</v>
      </c>
      <c r="W37" s="261">
        <f>'[6]Degree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'[7]Degree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6"/>
      <c r="F38" s="261"/>
      <c r="G38" s="261"/>
      <c r="H38" s="261"/>
      <c r="I38" s="496">
        <f>'[8]Degree Days 2020'!I38</f>
        <v>29</v>
      </c>
      <c r="J38" s="261">
        <f>'[10]Degree Days 2022'!J38</f>
        <v>22</v>
      </c>
      <c r="K38" s="261">
        <f>'[10]Degree Days 2022'!K38</f>
        <v>12</v>
      </c>
      <c r="L38" s="261">
        <f>'[8]Degree Days 2020'!L38</f>
        <v>-2.8000000000000007</v>
      </c>
      <c r="M38" s="496">
        <f>'[11]Degree Days 2020'!M38</f>
        <v>29</v>
      </c>
      <c r="N38" s="261">
        <f>'[12]Degree Days 2022'!N38</f>
        <v>0</v>
      </c>
      <c r="O38" s="261">
        <f>'[12]Degree Days 2022'!O38</f>
        <v>0</v>
      </c>
      <c r="P38" s="261">
        <f t="shared" si="0"/>
        <v>-18.3</v>
      </c>
      <c r="Q38" s="496">
        <v>29</v>
      </c>
      <c r="R38" s="261">
        <f>'[13]Degree Days 2022'!R38</f>
        <v>0</v>
      </c>
      <c r="S38" s="261">
        <f>'[13]Degree Days 2022'!S38</f>
        <v>0</v>
      </c>
      <c r="T38" s="261">
        <f t="shared" si="1"/>
        <v>-18.3</v>
      </c>
      <c r="U38" s="496">
        <v>29</v>
      </c>
      <c r="V38" s="261">
        <f>'[6]Degree Days 2022'!V38</f>
        <v>29</v>
      </c>
      <c r="W38" s="261">
        <f>'[6]Degree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'[7]Degree Days 2022'!B39</f>
        <v>17</v>
      </c>
      <c r="C39" s="261">
        <f>'General information '!C34</f>
        <v>0</v>
      </c>
      <c r="D39" s="261">
        <f>'[8]Degree Days 2020'!D39</f>
        <v>-11.3</v>
      </c>
      <c r="E39" s="496"/>
      <c r="F39" s="261"/>
      <c r="G39" s="261"/>
      <c r="H39" s="261"/>
      <c r="I39" s="496">
        <f>'[8]Degree Days 2020'!I39</f>
        <v>30</v>
      </c>
      <c r="J39" s="261">
        <f>'[10]Degree Days 2022'!J39</f>
        <v>19</v>
      </c>
      <c r="K39" s="261">
        <f>'[10]Degree Days 2022'!K39</f>
        <v>15</v>
      </c>
      <c r="L39" s="261">
        <f>'[8]Degree Days 2020'!L39</f>
        <v>-2.3000000000000007</v>
      </c>
      <c r="M39" s="496">
        <f>'[11]Degree Days 2020'!M39</f>
        <v>30</v>
      </c>
      <c r="N39" s="261">
        <f>'[12]Degree Days 2022'!N39</f>
        <v>0</v>
      </c>
      <c r="O39" s="261">
        <f>'[12]Degree Days 2022'!O39</f>
        <v>0</v>
      </c>
      <c r="P39" s="261">
        <f t="shared" si="0"/>
        <v>-18.3</v>
      </c>
      <c r="Q39" s="496">
        <v>30</v>
      </c>
      <c r="R39" s="261">
        <f>'[13]Degree Days 2022'!R39</f>
        <v>27</v>
      </c>
      <c r="S39" s="261">
        <f>'[13]Degree Days 2022'!S39</f>
        <v>22</v>
      </c>
      <c r="T39" s="261">
        <f t="shared" si="1"/>
        <v>6.1999999999999993</v>
      </c>
      <c r="U39" s="496">
        <v>30</v>
      </c>
      <c r="V39" s="261">
        <f>'[6]Degree Days 2022'!V39</f>
        <v>29</v>
      </c>
      <c r="W39" s="261">
        <f>'[6]Degree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'[7]Degree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6"/>
      <c r="F40" s="261"/>
      <c r="G40" s="261"/>
      <c r="H40" s="261"/>
      <c r="I40" s="496">
        <f>'[8]Degree Days 2020'!I40</f>
        <v>31</v>
      </c>
      <c r="J40" s="261">
        <f>'[10]Degree Days 2022'!J40</f>
        <v>21</v>
      </c>
      <c r="K40" s="261">
        <f>'[10]Degree Days 2022'!K40</f>
        <v>13</v>
      </c>
      <c r="L40" s="261">
        <f>'[8]Degree Days 2020'!L40</f>
        <v>-2.8000000000000007</v>
      </c>
      <c r="M40" s="496"/>
      <c r="N40" s="261"/>
      <c r="O40" s="261"/>
      <c r="P40" s="261"/>
      <c r="Q40" s="496">
        <v>31</v>
      </c>
      <c r="R40" s="261">
        <f>'[13]Degree Days 2022'!R40</f>
        <v>26</v>
      </c>
      <c r="S40" s="261">
        <f>'[13]Degree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'[5]General information '!B5</f>
        <v>0</v>
      </c>
      <c r="C48" s="261">
        <f>'[5]General information '!C5</f>
        <v>0</v>
      </c>
      <c r="D48" s="119">
        <f t="shared" ref="D48:D56" si="3">(B48+C48)/2-18.3</f>
        <v>-18.3</v>
      </c>
      <c r="E48" s="117">
        <v>1</v>
      </c>
      <c r="F48" s="261">
        <f>'[2]General information '!B5</f>
        <v>31</v>
      </c>
      <c r="G48" s="261">
        <f>'[2]General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31</v>
      </c>
      <c r="K48" s="261">
        <f>'General information '!C5</f>
        <v>28</v>
      </c>
      <c r="L48" s="119">
        <f>(J48+K48)/2-18.3</f>
        <v>11.2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'[5]General information '!B6</f>
        <v>0</v>
      </c>
      <c r="C49" s="261">
        <f>'[5]General information '!C6</f>
        <v>0</v>
      </c>
      <c r="D49" s="119">
        <f t="shared" si="3"/>
        <v>-18.3</v>
      </c>
      <c r="E49" s="117">
        <v>2</v>
      </c>
      <c r="F49" s="261">
        <f>'[2]General information '!B6</f>
        <v>31</v>
      </c>
      <c r="G49" s="261">
        <f>'[2]General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0</v>
      </c>
      <c r="K49" s="261">
        <f>'General information '!C6</f>
        <v>0</v>
      </c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'[5]General information '!B7</f>
        <v>29</v>
      </c>
      <c r="C50" s="261">
        <f>'[5]General information '!C7</f>
        <v>26</v>
      </c>
      <c r="D50" s="119">
        <f t="shared" si="3"/>
        <v>9.1999999999999993</v>
      </c>
      <c r="E50" s="117">
        <v>3</v>
      </c>
      <c r="F50" s="261">
        <f>'[2]General information '!B7</f>
        <v>0</v>
      </c>
      <c r="G50" s="261">
        <f>'[2]General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'[5]General information '!B8</f>
        <v>29</v>
      </c>
      <c r="C51" s="261">
        <f>'[5]General information '!C8</f>
        <v>25</v>
      </c>
      <c r="D51" s="119">
        <f t="shared" si="3"/>
        <v>8.6999999999999993</v>
      </c>
      <c r="E51" s="117">
        <v>4</v>
      </c>
      <c r="F51" s="261">
        <f>'[2]General information '!B8</f>
        <v>30</v>
      </c>
      <c r="G51" s="261">
        <f>'[2]General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29</v>
      </c>
      <c r="K51" s="261">
        <f>'General information '!C8</f>
        <v>26</v>
      </c>
      <c r="L51" s="119">
        <f t="shared" si="6"/>
        <v>9.1999999999999993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'[5]General information '!B9</f>
        <v>30</v>
      </c>
      <c r="C52" s="261">
        <f>'[5]General information '!C9</f>
        <v>24</v>
      </c>
      <c r="D52" s="119">
        <f t="shared" si="3"/>
        <v>8.6999999999999993</v>
      </c>
      <c r="E52" s="117">
        <v>5</v>
      </c>
      <c r="F52" s="261">
        <f>'[2]General information '!B9</f>
        <v>0</v>
      </c>
      <c r="G52" s="261">
        <f>'[2]General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29</v>
      </c>
      <c r="K52" s="261">
        <f>'General information '!C9</f>
        <v>26</v>
      </c>
      <c r="L52" s="119">
        <f t="shared" si="6"/>
        <v>9.1999999999999993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'[5]General information '!B10</f>
        <v>30</v>
      </c>
      <c r="C53" s="261">
        <f>'[5]General information '!C10</f>
        <v>24</v>
      </c>
      <c r="D53" s="119">
        <f t="shared" si="3"/>
        <v>8.6999999999999993</v>
      </c>
      <c r="E53" s="117">
        <v>6</v>
      </c>
      <c r="F53" s="261">
        <f>'[2]General information '!B10</f>
        <v>0</v>
      </c>
      <c r="G53" s="261">
        <f>'[2]General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31</v>
      </c>
      <c r="K53" s="261">
        <f>'General information '!C10</f>
        <v>25</v>
      </c>
      <c r="L53" s="119">
        <f t="shared" si="6"/>
        <v>9.6999999999999993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'[5]General information '!B11</f>
        <v>0</v>
      </c>
      <c r="C54" s="261">
        <f>'[5]General information '!C11</f>
        <v>0</v>
      </c>
      <c r="D54" s="119">
        <f t="shared" si="3"/>
        <v>-18.3</v>
      </c>
      <c r="E54" s="117">
        <v>7</v>
      </c>
      <c r="F54" s="261">
        <f>'[2]General information '!B11</f>
        <v>0</v>
      </c>
      <c r="G54" s="261">
        <f>'[2]General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30</v>
      </c>
      <c r="K54" s="261">
        <f>'General information '!C11</f>
        <v>26</v>
      </c>
      <c r="L54" s="119">
        <f t="shared" si="6"/>
        <v>9.6999999999999993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'[5]General information '!B12</f>
        <v>0</v>
      </c>
      <c r="C55" s="261">
        <f>'[5]General information '!C12</f>
        <v>0</v>
      </c>
      <c r="D55" s="119">
        <f t="shared" si="3"/>
        <v>-18.3</v>
      </c>
      <c r="E55" s="117">
        <v>8</v>
      </c>
      <c r="F55" s="261">
        <f>'[2]General information '!B12</f>
        <v>30</v>
      </c>
      <c r="G55" s="261">
        <f>'[2]General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31</v>
      </c>
      <c r="K55" s="261">
        <f>'General information '!C12</f>
        <v>27</v>
      </c>
      <c r="L55" s="119">
        <f t="shared" si="6"/>
        <v>10.7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'[5]General information '!B13</f>
        <v>0</v>
      </c>
      <c r="C56" s="261">
        <f>'[5]General information '!C13</f>
        <v>0</v>
      </c>
      <c r="D56" s="119">
        <f t="shared" si="3"/>
        <v>-18.3</v>
      </c>
      <c r="E56" s="117">
        <v>9</v>
      </c>
      <c r="F56" s="261">
        <f>'[2]General information '!B13</f>
        <v>30</v>
      </c>
      <c r="G56" s="261">
        <f>'[2]General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'[5]General information '!B14</f>
        <v>0</v>
      </c>
      <c r="C57" s="261">
        <f>'[5]General information '!C14</f>
        <v>0</v>
      </c>
      <c r="D57" s="119">
        <f t="shared" ref="D57:D78" si="9">(B57+C57)/2-18.3</f>
        <v>-18.3</v>
      </c>
      <c r="E57" s="117">
        <v>10</v>
      </c>
      <c r="F57" s="261">
        <f>'[2]General information '!B14</f>
        <v>0</v>
      </c>
      <c r="G57" s="261">
        <f>'[2]General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'[5]General information '!B15</f>
        <v>30</v>
      </c>
      <c r="C58" s="261">
        <f>'[5]General information '!C15</f>
        <v>25</v>
      </c>
      <c r="D58" s="119">
        <f t="shared" si="9"/>
        <v>9.1999999999999993</v>
      </c>
      <c r="E58" s="117">
        <v>11</v>
      </c>
      <c r="F58" s="261">
        <f>'[2]General information '!B15</f>
        <v>0</v>
      </c>
      <c r="G58" s="261">
        <f>'[2]General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30</v>
      </c>
      <c r="K58" s="261">
        <f>'General information '!C15</f>
        <v>24</v>
      </c>
      <c r="L58" s="119">
        <f t="shared" si="6"/>
        <v>8.6999999999999993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'[5]General information '!B16</f>
        <v>31</v>
      </c>
      <c r="C59" s="261">
        <f>'[5]General information '!C16</f>
        <v>24</v>
      </c>
      <c r="D59" s="119">
        <f t="shared" si="9"/>
        <v>9.1999999999999993</v>
      </c>
      <c r="E59" s="117">
        <v>12</v>
      </c>
      <c r="F59" s="261">
        <f>'[2]General information '!B16</f>
        <v>0</v>
      </c>
      <c r="G59" s="261">
        <f>'[2]General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29</v>
      </c>
      <c r="K59" s="261">
        <f>'General information '!C16</f>
        <v>25</v>
      </c>
      <c r="L59" s="119">
        <f t="shared" si="6"/>
        <v>8.6999999999999993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'[5]General information '!B17</f>
        <v>30</v>
      </c>
      <c r="C60" s="261">
        <f>'[5]General information '!C17</f>
        <v>23</v>
      </c>
      <c r="D60" s="119">
        <f t="shared" si="9"/>
        <v>8.1999999999999993</v>
      </c>
      <c r="E60" s="117">
        <v>13</v>
      </c>
      <c r="F60" s="261">
        <f>'[2]General information '!B17</f>
        <v>0</v>
      </c>
      <c r="G60" s="261">
        <f>'[2]General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29</v>
      </c>
      <c r="K60" s="261">
        <f>'General information '!C17</f>
        <v>23</v>
      </c>
      <c r="L60" s="119">
        <f t="shared" si="6"/>
        <v>7.6999999999999993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'[5]General information '!B18</f>
        <v>27</v>
      </c>
      <c r="C61" s="261">
        <f>'[5]General information '!C18</f>
        <v>26</v>
      </c>
      <c r="D61" s="119">
        <f t="shared" si="9"/>
        <v>8.1999999999999993</v>
      </c>
      <c r="E61" s="117">
        <v>14</v>
      </c>
      <c r="F61" s="261">
        <f>'[2]General information '!B18</f>
        <v>0</v>
      </c>
      <c r="G61" s="261">
        <f>'[2]General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30</v>
      </c>
      <c r="K61" s="261">
        <f>'General information '!C18</f>
        <v>26</v>
      </c>
      <c r="L61" s="119">
        <f t="shared" si="6"/>
        <v>9.6999999999999993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'[5]General information '!B19</f>
        <v>0</v>
      </c>
      <c r="C62" s="261">
        <f>'[5]General information '!C19</f>
        <v>0</v>
      </c>
      <c r="D62" s="119">
        <f t="shared" si="9"/>
        <v>-18.3</v>
      </c>
      <c r="E62" s="117">
        <v>15</v>
      </c>
      <c r="F62" s="261">
        <f>'[2]General information '!B19</f>
        <v>0</v>
      </c>
      <c r="G62" s="261">
        <f>'[2]General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29</v>
      </c>
      <c r="K62" s="261">
        <f>'General information '!C19</f>
        <v>25</v>
      </c>
      <c r="L62" s="119">
        <f t="shared" si="6"/>
        <v>8.6999999999999993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'[5]General information '!B20</f>
        <v>0</v>
      </c>
      <c r="C63" s="261">
        <f>'[5]General information '!C20</f>
        <v>0</v>
      </c>
      <c r="D63" s="119">
        <f t="shared" si="9"/>
        <v>-18.3</v>
      </c>
      <c r="E63" s="117">
        <v>16</v>
      </c>
      <c r="F63" s="261">
        <f>'[2]General information '!B20</f>
        <v>30</v>
      </c>
      <c r="G63" s="261">
        <f>'[2]General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'[5]General information '!B21</f>
        <v>28</v>
      </c>
      <c r="C64" s="261">
        <f>'[5]General information '!C21</f>
        <v>26</v>
      </c>
      <c r="D64" s="119">
        <f t="shared" si="9"/>
        <v>8.6999999999999993</v>
      </c>
      <c r="E64" s="117">
        <v>17</v>
      </c>
      <c r="F64" s="261">
        <f>'[2]General information '!B21</f>
        <v>31</v>
      </c>
      <c r="G64" s="261">
        <f>'[2]General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0</v>
      </c>
      <c r="K64" s="261">
        <f>'General information '!C21</f>
        <v>0</v>
      </c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'[5]General information '!B22</f>
        <v>30</v>
      </c>
      <c r="C65" s="261">
        <f>'[5]General information '!C22</f>
        <v>25</v>
      </c>
      <c r="D65" s="119">
        <f t="shared" si="9"/>
        <v>9.1999999999999993</v>
      </c>
      <c r="E65" s="117">
        <v>18</v>
      </c>
      <c r="F65" s="261">
        <f>'[2]General information '!B22</f>
        <v>30</v>
      </c>
      <c r="G65" s="261">
        <f>'[2]General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29</v>
      </c>
      <c r="K65" s="261">
        <f>'General information '!C22</f>
        <v>25</v>
      </c>
      <c r="L65" s="119">
        <f t="shared" si="6"/>
        <v>8.6999999999999993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'[5]General information '!B23</f>
        <v>0</v>
      </c>
      <c r="C66" s="261">
        <f>'[5]General information '!C23</f>
        <v>0</v>
      </c>
      <c r="D66" s="119">
        <f t="shared" si="9"/>
        <v>-18.3</v>
      </c>
      <c r="E66" s="117">
        <v>19</v>
      </c>
      <c r="F66" s="261">
        <f>'[2]General information '!B23</f>
        <v>30</v>
      </c>
      <c r="G66" s="261">
        <f>'[2]General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28</v>
      </c>
      <c r="K66" s="261">
        <f>'General information '!C23</f>
        <v>24</v>
      </c>
      <c r="L66" s="119">
        <f t="shared" si="6"/>
        <v>7.6999999999999993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'[5]General information '!B24</f>
        <v>0</v>
      </c>
      <c r="C67" s="261">
        <f>'[5]General information '!C24</f>
        <v>0</v>
      </c>
      <c r="D67" s="119">
        <f t="shared" si="9"/>
        <v>-18.3</v>
      </c>
      <c r="E67" s="117">
        <v>20</v>
      </c>
      <c r="F67" s="261">
        <f>'[2]General information '!B24</f>
        <v>29</v>
      </c>
      <c r="G67" s="261">
        <f>'[2]General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28</v>
      </c>
      <c r="K67" s="261">
        <f>'General information '!C24</f>
        <v>23</v>
      </c>
      <c r="L67" s="119">
        <f t="shared" si="6"/>
        <v>7.1999999999999993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'[5]General information '!B25</f>
        <v>0</v>
      </c>
      <c r="C68" s="261">
        <f>'[5]General information '!C25</f>
        <v>0</v>
      </c>
      <c r="D68" s="119">
        <f t="shared" si="9"/>
        <v>-18.3</v>
      </c>
      <c r="E68" s="117">
        <v>21</v>
      </c>
      <c r="F68" s="261">
        <f>'[2]General information '!B25</f>
        <v>30</v>
      </c>
      <c r="G68" s="261">
        <f>'[2]General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29</v>
      </c>
      <c r="K68" s="261">
        <f>'General information '!C25</f>
        <v>23</v>
      </c>
      <c r="L68" s="119">
        <f t="shared" si="6"/>
        <v>7.6999999999999993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'[5]General information '!B26</f>
        <v>0</v>
      </c>
      <c r="C69" s="261">
        <f>'[5]General information '!C26</f>
        <v>0</v>
      </c>
      <c r="D69" s="119">
        <f t="shared" si="9"/>
        <v>-18.3</v>
      </c>
      <c r="E69" s="117">
        <v>22</v>
      </c>
      <c r="F69" s="261">
        <f>'[2]General information '!B26</f>
        <v>30</v>
      </c>
      <c r="G69" s="261">
        <f>'[2]General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29</v>
      </c>
      <c r="K69" s="261">
        <f>'General information '!C26</f>
        <v>23</v>
      </c>
      <c r="L69" s="119">
        <f t="shared" si="6"/>
        <v>7.6999999999999993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'[5]General information '!B27</f>
        <v>0</v>
      </c>
      <c r="C70" s="261">
        <f>'[5]General information '!C27</f>
        <v>0</v>
      </c>
      <c r="D70" s="119">
        <f t="shared" si="9"/>
        <v>-18.3</v>
      </c>
      <c r="E70" s="117">
        <v>23</v>
      </c>
      <c r="F70" s="261">
        <f>'[2]General information '!B27</f>
        <v>29</v>
      </c>
      <c r="G70" s="261">
        <f>'[2]General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0</v>
      </c>
      <c r="K70" s="261">
        <f>'General information '!C27</f>
        <v>0</v>
      </c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'[5]General information '!B28</f>
        <v>31</v>
      </c>
      <c r="C71" s="261">
        <f>'[5]General information '!C28</f>
        <v>26</v>
      </c>
      <c r="D71" s="119">
        <f t="shared" si="9"/>
        <v>10.199999999999999</v>
      </c>
      <c r="E71" s="117">
        <v>24</v>
      </c>
      <c r="F71" s="261">
        <f>'[2]General information '!B28</f>
        <v>29</v>
      </c>
      <c r="G71" s="261">
        <f>'[2]General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'[5]General information '!B29</f>
        <v>31</v>
      </c>
      <c r="C72" s="261">
        <f>'[5]General information '!C29</f>
        <v>26</v>
      </c>
      <c r="D72" s="119">
        <f t="shared" si="9"/>
        <v>10.199999999999999</v>
      </c>
      <c r="E72" s="117">
        <v>25</v>
      </c>
      <c r="F72" s="261">
        <f>'[2]General information '!B29</f>
        <v>31</v>
      </c>
      <c r="G72" s="261">
        <f>'[2]General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31</v>
      </c>
      <c r="K72" s="261">
        <f>'General information '!C29</f>
        <v>24</v>
      </c>
      <c r="L72" s="119">
        <f t="shared" si="6"/>
        <v>9.1999999999999993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'[5]General information '!B30</f>
        <v>31</v>
      </c>
      <c r="C73" s="261">
        <f>'[5]General information '!C30</f>
        <v>27</v>
      </c>
      <c r="D73" s="119">
        <f t="shared" si="9"/>
        <v>10.7</v>
      </c>
      <c r="E73" s="117">
        <v>26</v>
      </c>
      <c r="F73" s="261">
        <f>'[2]General information '!B30</f>
        <v>31</v>
      </c>
      <c r="G73" s="261">
        <f>'[2]General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29</v>
      </c>
      <c r="K73" s="261">
        <f>'General information '!C30</f>
        <v>23</v>
      </c>
      <c r="L73" s="119">
        <f t="shared" si="6"/>
        <v>7.6999999999999993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'[5]General information '!B31</f>
        <v>30</v>
      </c>
      <c r="C74" s="261">
        <f>'[5]General information '!C31</f>
        <v>26</v>
      </c>
      <c r="D74" s="119">
        <f t="shared" si="9"/>
        <v>9.6999999999999993</v>
      </c>
      <c r="E74" s="117">
        <v>27</v>
      </c>
      <c r="F74" s="261">
        <f>'[2]General information '!B31</f>
        <v>0</v>
      </c>
      <c r="G74" s="261">
        <f>'[2]General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'[5]General information '!B32</f>
        <v>31</v>
      </c>
      <c r="C75" s="261">
        <f>'[5]General information '!C32</f>
        <v>27</v>
      </c>
      <c r="D75" s="119">
        <f t="shared" si="9"/>
        <v>10.7</v>
      </c>
      <c r="E75" s="117">
        <v>28</v>
      </c>
      <c r="F75" s="261">
        <f>'[2]General information '!B32</f>
        <v>32</v>
      </c>
      <c r="G75" s="261">
        <f>'[2]General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'[5]General information '!B33</f>
        <v>0</v>
      </c>
      <c r="C76" s="261">
        <f>'[5]General information '!C33</f>
        <v>0</v>
      </c>
      <c r="D76" s="119">
        <f t="shared" si="9"/>
        <v>-18.3</v>
      </c>
      <c r="E76" s="117">
        <v>29</v>
      </c>
      <c r="F76" s="261">
        <f>'[2]General information '!B33</f>
        <v>32</v>
      </c>
      <c r="G76" s="261">
        <f>'[2]General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'[5]General information '!B34</f>
        <v>0</v>
      </c>
      <c r="C77" s="261">
        <f>'[5]General information '!C34</f>
        <v>0</v>
      </c>
      <c r="D77" s="119">
        <f t="shared" si="9"/>
        <v>-18.3</v>
      </c>
      <c r="E77" s="117">
        <v>30</v>
      </c>
      <c r="F77" s="261">
        <f>'[2]General information '!B34</f>
        <v>31</v>
      </c>
      <c r="G77" s="261">
        <f>'[2]General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'[5]General information '!B35</f>
        <v>31</v>
      </c>
      <c r="C78" s="261">
        <f>'[5]General information '!C35</f>
        <v>26</v>
      </c>
      <c r="D78" s="119">
        <f t="shared" si="9"/>
        <v>10.199999999999999</v>
      </c>
      <c r="E78" s="120">
        <v>31</v>
      </c>
      <c r="F78" s="261">
        <f>'[2]General information '!B35</f>
        <v>31</v>
      </c>
      <c r="G78" s="261">
        <f>'[2]General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-219.60000000000005</v>
      </c>
      <c r="K81" s="119">
        <f>SUMIF(L48:L78,"&gt;0")</f>
        <v>159.1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9" t="s">
        <v>174</v>
      </c>
      <c r="O84" s="709" t="s">
        <v>175</v>
      </c>
      <c r="P84" s="134"/>
      <c r="T84" s="134"/>
      <c r="X84" s="134"/>
    </row>
    <row r="85" spans="1:24" ht="20.25" thickBot="1">
      <c r="D85" s="134"/>
      <c r="I85" s="711" t="s">
        <v>182</v>
      </c>
      <c r="J85" s="712"/>
      <c r="K85" s="712"/>
      <c r="L85" s="712"/>
      <c r="N85" s="710"/>
      <c r="O85" s="710"/>
      <c r="P85" s="134"/>
      <c r="R85" s="17"/>
      <c r="S85" s="17"/>
      <c r="T85" s="140"/>
      <c r="U85" s="141"/>
      <c r="X85" s="134"/>
    </row>
    <row r="86" spans="1:24" ht="18.75" thickBot="1">
      <c r="D86" s="134"/>
      <c r="I86" s="713" t="s">
        <v>183</v>
      </c>
      <c r="J86" s="713"/>
      <c r="K86" s="713"/>
      <c r="L86" s="713"/>
      <c r="N86" s="142">
        <f>B43+F43+J43+N43+R43+V43+B81+F81+J81+N81+R81+V81</f>
        <v>-3266.5000000000005</v>
      </c>
      <c r="O86" s="142">
        <f>C43+G43+K43+O43+S43+W43+C81+G81+K81+O81+S81+W81</f>
        <v>695.4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G15" sqref="G15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214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3">
        <v>44826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25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343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'[14]Budget 2021'!$I$15</f>
        <v>8701</v>
      </c>
      <c r="J7" s="265"/>
    </row>
    <row r="8" spans="1:11">
      <c r="A8" s="190" t="s">
        <v>217</v>
      </c>
      <c r="B8" s="336">
        <f>tanks!AT37</f>
        <v>24489</v>
      </c>
      <c r="C8" s="466">
        <f>SUM(tanks!AU37)</f>
        <v>0.72466666666666668</v>
      </c>
      <c r="D8" s="191">
        <f>SUM(B8*C8)*D4</f>
        <v>26752640.715</v>
      </c>
      <c r="E8" s="192">
        <f>SUM(D8/D4/F4)</f>
        <v>591.54540000000009</v>
      </c>
      <c r="F8" s="192">
        <f>SUM(E8*F4)</f>
        <v>17746.362000000001</v>
      </c>
      <c r="G8" s="568">
        <f>E8*$G$4</f>
        <v>14788.635000000002</v>
      </c>
      <c r="H8" s="189">
        <v>30289.9</v>
      </c>
      <c r="I8" s="192">
        <f>'[14]Budget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116</v>
      </c>
      <c r="C10" s="181"/>
      <c r="D10" s="183">
        <f>'EDl log'!AB30</f>
        <v>7257517</v>
      </c>
      <c r="E10" s="182">
        <f>SUM(D10/D4/F4)</f>
        <v>160.47577667219457</v>
      </c>
      <c r="F10" s="182">
        <f>SUM(E10*F4)</f>
        <v>4814.2733001658371</v>
      </c>
      <c r="G10" s="478">
        <f>E10*$G$4</f>
        <v>4011.8944168048642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1025.354510005528</v>
      </c>
      <c r="F12" s="180">
        <f>SUM(F6:F10)</f>
        <v>30760.635300165839</v>
      </c>
      <c r="G12" s="179">
        <f>SUM(G6:G10)</f>
        <v>27000.529416804868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159.1</v>
      </c>
      <c r="C14" s="416">
        <f>'[15]Utility Cost '!$B$14</f>
        <v>176.99999999999997</v>
      </c>
      <c r="D14" s="170"/>
      <c r="E14" s="416">
        <f>'[16]Utility Cost '!F14</f>
        <v>0</v>
      </c>
      <c r="F14" s="477">
        <v>0</v>
      </c>
      <c r="G14" s="405"/>
      <c r="H14" s="406">
        <f>SUM(G12-H12)</f>
        <v>-53128.370583195123</v>
      </c>
      <c r="I14" s="406">
        <f>SUM(G12-I12)</f>
        <v>-24243.390303625241</v>
      </c>
    </row>
    <row r="15" spans="1:11">
      <c r="A15" s="428" t="s">
        <v>301</v>
      </c>
      <c r="B15" s="97">
        <f>'Degree Days 2022'!J81</f>
        <v>-219.60000000000005</v>
      </c>
      <c r="C15" s="416">
        <f>'[15]Utility Cost '!$B$15</f>
        <v>-183.00000000000003</v>
      </c>
      <c r="D15" s="170"/>
      <c r="E15" s="416">
        <f>'[16]Utility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 t="e">
        <f>'General information '!D37</f>
        <v>#DIV/0!</v>
      </c>
      <c r="C16" s="416">
        <f>'[15]Utility Cost '!$B$16</f>
        <v>36.200000000000003</v>
      </c>
      <c r="D16" s="415"/>
      <c r="E16" s="416">
        <f>'[16]Utility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'[17]Utility Cost '!B17</f>
        <v>0</v>
      </c>
      <c r="D17" s="455">
        <v>0</v>
      </c>
      <c r="E17" s="416">
        <f>'[16]Utility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187</v>
      </c>
      <c r="C18" s="416">
        <f>'[15]Utility Cost '!$B$18</f>
        <v>325</v>
      </c>
      <c r="D18" s="413">
        <f>'[18]Other Fuel Calculation 2021'!$G$116</f>
        <v>202.66666666666666</v>
      </c>
      <c r="E18" s="416">
        <f>'[16]Utility Cost '!F18</f>
        <v>276.33333333333337</v>
      </c>
      <c r="F18" s="493">
        <f>B18-D18</f>
        <v>-15.666666666666657</v>
      </c>
    </row>
    <row r="19" spans="1:10">
      <c r="A19" s="489" t="s">
        <v>412</v>
      </c>
      <c r="B19" s="491">
        <f>GEN!AL34</f>
        <v>17</v>
      </c>
      <c r="C19" s="416">
        <f>'[17]Utility Cost '!B19</f>
        <v>25.923076923076923</v>
      </c>
      <c r="D19" s="413"/>
      <c r="E19" s="416"/>
      <c r="F19" s="493"/>
    </row>
    <row r="20" spans="1:10">
      <c r="A20" s="489" t="s">
        <v>406</v>
      </c>
      <c r="B20" s="487">
        <f>B18/B19</f>
        <v>11</v>
      </c>
      <c r="C20" s="416">
        <f>'[15]Utility Cost '!$B$19</f>
        <v>21.666666666666668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2022-09-26T10:22:25Z</dcterms:modified>
</cp:coreProperties>
</file>