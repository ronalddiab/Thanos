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<sst xmlns="http://schemas.openxmlformats.org/spreadsheetml/2006/main" count="308" uniqueCount="145">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</sst>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 t="e">
        <f>Submetering!E22+Submetering!F22+Submetering!G22+Submetering!H22+Submetering!J22-Submetering!AV22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'FS Desroches Daily'!CM24</f>
        <v>#VALUE!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str">
        <f>'FS Desroches Daily'!T24</f>
        <v/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16100.000000000011</v>
      </c>
      <c r="F33" s="17">
        <f t="shared" ref="F33:BC33" si="1">SUM(F2:F32)</f>
        <v>10800.000000000146</v>
      </c>
      <c r="G33" s="17">
        <f t="shared" si="1"/>
        <v>29599.999999999858</v>
      </c>
      <c r="H33" s="17">
        <f t="shared" si="1"/>
        <v>14799.999999999929</v>
      </c>
      <c r="I33" s="17">
        <f t="shared" si="1"/>
        <v>33300.000000000116</v>
      </c>
      <c r="J33" s="17">
        <f t="shared" si="1"/>
        <v>8199.9999999999873</v>
      </c>
      <c r="K33" s="17">
        <f t="shared" si="1"/>
        <v>14</v>
      </c>
      <c r="L33" s="17">
        <f t="shared" si="1"/>
        <v>55</v>
      </c>
      <c r="M33" s="17">
        <f t="shared" si="1"/>
        <v>3422</v>
      </c>
      <c r="N33" s="17">
        <f t="shared" si="1"/>
        <v>1494.5999999999767</v>
      </c>
      <c r="O33" s="17">
        <f t="shared" si="1"/>
        <v>1530.0000000000296</v>
      </c>
      <c r="P33" s="17">
        <f t="shared" si="1"/>
        <v>7199.9999999996526</v>
      </c>
      <c r="Q33" s="17">
        <f t="shared" si="1"/>
        <v>1090.0000000000318</v>
      </c>
      <c r="R33" s="17">
        <f t="shared" si="1"/>
        <v>1950.0000000000455</v>
      </c>
      <c r="S33" s="17">
        <f t="shared" si="1"/>
        <v>3079.9999999999841</v>
      </c>
      <c r="T33" s="17">
        <f t="shared" si="1"/>
        <v>23.399999999999864</v>
      </c>
      <c r="U33" s="35">
        <f t="shared" si="1"/>
        <v>7979.9999999999645</v>
      </c>
      <c r="V33" s="35">
        <f t="shared" si="1"/>
        <v>780.00000000000114</v>
      </c>
      <c r="W33" s="35">
        <f t="shared" si="1"/>
        <v>680.00000000000682</v>
      </c>
      <c r="X33" s="35">
        <f t="shared" si="1"/>
        <v>520.00000000001023</v>
      </c>
      <c r="Y33" s="35">
        <f t="shared" si="1"/>
        <v>409.99999999999659</v>
      </c>
      <c r="Z33" s="35">
        <f t="shared" si="1"/>
        <v>626.32000000001358</v>
      </c>
      <c r="AA33" s="35">
        <f t="shared" si="1"/>
        <v>626.32000000001358</v>
      </c>
      <c r="AB33" s="35">
        <f t="shared" si="1"/>
        <v>360.00000000001364</v>
      </c>
      <c r="AC33" s="35">
        <f t="shared" si="1"/>
        <v>360.00000000001364</v>
      </c>
      <c r="AD33" s="35">
        <f t="shared" si="1"/>
        <v>280.00000000002956</v>
      </c>
      <c r="AE33" s="35">
        <f t="shared" si="1"/>
        <v>349.99999999999432</v>
      </c>
      <c r="AF33" s="17">
        <f t="shared" si="1"/>
        <v>408</v>
      </c>
      <c r="AG33" s="32">
        <f t="shared" si="1"/>
        <v>250</v>
      </c>
      <c r="AH33" s="32">
        <f t="shared" si="1"/>
        <v>349.99999999996589</v>
      </c>
      <c r="AI33" s="32">
        <f t="shared" si="1"/>
        <v>129.99999999999545</v>
      </c>
      <c r="AJ33" s="32">
        <f t="shared" si="1"/>
        <v>400.00000000000568</v>
      </c>
      <c r="AK33" s="32">
        <f t="shared" si="1"/>
        <v>450.00000000004547</v>
      </c>
      <c r="AL33" s="32">
        <f t="shared" si="1"/>
        <v>241</v>
      </c>
      <c r="AM33" s="32">
        <f t="shared" si="1"/>
        <v>109.99999999998522</v>
      </c>
      <c r="AN33" s="32">
        <f t="shared" si="1"/>
        <v>296</v>
      </c>
      <c r="AO33" s="32">
        <f t="shared" si="1"/>
        <v>300.00000000001137</v>
      </c>
      <c r="AP33" s="32">
        <f t="shared" si="1"/>
        <v>196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840.19999999999709</v>
      </c>
      <c r="AU33" s="17">
        <f t="shared" si="1"/>
        <v>3863</v>
      </c>
      <c r="AV33" s="17">
        <f t="shared" si="1"/>
        <v>7360.0000000000136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104.39549999999998</v>
      </c>
      <c r="BC33" s="17">
        <f t="shared" si="1"/>
        <v>0</v>
      </c>
    </row>
    <row r="35" spans="5:55" x14ac:dyDescent="0.25">
      <c r="E35" s="38">
        <f>E33/E37</f>
        <v>0.22792264786658778</v>
      </c>
      <c r="G35" s="29">
        <f>G33-M36</f>
        <v>24683.399999999881</v>
      </c>
      <c r="AE35" s="35">
        <f>SUM(U33:AE33)</f>
        <v>12972.640000000059</v>
      </c>
      <c r="AG35" s="32">
        <f>SUM(AG33:AP33)</f>
        <v>2723.0000000000091</v>
      </c>
    </row>
    <row r="36" spans="5:55" x14ac:dyDescent="0.25">
      <c r="G36" s="29">
        <f>G35-633*14</f>
        <v>15821.399999999881</v>
      </c>
      <c r="M36" s="29">
        <f>M33+N33</f>
        <v>4916.5999999999767</v>
      </c>
    </row>
    <row r="37" spans="5:55" x14ac:dyDescent="0.25">
      <c r="E37" s="17">
        <f>E33+F33+G33+H33+J33-633*14</f>
        <v>70637.999999999927</v>
      </c>
      <c r="G37" s="37">
        <f>M36/E37</f>
        <v>6.9602763385146552E-2</v>
      </c>
      <c r="M37" s="35">
        <f>AE35</f>
        <v>12972.640000000059</v>
      </c>
    </row>
    <row r="38" spans="5:55" x14ac:dyDescent="0.25">
      <c r="L38" s="27">
        <f>M38/E37</f>
        <v>3.8548656530479515E-2</v>
      </c>
      <c r="M38" s="29">
        <f>AG35</f>
        <v>2723.0000000000091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J1" zoomScale="80" zoomScaleNormal="80" workbookViewId="0">
      <pane ySplit="1" topLeftCell="A9" activePane="bottomLeft" state="frozen"/>
      <selection pane="bottomLeft" activeCell="W25" sqref="W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/>
      <c r="D24" s="64" t="str">
        <f t="shared" si="0"/>
        <v>0</v>
      </c>
      <c r="E24" s="58"/>
      <c r="F24" s="64" t="str">
        <f t="shared" si="1"/>
        <v>0</v>
      </c>
      <c r="G24" s="58"/>
      <c r="H24" s="64" t="str">
        <f t="shared" si="2"/>
        <v>0</v>
      </c>
      <c r="I24" s="58"/>
      <c r="J24" s="64" t="str">
        <f t="shared" si="3"/>
        <v>0</v>
      </c>
      <c r="K24" s="58"/>
      <c r="L24" s="64" t="str">
        <f t="shared" si="4"/>
        <v>0</v>
      </c>
      <c r="M24" s="58"/>
      <c r="N24" s="64" t="str">
        <f t="shared" si="5"/>
        <v/>
      </c>
      <c r="O24" s="58"/>
      <c r="P24" s="67" t="str">
        <f t="shared" si="44"/>
        <v/>
      </c>
      <c r="Q24" s="58"/>
      <c r="R24" s="67" t="str">
        <f t="shared" si="6"/>
        <v/>
      </c>
      <c r="S24" s="58"/>
      <c r="T24" s="67" t="str">
        <f t="shared" si="7"/>
        <v/>
      </c>
      <c r="U24" s="58"/>
      <c r="V24" s="67" t="str">
        <f t="shared" si="8"/>
        <v/>
      </c>
      <c r="W24" s="58"/>
      <c r="X24" s="65" t="str">
        <f t="shared" si="9"/>
        <v/>
      </c>
      <c r="Y24" s="58"/>
      <c r="Z24" s="65" t="str">
        <f t="shared" si="10"/>
        <v/>
      </c>
      <c r="AA24" s="58"/>
      <c r="AB24" s="65" t="str">
        <f t="shared" si="11"/>
        <v/>
      </c>
      <c r="AC24" s="58"/>
      <c r="AD24" s="65" t="str">
        <f t="shared" si="12"/>
        <v/>
      </c>
      <c r="AE24" s="58"/>
      <c r="AF24" s="65" t="str">
        <f t="shared" si="13"/>
        <v/>
      </c>
      <c r="AG24" s="58"/>
      <c r="AH24" s="67" t="str">
        <f t="shared" si="14"/>
        <v/>
      </c>
      <c r="AI24" s="58"/>
      <c r="AJ24" s="65" t="str">
        <f t="shared" si="15"/>
        <v/>
      </c>
      <c r="AK24" s="58"/>
      <c r="AL24" s="65" t="str">
        <f t="shared" si="15"/>
        <v/>
      </c>
      <c r="AM24" s="58"/>
      <c r="AN24" s="65" t="str">
        <f t="shared" si="15"/>
        <v/>
      </c>
      <c r="AO24" s="58"/>
      <c r="AP24" s="65" t="str">
        <f t="shared" si="15"/>
        <v/>
      </c>
      <c r="AQ24" s="58"/>
      <c r="AR24" s="65" t="str">
        <f t="shared" si="16"/>
        <v/>
      </c>
      <c r="AS24" s="58"/>
      <c r="AT24" s="65" t="str">
        <f t="shared" si="17"/>
        <v/>
      </c>
      <c r="AU24" s="58"/>
      <c r="AV24" s="65" t="str">
        <f t="shared" si="18"/>
        <v/>
      </c>
      <c r="AW24" s="58"/>
      <c r="AX24" s="65" t="str">
        <f t="shared" si="19"/>
        <v/>
      </c>
      <c r="AY24" s="58"/>
      <c r="AZ24" s="65" t="str">
        <f t="shared" si="20"/>
        <v/>
      </c>
      <c r="BA24" s="58"/>
      <c r="BB24" s="65" t="str">
        <f t="shared" si="21"/>
        <v/>
      </c>
      <c r="BC24" s="58"/>
      <c r="BD24" s="65" t="str">
        <f t="shared" si="22"/>
        <v/>
      </c>
      <c r="BE24" s="59"/>
      <c r="BF24" s="67" t="str">
        <f t="shared" si="39"/>
        <v/>
      </c>
      <c r="BG24" s="60"/>
      <c r="BH24" s="65" t="str">
        <f t="shared" si="23"/>
        <v/>
      </c>
      <c r="BI24" s="60"/>
      <c r="BJ24" s="65" t="str">
        <f t="shared" si="40"/>
        <v/>
      </c>
      <c r="BK24" s="60"/>
      <c r="BL24" s="65" t="str">
        <f t="shared" si="24"/>
        <v/>
      </c>
      <c r="BM24" s="60"/>
      <c r="BN24" s="65" t="str">
        <f t="shared" si="25"/>
        <v/>
      </c>
      <c r="BO24" s="60"/>
      <c r="BP24" s="65" t="str">
        <f t="shared" si="26"/>
        <v/>
      </c>
      <c r="BQ24" s="60"/>
      <c r="BR24" s="65" t="str">
        <f t="shared" si="27"/>
        <v/>
      </c>
      <c r="BS24" s="60"/>
      <c r="BT24" s="65" t="str">
        <f t="shared" si="43"/>
        <v/>
      </c>
      <c r="BU24" s="60"/>
      <c r="BV24" s="65" t="str">
        <f t="shared" si="29"/>
        <v/>
      </c>
      <c r="BW24" s="60"/>
      <c r="BX24" s="65" t="str">
        <f t="shared" si="30"/>
        <v/>
      </c>
      <c r="BY24" s="60"/>
      <c r="BZ24" s="67" t="str">
        <f t="shared" si="31"/>
        <v/>
      </c>
      <c r="CA24" s="60"/>
      <c r="CB24" s="67" t="str">
        <f t="shared" si="32"/>
        <v/>
      </c>
      <c r="CC24" s="60"/>
      <c r="CD24" s="67" t="str">
        <f t="shared" si="33"/>
        <v/>
      </c>
      <c r="CE24" s="60"/>
      <c r="CF24" s="67" t="str">
        <f t="shared" si="34"/>
        <v/>
      </c>
      <c r="CG24" s="60"/>
      <c r="CH24" s="67" t="str">
        <f t="shared" si="35"/>
        <v/>
      </c>
      <c r="CI24" s="60"/>
      <c r="CJ24" s="67" t="str">
        <f t="shared" si="36"/>
        <v/>
      </c>
      <c r="CK24" s="60"/>
      <c r="CL24" s="64" t="str">
        <f t="shared" si="37"/>
        <v/>
      </c>
      <c r="CM24" s="65" t="e">
        <f t="shared" si="41"/>
        <v>#VALUE!</v>
      </c>
      <c r="CN24" s="62">
        <v>0</v>
      </c>
      <c r="CO24" s="62">
        <v>0</v>
      </c>
      <c r="CP24" s="68"/>
      <c r="CQ24" s="67" t="str">
        <f t="shared" si="38"/>
        <v/>
      </c>
      <c r="CR24" s="68"/>
      <c r="CS24" s="67" t="str">
        <f t="shared" si="38"/>
        <v/>
      </c>
      <c r="CT24" s="75"/>
      <c r="CU24" s="67" t="str">
        <f t="shared" si="38"/>
        <v/>
      </c>
      <c r="CV24" s="68"/>
      <c r="CW24" s="67" t="str">
        <f t="shared" si="38"/>
        <v/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6" zoomScaleNormal="100" workbookViewId="0">
      <selection activeCell="S39" sqref="S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2020-07-21T10:49:53Z</dcterms:modified>
</cp:coreProperties>
</file>