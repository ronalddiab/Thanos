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Z19" i="7" l="1"/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<sst xmlns="http://schemas.openxmlformats.org/spreadsheetml/2006/main" count="313" uniqueCount="148">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</sst>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4589.9999999999254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26.799999999999955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4760.0000000004829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12.599999999999909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1299.9999999998568</v>
      </c>
      <c r="F17" s="32">
        <f>'FS Desroches Daily'!F19</f>
        <v>700.00000000014495</v>
      </c>
      <c r="G17" s="31">
        <f>'FS Desroches Daily'!H19</f>
        <v>1500.0000000000568</v>
      </c>
      <c r="H17" s="32">
        <f>'FS Desroches Daily'!J19</f>
        <v>899.99999999990087</v>
      </c>
      <c r="I17" s="31">
        <f>'FS Desroches Daily'!L19</f>
        <v>1700.0000000000348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0</v>
      </c>
      <c r="M17" s="31">
        <f>'FS Desroches Daily'!T19</f>
        <v>218.19999999995343</v>
      </c>
      <c r="N17" s="31">
        <f>'FS Desroches Daily'!V19</f>
        <v>108.5</v>
      </c>
      <c r="O17" s="31">
        <f>'FS Desroches Daily'!X19</f>
        <v>60.000000000002274</v>
      </c>
      <c r="P17" s="31">
        <f>'FS Desroches Daily'!Z19</f>
        <v>399.99999999995595</v>
      </c>
      <c r="Q17" s="31">
        <f>'FS Desroches Daily'!AB19</f>
        <v>69.999999999993179</v>
      </c>
      <c r="R17" s="31">
        <f>'FS Desroches Daily'!AD19</f>
        <v>160.00000000002501</v>
      </c>
      <c r="S17" s="31">
        <f>'FS Desroches Daily'!AF19</f>
        <v>240.00000000000909</v>
      </c>
      <c r="T17" s="31">
        <f>'FS Desroches Daily'!AH19</f>
        <v>1</v>
      </c>
      <c r="U17" s="35">
        <f>'FS Desroches Daily'!AJ19</f>
        <v>250</v>
      </c>
      <c r="V17" s="35">
        <f>'FS Desroches Daily'!AL19</f>
        <v>150.00000000000568</v>
      </c>
      <c r="W17" s="35">
        <f>'FS Desroches Daily'!AN19</f>
        <v>229.99999999998977</v>
      </c>
      <c r="X17" s="35">
        <f>'FS Desroches Daily'!AP19</f>
        <v>200.00000000001705</v>
      </c>
      <c r="Y17" s="35">
        <f>'FS Desroches Daily'!AR19</f>
        <v>39.999999999992042</v>
      </c>
      <c r="Z17" s="35">
        <f>'FS Desroches Daily'!AU20</f>
        <v>268.19</v>
      </c>
      <c r="AA17" s="35">
        <f>'FS Desroches Daily'!AU20</f>
        <v>268.19</v>
      </c>
      <c r="AB17" s="35">
        <f>'FS Desroches Daily'!AV19</f>
        <v>30.000000000029559</v>
      </c>
      <c r="AC17" s="35">
        <f>'FS Desroches Daily'!AZ19</f>
        <v>29.999999999972715</v>
      </c>
      <c r="AD17" s="35">
        <f>'FS Desroches Daily'!BB19</f>
        <v>29.999999999972715</v>
      </c>
      <c r="AE17" s="35">
        <f>'FS Desroches Daily'!BD19</f>
        <v>19.99999999998181</v>
      </c>
      <c r="AF17" s="31">
        <f>'FS Desroches Daily'!BF19</f>
        <v>32</v>
      </c>
      <c r="AG17" s="32">
        <f>'FS Desroches Daily'!BH19</f>
        <v>19.99999999998181</v>
      </c>
      <c r="AH17" s="32">
        <f>'FS Desroches Daily'!BJ19</f>
        <v>20.000000000038654</v>
      </c>
      <c r="AI17" s="32">
        <f>'FS Desroches Daily'!BL19</f>
        <v>10.000000000019327</v>
      </c>
      <c r="AJ17" s="32">
        <f>'FS Desroches Daily'!BN19</f>
        <v>30.000000000001137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20.000000000010232</v>
      </c>
      <c r="AN17" s="32">
        <f>'FS Desroches Daily'!BV19</f>
        <v>43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17.099999999998545</v>
      </c>
      <c r="AU17" s="31">
        <f>'FS Desroches Daily'!CJ19</f>
        <v>227</v>
      </c>
      <c r="AV17" s="31">
        <f>'FS Desroches Daily'!CL19</f>
        <v>409.99999999996817</v>
      </c>
      <c r="AW17" s="31">
        <f>'FS Desroches Daily'!CM19</f>
        <v>26.799999999999955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1300.0000000000789</v>
      </c>
      <c r="F18" s="32">
        <f>'FS Desroches Daily'!F20</f>
        <v>700.00000000014495</v>
      </c>
      <c r="G18" s="31">
        <f>'FS Desroches Daily'!H20</f>
        <v>1700.0000000000348</v>
      </c>
      <c r="H18" s="32">
        <f>'FS Desroches Daily'!J20</f>
        <v>1000.0000000001119</v>
      </c>
      <c r="I18" s="31">
        <f>'FS Desroches Daily'!L20</f>
        <v>1800.0000000002458</v>
      </c>
      <c r="J18" s="32">
        <f>'FS Desroches Daily'!N20</f>
        <v>500.00000000016701</v>
      </c>
      <c r="K18" s="13">
        <f>'FS Desroches Daily'!P20</f>
        <v>1</v>
      </c>
      <c r="L18" s="31">
        <f>'FS Desroches Daily'!R20</f>
        <v>0</v>
      </c>
      <c r="M18" s="31">
        <f>'FS Desroches Daily'!T20</f>
        <v>176.40000000002328</v>
      </c>
      <c r="N18" s="31">
        <f>'FS Desroches Daily'!V20</f>
        <v>709.09999999997672</v>
      </c>
      <c r="O18" s="31">
        <f>'FS Desroches Daily'!X20</f>
        <v>210.00000000003638</v>
      </c>
      <c r="P18" s="31">
        <f>'FS Desroches Daily'!Z20</f>
        <v>500.00000000016701</v>
      </c>
      <c r="Q18" s="31">
        <f>'FS Desroches Daily'!AB20</f>
        <v>100.00000000002274</v>
      </c>
      <c r="R18" s="31">
        <f>'FS Desroches Daily'!AD20</f>
        <v>159.99999999996817</v>
      </c>
      <c r="S18" s="31">
        <f>'FS Desroches Daily'!AF20</f>
        <v>159.99999999996817</v>
      </c>
      <c r="T18" s="31">
        <f>'FS Desroches Daily'!AH20</f>
        <v>1</v>
      </c>
      <c r="U18" s="35">
        <f>'FS Desroches Daily'!AJ20</f>
        <v>240.00000000000909</v>
      </c>
      <c r="V18" s="35">
        <f>'FS Desroches Daily'!AL20</f>
        <v>159.99999999999659</v>
      </c>
      <c r="W18" s="35">
        <f>'FS Desroches Daily'!AN20</f>
        <v>259.99999999999091</v>
      </c>
      <c r="X18" s="35">
        <f>'FS Desroches Daily'!AP20</f>
        <v>199.99999999998863</v>
      </c>
      <c r="Y18" s="35">
        <f>'FS Desroches Daily'!AR20</f>
        <v>50.000000000011369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29.999999999972715</v>
      </c>
      <c r="AC18" s="35">
        <f>'FS Desroches Daily'!AZ20</f>
        <v>40.000000000020464</v>
      </c>
      <c r="AD18" s="35">
        <f>'FS Desroches Daily'!BB20</f>
        <v>30.000000000029559</v>
      </c>
      <c r="AE18" s="35">
        <f>'FS Desroches Daily'!BD20</f>
        <v>30.000000000001137</v>
      </c>
      <c r="AF18" s="31">
        <f>'FS Desroches Daily'!BF20</f>
        <v>36</v>
      </c>
      <c r="AG18" s="32">
        <f>'FS Desroches Daily'!BH20</f>
        <v>10.000000000019327</v>
      </c>
      <c r="AH18" s="32">
        <f>'FS Desroches Daily'!BJ20</f>
        <v>19.99999999998181</v>
      </c>
      <c r="AI18" s="32">
        <f>'FS Desroches Daily'!BL20</f>
        <v>0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15</v>
      </c>
      <c r="AM18" s="32">
        <f>'FS Desroches Daily'!BT20</f>
        <v>9.9999999999909051</v>
      </c>
      <c r="AN18" s="32">
        <f>'FS Desroches Daily'!BV20</f>
        <v>49</v>
      </c>
      <c r="AO18" s="32">
        <f>'FS Desroches Daily'!BX20</f>
        <v>9.9999999999909051</v>
      </c>
      <c r="AP18" s="32">
        <f>'FS Desroches Daily'!BZ20</f>
        <v>23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23</v>
      </c>
      <c r="AU18" s="31">
        <f>'FS Desroches Daily'!CJ20</f>
        <v>233</v>
      </c>
      <c r="AV18" s="31">
        <f>'FS Desroches Daily'!CL20</f>
        <v>440.00000000005457</v>
      </c>
      <c r="AW18" s="31">
        <f>'FS Desroches Daily'!CM20</f>
        <v>12.599999999999909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str">
        <f>'FS Desroches Daily'!P21</f>
        <v/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 t="str">
        <f>'FS Desroches Daily'!BF21</f>
        <v/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1000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 t="str">
        <f>'FS Desroches Daily'!BL25</f>
        <v/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19900.000000000029</v>
      </c>
      <c r="F33" s="17">
        <f t="shared" ref="F33:BC33" si="1">SUM(F2:F32)</f>
        <v>10700.000000000377</v>
      </c>
      <c r="G33" s="17">
        <f t="shared" si="1"/>
        <v>24799.999999999938</v>
      </c>
      <c r="H33" s="17">
        <f t="shared" si="1"/>
        <v>14699.999999999938</v>
      </c>
      <c r="I33" s="17">
        <f t="shared" si="1"/>
        <v>28300.000000000226</v>
      </c>
      <c r="J33" s="17">
        <f t="shared" si="1"/>
        <v>9300.0000000000873</v>
      </c>
      <c r="K33" s="17">
        <f t="shared" si="1"/>
        <v>11</v>
      </c>
      <c r="L33" s="17">
        <f t="shared" si="1"/>
        <v>64</v>
      </c>
      <c r="M33" s="17">
        <f t="shared" si="1"/>
        <v>2521.4000000000233</v>
      </c>
      <c r="N33" s="17">
        <f t="shared" si="1"/>
        <v>2139</v>
      </c>
      <c r="O33" s="17">
        <f t="shared" si="1"/>
        <v>1610.0000000000136</v>
      </c>
      <c r="P33" s="17">
        <f t="shared" si="1"/>
        <v>7499.9999999998417</v>
      </c>
      <c r="Q33" s="17">
        <f t="shared" si="1"/>
        <v>1480.0000000000182</v>
      </c>
      <c r="R33" s="17">
        <f t="shared" si="1"/>
        <v>2459.9999999999795</v>
      </c>
      <c r="S33" s="17">
        <f t="shared" si="1"/>
        <v>3550.0000000000114</v>
      </c>
      <c r="T33" s="17">
        <f t="shared" si="1"/>
        <v>20</v>
      </c>
      <c r="U33" s="35">
        <f t="shared" si="1"/>
        <v>4060.0000000000023</v>
      </c>
      <c r="V33" s="35">
        <f t="shared" si="1"/>
        <v>2560.0000000000018</v>
      </c>
      <c r="W33" s="35">
        <f t="shared" si="1"/>
        <v>2657.2</v>
      </c>
      <c r="X33" s="35">
        <f t="shared" si="1"/>
        <v>2740.0000000000086</v>
      </c>
      <c r="Y33" s="35">
        <f t="shared" si="1"/>
        <v>640.00000000001478</v>
      </c>
      <c r="Z33" s="35">
        <f t="shared" si="1"/>
        <v>838.18999999993639</v>
      </c>
      <c r="AA33" s="35">
        <f t="shared" si="1"/>
        <v>838.18999999993639</v>
      </c>
      <c r="AB33" s="35">
        <f t="shared" si="1"/>
        <v>509.99999999999091</v>
      </c>
      <c r="AC33" s="35">
        <f t="shared" si="1"/>
        <v>490.00000000000909</v>
      </c>
      <c r="AD33" s="35">
        <f t="shared" si="1"/>
        <v>449.99999999998863</v>
      </c>
      <c r="AE33" s="35">
        <f t="shared" si="1"/>
        <v>369.99999999997613</v>
      </c>
      <c r="AF33" s="17">
        <f t="shared" si="1"/>
        <v>477</v>
      </c>
      <c r="AG33" s="32">
        <f t="shared" si="1"/>
        <v>210.00000000000796</v>
      </c>
      <c r="AH33" s="32">
        <f t="shared" si="1"/>
        <v>209.99999999997954</v>
      </c>
      <c r="AI33" s="32">
        <f t="shared" si="1"/>
        <v>1080.0000000000125</v>
      </c>
      <c r="AJ33" s="32">
        <f t="shared" si="1"/>
        <v>530.00000000000114</v>
      </c>
      <c r="AK33" s="32">
        <f t="shared" si="1"/>
        <v>379.99999999999545</v>
      </c>
      <c r="AL33" s="32">
        <f t="shared" si="1"/>
        <v>177</v>
      </c>
      <c r="AM33" s="32">
        <f t="shared" si="1"/>
        <v>280.00000000000114</v>
      </c>
      <c r="AN33" s="32">
        <f t="shared" si="1"/>
        <v>579</v>
      </c>
      <c r="AO33" s="32">
        <f t="shared" si="1"/>
        <v>389.99999999998636</v>
      </c>
      <c r="AP33" s="32">
        <f t="shared" si="1"/>
        <v>383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333.40000000000146</v>
      </c>
      <c r="AU33" s="17">
        <f t="shared" si="1"/>
        <v>3484</v>
      </c>
      <c r="AV33" s="17">
        <f t="shared" si="1"/>
        <v>6259.9999999999909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82.417499999999976</v>
      </c>
      <c r="BC33" s="17">
        <f t="shared" si="1"/>
        <v>0</v>
      </c>
    </row>
    <row r="35" spans="5:55" x14ac:dyDescent="0.25">
      <c r="E35" s="38">
        <f>E33/E37</f>
        <v>0.28211744024497326</v>
      </c>
      <c r="G35" s="29">
        <f>G33-M36</f>
        <v>20139.599999999915</v>
      </c>
      <c r="AE35" s="35">
        <f>SUM(U33:AE33)</f>
        <v>16153.579999999867</v>
      </c>
      <c r="AG35" s="32">
        <f>SUM(AG33:AP33)</f>
        <v>4218.9999999999836</v>
      </c>
    </row>
    <row r="36" spans="5:55" x14ac:dyDescent="0.25">
      <c r="G36" s="29">
        <f>G35-633*14</f>
        <v>11277.599999999915</v>
      </c>
      <c r="M36" s="29">
        <f>M33+N33</f>
        <v>4660.4000000000233</v>
      </c>
    </row>
    <row r="37" spans="5:55" x14ac:dyDescent="0.25">
      <c r="E37" s="17">
        <f>E33+F33+G33+H33+J33-633*14</f>
        <v>70538.000000000378</v>
      </c>
      <c r="G37" s="37">
        <f>M36/E37</f>
        <v>6.6069352689330549E-2</v>
      </c>
      <c r="M37" s="35">
        <f>AE35</f>
        <v>16153.579999999867</v>
      </c>
    </row>
    <row r="38" spans="5:55" x14ac:dyDescent="0.25">
      <c r="L38" s="27">
        <f>M38/E37</f>
        <v>5.9811732683092249E-2</v>
      </c>
      <c r="M38" s="29">
        <f>AG35</f>
        <v>4218.9999999999836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U1" zoomScale="80" zoomScaleNormal="80" workbookViewId="0">
      <pane ySplit="1" topLeftCell="A11" activePane="bottomLeft" state="frozen"/>
      <selection pane="bottomLeft" activeCell="BG25" sqref="BG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>
        <v>1.8613</v>
      </c>
      <c r="D19" s="64">
        <f t="shared" si="0"/>
        <v>1299.9999999998568</v>
      </c>
      <c r="E19" s="58">
        <v>2.7881</v>
      </c>
      <c r="F19" s="64">
        <f t="shared" si="1"/>
        <v>700.00000000014495</v>
      </c>
      <c r="G19" s="58">
        <v>2.7622</v>
      </c>
      <c r="H19" s="64">
        <f t="shared" si="2"/>
        <v>1500.0000000000568</v>
      </c>
      <c r="I19" s="58">
        <v>1.3416999999999999</v>
      </c>
      <c r="J19" s="64">
        <f t="shared" si="3"/>
        <v>899.99999999990087</v>
      </c>
      <c r="K19" s="58">
        <v>2.13</v>
      </c>
      <c r="L19" s="64">
        <f t="shared" si="4"/>
        <v>1700.0000000000348</v>
      </c>
      <c r="M19" s="58">
        <v>1.2629999999999999</v>
      </c>
      <c r="N19" s="64">
        <f t="shared" si="5"/>
        <v>599.99999999993395</v>
      </c>
      <c r="O19" s="58">
        <v>12671</v>
      </c>
      <c r="P19" s="67">
        <f t="shared" si="44"/>
        <v>1</v>
      </c>
      <c r="Q19" s="58">
        <v>5864</v>
      </c>
      <c r="R19" s="67">
        <f t="shared" si="6"/>
        <v>0</v>
      </c>
      <c r="S19" s="58">
        <v>858962.2</v>
      </c>
      <c r="T19" s="67">
        <f t="shared" si="7"/>
        <v>218.19999999995343</v>
      </c>
      <c r="U19" s="58">
        <v>351156.9</v>
      </c>
      <c r="V19" s="67">
        <f t="shared" si="8"/>
        <v>108.5</v>
      </c>
      <c r="W19" s="58">
        <v>343.71</v>
      </c>
      <c r="X19" s="65">
        <f t="shared" si="9"/>
        <v>60.000000000002274</v>
      </c>
      <c r="Y19" s="58">
        <v>2.4432999999999998</v>
      </c>
      <c r="Z19" s="65">
        <f t="shared" si="10"/>
        <v>399.99999999995595</v>
      </c>
      <c r="AA19" s="58">
        <v>335.7</v>
      </c>
      <c r="AB19" s="65">
        <f t="shared" si="11"/>
        <v>69.999999999993179</v>
      </c>
      <c r="AC19" s="58">
        <v>323.61</v>
      </c>
      <c r="AD19" s="65">
        <f t="shared" si="12"/>
        <v>160.00000000002501</v>
      </c>
      <c r="AE19" s="58">
        <v>505.92</v>
      </c>
      <c r="AF19" s="65">
        <f t="shared" si="13"/>
        <v>240.00000000000909</v>
      </c>
      <c r="AG19" s="58">
        <v>1405.4</v>
      </c>
      <c r="AH19" s="67">
        <f t="shared" si="14"/>
        <v>1</v>
      </c>
      <c r="AI19" s="58">
        <v>478.62</v>
      </c>
      <c r="AJ19" s="65">
        <f t="shared" si="15"/>
        <v>250</v>
      </c>
      <c r="AK19" s="58">
        <v>165.74</v>
      </c>
      <c r="AL19" s="65">
        <f t="shared" si="15"/>
        <v>150.00000000000568</v>
      </c>
      <c r="AM19" s="58">
        <v>162.53</v>
      </c>
      <c r="AN19" s="65">
        <f t="shared" si="15"/>
        <v>229.99999999998977</v>
      </c>
      <c r="AO19" s="58">
        <v>157.83000000000001</v>
      </c>
      <c r="AP19" s="65">
        <f t="shared" si="15"/>
        <v>200.00000000001705</v>
      </c>
      <c r="AQ19" s="58">
        <v>222.16</v>
      </c>
      <c r="AR19" s="65">
        <f t="shared" si="16"/>
        <v>39.999999999992042</v>
      </c>
      <c r="AS19" s="58">
        <v>347.56</v>
      </c>
      <c r="AT19" s="65">
        <f t="shared" si="17"/>
        <v>40.000000000020464</v>
      </c>
      <c r="AU19" s="58">
        <v>268.16000000000003</v>
      </c>
      <c r="AV19" s="65">
        <f t="shared" si="18"/>
        <v>30.000000000029559</v>
      </c>
      <c r="AW19" s="58">
        <v>295.60000000000002</v>
      </c>
      <c r="AX19" s="65">
        <f t="shared" si="19"/>
        <v>30.000000000029559</v>
      </c>
      <c r="AY19" s="58">
        <v>346.9</v>
      </c>
      <c r="AZ19" s="65">
        <f t="shared" si="20"/>
        <v>29.999999999972715</v>
      </c>
      <c r="BA19" s="58">
        <v>366.65</v>
      </c>
      <c r="BB19" s="65">
        <f t="shared" si="21"/>
        <v>29.999999999972715</v>
      </c>
      <c r="BC19" s="58">
        <v>233.17</v>
      </c>
      <c r="BD19" s="65">
        <f t="shared" si="22"/>
        <v>19.99999999998181</v>
      </c>
      <c r="BE19" s="59">
        <v>32084</v>
      </c>
      <c r="BF19" s="67">
        <f t="shared" si="39"/>
        <v>32</v>
      </c>
      <c r="BG19" s="60">
        <v>226.35</v>
      </c>
      <c r="BH19" s="65">
        <f t="shared" si="23"/>
        <v>19.99999999998181</v>
      </c>
      <c r="BI19" s="60">
        <v>284.35000000000002</v>
      </c>
      <c r="BJ19" s="65">
        <f t="shared" si="40"/>
        <v>20.000000000038654</v>
      </c>
      <c r="BK19" s="60">
        <v>231.55</v>
      </c>
      <c r="BL19" s="65">
        <f t="shared" si="24"/>
        <v>10.000000000019327</v>
      </c>
      <c r="BM19" s="60">
        <v>216.01</v>
      </c>
      <c r="BN19" s="65">
        <f t="shared" si="25"/>
        <v>30.000000000001137</v>
      </c>
      <c r="BO19" s="60">
        <v>280.97000000000003</v>
      </c>
      <c r="BP19" s="65">
        <f t="shared" si="26"/>
        <v>20.000000000038654</v>
      </c>
      <c r="BQ19" s="60">
        <v>40170</v>
      </c>
      <c r="BR19" s="65">
        <f t="shared" si="27"/>
        <v>16</v>
      </c>
      <c r="BS19" s="60">
        <v>194.55</v>
      </c>
      <c r="BT19" s="65">
        <f t="shared" si="42"/>
        <v>20.000000000010232</v>
      </c>
      <c r="BU19" s="60">
        <v>32469</v>
      </c>
      <c r="BV19" s="65">
        <f t="shared" si="29"/>
        <v>43</v>
      </c>
      <c r="BW19" s="60">
        <v>226.06</v>
      </c>
      <c r="BX19" s="65">
        <f t="shared" si="30"/>
        <v>20.000000000010232</v>
      </c>
      <c r="BY19" s="60">
        <v>50918</v>
      </c>
      <c r="BZ19" s="67">
        <f t="shared" si="31"/>
        <v>21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50655.5</v>
      </c>
      <c r="CH19" s="67">
        <f t="shared" si="35"/>
        <v>17.099999999998545</v>
      </c>
      <c r="CI19" s="60">
        <v>883328</v>
      </c>
      <c r="CJ19" s="67">
        <f t="shared" si="36"/>
        <v>227</v>
      </c>
      <c r="CK19" s="60">
        <v>618.55999999999995</v>
      </c>
      <c r="CL19" s="64">
        <f t="shared" si="37"/>
        <v>409.99999999996817</v>
      </c>
      <c r="CM19" s="65">
        <f t="shared" si="41"/>
        <v>26.799999999999955</v>
      </c>
      <c r="CN19" s="62">
        <v>0</v>
      </c>
      <c r="CO19" s="62">
        <v>0</v>
      </c>
      <c r="CP19" s="68">
        <v>1253</v>
      </c>
      <c r="CQ19" s="67">
        <f t="shared" si="38"/>
        <v>16.799999999999955</v>
      </c>
      <c r="CR19" s="68">
        <v>10658</v>
      </c>
      <c r="CS19" s="67">
        <f t="shared" si="38"/>
        <v>10</v>
      </c>
      <c r="CT19" s="75">
        <v>3317</v>
      </c>
      <c r="CU19" s="67">
        <f t="shared" si="38"/>
        <v>11</v>
      </c>
      <c r="CV19" s="68">
        <v>9596</v>
      </c>
      <c r="CW19" s="67">
        <f t="shared" si="38"/>
        <v>25</v>
      </c>
    </row>
    <row r="20" spans="1:101" ht="25.5" customHeight="1" thickBot="1" x14ac:dyDescent="0.45">
      <c r="A20" s="63">
        <v>44121</v>
      </c>
      <c r="B20" s="44"/>
      <c r="C20" s="58">
        <v>1.8626</v>
      </c>
      <c r="D20" s="64">
        <f t="shared" si="0"/>
        <v>1300.0000000000789</v>
      </c>
      <c r="E20" s="58">
        <v>2.7888000000000002</v>
      </c>
      <c r="F20" s="64">
        <f t="shared" si="1"/>
        <v>700.00000000014495</v>
      </c>
      <c r="G20" s="58">
        <v>2.7639</v>
      </c>
      <c r="H20" s="64">
        <f t="shared" si="2"/>
        <v>1700.0000000000348</v>
      </c>
      <c r="I20" s="58">
        <v>1.3427</v>
      </c>
      <c r="J20" s="64">
        <f t="shared" si="3"/>
        <v>1000.0000000001119</v>
      </c>
      <c r="K20" s="58">
        <v>2.1318000000000001</v>
      </c>
      <c r="L20" s="64">
        <f t="shared" si="4"/>
        <v>1800.0000000002458</v>
      </c>
      <c r="M20" s="58">
        <v>1.2635000000000001</v>
      </c>
      <c r="N20" s="64">
        <f t="shared" si="5"/>
        <v>500.00000000016701</v>
      </c>
      <c r="O20" s="58">
        <v>12672</v>
      </c>
      <c r="P20" s="67">
        <f t="shared" si="44"/>
        <v>1</v>
      </c>
      <c r="Q20" s="58">
        <v>5864</v>
      </c>
      <c r="R20" s="67">
        <f t="shared" si="6"/>
        <v>0</v>
      </c>
      <c r="S20" s="58">
        <v>859138.6</v>
      </c>
      <c r="T20" s="67">
        <f t="shared" si="7"/>
        <v>176.40000000002328</v>
      </c>
      <c r="U20" s="58">
        <v>351866</v>
      </c>
      <c r="V20" s="67">
        <f t="shared" si="8"/>
        <v>709.09999999997672</v>
      </c>
      <c r="W20" s="58">
        <v>343.92</v>
      </c>
      <c r="X20" s="65">
        <f t="shared" si="9"/>
        <v>210.00000000003638</v>
      </c>
      <c r="Y20" s="58">
        <v>2.4438</v>
      </c>
      <c r="Z20" s="65">
        <f t="shared" si="10"/>
        <v>500.00000000016701</v>
      </c>
      <c r="AA20" s="58">
        <v>335.8</v>
      </c>
      <c r="AB20" s="65">
        <f t="shared" si="11"/>
        <v>100.00000000002274</v>
      </c>
      <c r="AC20" s="58">
        <v>323.77</v>
      </c>
      <c r="AD20" s="65">
        <f t="shared" si="12"/>
        <v>159.99999999996817</v>
      </c>
      <c r="AE20" s="58">
        <v>506.08</v>
      </c>
      <c r="AF20" s="65">
        <f t="shared" si="13"/>
        <v>159.99999999996817</v>
      </c>
      <c r="AG20" s="58">
        <v>1406.4</v>
      </c>
      <c r="AH20" s="67">
        <f t="shared" si="14"/>
        <v>1</v>
      </c>
      <c r="AI20" s="58">
        <v>478.86</v>
      </c>
      <c r="AJ20" s="65">
        <f t="shared" si="15"/>
        <v>240.00000000000909</v>
      </c>
      <c r="AK20" s="58">
        <v>165.9</v>
      </c>
      <c r="AL20" s="65">
        <f t="shared" si="15"/>
        <v>159.99999999999659</v>
      </c>
      <c r="AM20" s="58">
        <v>162.79</v>
      </c>
      <c r="AN20" s="65">
        <f t="shared" si="15"/>
        <v>259.99999999999091</v>
      </c>
      <c r="AO20" s="58">
        <v>158.03</v>
      </c>
      <c r="AP20" s="65">
        <f t="shared" si="15"/>
        <v>199.99999999998863</v>
      </c>
      <c r="AQ20" s="58">
        <v>222.21</v>
      </c>
      <c r="AR20" s="65">
        <f t="shared" si="16"/>
        <v>50.000000000011369</v>
      </c>
      <c r="AS20" s="58">
        <v>347.59</v>
      </c>
      <c r="AT20" s="65">
        <f t="shared" si="17"/>
        <v>29.999999999972715</v>
      </c>
      <c r="AU20" s="58">
        <v>268.19</v>
      </c>
      <c r="AV20" s="65">
        <f t="shared" si="18"/>
        <v>29.999999999972715</v>
      </c>
      <c r="AW20" s="58">
        <v>295.62</v>
      </c>
      <c r="AX20" s="65">
        <f t="shared" si="19"/>
        <v>19.99999999998181</v>
      </c>
      <c r="AY20" s="58">
        <v>346.94</v>
      </c>
      <c r="AZ20" s="65">
        <f t="shared" si="20"/>
        <v>40.000000000020464</v>
      </c>
      <c r="BA20" s="58">
        <v>366.68</v>
      </c>
      <c r="BB20" s="65">
        <f t="shared" si="21"/>
        <v>30.000000000029559</v>
      </c>
      <c r="BC20" s="58">
        <v>233.2</v>
      </c>
      <c r="BD20" s="65">
        <f t="shared" si="22"/>
        <v>30.000000000001137</v>
      </c>
      <c r="BE20" s="59">
        <v>32120</v>
      </c>
      <c r="BF20" s="67">
        <f t="shared" si="39"/>
        <v>36</v>
      </c>
      <c r="BG20" s="60">
        <v>226.36</v>
      </c>
      <c r="BH20" s="65">
        <f t="shared" si="23"/>
        <v>10.000000000019327</v>
      </c>
      <c r="BI20" s="60">
        <v>284.37</v>
      </c>
      <c r="BJ20" s="65">
        <f t="shared" si="40"/>
        <v>19.99999999998181</v>
      </c>
      <c r="BK20" s="60">
        <v>231.55</v>
      </c>
      <c r="BL20" s="65">
        <f t="shared" si="24"/>
        <v>0</v>
      </c>
      <c r="BM20" s="60">
        <v>216.04</v>
      </c>
      <c r="BN20" s="65">
        <f t="shared" si="25"/>
        <v>30.000000000001137</v>
      </c>
      <c r="BO20" s="60">
        <v>280.99</v>
      </c>
      <c r="BP20" s="65">
        <f t="shared" si="26"/>
        <v>19.99999999998181</v>
      </c>
      <c r="BQ20" s="60">
        <v>40185</v>
      </c>
      <c r="BR20" s="65">
        <f t="shared" si="27"/>
        <v>15</v>
      </c>
      <c r="BS20" s="60">
        <v>194.56</v>
      </c>
      <c r="BT20" s="65">
        <f t="shared" si="42"/>
        <v>9.9999999999909051</v>
      </c>
      <c r="BU20" s="60">
        <v>32518</v>
      </c>
      <c r="BV20" s="65">
        <f t="shared" si="29"/>
        <v>49</v>
      </c>
      <c r="BW20" s="60">
        <v>226.07</v>
      </c>
      <c r="BX20" s="65">
        <f t="shared" si="30"/>
        <v>9.9999999999909051</v>
      </c>
      <c r="BY20" s="60">
        <v>50941</v>
      </c>
      <c r="BZ20" s="67">
        <f t="shared" si="31"/>
        <v>23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50678.5</v>
      </c>
      <c r="CH20" s="67">
        <f t="shared" si="35"/>
        <v>23</v>
      </c>
      <c r="CI20" s="60">
        <v>883561</v>
      </c>
      <c r="CJ20" s="67">
        <f t="shared" si="36"/>
        <v>233</v>
      </c>
      <c r="CK20" s="60">
        <v>619</v>
      </c>
      <c r="CL20" s="64">
        <f t="shared" si="37"/>
        <v>440.00000000005457</v>
      </c>
      <c r="CM20" s="65">
        <f t="shared" si="41"/>
        <v>12.599999999999909</v>
      </c>
      <c r="CN20" s="62">
        <v>0</v>
      </c>
      <c r="CO20" s="62">
        <v>0</v>
      </c>
      <c r="CP20" s="68">
        <v>1263.5999999999999</v>
      </c>
      <c r="CQ20" s="67">
        <f t="shared" si="38"/>
        <v>10.599999999999909</v>
      </c>
      <c r="CR20" s="68">
        <v>10660</v>
      </c>
      <c r="CS20" s="67">
        <f t="shared" si="38"/>
        <v>2</v>
      </c>
      <c r="CT20" s="75">
        <v>3328</v>
      </c>
      <c r="CU20" s="67">
        <f t="shared" si="38"/>
        <v>11</v>
      </c>
      <c r="CV20" s="68">
        <v>9612</v>
      </c>
      <c r="CW20" s="67">
        <f t="shared" si="38"/>
        <v>16</v>
      </c>
    </row>
    <row r="21" spans="1:101" ht="25.5" customHeight="1" thickBot="1" x14ac:dyDescent="0.45">
      <c r="A21" s="63">
        <v>44122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"/>
        <v>0</v>
      </c>
      <c r="M21" s="58"/>
      <c r="N21" s="64" t="str">
        <f t="shared" si="5"/>
        <v/>
      </c>
      <c r="O21" s="58"/>
      <c r="P21" s="67" t="str">
        <f t="shared" si="44"/>
        <v/>
      </c>
      <c r="Q21" s="58"/>
      <c r="R21" s="67" t="str">
        <f t="shared" si="6"/>
        <v/>
      </c>
      <c r="S21" s="58"/>
      <c r="T21" s="67" t="str">
        <f t="shared" si="7"/>
        <v/>
      </c>
      <c r="U21" s="58"/>
      <c r="V21" s="67" t="str">
        <f t="shared" si="8"/>
        <v/>
      </c>
      <c r="W21" s="58"/>
      <c r="X21" s="65" t="str">
        <f t="shared" si="9"/>
        <v/>
      </c>
      <c r="Y21" s="58"/>
      <c r="Z21" s="65" t="str">
        <f t="shared" si="10"/>
        <v/>
      </c>
      <c r="AA21" s="58"/>
      <c r="AB21" s="65" t="str">
        <f t="shared" si="11"/>
        <v/>
      </c>
      <c r="AC21" s="58"/>
      <c r="AD21" s="65" t="str">
        <f t="shared" si="12"/>
        <v/>
      </c>
      <c r="AE21" s="58"/>
      <c r="AF21" s="65" t="str">
        <f t="shared" si="13"/>
        <v/>
      </c>
      <c r="AG21" s="58"/>
      <c r="AH21" s="67" t="str">
        <f t="shared" si="14"/>
        <v/>
      </c>
      <c r="AI21" s="58"/>
      <c r="AJ21" s="65" t="str">
        <f t="shared" si="15"/>
        <v/>
      </c>
      <c r="AK21" s="58"/>
      <c r="AL21" s="65" t="str">
        <f t="shared" si="15"/>
        <v/>
      </c>
      <c r="AM21" s="58"/>
      <c r="AN21" s="65" t="str">
        <f t="shared" si="15"/>
        <v/>
      </c>
      <c r="AO21" s="58"/>
      <c r="AP21" s="65" t="str">
        <f t="shared" si="15"/>
        <v/>
      </c>
      <c r="AQ21" s="58"/>
      <c r="AR21" s="65" t="str">
        <f t="shared" si="16"/>
        <v/>
      </c>
      <c r="AS21" s="58"/>
      <c r="AT21" s="65" t="str">
        <f t="shared" si="17"/>
        <v/>
      </c>
      <c r="AU21" s="58"/>
      <c r="AV21" s="65" t="str">
        <f t="shared" si="18"/>
        <v/>
      </c>
      <c r="AW21" s="58"/>
      <c r="AX21" s="65" t="str">
        <f t="shared" si="19"/>
        <v/>
      </c>
      <c r="AY21" s="58"/>
      <c r="AZ21" s="65" t="str">
        <f t="shared" si="20"/>
        <v/>
      </c>
      <c r="BA21" s="58"/>
      <c r="BB21" s="65" t="str">
        <f t="shared" si="21"/>
        <v/>
      </c>
      <c r="BC21" s="58"/>
      <c r="BD21" s="65" t="str">
        <f t="shared" si="22"/>
        <v/>
      </c>
      <c r="BE21" s="59"/>
      <c r="BF21" s="67" t="str">
        <f t="shared" si="39"/>
        <v/>
      </c>
      <c r="BG21" s="60"/>
      <c r="BH21" s="65" t="str">
        <f t="shared" si="23"/>
        <v/>
      </c>
      <c r="BI21" s="60"/>
      <c r="BJ21" s="65" t="str">
        <f t="shared" si="40"/>
        <v/>
      </c>
      <c r="BK21" s="60"/>
      <c r="BL21" s="65" t="str">
        <f t="shared" si="24"/>
        <v/>
      </c>
      <c r="BM21" s="60"/>
      <c r="BN21" s="65" t="str">
        <f t="shared" si="25"/>
        <v/>
      </c>
      <c r="BO21" s="60"/>
      <c r="BP21" s="65" t="str">
        <f t="shared" si="26"/>
        <v/>
      </c>
      <c r="BQ21" s="60"/>
      <c r="BR21" s="65" t="str">
        <f t="shared" si="27"/>
        <v/>
      </c>
      <c r="BS21" s="60"/>
      <c r="BT21" s="65" t="str">
        <f t="shared" si="42"/>
        <v/>
      </c>
      <c r="BU21" s="60"/>
      <c r="BV21" s="65" t="str">
        <f t="shared" si="29"/>
        <v/>
      </c>
      <c r="BW21" s="60"/>
      <c r="BX21" s="65" t="str">
        <f t="shared" si="30"/>
        <v/>
      </c>
      <c r="BY21" s="60"/>
      <c r="BZ21" s="67" t="str">
        <f t="shared" si="31"/>
        <v/>
      </c>
      <c r="CA21" s="60"/>
      <c r="CB21" s="67" t="str">
        <f t="shared" si="32"/>
        <v/>
      </c>
      <c r="CC21" s="60"/>
      <c r="CD21" s="67" t="str">
        <f t="shared" si="33"/>
        <v/>
      </c>
      <c r="CE21" s="60"/>
      <c r="CF21" s="67" t="str">
        <f t="shared" si="34"/>
        <v/>
      </c>
      <c r="CG21" s="60"/>
      <c r="CH21" s="67" t="str">
        <f t="shared" si="35"/>
        <v/>
      </c>
      <c r="CI21" s="60"/>
      <c r="CJ21" s="67" t="str">
        <f t="shared" si="36"/>
        <v/>
      </c>
      <c r="CK21" s="60"/>
      <c r="CL21" s="64" t="str">
        <f t="shared" si="37"/>
        <v/>
      </c>
      <c r="CM21" s="65" t="e">
        <f t="shared" si="41"/>
        <v>#VALUE!</v>
      </c>
      <c r="CN21" s="62">
        <v>0</v>
      </c>
      <c r="CO21" s="62">
        <v>0</v>
      </c>
      <c r="CP21" s="68"/>
      <c r="CQ21" s="67" t="str">
        <f t="shared" si="38"/>
        <v/>
      </c>
      <c r="CR21" s="68"/>
      <c r="CS21" s="67" t="str">
        <f t="shared" si="38"/>
        <v/>
      </c>
      <c r="CT21" s="75"/>
      <c r="CU21" s="67" t="str">
        <f t="shared" si="38"/>
        <v/>
      </c>
      <c r="CV21" s="68"/>
      <c r="CW21" s="67" t="str">
        <f t="shared" si="38"/>
        <v/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>
        <v>1</v>
      </c>
      <c r="BL24" s="65">
        <f t="shared" si="24"/>
        <v>1000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 t="str">
        <f t="shared" si="24"/>
        <v/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S24" sqref="S24:S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7</v>
      </c>
      <c r="O24" s="39">
        <v>1</v>
      </c>
      <c r="P24" s="39">
        <v>1</v>
      </c>
      <c r="Q24" s="39">
        <v>2911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80</v>
      </c>
      <c r="O25" s="39">
        <v>85</v>
      </c>
      <c r="P25" s="39">
        <v>83</v>
      </c>
      <c r="Q25" s="39">
        <v>2913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-196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2020-10-18T12:33:41Z</dcterms:modified>
</cp:coreProperties>
</file>