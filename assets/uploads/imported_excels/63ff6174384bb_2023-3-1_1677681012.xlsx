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8" i="7" l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AX8" i="7" l="1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B38" i="7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<sst xmlns="http://schemas.openxmlformats.org/spreadsheetml/2006/main" count="138" uniqueCount="58">
  <si>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</si>
  <si>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</si>
  <si>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</si>
  <si>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</si>
  <si>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</si>
  <si>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</si>
  <si>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</si>
  <si>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</si>
  <si>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</si>
  <si>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</si>
  <si>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</si>
  <si>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</si>
  <si>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</si>
  <si>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</si>
  <si>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</si>
  <si>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</si>
  <si>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</si>
  <si>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</si>
  <si>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</si>
  <si>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</si>
  <si>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</si>
  <si>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</si>
  <si>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</si>
  <si>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</si>
  <si>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</si>
  <si>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</si>
  <si>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</si>
  <si>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</si>
  <si>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</si>
  <si>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</si>
  <si>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</si>
  <si>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</si>
  <si>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</si>
  <si>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</si>
  <si>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</si>
  <si>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</si>
  <si>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</si>
  <si>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</si>
  <si>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</si>
  <si>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</si>
  <si>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</si>
  <si>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</si>
  <si>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</si>
  <si>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Feb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</si>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</sst>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6" borderId="2" xfId="0" quotePrefix="1" applyFont="1" applyFill="1" applyBorder="1" applyAlignment="1">
      <alignment horizontal="right"/>
    </xf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 applyAlignment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26" zoomScale="130" zoomScaleNormal="130" workbookViewId="0">
      <selection activeCell="K24" sqref="K2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 x14ac:dyDescent="0.25">
      <c r="A3" s="21" t="s">
        <v>11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 x14ac:dyDescent="0.25">
      <c r="A5" s="21" t="s">
        <v>11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 x14ac:dyDescent="0.25">
      <c r="A7" s="21" t="s">
        <v>11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 x14ac:dyDescent="0.25">
      <c r="A8" s="21" t="s">
        <v>11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53340</v>
      </c>
      <c r="F22" s="11">
        <v>5.0000000000000001E-3</v>
      </c>
      <c r="G22" s="12">
        <f>Submetering!S22</f>
        <v>442.26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107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52030</v>
      </c>
      <c r="F23" s="11">
        <v>5.0000000000000001E-3</v>
      </c>
      <c r="G23" s="12">
        <f>Submetering!S23</f>
        <v>418.78199999999998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126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53960</v>
      </c>
      <c r="F24" s="11">
        <v>5.0000000000000001E-3</v>
      </c>
      <c r="G24" s="12">
        <f>Submetering!S24</f>
        <v>419.05500000000001</v>
      </c>
      <c r="H24" s="11">
        <v>0.44440000000000002</v>
      </c>
      <c r="I24" s="12">
        <f>Submetering!R24</f>
        <v>1300.3125</v>
      </c>
      <c r="J24" s="11">
        <v>0.14000000000000001</v>
      </c>
      <c r="K24" s="12">
        <f>Hotel!B29</f>
        <v>145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54840</v>
      </c>
      <c r="F25" s="11">
        <v>5.0000000000000001E-3</v>
      </c>
      <c r="G25" s="12">
        <f>Submetering!S25</f>
        <v>313.404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113</v>
      </c>
    </row>
    <row r="26" spans="1:11" s="15" customFormat="1" x14ac:dyDescent="0.25">
      <c r="A26" s="21" t="s">
        <v>11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53570</v>
      </c>
      <c r="F26" s="11">
        <v>5.0000000000000001E-3</v>
      </c>
      <c r="G26" s="12">
        <f>Submetering!S26</f>
        <v>340.43099999999998</v>
      </c>
      <c r="H26" s="11">
        <v>0.44440000000000002</v>
      </c>
      <c r="I26" s="12">
        <f>Submetering!R26</f>
        <v>1175.625</v>
      </c>
      <c r="J26" s="11">
        <v>0.14000000000000001</v>
      </c>
      <c r="K26" s="12">
        <f>Hotel!B31</f>
        <v>91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53070</v>
      </c>
      <c r="F27" s="11">
        <v>5.0000000000000001E-3</v>
      </c>
      <c r="G27" s="12">
        <f>Submetering!S27</f>
        <v>356.53800000000001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81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55680</v>
      </c>
      <c r="F28" s="11">
        <v>5.0000000000000001E-3</v>
      </c>
      <c r="G28" s="12">
        <f>Submetering!S28</f>
        <v>357.084</v>
      </c>
      <c r="H28" s="11">
        <v>0.44440000000000002</v>
      </c>
      <c r="I28" s="12">
        <f>Submetering!R28</f>
        <v>1140</v>
      </c>
      <c r="J28" s="11">
        <v>0.14000000000000001</v>
      </c>
      <c r="K28" s="12">
        <f>Hotel!B33</f>
        <v>71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54890</v>
      </c>
      <c r="F29" s="11">
        <v>5.0000000000000001E-3</v>
      </c>
      <c r="G29" s="12">
        <f>Submetering!S29</f>
        <v>488.94300000000004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106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4" workbookViewId="0">
      <selection activeCell="T2" sqref="T2:T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Hotel!BA7</f>
        <v>365.54699999999997</v>
      </c>
      <c r="T2" s="4" t="str">
        <f>Hotel!AX7</f>
        <v>0</v>
      </c>
      <c r="U2" s="4">
        <f>Hotel!B7</f>
        <v>141</v>
      </c>
    </row>
    <row r="3" spans="1:21" x14ac:dyDescent="0.25">
      <c r="A3" s="21" t="s">
        <v>11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Hotel!BA8</f>
        <v>438.16500000000002</v>
      </c>
      <c r="T3" s="4">
        <f>Hotel!AX8</f>
        <v>0</v>
      </c>
      <c r="U3" s="4">
        <f>Hotel!B8</f>
        <v>144</v>
      </c>
    </row>
    <row r="4" spans="1:21" x14ac:dyDescent="0.25">
      <c r="A4" s="21" t="s">
        <v>11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Hotel!BA9</f>
        <v>361.99799999999999</v>
      </c>
      <c r="T4" s="4">
        <f>Hotel!AX9</f>
        <v>0</v>
      </c>
      <c r="U4" s="4">
        <f>Hotel!B9</f>
        <v>184</v>
      </c>
    </row>
    <row r="5" spans="1:21" x14ac:dyDescent="0.25">
      <c r="A5" s="21" t="s">
        <v>11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Hotel!BA10</f>
        <v>429.15600000000001</v>
      </c>
      <c r="T5" s="4">
        <f>Hotel!AX10</f>
        <v>0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Hotel!BA11</f>
        <v>398.03399999999999</v>
      </c>
      <c r="T6" s="4">
        <f>Hotel!AX11</f>
        <v>0</v>
      </c>
      <c r="U6" s="4">
        <f>Hotel!B11</f>
        <v>125</v>
      </c>
    </row>
    <row r="7" spans="1:21" x14ac:dyDescent="0.25">
      <c r="A7" s="21" t="s">
        <v>11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Hotel!BA12</f>
        <v>420.42</v>
      </c>
      <c r="T7" s="4">
        <f>Hotel!AX12</f>
        <v>0</v>
      </c>
      <c r="U7" s="4">
        <f>Hotel!B12</f>
        <v>159</v>
      </c>
    </row>
    <row r="8" spans="1:21" x14ac:dyDescent="0.25">
      <c r="A8" s="21" t="s">
        <v>11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Hotel!BA13</f>
        <v>333.06</v>
      </c>
      <c r="T8" s="4">
        <f>Hotel!AX13</f>
        <v>0</v>
      </c>
      <c r="U8" s="4">
        <f>Hotel!B13</f>
        <v>140</v>
      </c>
    </row>
    <row r="9" spans="1:21" x14ac:dyDescent="0.25">
      <c r="A9" s="21" t="s">
        <v>11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Hotel!BA14</f>
        <v>526.61699999999996</v>
      </c>
      <c r="T9" s="4">
        <f>Hotel!AX14</f>
        <v>0</v>
      </c>
      <c r="U9" s="4">
        <f>Hotel!B14</f>
        <v>142</v>
      </c>
    </row>
    <row r="10" spans="1:21" x14ac:dyDescent="0.25">
      <c r="A10" s="21" t="s">
        <v>11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Hotel!BA15</f>
        <v>472.83600000000001</v>
      </c>
      <c r="T10" s="4">
        <f>Hotel!AX15</f>
        <v>0</v>
      </c>
      <c r="U10" s="4">
        <f>Hotel!B15</f>
        <v>156</v>
      </c>
    </row>
    <row r="11" spans="1:21" x14ac:dyDescent="0.25">
      <c r="A11" s="21" t="s">
        <v>11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Hotel!BA16</f>
        <v>332.24099999999999</v>
      </c>
      <c r="T11" s="4">
        <f>Hotel!AX16</f>
        <v>0</v>
      </c>
      <c r="U11" s="4">
        <f>Hotel!B16</f>
        <v>161</v>
      </c>
    </row>
    <row r="12" spans="1:21" x14ac:dyDescent="0.25">
      <c r="A12" s="21" t="s">
        <v>11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Hotel!BA17</f>
        <v>468.74099999999999</v>
      </c>
      <c r="T12" s="4">
        <f>Hotel!AX17</f>
        <v>0</v>
      </c>
      <c r="U12" s="4">
        <f>Hotel!B17</f>
        <v>101</v>
      </c>
    </row>
    <row r="13" spans="1:21" x14ac:dyDescent="0.25">
      <c r="A13" s="21" t="s">
        <v>11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Hotel!BA18</f>
        <v>419.32799999999997</v>
      </c>
      <c r="T13" s="4">
        <f>Hotel!AX18</f>
        <v>68917</v>
      </c>
      <c r="U13" s="4">
        <f>Hotel!B18</f>
        <v>110</v>
      </c>
    </row>
    <row r="14" spans="1:21" x14ac:dyDescent="0.25">
      <c r="A14" s="21" t="s">
        <v>11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Hotel!BA19</f>
        <v>412.50299999999999</v>
      </c>
      <c r="T14" s="4">
        <f>Hotel!AX19</f>
        <v>32</v>
      </c>
      <c r="U14" s="4">
        <f>Hotel!B19</f>
        <v>150</v>
      </c>
    </row>
    <row r="15" spans="1:21" x14ac:dyDescent="0.25">
      <c r="A15" s="21" t="s">
        <v>11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Hotel!BA20</f>
        <v>455.09100000000001</v>
      </c>
      <c r="T15" s="4">
        <f>Hotel!AX20</f>
        <v>35</v>
      </c>
      <c r="U15" s="4">
        <f>Hotel!B20</f>
        <v>179</v>
      </c>
    </row>
    <row r="16" spans="1:21" x14ac:dyDescent="0.25">
      <c r="A16" s="21" t="s">
        <v>11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Hotel!BA21</f>
        <v>403.22100000000006</v>
      </c>
      <c r="T16" s="4">
        <f>Hotel!AX21</f>
        <v>28</v>
      </c>
      <c r="U16" s="4">
        <f>Hotel!B21</f>
        <v>156</v>
      </c>
    </row>
    <row r="17" spans="1:21" x14ac:dyDescent="0.25">
      <c r="A17" s="21" t="s">
        <v>11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Hotel!BA22</f>
        <v>450.17700000000002</v>
      </c>
      <c r="T17" s="4">
        <f>Hotel!AX22</f>
        <v>42</v>
      </c>
      <c r="U17" s="4">
        <f>Hotel!B22</f>
        <v>128</v>
      </c>
    </row>
    <row r="18" spans="1:21" x14ac:dyDescent="0.25">
      <c r="A18" s="21" t="s">
        <v>11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Hotel!BA23</f>
        <v>281.73599999999999</v>
      </c>
      <c r="T18" s="4">
        <f>Hotel!AX23</f>
        <v>65</v>
      </c>
      <c r="U18" s="4">
        <f>Hotel!B23</f>
        <v>145</v>
      </c>
    </row>
    <row r="19" spans="1:21" x14ac:dyDescent="0.25">
      <c r="A19" s="21" t="s">
        <v>11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Hotel!BA24</f>
        <v>444.71700000000004</v>
      </c>
      <c r="T19" s="4">
        <f>Hotel!AX24</f>
        <v>81</v>
      </c>
      <c r="U19" s="4">
        <f>Hotel!B24</f>
        <v>95</v>
      </c>
    </row>
    <row r="20" spans="1:21" x14ac:dyDescent="0.25">
      <c r="A20" s="21" t="s">
        <v>11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Hotel!BA25</f>
        <v>410.59200000000004</v>
      </c>
      <c r="T20" s="4">
        <f>Hotel!AX25</f>
        <v>110</v>
      </c>
      <c r="U20" s="4">
        <f>Hotel!B25</f>
        <v>72</v>
      </c>
    </row>
    <row r="21" spans="1:21" x14ac:dyDescent="0.25">
      <c r="A21" s="21" t="s">
        <v>11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Hotel!BA26</f>
        <v>391.75500000000005</v>
      </c>
      <c r="T21" s="4">
        <f>Hotel!AX26</f>
        <v>93</v>
      </c>
      <c r="U21" s="4">
        <f>Hotel!B26</f>
        <v>74</v>
      </c>
    </row>
    <row r="22" spans="1:21" x14ac:dyDescent="0.25">
      <c r="A22" s="21" t="s">
        <v>11</v>
      </c>
      <c r="B22" s="2">
        <f t="shared" si="0"/>
        <v>21</v>
      </c>
      <c r="C22" s="3">
        <v>2</v>
      </c>
      <c r="D22" s="11">
        <v>2023</v>
      </c>
      <c r="E22" s="4">
        <f>Hotel!Q27</f>
        <v>550</v>
      </c>
      <c r="F22" s="4">
        <f>Hotel!R27</f>
        <v>1850</v>
      </c>
      <c r="G22" s="4">
        <f>Hotel!S27</f>
        <v>2410</v>
      </c>
      <c r="H22" s="4">
        <f>Hotel!T27</f>
        <v>900</v>
      </c>
      <c r="I22" s="4">
        <f>Hotel!U27</f>
        <v>5220</v>
      </c>
      <c r="J22" s="4">
        <f>Hotel!V27</f>
        <v>4230</v>
      </c>
      <c r="K22" s="4">
        <f>Hotel!W27</f>
        <v>2740</v>
      </c>
      <c r="L22" s="4">
        <f>Hotel!X27</f>
        <v>4620</v>
      </c>
      <c r="M22" s="4">
        <f>Hotel!Y27</f>
        <v>5410</v>
      </c>
      <c r="N22" s="4">
        <f>Hotel!Z27</f>
        <v>2470</v>
      </c>
      <c r="O22" s="4">
        <f>Hotel!AA27</f>
        <v>2650</v>
      </c>
      <c r="P22" s="4">
        <f>Hotel!AB27</f>
        <v>7210</v>
      </c>
      <c r="Q22" s="4">
        <f>Hotel!AC27</f>
        <v>13080</v>
      </c>
      <c r="R22" s="4">
        <f>Hotel!AU27</f>
        <v>0</v>
      </c>
      <c r="S22" s="4">
        <f>Hotel!BA27</f>
        <v>442.26</v>
      </c>
      <c r="T22" s="4">
        <f>Hotel!AX27</f>
        <v>269</v>
      </c>
      <c r="U22" s="4">
        <f>Hotel!B27</f>
        <v>107</v>
      </c>
    </row>
    <row r="23" spans="1:21" x14ac:dyDescent="0.25">
      <c r="A23" s="21" t="s">
        <v>11</v>
      </c>
      <c r="B23" s="2">
        <f t="shared" si="0"/>
        <v>22</v>
      </c>
      <c r="C23" s="3">
        <v>2</v>
      </c>
      <c r="D23" s="11">
        <v>2023</v>
      </c>
      <c r="E23" s="4">
        <f>Hotel!Q28</f>
        <v>550</v>
      </c>
      <c r="F23" s="4">
        <f>Hotel!R28</f>
        <v>1830</v>
      </c>
      <c r="G23" s="4">
        <f>Hotel!S28</f>
        <v>2500</v>
      </c>
      <c r="H23" s="4">
        <f>Hotel!T28</f>
        <v>890</v>
      </c>
      <c r="I23" s="4">
        <f>Hotel!U28</f>
        <v>5650</v>
      </c>
      <c r="J23" s="4">
        <f>Hotel!V28</f>
        <v>4090</v>
      </c>
      <c r="K23" s="4">
        <f>Hotel!W28</f>
        <v>2760</v>
      </c>
      <c r="L23" s="4">
        <f>Hotel!X28</f>
        <v>4450</v>
      </c>
      <c r="M23" s="4">
        <f>Hotel!Y28</f>
        <v>5300</v>
      </c>
      <c r="N23" s="4">
        <f>Hotel!Z28</f>
        <v>2380</v>
      </c>
      <c r="O23" s="4">
        <f>Hotel!AA28</f>
        <v>2910</v>
      </c>
      <c r="P23" s="4">
        <f>Hotel!AB28</f>
        <v>7140</v>
      </c>
      <c r="Q23" s="4">
        <f>Hotel!AC28</f>
        <v>11580</v>
      </c>
      <c r="R23" s="4">
        <f>Hotel!AU28</f>
        <v>0</v>
      </c>
      <c r="S23" s="4">
        <f>Hotel!BA28</f>
        <v>418.78199999999998</v>
      </c>
      <c r="T23" s="4">
        <f>Hotel!AX28</f>
        <v>138</v>
      </c>
      <c r="U23" s="4">
        <f>Hotel!B28</f>
        <v>126</v>
      </c>
    </row>
    <row r="24" spans="1:21" x14ac:dyDescent="0.25">
      <c r="A24" s="21" t="s">
        <v>11</v>
      </c>
      <c r="B24" s="2">
        <f t="shared" si="0"/>
        <v>23</v>
      </c>
      <c r="C24" s="3">
        <v>2</v>
      </c>
      <c r="D24" s="11">
        <v>2023</v>
      </c>
      <c r="E24" s="4">
        <f>Hotel!Q29</f>
        <v>550</v>
      </c>
      <c r="F24" s="4">
        <f>Hotel!R29</f>
        <v>1840</v>
      </c>
      <c r="G24" s="4">
        <f>Hotel!S29</f>
        <v>2540</v>
      </c>
      <c r="H24" s="4">
        <f>Hotel!T29</f>
        <v>890</v>
      </c>
      <c r="I24" s="4">
        <f>Hotel!U29</f>
        <v>6150</v>
      </c>
      <c r="J24" s="4">
        <f>Hotel!V29</f>
        <v>4080</v>
      </c>
      <c r="K24" s="4">
        <f>Hotel!W29</f>
        <v>2880</v>
      </c>
      <c r="L24" s="4">
        <f>Hotel!X29</f>
        <v>4390</v>
      </c>
      <c r="M24" s="4">
        <f>Hotel!Y29</f>
        <v>5350</v>
      </c>
      <c r="N24" s="4">
        <f>Hotel!Z29</f>
        <v>2480</v>
      </c>
      <c r="O24" s="4">
        <f>Hotel!AA29</f>
        <v>2950</v>
      </c>
      <c r="P24" s="4">
        <f>Hotel!AB29</f>
        <v>7200</v>
      </c>
      <c r="Q24" s="4">
        <f>Hotel!AC29</f>
        <v>12660</v>
      </c>
      <c r="R24" s="4">
        <f>Hotel!AU29</f>
        <v>1300.3125</v>
      </c>
      <c r="S24" s="4">
        <f>Hotel!BA29</f>
        <v>419.05500000000001</v>
      </c>
      <c r="T24" s="4">
        <f>Hotel!AX29</f>
        <v>128</v>
      </c>
      <c r="U24" s="4">
        <f>Hotel!B29</f>
        <v>145</v>
      </c>
    </row>
    <row r="25" spans="1:21" x14ac:dyDescent="0.25">
      <c r="A25" s="21" t="s">
        <v>11</v>
      </c>
      <c r="B25" s="2">
        <f t="shared" si="0"/>
        <v>24</v>
      </c>
      <c r="C25" s="3">
        <v>2</v>
      </c>
      <c r="D25" s="11">
        <v>2023</v>
      </c>
      <c r="E25" s="4">
        <f>Hotel!Q30</f>
        <v>550</v>
      </c>
      <c r="F25" s="4">
        <f>Hotel!R30</f>
        <v>1850</v>
      </c>
      <c r="G25" s="4">
        <f>Hotel!S30</f>
        <v>2820</v>
      </c>
      <c r="H25" s="4">
        <f>Hotel!T30</f>
        <v>910</v>
      </c>
      <c r="I25" s="4">
        <f>Hotel!U30</f>
        <v>6090</v>
      </c>
      <c r="J25" s="4">
        <f>Hotel!V30</f>
        <v>4080</v>
      </c>
      <c r="K25" s="4">
        <f>Hotel!W30</f>
        <v>2700</v>
      </c>
      <c r="L25" s="4">
        <f>Hotel!X30</f>
        <v>4270</v>
      </c>
      <c r="M25" s="4">
        <f>Hotel!Y30</f>
        <v>5860</v>
      </c>
      <c r="N25" s="4">
        <f>Hotel!Z30</f>
        <v>2470</v>
      </c>
      <c r="O25" s="4">
        <f>Hotel!AA30</f>
        <v>3130</v>
      </c>
      <c r="P25" s="4">
        <f>Hotel!AB30</f>
        <v>7280</v>
      </c>
      <c r="Q25" s="4">
        <f>Hotel!AC30</f>
        <v>12830</v>
      </c>
      <c r="R25" s="4">
        <f>Hotel!AU30</f>
        <v>0</v>
      </c>
      <c r="S25" s="4">
        <f>Hotel!BA30</f>
        <v>313.404</v>
      </c>
      <c r="T25" s="4">
        <f>Hotel!AX30</f>
        <v>119</v>
      </c>
      <c r="U25" s="4">
        <f>Hotel!B30</f>
        <v>113</v>
      </c>
    </row>
    <row r="26" spans="1:21" x14ac:dyDescent="0.25">
      <c r="A26" s="21" t="s">
        <v>11</v>
      </c>
      <c r="B26" s="2">
        <f>B25+1</f>
        <v>25</v>
      </c>
      <c r="C26" s="3">
        <v>2</v>
      </c>
      <c r="D26" s="11">
        <v>2023</v>
      </c>
      <c r="E26" s="4">
        <f>Hotel!Q31</f>
        <v>550</v>
      </c>
      <c r="F26" s="4">
        <f>Hotel!R31</f>
        <v>1850</v>
      </c>
      <c r="G26" s="4">
        <f>Hotel!S31</f>
        <v>2850</v>
      </c>
      <c r="H26" s="4">
        <f>Hotel!T31</f>
        <v>930</v>
      </c>
      <c r="I26" s="4">
        <f>Hotel!U31</f>
        <v>5840</v>
      </c>
      <c r="J26" s="4">
        <f>Hotel!V31</f>
        <v>3980</v>
      </c>
      <c r="K26" s="4">
        <f>Hotel!W31</f>
        <v>2710</v>
      </c>
      <c r="L26" s="4">
        <f>Hotel!X31</f>
        <v>4070</v>
      </c>
      <c r="M26" s="4">
        <f>Hotel!Y31</f>
        <v>5860</v>
      </c>
      <c r="N26" s="4">
        <f>Hotel!Z31</f>
        <v>2420</v>
      </c>
      <c r="O26" s="4">
        <f>Hotel!AA31</f>
        <v>3080</v>
      </c>
      <c r="P26" s="4">
        <f>Hotel!AB31</f>
        <v>7250</v>
      </c>
      <c r="Q26" s="4">
        <f>Hotel!AC31</f>
        <v>12180</v>
      </c>
      <c r="R26" s="4">
        <f>Hotel!AU31</f>
        <v>1175.625</v>
      </c>
      <c r="S26" s="4">
        <f>Hotel!BA31</f>
        <v>340.43099999999998</v>
      </c>
      <c r="T26" s="4">
        <f>Hotel!AX31</f>
        <v>112</v>
      </c>
      <c r="U26" s="4">
        <f>Hotel!B31</f>
        <v>91</v>
      </c>
    </row>
    <row r="27" spans="1:21" x14ac:dyDescent="0.25">
      <c r="A27" s="21" t="s">
        <v>11</v>
      </c>
      <c r="B27" s="2">
        <f t="shared" si="0"/>
        <v>26</v>
      </c>
      <c r="C27" s="3">
        <v>2</v>
      </c>
      <c r="D27" s="11">
        <v>2023</v>
      </c>
      <c r="E27" s="4">
        <f>Hotel!Q32</f>
        <v>630</v>
      </c>
      <c r="F27" s="4">
        <f>Hotel!R32</f>
        <v>1790</v>
      </c>
      <c r="G27" s="4">
        <f>Hotel!S32</f>
        <v>3320</v>
      </c>
      <c r="H27" s="4">
        <f>Hotel!T32</f>
        <v>910</v>
      </c>
      <c r="I27" s="4">
        <f>Hotel!U32</f>
        <v>5470</v>
      </c>
      <c r="J27" s="4">
        <f>Hotel!V32</f>
        <v>3760</v>
      </c>
      <c r="K27" s="4">
        <f>Hotel!W32</f>
        <v>2560</v>
      </c>
      <c r="L27" s="4">
        <f>Hotel!X32</f>
        <v>3730</v>
      </c>
      <c r="M27" s="4">
        <f>Hotel!Y32</f>
        <v>5390</v>
      </c>
      <c r="N27" s="4">
        <f>Hotel!Z32</f>
        <v>2350</v>
      </c>
      <c r="O27" s="4">
        <f>Hotel!AA32</f>
        <v>2870</v>
      </c>
      <c r="P27" s="4">
        <f>Hotel!AB32</f>
        <v>7010</v>
      </c>
      <c r="Q27" s="4">
        <f>Hotel!AC32</f>
        <v>13280</v>
      </c>
      <c r="R27" s="4">
        <f>Hotel!AU32</f>
        <v>0</v>
      </c>
      <c r="S27" s="4">
        <f>Hotel!BA32</f>
        <v>356.53800000000001</v>
      </c>
      <c r="T27" s="4">
        <f>Hotel!AX32</f>
        <v>119</v>
      </c>
      <c r="U27" s="4">
        <f>Hotel!B32</f>
        <v>81</v>
      </c>
    </row>
    <row r="28" spans="1:21" x14ac:dyDescent="0.25">
      <c r="A28" s="21" t="s">
        <v>11</v>
      </c>
      <c r="B28" s="2">
        <f t="shared" si="0"/>
        <v>27</v>
      </c>
      <c r="C28" s="3">
        <v>2</v>
      </c>
      <c r="D28" s="11">
        <v>2023</v>
      </c>
      <c r="E28" s="4">
        <f>Hotel!Q33</f>
        <v>460</v>
      </c>
      <c r="F28" s="4">
        <f>Hotel!R33</f>
        <v>1870</v>
      </c>
      <c r="G28" s="4">
        <f>Hotel!S33</f>
        <v>2520</v>
      </c>
      <c r="H28" s="4">
        <f>Hotel!T33</f>
        <v>950</v>
      </c>
      <c r="I28" s="4">
        <f>Hotel!U33</f>
        <v>5890</v>
      </c>
      <c r="J28" s="4">
        <f>Hotel!V33</f>
        <v>4050</v>
      </c>
      <c r="K28" s="4">
        <f>Hotel!W33</f>
        <v>2930</v>
      </c>
      <c r="L28" s="4">
        <f>Hotel!X33</f>
        <v>4300</v>
      </c>
      <c r="M28" s="4">
        <f>Hotel!Y33</f>
        <v>5720</v>
      </c>
      <c r="N28" s="4">
        <f>Hotel!Z33</f>
        <v>2450</v>
      </c>
      <c r="O28" s="4">
        <f>Hotel!AA33</f>
        <v>2940</v>
      </c>
      <c r="P28" s="4">
        <f>Hotel!AB33</f>
        <v>7380</v>
      </c>
      <c r="Q28" s="4">
        <f>Hotel!AC33</f>
        <v>14220</v>
      </c>
      <c r="R28" s="4">
        <f>Hotel!AU33</f>
        <v>1140</v>
      </c>
      <c r="S28" s="4">
        <f>Hotel!BA33</f>
        <v>357.084</v>
      </c>
      <c r="T28" s="4">
        <f>Hotel!AX33</f>
        <v>190</v>
      </c>
      <c r="U28" s="4">
        <f>Hotel!B33</f>
        <v>71</v>
      </c>
    </row>
    <row r="29" spans="1:21" x14ac:dyDescent="0.25">
      <c r="A29" s="21" t="s">
        <v>11</v>
      </c>
      <c r="B29" s="2">
        <f t="shared" si="0"/>
        <v>28</v>
      </c>
      <c r="C29" s="3">
        <v>2</v>
      </c>
      <c r="D29" s="11">
        <v>2023</v>
      </c>
      <c r="E29" s="4">
        <f>Hotel!Q34</f>
        <v>560</v>
      </c>
      <c r="F29" s="4">
        <f>Hotel!R34</f>
        <v>1860</v>
      </c>
      <c r="G29" s="4">
        <f>Hotel!S34</f>
        <v>2970</v>
      </c>
      <c r="H29" s="4">
        <f>Hotel!T34</f>
        <v>950</v>
      </c>
      <c r="I29" s="4">
        <f>Hotel!U34</f>
        <v>5520</v>
      </c>
      <c r="J29" s="4">
        <f>Hotel!V34</f>
        <v>4110</v>
      </c>
      <c r="K29" s="4">
        <f>Hotel!W34</f>
        <v>2990</v>
      </c>
      <c r="L29" s="4">
        <f>Hotel!X34</f>
        <v>4030</v>
      </c>
      <c r="M29" s="4">
        <f>Hotel!Y34</f>
        <v>5770</v>
      </c>
      <c r="N29" s="4">
        <f>Hotel!Z34</f>
        <v>2490</v>
      </c>
      <c r="O29" s="4">
        <f>Hotel!AA34</f>
        <v>2640</v>
      </c>
      <c r="P29" s="4">
        <f>Hotel!AB34</f>
        <v>7240</v>
      </c>
      <c r="Q29" s="4">
        <f>Hotel!AC34</f>
        <v>13760</v>
      </c>
      <c r="R29" s="4">
        <f>Hotel!AU34</f>
        <v>0</v>
      </c>
      <c r="S29" s="4">
        <f>Hotel!BA34</f>
        <v>488.94300000000004</v>
      </c>
      <c r="T29" s="4">
        <f>Hotel!AX34</f>
        <v>60</v>
      </c>
      <c r="U29" s="4">
        <f>Hotel!B34</f>
        <v>106</v>
      </c>
    </row>
    <row r="30" spans="1:21" x14ac:dyDescent="0.25">
      <c r="A30" s="21" t="s">
        <v>11</v>
      </c>
      <c r="B30" s="2">
        <f>B29+1</f>
        <v>29</v>
      </c>
      <c r="C30" s="3">
        <v>2</v>
      </c>
      <c r="D30" s="11">
        <v>2023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Hotel!AU35</f>
        <v>0</v>
      </c>
      <c r="S30" s="4">
        <f>Hotel!BA35</f>
        <v>0</v>
      </c>
      <c r="T30" s="4" t="str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B8" zoomScale="93" zoomScaleNormal="93" workbookViewId="0">
      <selection activeCell="AV6" sqref="AV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9" bestFit="1" customWidth="1"/>
    <col min="47" max="47" width="19.28515625" style="66" customWidth="1"/>
    <col min="48" max="48" width="7.28515625" customWidth="1"/>
    <col min="49" max="50" width="11.85546875" style="60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44957</v>
      </c>
      <c r="B2" s="63">
        <v>116</v>
      </c>
      <c r="C2" s="64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67633</v>
      </c>
      <c r="AX2" s="61"/>
      <c r="AY2" s="55">
        <v>407070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93" t="s">
        <v>44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Q4" s="95" t="s">
        <v>45</v>
      </c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7"/>
      <c r="AD4" s="28" t="s">
        <v>46</v>
      </c>
      <c r="AF4" s="98" t="s">
        <v>47</v>
      </c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29" t="s">
        <v>48</v>
      </c>
      <c r="AT4" s="99" t="s">
        <v>49</v>
      </c>
      <c r="AU4" s="99" t="s">
        <v>50</v>
      </c>
      <c r="AW4" s="100" t="s">
        <v>51</v>
      </c>
      <c r="AX4" s="100" t="s">
        <v>52</v>
      </c>
      <c r="AY4" s="89" t="s">
        <v>53</v>
      </c>
      <c r="AZ4" s="90" t="s">
        <v>54</v>
      </c>
      <c r="BA4" s="90" t="s">
        <v>55</v>
      </c>
      <c r="BB4" s="92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99"/>
      <c r="AU5" s="99"/>
      <c r="AW5" s="100"/>
      <c r="AX5" s="100"/>
      <c r="AY5" s="89"/>
      <c r="AZ5" s="91"/>
      <c r="BA5" s="91"/>
      <c r="BB5" s="92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55">
        <v>407070</v>
      </c>
    </row>
    <row r="7" spans="1:54" x14ac:dyDescent="0.2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5"/>
      <c r="AU7" s="67">
        <f>AT7*$AU$43</f>
        <v>0</v>
      </c>
      <c r="AW7" s="62">
        <v>0</v>
      </c>
      <c r="AX7" s="61" t="str">
        <f>(IF((AW7-AW6&lt;0),"0",AW7-AW6))</f>
        <v>0</v>
      </c>
      <c r="AY7" s="53">
        <v>408409</v>
      </c>
      <c r="AZ7" s="37">
        <f>(IF((AY7-AY6&lt;0),"0",AY7-AY6))*100</f>
        <v>133900</v>
      </c>
      <c r="BA7" s="37">
        <f>AZ7*$AZ$44*60%</f>
        <v>365.54699999999997</v>
      </c>
      <c r="BB7" s="59">
        <f>BA7*0.4444</f>
        <v>162.4490868</v>
      </c>
    </row>
    <row r="8" spans="1:54" x14ac:dyDescent="0.2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5"/>
      <c r="AU8" s="67">
        <f t="shared" ref="AU8:AU37" si="16">AT8*$AU$43</f>
        <v>0</v>
      </c>
      <c r="AW8" s="62">
        <v>0</v>
      </c>
      <c r="AX8" s="61">
        <f t="shared" ref="AX8:AX39" si="17">(IF((AW8-AW7&lt;0),"0",AW8-AW7))</f>
        <v>0</v>
      </c>
      <c r="AY8" s="54">
        <v>410014</v>
      </c>
      <c r="AZ8" s="37">
        <f t="shared" ref="AZ8:AZ38" si="18">(IF((AY8-AY7&lt;0),"0",AY8-AY7))*100</f>
        <v>160500</v>
      </c>
      <c r="BA8" s="37">
        <f t="shared" ref="BA8:BA39" si="19">AZ8*$AZ$44*60%</f>
        <v>438.16500000000002</v>
      </c>
      <c r="BB8" s="59">
        <f t="shared" ref="BB8:BB38" si="20">BA8*0.4444</f>
        <v>194.72052600000001</v>
      </c>
    </row>
    <row r="9" spans="1:54" x14ac:dyDescent="0.2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1">IF((C9-C8&lt;0), "0",C9-C8)</f>
        <v>550</v>
      </c>
      <c r="R9" s="37">
        <f t="shared" ref="R9:R37" si="22">IF((D9-D8&lt;0), "0",D9-D8)</f>
        <v>1750</v>
      </c>
      <c r="S9" s="37">
        <f t="shared" si="15"/>
        <v>2600</v>
      </c>
      <c r="T9" s="37">
        <f t="shared" ref="T9:T35" si="23">IF((F9-F8&lt;0), "0",F9-F8)</f>
        <v>1360</v>
      </c>
      <c r="U9" s="37">
        <f t="shared" ref="U9:U35" si="24">IF((G9-G8&lt;0), "0",G9-G8)</f>
        <v>6100</v>
      </c>
      <c r="V9" s="37">
        <f t="shared" ref="V9:V35" si="25">IF((H9-H8&lt;0), "0",H9-H8)</f>
        <v>4130</v>
      </c>
      <c r="W9" s="37">
        <f t="shared" ref="W9:W35" si="26">IF((I9-I8&lt;0), "0",I9-I8)</f>
        <v>3110</v>
      </c>
      <c r="X9" s="37">
        <f t="shared" ref="X9:X37" si="27">IF((J9-J8&lt;0), "0",J9-J8)</f>
        <v>4090</v>
      </c>
      <c r="Y9" s="37">
        <f t="shared" ref="Y9:Y35" si="28">IF((K9-K8&lt;0), "0",K9-K8)</f>
        <v>5800</v>
      </c>
      <c r="Z9" s="37">
        <f t="shared" ref="Z9:Z35" si="29">IF((L9-L8&lt;0), "0",L9-L8)</f>
        <v>2530</v>
      </c>
      <c r="AA9" s="37">
        <f t="shared" ref="AA9:AA35" si="30">IF((M9-M8&lt;0), "0",M9-M8)</f>
        <v>3290</v>
      </c>
      <c r="AB9" s="37">
        <f t="shared" ref="AB9:AB37" si="31">IF((N9-N8&lt;0), "0",N9-N8)</f>
        <v>7010</v>
      </c>
      <c r="AC9" s="37">
        <f t="shared" ref="AC9:AC37" si="32">IF((O9-O8&lt;0), "0",O9-O8)</f>
        <v>12950</v>
      </c>
      <c r="AD9" s="35">
        <f t="shared" ref="AD9:AD37" si="33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4">SUM(AF9:AR9)</f>
        <v>276.35000000000002</v>
      </c>
      <c r="AT9" s="65"/>
      <c r="AU9" s="67">
        <f t="shared" si="16"/>
        <v>0</v>
      </c>
      <c r="AW9" s="62">
        <v>0</v>
      </c>
      <c r="AX9" s="61">
        <f t="shared" si="17"/>
        <v>0</v>
      </c>
      <c r="AY9" s="54">
        <v>411340</v>
      </c>
      <c r="AZ9" s="37">
        <f t="shared" si="18"/>
        <v>132600</v>
      </c>
      <c r="BA9" s="37">
        <f t="shared" si="19"/>
        <v>361.99799999999999</v>
      </c>
      <c r="BB9" s="59">
        <f t="shared" si="20"/>
        <v>160.8719112</v>
      </c>
    </row>
    <row r="10" spans="1:54" x14ac:dyDescent="0.2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1"/>
        <v>600</v>
      </c>
      <c r="R10" s="37">
        <f t="shared" si="22"/>
        <v>1920</v>
      </c>
      <c r="S10" s="37">
        <f t="shared" si="15"/>
        <v>2720</v>
      </c>
      <c r="T10" s="37">
        <f t="shared" si="23"/>
        <v>1510</v>
      </c>
      <c r="U10" s="37">
        <f t="shared" si="24"/>
        <v>6660</v>
      </c>
      <c r="V10" s="37">
        <f t="shared" si="25"/>
        <v>4440</v>
      </c>
      <c r="W10" s="37">
        <f t="shared" si="26"/>
        <v>3220</v>
      </c>
      <c r="X10" s="37">
        <f t="shared" si="27"/>
        <v>4420</v>
      </c>
      <c r="Y10" s="37">
        <f t="shared" si="28"/>
        <v>6590</v>
      </c>
      <c r="Z10" s="37">
        <f t="shared" si="29"/>
        <v>2750</v>
      </c>
      <c r="AA10" s="37">
        <f t="shared" si="30"/>
        <v>3400</v>
      </c>
      <c r="AB10" s="37">
        <f t="shared" si="31"/>
        <v>7830</v>
      </c>
      <c r="AC10" s="37">
        <f t="shared" si="32"/>
        <v>13520</v>
      </c>
      <c r="AD10" s="35">
        <f t="shared" si="33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4"/>
        <v>297.89999999999998</v>
      </c>
      <c r="AT10" s="65"/>
      <c r="AU10" s="67">
        <f t="shared" si="16"/>
        <v>0</v>
      </c>
      <c r="AW10" s="62">
        <v>0</v>
      </c>
      <c r="AX10" s="61">
        <f t="shared" si="17"/>
        <v>0</v>
      </c>
      <c r="AY10" s="53">
        <v>412912</v>
      </c>
      <c r="AZ10" s="37">
        <f t="shared" si="18"/>
        <v>157200</v>
      </c>
      <c r="BA10" s="37">
        <f t="shared" si="19"/>
        <v>429.15600000000001</v>
      </c>
      <c r="BB10" s="59">
        <f t="shared" si="20"/>
        <v>190.71692640000001</v>
      </c>
    </row>
    <row r="11" spans="1:54" x14ac:dyDescent="0.2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1"/>
        <v>560</v>
      </c>
      <c r="R11" s="37">
        <f t="shared" si="22"/>
        <v>1770</v>
      </c>
      <c r="S11" s="37">
        <f t="shared" si="15"/>
        <v>2600</v>
      </c>
      <c r="T11" s="37">
        <f t="shared" si="23"/>
        <v>1390</v>
      </c>
      <c r="U11" s="37">
        <f t="shared" si="24"/>
        <v>5900</v>
      </c>
      <c r="V11" s="37">
        <f t="shared" si="25"/>
        <v>4030</v>
      </c>
      <c r="W11" s="37">
        <f t="shared" si="26"/>
        <v>3140</v>
      </c>
      <c r="X11" s="37">
        <f t="shared" si="27"/>
        <v>4020</v>
      </c>
      <c r="Y11" s="37">
        <f t="shared" si="28"/>
        <v>5710</v>
      </c>
      <c r="Z11" s="37">
        <f t="shared" si="29"/>
        <v>2440</v>
      </c>
      <c r="AA11" s="37">
        <f t="shared" si="30"/>
        <v>3090</v>
      </c>
      <c r="AB11" s="37">
        <f t="shared" si="31"/>
        <v>7170</v>
      </c>
      <c r="AC11" s="37">
        <f t="shared" si="32"/>
        <v>11190</v>
      </c>
      <c r="AD11" s="35">
        <f t="shared" si="33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4"/>
        <v>265.05</v>
      </c>
      <c r="AT11" s="65"/>
      <c r="AU11" s="67">
        <f t="shared" si="16"/>
        <v>0</v>
      </c>
      <c r="AW11" s="62">
        <v>0</v>
      </c>
      <c r="AX11" s="61">
        <f t="shared" si="17"/>
        <v>0</v>
      </c>
      <c r="AY11" s="53">
        <v>414370</v>
      </c>
      <c r="AZ11" s="37">
        <f t="shared" si="18"/>
        <v>145800</v>
      </c>
      <c r="BA11" s="37">
        <f t="shared" si="19"/>
        <v>398.03399999999999</v>
      </c>
      <c r="BB11" s="59">
        <f t="shared" si="20"/>
        <v>176.8863096</v>
      </c>
    </row>
    <row r="12" spans="1:54" x14ac:dyDescent="0.2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1"/>
        <v>620</v>
      </c>
      <c r="R12" s="37">
        <f t="shared" si="22"/>
        <v>1980</v>
      </c>
      <c r="S12" s="37">
        <f t="shared" si="15"/>
        <v>3020</v>
      </c>
      <c r="T12" s="37">
        <f t="shared" ref="T12:W14" si="35">IF((F12-F11&lt;0), "0",F12-F11)</f>
        <v>1410</v>
      </c>
      <c r="U12" s="37">
        <f t="shared" si="35"/>
        <v>6390</v>
      </c>
      <c r="V12" s="37">
        <f t="shared" si="35"/>
        <v>4460</v>
      </c>
      <c r="W12" s="37">
        <f t="shared" si="35"/>
        <v>3710</v>
      </c>
      <c r="X12" s="37">
        <f t="shared" si="27"/>
        <v>4470</v>
      </c>
      <c r="Y12" s="37">
        <f t="shared" si="28"/>
        <v>6320</v>
      </c>
      <c r="Z12" s="37">
        <f>IF((L12-L11&lt;0), "0",L12-L11)</f>
        <v>2760</v>
      </c>
      <c r="AA12" s="37">
        <f t="shared" si="30"/>
        <v>3150</v>
      </c>
      <c r="AB12" s="37">
        <f t="shared" si="31"/>
        <v>7830</v>
      </c>
      <c r="AC12" s="37">
        <f t="shared" si="32"/>
        <v>13240</v>
      </c>
      <c r="AD12" s="35">
        <f t="shared" si="33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4"/>
        <v>296.8</v>
      </c>
      <c r="AT12" s="65"/>
      <c r="AU12" s="67">
        <f t="shared" si="16"/>
        <v>0</v>
      </c>
      <c r="AW12" s="62">
        <v>0</v>
      </c>
      <c r="AX12" s="61">
        <f t="shared" si="17"/>
        <v>0</v>
      </c>
      <c r="AY12" s="54">
        <v>415910</v>
      </c>
      <c r="AZ12" s="37">
        <f t="shared" si="18"/>
        <v>154000</v>
      </c>
      <c r="BA12" s="37">
        <f t="shared" si="19"/>
        <v>420.42</v>
      </c>
      <c r="BB12" s="59">
        <f t="shared" si="20"/>
        <v>186.83464800000002</v>
      </c>
    </row>
    <row r="13" spans="1:54" x14ac:dyDescent="0.2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1"/>
        <v>540</v>
      </c>
      <c r="R13" s="37">
        <f t="shared" si="22"/>
        <v>1720</v>
      </c>
      <c r="S13" s="37">
        <f t="shared" si="15"/>
        <v>2530</v>
      </c>
      <c r="T13" s="37">
        <f t="shared" si="35"/>
        <v>1110</v>
      </c>
      <c r="U13" s="37">
        <f t="shared" si="35"/>
        <v>5600</v>
      </c>
      <c r="V13" s="37">
        <f t="shared" si="35"/>
        <v>3890</v>
      </c>
      <c r="W13" s="37">
        <f t="shared" si="35"/>
        <v>3080</v>
      </c>
      <c r="X13" s="37">
        <f t="shared" si="27"/>
        <v>4190</v>
      </c>
      <c r="Y13" s="37">
        <f t="shared" si="28"/>
        <v>5510</v>
      </c>
      <c r="Z13" s="37">
        <f>IF((L13-L12&lt;0), "0",L13-L12)</f>
        <v>2400</v>
      </c>
      <c r="AA13" s="37">
        <f t="shared" si="30"/>
        <v>3050</v>
      </c>
      <c r="AB13" s="37">
        <f t="shared" si="31"/>
        <v>6890</v>
      </c>
      <c r="AC13" s="37">
        <f t="shared" si="32"/>
        <v>11270</v>
      </c>
      <c r="AD13" s="35">
        <f t="shared" si="33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4"/>
        <v>258.90000000000003</v>
      </c>
      <c r="AT13" s="65"/>
      <c r="AU13" s="67">
        <f t="shared" si="16"/>
        <v>0</v>
      </c>
      <c r="AW13" s="62">
        <v>0</v>
      </c>
      <c r="AX13" s="61">
        <f t="shared" si="17"/>
        <v>0</v>
      </c>
      <c r="AY13" s="58">
        <v>417130</v>
      </c>
      <c r="AZ13" s="37">
        <f t="shared" si="18"/>
        <v>122000</v>
      </c>
      <c r="BA13" s="37">
        <f t="shared" si="19"/>
        <v>333.06</v>
      </c>
      <c r="BB13" s="59">
        <f t="shared" si="20"/>
        <v>148.011864</v>
      </c>
    </row>
    <row r="14" spans="1:54" x14ac:dyDescent="0.2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1"/>
        <v>550</v>
      </c>
      <c r="R14" s="37">
        <f t="shared" si="22"/>
        <v>1840</v>
      </c>
      <c r="S14" s="37">
        <f t="shared" si="15"/>
        <v>2580</v>
      </c>
      <c r="T14" s="37">
        <f t="shared" si="35"/>
        <v>1190</v>
      </c>
      <c r="U14" s="37">
        <f t="shared" si="35"/>
        <v>6200</v>
      </c>
      <c r="V14" s="37">
        <f t="shared" si="35"/>
        <v>4260</v>
      </c>
      <c r="W14" s="37">
        <f t="shared" si="35"/>
        <v>3690</v>
      </c>
      <c r="X14" s="37">
        <f t="shared" si="27"/>
        <v>4460</v>
      </c>
      <c r="Y14" s="37">
        <f t="shared" si="28"/>
        <v>6070</v>
      </c>
      <c r="Z14" s="37">
        <f>IF((L14-L13&lt;0), "0",L14-L13)</f>
        <v>2530</v>
      </c>
      <c r="AA14" s="37">
        <f t="shared" si="30"/>
        <v>3110</v>
      </c>
      <c r="AB14" s="37">
        <f t="shared" si="31"/>
        <v>7290</v>
      </c>
      <c r="AC14" s="37">
        <f t="shared" si="32"/>
        <v>12250</v>
      </c>
      <c r="AD14" s="35">
        <f t="shared" si="33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4"/>
        <v>280.10000000000002</v>
      </c>
      <c r="AT14" s="65">
        <v>0</v>
      </c>
      <c r="AU14" s="67">
        <f t="shared" si="16"/>
        <v>0</v>
      </c>
      <c r="AW14" s="62">
        <v>0</v>
      </c>
      <c r="AX14" s="61">
        <f t="shared" si="17"/>
        <v>0</v>
      </c>
      <c r="AY14" s="54">
        <v>419059</v>
      </c>
      <c r="AZ14" s="37">
        <f t="shared" si="18"/>
        <v>192900</v>
      </c>
      <c r="BA14" s="37">
        <f t="shared" si="19"/>
        <v>526.61699999999996</v>
      </c>
      <c r="BB14" s="59">
        <f t="shared" si="20"/>
        <v>234.02859479999998</v>
      </c>
    </row>
    <row r="15" spans="1:54" x14ac:dyDescent="0.2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1"/>
        <v>560</v>
      </c>
      <c r="R15" s="37">
        <f t="shared" si="22"/>
        <v>1840</v>
      </c>
      <c r="S15" s="37">
        <f t="shared" si="15"/>
        <v>2500</v>
      </c>
      <c r="T15" s="37">
        <f t="shared" si="23"/>
        <v>1180</v>
      </c>
      <c r="U15" s="37">
        <f t="shared" si="24"/>
        <v>6610</v>
      </c>
      <c r="V15" s="37">
        <f t="shared" si="25"/>
        <v>4380</v>
      </c>
      <c r="W15" s="37">
        <f t="shared" si="26"/>
        <v>3140</v>
      </c>
      <c r="X15" s="37">
        <f t="shared" si="27"/>
        <v>4570</v>
      </c>
      <c r="Y15" s="37">
        <f t="shared" si="28"/>
        <v>5790</v>
      </c>
      <c r="Z15" s="37">
        <f t="shared" si="29"/>
        <v>2580</v>
      </c>
      <c r="AA15" s="37">
        <f t="shared" si="30"/>
        <v>3330</v>
      </c>
      <c r="AB15" s="37">
        <f t="shared" si="31"/>
        <v>7600</v>
      </c>
      <c r="AC15" s="37">
        <f t="shared" si="32"/>
        <v>15700</v>
      </c>
      <c r="AD15" s="35">
        <f t="shared" si="33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4"/>
        <v>298.89999999999998</v>
      </c>
      <c r="AT15" s="65">
        <v>6.3</v>
      </c>
      <c r="AU15" s="67">
        <f t="shared" si="16"/>
        <v>1122.1875</v>
      </c>
      <c r="AW15" s="62">
        <v>0</v>
      </c>
      <c r="AX15" s="61">
        <f t="shared" si="17"/>
        <v>0</v>
      </c>
      <c r="AY15" s="53">
        <v>420791</v>
      </c>
      <c r="AZ15" s="37">
        <f t="shared" si="18"/>
        <v>173200</v>
      </c>
      <c r="BA15" s="37">
        <f t="shared" si="19"/>
        <v>472.83600000000001</v>
      </c>
      <c r="BB15" s="59">
        <f t="shared" si="20"/>
        <v>210.12831840000001</v>
      </c>
    </row>
    <row r="16" spans="1:54" x14ac:dyDescent="0.2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1"/>
        <v>550</v>
      </c>
      <c r="R16" s="37">
        <f t="shared" si="22"/>
        <v>1850</v>
      </c>
      <c r="S16" s="37">
        <f t="shared" si="15"/>
        <v>2390</v>
      </c>
      <c r="T16" s="37">
        <f t="shared" si="23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6"/>
        <v>2970</v>
      </c>
      <c r="X16" s="37">
        <f t="shared" si="27"/>
        <v>4480</v>
      </c>
      <c r="Y16" s="37">
        <f t="shared" si="28"/>
        <v>6080</v>
      </c>
      <c r="Z16" s="37">
        <f t="shared" si="29"/>
        <v>2740</v>
      </c>
      <c r="AA16" s="37">
        <f t="shared" si="30"/>
        <v>3400</v>
      </c>
      <c r="AB16" s="37">
        <f t="shared" si="31"/>
        <v>7650</v>
      </c>
      <c r="AC16" s="37">
        <f t="shared" si="32"/>
        <v>14040</v>
      </c>
      <c r="AD16" s="35">
        <f t="shared" si="33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4"/>
        <v>289.14999999999998</v>
      </c>
      <c r="AT16" s="65">
        <v>0</v>
      </c>
      <c r="AU16" s="67">
        <f t="shared" si="16"/>
        <v>0</v>
      </c>
      <c r="AW16" s="62">
        <v>0</v>
      </c>
      <c r="AX16" s="61">
        <f t="shared" si="17"/>
        <v>0</v>
      </c>
      <c r="AY16" s="54">
        <v>422008</v>
      </c>
      <c r="AZ16" s="37">
        <f t="shared" si="18"/>
        <v>121700</v>
      </c>
      <c r="BA16" s="37">
        <f t="shared" si="19"/>
        <v>332.24099999999999</v>
      </c>
      <c r="BB16" s="59">
        <f t="shared" si="20"/>
        <v>147.6479004</v>
      </c>
    </row>
    <row r="17" spans="1:54" x14ac:dyDescent="0.2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1"/>
        <v>570</v>
      </c>
      <c r="R17" s="37">
        <f t="shared" si="22"/>
        <v>1900</v>
      </c>
      <c r="S17" s="37">
        <f t="shared" si="15"/>
        <v>2500</v>
      </c>
      <c r="T17" s="37">
        <f t="shared" si="23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6"/>
        <v>3030</v>
      </c>
      <c r="X17" s="37">
        <f t="shared" si="27"/>
        <v>4700</v>
      </c>
      <c r="Y17" s="37">
        <f t="shared" si="28"/>
        <v>6090</v>
      </c>
      <c r="Z17" s="37">
        <f t="shared" si="29"/>
        <v>2810</v>
      </c>
      <c r="AA17" s="37">
        <f t="shared" si="30"/>
        <v>3320</v>
      </c>
      <c r="AB17" s="37">
        <f t="shared" si="31"/>
        <v>7950</v>
      </c>
      <c r="AC17" s="37">
        <f t="shared" si="32"/>
        <v>14250</v>
      </c>
      <c r="AD17" s="35">
        <f t="shared" si="33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4"/>
        <v>297.25</v>
      </c>
      <c r="AT17" s="65">
        <v>8.1</v>
      </c>
      <c r="AU17" s="67">
        <f t="shared" si="16"/>
        <v>1442.8125</v>
      </c>
      <c r="AW17" s="62">
        <v>0</v>
      </c>
      <c r="AX17" s="61">
        <f t="shared" si="17"/>
        <v>0</v>
      </c>
      <c r="AY17" s="56">
        <v>423725</v>
      </c>
      <c r="AZ17" s="37">
        <f t="shared" si="18"/>
        <v>171700</v>
      </c>
      <c r="BA17" s="37">
        <f t="shared" si="19"/>
        <v>468.74099999999999</v>
      </c>
      <c r="BB17" s="59">
        <f t="shared" si="20"/>
        <v>208.30850040000001</v>
      </c>
    </row>
    <row r="18" spans="1:54" x14ac:dyDescent="0.2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1"/>
        <v>530</v>
      </c>
      <c r="R18" s="37">
        <f t="shared" si="22"/>
        <v>1780</v>
      </c>
      <c r="S18" s="37">
        <f t="shared" si="15"/>
        <v>2490</v>
      </c>
      <c r="T18" s="37">
        <f t="shared" si="23"/>
        <v>1150</v>
      </c>
      <c r="U18" s="37">
        <f t="shared" si="24"/>
        <v>5690</v>
      </c>
      <c r="V18" s="37">
        <f t="shared" si="25"/>
        <v>3910</v>
      </c>
      <c r="W18" s="37">
        <f t="shared" si="26"/>
        <v>2830</v>
      </c>
      <c r="X18" s="37">
        <f t="shared" si="27"/>
        <v>4020</v>
      </c>
      <c r="Y18" s="37">
        <f t="shared" si="28"/>
        <v>5300</v>
      </c>
      <c r="Z18" s="37">
        <f t="shared" si="29"/>
        <v>2370</v>
      </c>
      <c r="AA18" s="37">
        <f t="shared" si="30"/>
        <v>2980</v>
      </c>
      <c r="AB18" s="37">
        <f t="shared" si="31"/>
        <v>7170</v>
      </c>
      <c r="AC18" s="37">
        <f t="shared" si="32"/>
        <v>14510</v>
      </c>
      <c r="AD18" s="35">
        <f t="shared" si="33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4"/>
        <v>273.64999999999998</v>
      </c>
      <c r="AT18" s="65">
        <v>4.4000000000000004</v>
      </c>
      <c r="AU18" s="67">
        <f t="shared" si="16"/>
        <v>783.75000000000011</v>
      </c>
      <c r="AW18" s="62">
        <v>68917</v>
      </c>
      <c r="AX18" s="61">
        <f t="shared" si="17"/>
        <v>68917</v>
      </c>
      <c r="AY18" s="54">
        <v>425261</v>
      </c>
      <c r="AZ18" s="37">
        <f t="shared" si="18"/>
        <v>153600</v>
      </c>
      <c r="BA18" s="37">
        <f t="shared" si="19"/>
        <v>419.32799999999997</v>
      </c>
      <c r="BB18" s="59">
        <f t="shared" si="20"/>
        <v>186.3493632</v>
      </c>
    </row>
    <row r="19" spans="1:54" x14ac:dyDescent="0.2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1"/>
        <v>570</v>
      </c>
      <c r="R19" s="37">
        <f t="shared" si="22"/>
        <v>1870</v>
      </c>
      <c r="S19" s="37">
        <f t="shared" si="15"/>
        <v>2390</v>
      </c>
      <c r="T19" s="37">
        <f t="shared" si="23"/>
        <v>1180</v>
      </c>
      <c r="U19" s="37">
        <f t="shared" si="24"/>
        <v>5910</v>
      </c>
      <c r="V19" s="37">
        <f t="shared" si="25"/>
        <v>4300</v>
      </c>
      <c r="W19" s="37">
        <f t="shared" si="26"/>
        <v>3020</v>
      </c>
      <c r="X19" s="37">
        <f t="shared" si="27"/>
        <v>4510</v>
      </c>
      <c r="Y19" s="37">
        <f t="shared" si="28"/>
        <v>5850</v>
      </c>
      <c r="Z19" s="37">
        <f t="shared" si="29"/>
        <v>2630</v>
      </c>
      <c r="AA19" s="37">
        <f t="shared" si="30"/>
        <v>2950</v>
      </c>
      <c r="AB19" s="37">
        <f t="shared" si="31"/>
        <v>7740</v>
      </c>
      <c r="AC19" s="37">
        <f t="shared" si="32"/>
        <v>15400</v>
      </c>
      <c r="AD19" s="35">
        <f t="shared" si="33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4"/>
        <v>291.60000000000002</v>
      </c>
      <c r="AT19" s="65">
        <v>0</v>
      </c>
      <c r="AU19" s="67">
        <f t="shared" si="16"/>
        <v>0</v>
      </c>
      <c r="AW19" s="62">
        <v>68949</v>
      </c>
      <c r="AX19" s="61">
        <f t="shared" si="17"/>
        <v>32</v>
      </c>
      <c r="AY19" s="53">
        <v>426772</v>
      </c>
      <c r="AZ19" s="37">
        <f t="shared" si="18"/>
        <v>151100</v>
      </c>
      <c r="BA19" s="37">
        <f t="shared" si="19"/>
        <v>412.50299999999999</v>
      </c>
      <c r="BB19" s="59">
        <f t="shared" si="20"/>
        <v>183.3163332</v>
      </c>
    </row>
    <row r="20" spans="1:54" x14ac:dyDescent="0.2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1"/>
        <v>560</v>
      </c>
      <c r="R20" s="37">
        <f t="shared" si="22"/>
        <v>1890</v>
      </c>
      <c r="S20" s="37">
        <f t="shared" si="15"/>
        <v>2400</v>
      </c>
      <c r="T20" s="37">
        <f t="shared" si="23"/>
        <v>920</v>
      </c>
      <c r="U20" s="37">
        <f t="shared" si="24"/>
        <v>6440</v>
      </c>
      <c r="V20" s="37">
        <f t="shared" si="25"/>
        <v>4570</v>
      </c>
      <c r="W20" s="37">
        <f t="shared" si="26"/>
        <v>3310</v>
      </c>
      <c r="X20" s="37">
        <f t="shared" si="27"/>
        <v>4890</v>
      </c>
      <c r="Y20" s="37">
        <f t="shared" si="28"/>
        <v>6160</v>
      </c>
      <c r="Z20" s="37">
        <f t="shared" si="29"/>
        <v>1860</v>
      </c>
      <c r="AA20" s="37">
        <f t="shared" si="30"/>
        <v>3410</v>
      </c>
      <c r="AB20" s="37">
        <f t="shared" si="31"/>
        <v>8000</v>
      </c>
      <c r="AC20" s="37">
        <f t="shared" si="32"/>
        <v>16560</v>
      </c>
      <c r="AD20" s="35">
        <f t="shared" si="33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4"/>
        <v>304.85000000000002</v>
      </c>
      <c r="AT20" s="65">
        <v>2.8</v>
      </c>
      <c r="AU20" s="67">
        <f t="shared" si="16"/>
        <v>498.74999999999994</v>
      </c>
      <c r="AW20" s="62">
        <v>68984</v>
      </c>
      <c r="AX20" s="61">
        <f t="shared" si="17"/>
        <v>35</v>
      </c>
      <c r="AY20" s="54">
        <v>428439</v>
      </c>
      <c r="AZ20" s="37">
        <f t="shared" si="18"/>
        <v>166700</v>
      </c>
      <c r="BA20" s="37">
        <f t="shared" si="19"/>
        <v>455.09100000000001</v>
      </c>
      <c r="BB20" s="59">
        <f t="shared" si="20"/>
        <v>202.24244040000002</v>
      </c>
    </row>
    <row r="21" spans="1:54" x14ac:dyDescent="0.2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1"/>
        <v>520</v>
      </c>
      <c r="R21" s="37">
        <f t="shared" si="22"/>
        <v>1780</v>
      </c>
      <c r="S21" s="37">
        <f t="shared" si="15"/>
        <v>2160</v>
      </c>
      <c r="T21" s="37">
        <f t="shared" si="23"/>
        <v>860</v>
      </c>
      <c r="U21" s="37">
        <f t="shared" si="24"/>
        <v>5860</v>
      </c>
      <c r="V21" s="37">
        <f t="shared" si="25"/>
        <v>4260</v>
      </c>
      <c r="W21" s="37">
        <f t="shared" si="26"/>
        <v>3150</v>
      </c>
      <c r="X21" s="37">
        <f t="shared" si="27"/>
        <v>4750</v>
      </c>
      <c r="Y21" s="37">
        <f t="shared" si="28"/>
        <v>5780</v>
      </c>
      <c r="Z21" s="37">
        <f t="shared" si="29"/>
        <v>3730</v>
      </c>
      <c r="AA21" s="37">
        <f t="shared" si="30"/>
        <v>3270</v>
      </c>
      <c r="AB21" s="37">
        <f t="shared" si="31"/>
        <v>7650</v>
      </c>
      <c r="AC21" s="37">
        <f t="shared" si="32"/>
        <v>15490</v>
      </c>
      <c r="AD21" s="35">
        <f t="shared" si="33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4"/>
        <v>296.3</v>
      </c>
      <c r="AT21" s="65">
        <v>6.6</v>
      </c>
      <c r="AU21" s="67">
        <f t="shared" si="16"/>
        <v>1175.625</v>
      </c>
      <c r="AW21" s="62">
        <v>69012</v>
      </c>
      <c r="AX21" s="61">
        <f t="shared" si="17"/>
        <v>28</v>
      </c>
      <c r="AY21" s="53">
        <v>429916</v>
      </c>
      <c r="AZ21" s="37">
        <f t="shared" si="18"/>
        <v>147700</v>
      </c>
      <c r="BA21" s="37">
        <f t="shared" si="19"/>
        <v>403.22100000000006</v>
      </c>
      <c r="BB21" s="59">
        <f t="shared" si="20"/>
        <v>179.19141240000005</v>
      </c>
    </row>
    <row r="22" spans="1:54" x14ac:dyDescent="0.2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1"/>
        <v>560</v>
      </c>
      <c r="R22" s="37">
        <f t="shared" si="22"/>
        <v>1860</v>
      </c>
      <c r="S22" s="37">
        <f t="shared" si="15"/>
        <v>2350</v>
      </c>
      <c r="T22" s="37">
        <f t="shared" si="23"/>
        <v>900</v>
      </c>
      <c r="U22" s="37">
        <f t="shared" si="24"/>
        <v>6560</v>
      </c>
      <c r="V22" s="37">
        <f t="shared" si="25"/>
        <v>4480</v>
      </c>
      <c r="W22" s="37">
        <f t="shared" si="26"/>
        <v>3170</v>
      </c>
      <c r="X22" s="37">
        <f t="shared" si="27"/>
        <v>4950</v>
      </c>
      <c r="Y22" s="37">
        <f t="shared" si="28"/>
        <v>5840</v>
      </c>
      <c r="Z22" s="37">
        <f t="shared" si="29"/>
        <v>2680</v>
      </c>
      <c r="AA22" s="37">
        <f t="shared" si="30"/>
        <v>3250</v>
      </c>
      <c r="AB22" s="37">
        <f t="shared" si="31"/>
        <v>7730</v>
      </c>
      <c r="AC22" s="37">
        <f t="shared" si="32"/>
        <v>15500</v>
      </c>
      <c r="AD22" s="35">
        <f t="shared" si="33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4"/>
        <v>299.14999999999998</v>
      </c>
      <c r="AT22" s="65">
        <v>0</v>
      </c>
      <c r="AU22" s="67">
        <f t="shared" si="16"/>
        <v>0</v>
      </c>
      <c r="AW22" s="62">
        <v>69054</v>
      </c>
      <c r="AX22" s="61">
        <f t="shared" si="17"/>
        <v>42</v>
      </c>
      <c r="AY22" s="54">
        <v>431565</v>
      </c>
      <c r="AZ22" s="37">
        <f t="shared" si="18"/>
        <v>164900</v>
      </c>
      <c r="BA22" s="37">
        <f t="shared" si="19"/>
        <v>450.17700000000002</v>
      </c>
      <c r="BB22" s="59">
        <f t="shared" si="20"/>
        <v>200.05865880000002</v>
      </c>
    </row>
    <row r="23" spans="1:54" x14ac:dyDescent="0.2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1"/>
        <v>550</v>
      </c>
      <c r="R23" s="37">
        <f t="shared" si="22"/>
        <v>1820</v>
      </c>
      <c r="S23" s="37">
        <f t="shared" si="15"/>
        <v>2250</v>
      </c>
      <c r="T23" s="37">
        <f t="shared" si="23"/>
        <v>880</v>
      </c>
      <c r="U23" s="37">
        <f t="shared" si="24"/>
        <v>6060</v>
      </c>
      <c r="V23" s="37">
        <f t="shared" si="25"/>
        <v>4380</v>
      </c>
      <c r="W23" s="37">
        <f t="shared" si="26"/>
        <v>3160</v>
      </c>
      <c r="X23" s="37">
        <f t="shared" si="27"/>
        <v>4880</v>
      </c>
      <c r="Y23" s="37">
        <f t="shared" si="28"/>
        <v>5770</v>
      </c>
      <c r="Z23" s="37">
        <f t="shared" si="29"/>
        <v>2530</v>
      </c>
      <c r="AA23" s="37">
        <f t="shared" si="30"/>
        <v>3300</v>
      </c>
      <c r="AB23" s="37">
        <f t="shared" si="31"/>
        <v>7640</v>
      </c>
      <c r="AC23" s="37">
        <f t="shared" si="32"/>
        <v>16070</v>
      </c>
      <c r="AD23" s="35">
        <f t="shared" si="33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4"/>
        <v>296.45000000000005</v>
      </c>
      <c r="AT23" s="65">
        <v>6.3</v>
      </c>
      <c r="AU23" s="67">
        <f t="shared" si="16"/>
        <v>1122.1875</v>
      </c>
      <c r="AW23" s="62">
        <v>69119</v>
      </c>
      <c r="AX23" s="61">
        <f t="shared" si="17"/>
        <v>65</v>
      </c>
      <c r="AY23" s="52">
        <v>432597</v>
      </c>
      <c r="AZ23" s="37">
        <f t="shared" si="18"/>
        <v>103200</v>
      </c>
      <c r="BA23" s="37">
        <f t="shared" si="19"/>
        <v>281.73599999999999</v>
      </c>
      <c r="BB23" s="59">
        <f t="shared" si="20"/>
        <v>125.20347839999999</v>
      </c>
    </row>
    <row r="24" spans="1:54" x14ac:dyDescent="0.2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1"/>
        <v>570</v>
      </c>
      <c r="R24" s="37">
        <f t="shared" si="22"/>
        <v>1910</v>
      </c>
      <c r="S24" s="37">
        <f t="shared" si="15"/>
        <v>2260</v>
      </c>
      <c r="T24" s="37">
        <f t="shared" si="23"/>
        <v>930</v>
      </c>
      <c r="U24" s="37">
        <f t="shared" si="24"/>
        <v>6610</v>
      </c>
      <c r="V24" s="37">
        <f t="shared" si="25"/>
        <v>4720</v>
      </c>
      <c r="W24" s="37">
        <f t="shared" si="26"/>
        <v>3730</v>
      </c>
      <c r="X24" s="37">
        <f t="shared" si="27"/>
        <v>5010</v>
      </c>
      <c r="Y24" s="37">
        <f t="shared" si="28"/>
        <v>6310</v>
      </c>
      <c r="Z24" s="37">
        <f t="shared" si="29"/>
        <v>2670</v>
      </c>
      <c r="AA24" s="37">
        <f t="shared" si="30"/>
        <v>3380</v>
      </c>
      <c r="AB24" s="37">
        <f t="shared" si="31"/>
        <v>7840</v>
      </c>
      <c r="AC24" s="37">
        <f t="shared" si="32"/>
        <v>17010</v>
      </c>
      <c r="AD24" s="35">
        <f t="shared" si="33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4"/>
        <v>314.75000000000006</v>
      </c>
      <c r="AT24" s="65">
        <v>0</v>
      </c>
      <c r="AU24" s="67">
        <f t="shared" si="16"/>
        <v>0</v>
      </c>
      <c r="AW24" s="62">
        <v>69200</v>
      </c>
      <c r="AX24" s="61">
        <f t="shared" si="17"/>
        <v>81</v>
      </c>
      <c r="AY24" s="54">
        <v>434226</v>
      </c>
      <c r="AZ24" s="37">
        <f t="shared" si="18"/>
        <v>162900</v>
      </c>
      <c r="BA24" s="37">
        <f t="shared" si="19"/>
        <v>444.71700000000004</v>
      </c>
      <c r="BB24" s="59">
        <f t="shared" si="20"/>
        <v>197.63223480000002</v>
      </c>
    </row>
    <row r="25" spans="1:54" x14ac:dyDescent="0.2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6">IF((C25-C24&lt;0), "0",C25-C24)</f>
        <v>540</v>
      </c>
      <c r="R25" s="37">
        <f t="shared" si="22"/>
        <v>1820</v>
      </c>
      <c r="S25" s="37">
        <f t="shared" si="36"/>
        <v>2400</v>
      </c>
      <c r="T25" s="37">
        <f t="shared" si="36"/>
        <v>890</v>
      </c>
      <c r="U25" s="37">
        <f t="shared" si="36"/>
        <v>6180</v>
      </c>
      <c r="V25" s="37">
        <f t="shared" si="36"/>
        <v>4250</v>
      </c>
      <c r="W25" s="37">
        <f t="shared" si="36"/>
        <v>2910</v>
      </c>
      <c r="X25" s="37">
        <f t="shared" si="36"/>
        <v>4240</v>
      </c>
      <c r="Y25" s="37">
        <f t="shared" si="36"/>
        <v>5680</v>
      </c>
      <c r="Z25" s="37">
        <f t="shared" si="36"/>
        <v>2510</v>
      </c>
      <c r="AA25" s="37">
        <f t="shared" si="36"/>
        <v>3170</v>
      </c>
      <c r="AB25" s="37">
        <f t="shared" si="36"/>
        <v>7370</v>
      </c>
      <c r="AC25" s="37">
        <f t="shared" si="36"/>
        <v>16080</v>
      </c>
      <c r="AD25" s="35">
        <f t="shared" si="33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4"/>
        <v>290.20000000000005</v>
      </c>
      <c r="AT25" s="65">
        <v>0</v>
      </c>
      <c r="AU25" s="67">
        <f t="shared" si="16"/>
        <v>0</v>
      </c>
      <c r="AW25" s="62">
        <v>69310</v>
      </c>
      <c r="AX25" s="61">
        <f t="shared" si="17"/>
        <v>110</v>
      </c>
      <c r="AY25" s="52">
        <v>435730</v>
      </c>
      <c r="AZ25" s="37">
        <f t="shared" si="18"/>
        <v>150400</v>
      </c>
      <c r="BA25" s="37">
        <f t="shared" si="19"/>
        <v>410.59200000000004</v>
      </c>
      <c r="BB25" s="59">
        <f t="shared" si="20"/>
        <v>182.46708480000004</v>
      </c>
    </row>
    <row r="26" spans="1:54" x14ac:dyDescent="0.2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6"/>
        <v>550</v>
      </c>
      <c r="R26" s="37">
        <f t="shared" si="22"/>
        <v>1810</v>
      </c>
      <c r="S26" s="37">
        <f t="shared" si="36"/>
        <v>2450</v>
      </c>
      <c r="T26" s="37">
        <f t="shared" si="36"/>
        <v>900</v>
      </c>
      <c r="U26" s="37">
        <f t="shared" si="36"/>
        <v>5420</v>
      </c>
      <c r="V26" s="37">
        <f t="shared" si="36"/>
        <v>4060</v>
      </c>
      <c r="W26" s="37">
        <f t="shared" si="36"/>
        <v>2770</v>
      </c>
      <c r="X26" s="37">
        <f t="shared" si="36"/>
        <v>4410</v>
      </c>
      <c r="Y26" s="37">
        <f t="shared" si="36"/>
        <v>5430</v>
      </c>
      <c r="Z26" s="37">
        <f t="shared" si="36"/>
        <v>2380</v>
      </c>
      <c r="AA26" s="37">
        <f t="shared" si="36"/>
        <v>3000</v>
      </c>
      <c r="AB26" s="37">
        <f t="shared" si="36"/>
        <v>7380</v>
      </c>
      <c r="AC26" s="37">
        <f t="shared" si="36"/>
        <v>14250</v>
      </c>
      <c r="AD26" s="35">
        <f t="shared" si="33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4"/>
        <v>274.05</v>
      </c>
      <c r="AT26" s="65">
        <v>6.3</v>
      </c>
      <c r="AU26" s="67">
        <f t="shared" si="16"/>
        <v>1122.1875</v>
      </c>
      <c r="AW26" s="62">
        <v>69403</v>
      </c>
      <c r="AX26" s="61">
        <f t="shared" si="17"/>
        <v>93</v>
      </c>
      <c r="AY26" s="54">
        <v>437165</v>
      </c>
      <c r="AZ26" s="37">
        <f t="shared" si="18"/>
        <v>143500</v>
      </c>
      <c r="BA26" s="37">
        <f t="shared" si="19"/>
        <v>391.75500000000005</v>
      </c>
      <c r="BB26" s="59">
        <f t="shared" si="20"/>
        <v>174.09592200000003</v>
      </c>
    </row>
    <row r="27" spans="1:54" x14ac:dyDescent="0.25">
      <c r="A27" s="23">
        <v>44978</v>
      </c>
      <c r="B27" s="40">
        <v>107</v>
      </c>
      <c r="C27" s="24">
        <v>8826600</v>
      </c>
      <c r="D27" s="24">
        <v>21218750</v>
      </c>
      <c r="E27" s="24">
        <v>3993450</v>
      </c>
      <c r="F27" s="24">
        <v>4486690</v>
      </c>
      <c r="G27" s="24">
        <v>13389460</v>
      </c>
      <c r="H27" s="24">
        <v>8004190</v>
      </c>
      <c r="I27" s="24">
        <v>6889210</v>
      </c>
      <c r="J27" s="24">
        <v>8653800</v>
      </c>
      <c r="K27" s="24">
        <v>12478970</v>
      </c>
      <c r="L27" s="24">
        <v>5444570</v>
      </c>
      <c r="M27" s="24">
        <v>9824580</v>
      </c>
      <c r="N27" s="24">
        <v>16531640</v>
      </c>
      <c r="O27" s="24">
        <v>23357770</v>
      </c>
      <c r="Q27" s="37">
        <f t="shared" si="36"/>
        <v>550</v>
      </c>
      <c r="R27" s="37">
        <f t="shared" si="22"/>
        <v>1850</v>
      </c>
      <c r="S27" s="37">
        <f t="shared" si="36"/>
        <v>2410</v>
      </c>
      <c r="T27" s="37">
        <f t="shared" si="36"/>
        <v>900</v>
      </c>
      <c r="U27" s="37">
        <f t="shared" si="36"/>
        <v>5220</v>
      </c>
      <c r="V27" s="37">
        <f t="shared" si="36"/>
        <v>4230</v>
      </c>
      <c r="W27" s="37">
        <f t="shared" si="36"/>
        <v>2740</v>
      </c>
      <c r="X27" s="37">
        <f t="shared" si="36"/>
        <v>4620</v>
      </c>
      <c r="Y27" s="37">
        <f t="shared" si="36"/>
        <v>5410</v>
      </c>
      <c r="Z27" s="37">
        <f t="shared" si="36"/>
        <v>2470</v>
      </c>
      <c r="AA27" s="37">
        <f t="shared" si="36"/>
        <v>2650</v>
      </c>
      <c r="AB27" s="37">
        <f t="shared" si="36"/>
        <v>7210</v>
      </c>
      <c r="AC27" s="37">
        <f t="shared" si="36"/>
        <v>13080</v>
      </c>
      <c r="AD27" s="35">
        <f t="shared" si="33"/>
        <v>53340</v>
      </c>
      <c r="AF27" s="20">
        <f t="shared" si="1"/>
        <v>2.75</v>
      </c>
      <c r="AG27" s="20">
        <f t="shared" si="2"/>
        <v>9.25</v>
      </c>
      <c r="AH27" s="20">
        <f t="shared" si="3"/>
        <v>12.05</v>
      </c>
      <c r="AI27" s="20">
        <f t="shared" si="4"/>
        <v>4.5</v>
      </c>
      <c r="AJ27" s="20">
        <f t="shared" si="5"/>
        <v>26.1</v>
      </c>
      <c r="AK27" s="20">
        <f t="shared" si="6"/>
        <v>21.150000000000002</v>
      </c>
      <c r="AL27" s="20">
        <f t="shared" si="7"/>
        <v>13.700000000000001</v>
      </c>
      <c r="AM27" s="20">
        <f t="shared" si="8"/>
        <v>23.1</v>
      </c>
      <c r="AN27" s="20">
        <f t="shared" si="9"/>
        <v>27.05</v>
      </c>
      <c r="AO27" s="20">
        <f t="shared" si="10"/>
        <v>12.35</v>
      </c>
      <c r="AP27" s="20">
        <f t="shared" si="11"/>
        <v>13.25</v>
      </c>
      <c r="AQ27" s="20">
        <f t="shared" si="12"/>
        <v>36.050000000000004</v>
      </c>
      <c r="AR27" s="20">
        <f t="shared" si="13"/>
        <v>65.400000000000006</v>
      </c>
      <c r="AS27" s="35">
        <f t="shared" si="34"/>
        <v>266.70000000000005</v>
      </c>
      <c r="AT27" s="65">
        <v>0</v>
      </c>
      <c r="AU27" s="67">
        <f t="shared" si="16"/>
        <v>0</v>
      </c>
      <c r="AW27" s="62">
        <v>69672</v>
      </c>
      <c r="AX27" s="61">
        <f t="shared" si="17"/>
        <v>269</v>
      </c>
      <c r="AY27" s="52">
        <v>438785</v>
      </c>
      <c r="AZ27" s="37">
        <f t="shared" si="18"/>
        <v>162000</v>
      </c>
      <c r="BA27" s="37">
        <f t="shared" si="19"/>
        <v>442.26</v>
      </c>
      <c r="BB27" s="59">
        <f t="shared" si="20"/>
        <v>196.540344</v>
      </c>
    </row>
    <row r="28" spans="1:54" x14ac:dyDescent="0.25">
      <c r="A28" s="23">
        <v>44979</v>
      </c>
      <c r="B28" s="76">
        <v>126</v>
      </c>
      <c r="C28" s="70">
        <v>8827150</v>
      </c>
      <c r="D28" s="70">
        <v>21220580</v>
      </c>
      <c r="E28" s="70">
        <v>3995950</v>
      </c>
      <c r="F28" s="70">
        <v>4487580</v>
      </c>
      <c r="G28" s="70">
        <v>13395110</v>
      </c>
      <c r="H28" s="70">
        <v>8008280</v>
      </c>
      <c r="I28" s="70">
        <v>6891970</v>
      </c>
      <c r="J28" s="70">
        <v>8658250</v>
      </c>
      <c r="K28" s="70">
        <v>12484270</v>
      </c>
      <c r="L28" s="70">
        <v>5446950</v>
      </c>
      <c r="M28" s="70">
        <v>9827490</v>
      </c>
      <c r="N28" s="70">
        <v>16538780</v>
      </c>
      <c r="O28" s="70">
        <v>23369350</v>
      </c>
      <c r="Q28" s="74">
        <f t="shared" si="21"/>
        <v>550</v>
      </c>
      <c r="R28" s="37">
        <f t="shared" si="22"/>
        <v>1830</v>
      </c>
      <c r="S28" s="37">
        <f t="shared" si="15"/>
        <v>2500</v>
      </c>
      <c r="T28" s="37">
        <f t="shared" si="23"/>
        <v>890</v>
      </c>
      <c r="U28" s="37">
        <f t="shared" si="24"/>
        <v>5650</v>
      </c>
      <c r="V28" s="37">
        <f t="shared" si="25"/>
        <v>4090</v>
      </c>
      <c r="W28" s="37">
        <f t="shared" si="26"/>
        <v>2760</v>
      </c>
      <c r="X28" s="37">
        <f t="shared" si="27"/>
        <v>4450</v>
      </c>
      <c r="Y28" s="37">
        <f t="shared" si="28"/>
        <v>5300</v>
      </c>
      <c r="Z28" s="37">
        <f t="shared" si="29"/>
        <v>2380</v>
      </c>
      <c r="AA28" s="37">
        <f t="shared" si="30"/>
        <v>2910</v>
      </c>
      <c r="AB28" s="37">
        <f t="shared" si="31"/>
        <v>7140</v>
      </c>
      <c r="AC28" s="37">
        <f t="shared" si="32"/>
        <v>11580</v>
      </c>
      <c r="AD28" s="35">
        <f t="shared" si="33"/>
        <v>52030</v>
      </c>
      <c r="AF28" s="20">
        <f t="shared" si="1"/>
        <v>2.75</v>
      </c>
      <c r="AG28" s="20">
        <f t="shared" si="2"/>
        <v>9.15</v>
      </c>
      <c r="AH28" s="20">
        <f t="shared" si="3"/>
        <v>12.5</v>
      </c>
      <c r="AI28" s="20">
        <f t="shared" si="4"/>
        <v>4.45</v>
      </c>
      <c r="AJ28" s="20">
        <f t="shared" si="5"/>
        <v>28.25</v>
      </c>
      <c r="AK28" s="20">
        <f t="shared" si="6"/>
        <v>20.45</v>
      </c>
      <c r="AL28" s="20">
        <f t="shared" si="7"/>
        <v>13.8</v>
      </c>
      <c r="AM28" s="20">
        <f t="shared" si="8"/>
        <v>22.25</v>
      </c>
      <c r="AN28" s="20">
        <f t="shared" si="9"/>
        <v>26.5</v>
      </c>
      <c r="AO28" s="20">
        <f t="shared" si="10"/>
        <v>11.9</v>
      </c>
      <c r="AP28" s="20">
        <f t="shared" si="11"/>
        <v>14.55</v>
      </c>
      <c r="AQ28" s="20">
        <f t="shared" si="12"/>
        <v>35.700000000000003</v>
      </c>
      <c r="AR28" s="20">
        <f t="shared" si="13"/>
        <v>57.9</v>
      </c>
      <c r="AS28" s="35">
        <f t="shared" si="34"/>
        <v>260.14999999999998</v>
      </c>
      <c r="AT28" s="65">
        <v>0</v>
      </c>
      <c r="AU28" s="67">
        <f t="shared" si="16"/>
        <v>0</v>
      </c>
      <c r="AW28" s="82">
        <v>69810</v>
      </c>
      <c r="AX28" s="61">
        <f t="shared" si="17"/>
        <v>138</v>
      </c>
      <c r="AY28" s="83">
        <v>440319</v>
      </c>
      <c r="AZ28" s="74">
        <f t="shared" si="18"/>
        <v>153400</v>
      </c>
      <c r="BA28" s="37">
        <f t="shared" si="19"/>
        <v>418.78199999999998</v>
      </c>
      <c r="BB28" s="59">
        <f t="shared" si="20"/>
        <v>186.10672080000001</v>
      </c>
    </row>
    <row r="29" spans="1:54" x14ac:dyDescent="0.25">
      <c r="A29" s="23">
        <v>44980</v>
      </c>
      <c r="B29" s="63">
        <v>145</v>
      </c>
      <c r="C29" s="78">
        <v>8827700</v>
      </c>
      <c r="D29" s="78">
        <v>21222420</v>
      </c>
      <c r="E29" s="78">
        <v>3998490</v>
      </c>
      <c r="F29" s="78">
        <v>4488470</v>
      </c>
      <c r="G29" s="78">
        <v>13401260</v>
      </c>
      <c r="H29" s="78">
        <v>8012360</v>
      </c>
      <c r="I29" s="78">
        <v>6894850</v>
      </c>
      <c r="J29" s="78">
        <v>8662640</v>
      </c>
      <c r="K29" s="78">
        <v>12489620</v>
      </c>
      <c r="L29" s="78">
        <v>5449430</v>
      </c>
      <c r="M29" s="78">
        <v>9830440</v>
      </c>
      <c r="N29" s="79">
        <v>16545980</v>
      </c>
      <c r="O29" s="78">
        <v>23382010</v>
      </c>
      <c r="P29" s="71">
        <v>441854</v>
      </c>
      <c r="Q29" s="73">
        <f t="shared" si="21"/>
        <v>550</v>
      </c>
      <c r="R29" s="72">
        <f t="shared" si="22"/>
        <v>1840</v>
      </c>
      <c r="S29" s="37">
        <f t="shared" si="15"/>
        <v>2540</v>
      </c>
      <c r="T29" s="37">
        <f t="shared" si="23"/>
        <v>890</v>
      </c>
      <c r="U29" s="37">
        <f t="shared" si="24"/>
        <v>6150</v>
      </c>
      <c r="V29" s="37">
        <f t="shared" si="25"/>
        <v>4080</v>
      </c>
      <c r="W29" s="37">
        <f t="shared" si="26"/>
        <v>2880</v>
      </c>
      <c r="X29" s="37">
        <f t="shared" si="27"/>
        <v>4390</v>
      </c>
      <c r="Y29" s="37">
        <f t="shared" si="28"/>
        <v>5350</v>
      </c>
      <c r="Z29" s="37">
        <f t="shared" si="29"/>
        <v>2480</v>
      </c>
      <c r="AA29" s="37">
        <f t="shared" si="30"/>
        <v>2950</v>
      </c>
      <c r="AB29" s="37">
        <f t="shared" si="31"/>
        <v>7200</v>
      </c>
      <c r="AC29" s="37">
        <f t="shared" si="32"/>
        <v>12660</v>
      </c>
      <c r="AD29" s="35">
        <f t="shared" si="33"/>
        <v>53960</v>
      </c>
      <c r="AF29" s="20">
        <f t="shared" si="1"/>
        <v>2.75</v>
      </c>
      <c r="AG29" s="20">
        <f t="shared" si="2"/>
        <v>9.2000000000000011</v>
      </c>
      <c r="AH29" s="20">
        <f t="shared" si="3"/>
        <v>12.700000000000001</v>
      </c>
      <c r="AI29" s="20">
        <f t="shared" si="4"/>
        <v>4.45</v>
      </c>
      <c r="AJ29" s="20">
        <f t="shared" si="5"/>
        <v>30.75</v>
      </c>
      <c r="AK29" s="20">
        <f t="shared" si="6"/>
        <v>20.400000000000002</v>
      </c>
      <c r="AL29" s="20">
        <f t="shared" si="7"/>
        <v>14.4</v>
      </c>
      <c r="AM29" s="20">
        <f t="shared" si="8"/>
        <v>21.95</v>
      </c>
      <c r="AN29" s="20">
        <f t="shared" si="9"/>
        <v>26.75</v>
      </c>
      <c r="AO29" s="20">
        <f t="shared" si="10"/>
        <v>12.4</v>
      </c>
      <c r="AP29" s="20">
        <f t="shared" si="11"/>
        <v>14.75</v>
      </c>
      <c r="AQ29" s="20">
        <f t="shared" si="12"/>
        <v>36</v>
      </c>
      <c r="AR29" s="20">
        <f t="shared" si="13"/>
        <v>63.300000000000004</v>
      </c>
      <c r="AS29" s="35">
        <f t="shared" si="34"/>
        <v>269.8</v>
      </c>
      <c r="AT29" s="65">
        <v>7.3</v>
      </c>
      <c r="AU29" s="67">
        <f t="shared" si="16"/>
        <v>1300.3125</v>
      </c>
      <c r="AW29" s="87">
        <v>69938</v>
      </c>
      <c r="AX29" s="61">
        <f t="shared" si="17"/>
        <v>128</v>
      </c>
      <c r="AY29" s="81">
        <v>441854</v>
      </c>
      <c r="AZ29" s="73">
        <f t="shared" si="18"/>
        <v>153500</v>
      </c>
      <c r="BA29" s="72">
        <f t="shared" si="19"/>
        <v>419.05500000000001</v>
      </c>
      <c r="BB29" s="59">
        <f t="shared" si="20"/>
        <v>186.22804200000002</v>
      </c>
    </row>
    <row r="30" spans="1:54" x14ac:dyDescent="0.25">
      <c r="A30" s="23">
        <v>44981</v>
      </c>
      <c r="B30" s="63">
        <v>113</v>
      </c>
      <c r="C30" s="77">
        <v>8828250</v>
      </c>
      <c r="D30" s="77">
        <v>21224270</v>
      </c>
      <c r="E30" s="77">
        <v>4001310</v>
      </c>
      <c r="F30" s="77">
        <v>4489380</v>
      </c>
      <c r="G30" s="77">
        <v>13407350</v>
      </c>
      <c r="H30" s="77">
        <v>8016440</v>
      </c>
      <c r="I30" s="77">
        <v>6897550</v>
      </c>
      <c r="J30" s="77">
        <v>8666910</v>
      </c>
      <c r="K30" s="77">
        <v>12495480</v>
      </c>
      <c r="L30" s="77">
        <v>5451900</v>
      </c>
      <c r="M30" s="77">
        <v>9833570</v>
      </c>
      <c r="N30" s="77">
        <v>16553260</v>
      </c>
      <c r="O30" s="77">
        <v>23394840</v>
      </c>
      <c r="Q30" s="75">
        <f t="shared" si="21"/>
        <v>550</v>
      </c>
      <c r="R30" s="37">
        <f t="shared" si="22"/>
        <v>1850</v>
      </c>
      <c r="S30" s="37">
        <f t="shared" si="15"/>
        <v>2820</v>
      </c>
      <c r="T30" s="37">
        <f t="shared" si="23"/>
        <v>910</v>
      </c>
      <c r="U30" s="37">
        <f t="shared" si="24"/>
        <v>6090</v>
      </c>
      <c r="V30" s="37">
        <f t="shared" si="25"/>
        <v>4080</v>
      </c>
      <c r="W30" s="37">
        <f t="shared" si="26"/>
        <v>2700</v>
      </c>
      <c r="X30" s="37">
        <f t="shared" si="27"/>
        <v>4270</v>
      </c>
      <c r="Y30" s="37">
        <f t="shared" si="28"/>
        <v>5860</v>
      </c>
      <c r="Z30" s="37">
        <f t="shared" si="29"/>
        <v>2470</v>
      </c>
      <c r="AA30" s="37">
        <f t="shared" si="30"/>
        <v>3130</v>
      </c>
      <c r="AB30" s="37">
        <f t="shared" si="31"/>
        <v>7280</v>
      </c>
      <c r="AC30" s="37">
        <f t="shared" si="32"/>
        <v>12830</v>
      </c>
      <c r="AD30" s="35">
        <f t="shared" si="33"/>
        <v>54840</v>
      </c>
      <c r="AF30" s="20">
        <f t="shared" si="1"/>
        <v>2.75</v>
      </c>
      <c r="AG30" s="20">
        <f t="shared" si="2"/>
        <v>9.25</v>
      </c>
      <c r="AH30" s="20">
        <f t="shared" si="3"/>
        <v>14.1</v>
      </c>
      <c r="AI30" s="20">
        <f t="shared" si="4"/>
        <v>4.55</v>
      </c>
      <c r="AJ30" s="20">
        <f t="shared" si="5"/>
        <v>30.45</v>
      </c>
      <c r="AK30" s="20">
        <f t="shared" si="6"/>
        <v>20.400000000000002</v>
      </c>
      <c r="AL30" s="20">
        <f t="shared" si="7"/>
        <v>13.5</v>
      </c>
      <c r="AM30" s="20">
        <f t="shared" si="8"/>
        <v>21.35</v>
      </c>
      <c r="AN30" s="20">
        <f t="shared" si="9"/>
        <v>29.3</v>
      </c>
      <c r="AO30" s="20">
        <f t="shared" si="10"/>
        <v>12.35</v>
      </c>
      <c r="AP30" s="20">
        <f t="shared" si="11"/>
        <v>15.65</v>
      </c>
      <c r="AQ30" s="20">
        <f t="shared" si="12"/>
        <v>36.4</v>
      </c>
      <c r="AR30" s="20">
        <f t="shared" si="13"/>
        <v>64.150000000000006</v>
      </c>
      <c r="AS30" s="35">
        <f t="shared" si="34"/>
        <v>274.20000000000005</v>
      </c>
      <c r="AT30" s="65">
        <v>0</v>
      </c>
      <c r="AU30" s="67">
        <f t="shared" si="16"/>
        <v>0</v>
      </c>
      <c r="AW30" s="86">
        <v>70057</v>
      </c>
      <c r="AX30" s="61">
        <f t="shared" si="17"/>
        <v>119</v>
      </c>
      <c r="AY30" s="88">
        <v>443002</v>
      </c>
      <c r="AZ30" s="73">
        <f t="shared" si="18"/>
        <v>114800</v>
      </c>
      <c r="BA30" s="72">
        <f t="shared" si="19"/>
        <v>313.404</v>
      </c>
      <c r="BB30" s="59">
        <f t="shared" si="20"/>
        <v>139.27673759999999</v>
      </c>
    </row>
    <row r="31" spans="1:54" x14ac:dyDescent="0.25">
      <c r="A31" s="23">
        <v>44982</v>
      </c>
      <c r="B31" s="40">
        <v>91</v>
      </c>
      <c r="C31" s="80">
        <v>8828800</v>
      </c>
      <c r="D31" s="80">
        <v>21226120</v>
      </c>
      <c r="E31" s="80">
        <v>4004160</v>
      </c>
      <c r="F31" s="80">
        <v>4490310</v>
      </c>
      <c r="G31" s="80">
        <v>13413190</v>
      </c>
      <c r="H31" s="80">
        <v>8020420</v>
      </c>
      <c r="I31" s="80">
        <v>6900260</v>
      </c>
      <c r="J31" s="80">
        <v>8670980</v>
      </c>
      <c r="K31" s="80">
        <v>12501340</v>
      </c>
      <c r="L31" s="80">
        <v>5454320</v>
      </c>
      <c r="M31" s="80">
        <v>9836650</v>
      </c>
      <c r="N31" s="80">
        <v>16560510</v>
      </c>
      <c r="O31" s="80">
        <v>23407020</v>
      </c>
      <c r="Q31" s="37">
        <f>IF((C31-C30&lt;0), "0",C31-C30)</f>
        <v>550</v>
      </c>
      <c r="R31" s="37">
        <f t="shared" si="22"/>
        <v>1850</v>
      </c>
      <c r="S31" s="37">
        <f t="shared" si="15"/>
        <v>2850</v>
      </c>
      <c r="T31" s="37">
        <f t="shared" si="23"/>
        <v>930</v>
      </c>
      <c r="U31" s="37">
        <f t="shared" si="24"/>
        <v>5840</v>
      </c>
      <c r="V31" s="37">
        <f t="shared" si="25"/>
        <v>3980</v>
      </c>
      <c r="W31" s="37">
        <f t="shared" si="26"/>
        <v>2710</v>
      </c>
      <c r="X31" s="37">
        <f t="shared" si="27"/>
        <v>4070</v>
      </c>
      <c r="Y31" s="37">
        <f t="shared" si="28"/>
        <v>5860</v>
      </c>
      <c r="Z31" s="37">
        <f t="shared" si="29"/>
        <v>2420</v>
      </c>
      <c r="AA31" s="37">
        <f t="shared" si="30"/>
        <v>3080</v>
      </c>
      <c r="AB31" s="37">
        <f t="shared" si="31"/>
        <v>7250</v>
      </c>
      <c r="AC31" s="37">
        <f t="shared" si="32"/>
        <v>12180</v>
      </c>
      <c r="AD31" s="35">
        <f t="shared" si="33"/>
        <v>53570</v>
      </c>
      <c r="AF31" s="20">
        <f t="shared" si="1"/>
        <v>2.75</v>
      </c>
      <c r="AG31" s="20">
        <f t="shared" si="2"/>
        <v>9.25</v>
      </c>
      <c r="AH31" s="20">
        <f t="shared" si="3"/>
        <v>14.25</v>
      </c>
      <c r="AI31" s="20">
        <f t="shared" si="4"/>
        <v>4.6500000000000004</v>
      </c>
      <c r="AJ31" s="20">
        <f t="shared" si="5"/>
        <v>29.2</v>
      </c>
      <c r="AK31" s="20">
        <f t="shared" si="6"/>
        <v>19.900000000000002</v>
      </c>
      <c r="AL31" s="20">
        <f t="shared" si="7"/>
        <v>13.55</v>
      </c>
      <c r="AM31" s="20">
        <f t="shared" si="8"/>
        <v>20.350000000000001</v>
      </c>
      <c r="AN31" s="20">
        <f t="shared" si="9"/>
        <v>29.3</v>
      </c>
      <c r="AO31" s="20">
        <f t="shared" si="10"/>
        <v>12.1</v>
      </c>
      <c r="AP31" s="20">
        <f t="shared" si="11"/>
        <v>15.4</v>
      </c>
      <c r="AQ31" s="20">
        <f t="shared" si="12"/>
        <v>36.25</v>
      </c>
      <c r="AR31" s="20">
        <f t="shared" si="13"/>
        <v>60.9</v>
      </c>
      <c r="AS31" s="35">
        <f t="shared" si="34"/>
        <v>267.85000000000002</v>
      </c>
      <c r="AT31" s="65">
        <v>6.6</v>
      </c>
      <c r="AU31" s="67">
        <f t="shared" si="16"/>
        <v>1175.625</v>
      </c>
      <c r="AW31" s="84">
        <v>70169</v>
      </c>
      <c r="AX31" s="61">
        <f t="shared" si="17"/>
        <v>112</v>
      </c>
      <c r="AY31" s="85">
        <v>444249</v>
      </c>
      <c r="AZ31" s="75">
        <f t="shared" si="18"/>
        <v>124700</v>
      </c>
      <c r="BA31" s="37">
        <f t="shared" si="19"/>
        <v>340.43099999999998</v>
      </c>
      <c r="BB31" s="59">
        <f t="shared" si="20"/>
        <v>151.28753639999999</v>
      </c>
    </row>
    <row r="32" spans="1:54" x14ac:dyDescent="0.25">
      <c r="A32" s="23">
        <v>44983</v>
      </c>
      <c r="B32" s="40">
        <v>81</v>
      </c>
      <c r="C32" s="24">
        <v>8829430</v>
      </c>
      <c r="D32" s="51">
        <v>21227910</v>
      </c>
      <c r="E32" s="51">
        <v>4007480</v>
      </c>
      <c r="F32" s="51">
        <v>4491220</v>
      </c>
      <c r="G32" s="51">
        <v>13418660</v>
      </c>
      <c r="H32" s="51">
        <v>8024180</v>
      </c>
      <c r="I32" s="51">
        <v>6902820</v>
      </c>
      <c r="J32" s="51">
        <v>8674710</v>
      </c>
      <c r="K32" s="51">
        <v>12506730</v>
      </c>
      <c r="L32" s="51">
        <v>5456670</v>
      </c>
      <c r="M32" s="51">
        <v>9839520</v>
      </c>
      <c r="N32" s="51">
        <v>16567520</v>
      </c>
      <c r="O32" s="51">
        <v>23420300</v>
      </c>
      <c r="Q32" s="37">
        <f>IF((C32-C31&lt;0), "0",C32-C31)</f>
        <v>630</v>
      </c>
      <c r="R32" s="37">
        <f t="shared" si="22"/>
        <v>1790</v>
      </c>
      <c r="S32" s="37">
        <f t="shared" si="15"/>
        <v>3320</v>
      </c>
      <c r="T32" s="37">
        <f t="shared" si="23"/>
        <v>910</v>
      </c>
      <c r="U32" s="37">
        <f t="shared" si="24"/>
        <v>5470</v>
      </c>
      <c r="V32" s="37">
        <f t="shared" si="25"/>
        <v>3760</v>
      </c>
      <c r="W32" s="37">
        <f t="shared" si="26"/>
        <v>2560</v>
      </c>
      <c r="X32" s="37">
        <f t="shared" si="27"/>
        <v>3730</v>
      </c>
      <c r="Y32" s="37">
        <f t="shared" si="28"/>
        <v>5390</v>
      </c>
      <c r="Z32" s="37">
        <f t="shared" si="29"/>
        <v>2350</v>
      </c>
      <c r="AA32" s="37">
        <f t="shared" si="30"/>
        <v>2870</v>
      </c>
      <c r="AB32" s="37">
        <f t="shared" si="31"/>
        <v>7010</v>
      </c>
      <c r="AC32" s="37">
        <f t="shared" si="32"/>
        <v>13280</v>
      </c>
      <c r="AD32" s="35">
        <f t="shared" si="33"/>
        <v>53070</v>
      </c>
      <c r="AF32" s="20">
        <f t="shared" si="1"/>
        <v>3.15</v>
      </c>
      <c r="AG32" s="20">
        <f t="shared" si="2"/>
        <v>8.9500000000000011</v>
      </c>
      <c r="AH32" s="20">
        <f t="shared" si="3"/>
        <v>16.600000000000001</v>
      </c>
      <c r="AI32" s="20">
        <f t="shared" si="4"/>
        <v>4.55</v>
      </c>
      <c r="AJ32" s="20">
        <f t="shared" si="5"/>
        <v>27.35</v>
      </c>
      <c r="AK32" s="20">
        <f t="shared" si="6"/>
        <v>18.8</v>
      </c>
      <c r="AL32" s="20">
        <f t="shared" si="7"/>
        <v>12.8</v>
      </c>
      <c r="AM32" s="20">
        <f t="shared" si="8"/>
        <v>18.650000000000002</v>
      </c>
      <c r="AN32" s="20">
        <f t="shared" si="9"/>
        <v>26.95</v>
      </c>
      <c r="AO32" s="20">
        <f t="shared" si="10"/>
        <v>11.75</v>
      </c>
      <c r="AP32" s="20">
        <f t="shared" si="11"/>
        <v>14.35</v>
      </c>
      <c r="AQ32" s="20">
        <f t="shared" si="12"/>
        <v>35.050000000000004</v>
      </c>
      <c r="AR32" s="20">
        <f t="shared" si="13"/>
        <v>66.400000000000006</v>
      </c>
      <c r="AS32" s="35">
        <f t="shared" si="34"/>
        <v>265.35000000000002</v>
      </c>
      <c r="AT32" s="65">
        <v>0</v>
      </c>
      <c r="AU32" s="67">
        <f t="shared" si="16"/>
        <v>0</v>
      </c>
      <c r="AW32" s="62">
        <v>70288</v>
      </c>
      <c r="AX32" s="61">
        <f t="shared" si="17"/>
        <v>119</v>
      </c>
      <c r="AY32" s="54">
        <v>445555</v>
      </c>
      <c r="AZ32" s="37">
        <f t="shared" si="18"/>
        <v>130600</v>
      </c>
      <c r="BA32" s="37">
        <f t="shared" si="19"/>
        <v>356.53800000000001</v>
      </c>
      <c r="BB32" s="59">
        <f t="shared" si="20"/>
        <v>158.4454872</v>
      </c>
    </row>
    <row r="33" spans="1:54" x14ac:dyDescent="0.25">
      <c r="A33" s="23">
        <v>44984</v>
      </c>
      <c r="B33" s="40">
        <v>71</v>
      </c>
      <c r="C33" s="24">
        <v>8829890</v>
      </c>
      <c r="D33" s="50">
        <v>21229780</v>
      </c>
      <c r="E33" s="50">
        <v>4010000</v>
      </c>
      <c r="F33" s="50">
        <v>4492170</v>
      </c>
      <c r="G33" s="50">
        <v>13424550</v>
      </c>
      <c r="H33" s="50">
        <v>8028230</v>
      </c>
      <c r="I33" s="50">
        <v>6905750</v>
      </c>
      <c r="J33" s="50">
        <v>8679010</v>
      </c>
      <c r="K33" s="50">
        <v>12512450</v>
      </c>
      <c r="L33" s="50">
        <v>5459120</v>
      </c>
      <c r="M33" s="50">
        <v>9842460</v>
      </c>
      <c r="N33" s="50">
        <v>16574900</v>
      </c>
      <c r="O33" s="50">
        <v>23434520</v>
      </c>
      <c r="Q33" s="37">
        <f>IF((C33-C32&lt;0), "0",C33-C32)</f>
        <v>460</v>
      </c>
      <c r="R33" s="37">
        <f t="shared" si="22"/>
        <v>1870</v>
      </c>
      <c r="S33" s="37">
        <f t="shared" si="15"/>
        <v>2520</v>
      </c>
      <c r="T33" s="37">
        <f t="shared" si="23"/>
        <v>950</v>
      </c>
      <c r="U33" s="37">
        <f t="shared" si="24"/>
        <v>5890</v>
      </c>
      <c r="V33" s="37">
        <f t="shared" si="25"/>
        <v>4050</v>
      </c>
      <c r="W33" s="37">
        <f t="shared" si="26"/>
        <v>2930</v>
      </c>
      <c r="X33" s="37">
        <f t="shared" si="27"/>
        <v>4300</v>
      </c>
      <c r="Y33" s="37">
        <f t="shared" si="28"/>
        <v>5720</v>
      </c>
      <c r="Z33" s="37">
        <f t="shared" si="29"/>
        <v>2450</v>
      </c>
      <c r="AA33" s="37">
        <f t="shared" si="30"/>
        <v>2940</v>
      </c>
      <c r="AB33" s="37">
        <f t="shared" si="31"/>
        <v>7380</v>
      </c>
      <c r="AC33" s="37">
        <f t="shared" si="32"/>
        <v>14220</v>
      </c>
      <c r="AD33" s="35">
        <f t="shared" si="33"/>
        <v>55680</v>
      </c>
      <c r="AF33" s="20">
        <f t="shared" si="1"/>
        <v>2.3000000000000003</v>
      </c>
      <c r="AG33" s="20">
        <f t="shared" si="2"/>
        <v>9.35</v>
      </c>
      <c r="AH33" s="20">
        <f t="shared" si="3"/>
        <v>12.6</v>
      </c>
      <c r="AI33" s="20">
        <f t="shared" si="4"/>
        <v>4.75</v>
      </c>
      <c r="AJ33" s="20">
        <f t="shared" si="5"/>
        <v>29.45</v>
      </c>
      <c r="AK33" s="20">
        <f t="shared" si="6"/>
        <v>20.25</v>
      </c>
      <c r="AL33" s="20">
        <f t="shared" si="7"/>
        <v>14.65</v>
      </c>
      <c r="AM33" s="20">
        <f t="shared" si="8"/>
        <v>21.5</v>
      </c>
      <c r="AN33" s="20">
        <f t="shared" si="9"/>
        <v>28.6</v>
      </c>
      <c r="AO33" s="20">
        <f t="shared" si="10"/>
        <v>12.25</v>
      </c>
      <c r="AP33" s="20">
        <f t="shared" si="11"/>
        <v>14.700000000000001</v>
      </c>
      <c r="AQ33" s="20">
        <f t="shared" si="12"/>
        <v>36.9</v>
      </c>
      <c r="AR33" s="20">
        <f t="shared" si="13"/>
        <v>71.100000000000009</v>
      </c>
      <c r="AS33" s="35">
        <f t="shared" si="34"/>
        <v>278.40000000000003</v>
      </c>
      <c r="AT33" s="65">
        <v>6.4</v>
      </c>
      <c r="AU33" s="67">
        <f t="shared" si="16"/>
        <v>1140</v>
      </c>
      <c r="AW33" s="62">
        <v>70478</v>
      </c>
      <c r="AX33" s="61">
        <f t="shared" si="17"/>
        <v>190</v>
      </c>
      <c r="AY33" s="53">
        <v>446863</v>
      </c>
      <c r="AZ33" s="37">
        <f t="shared" si="18"/>
        <v>130800</v>
      </c>
      <c r="BA33" s="37">
        <f t="shared" si="19"/>
        <v>357.084</v>
      </c>
      <c r="BB33" s="59">
        <f t="shared" si="20"/>
        <v>158.6881296</v>
      </c>
    </row>
    <row r="34" spans="1:54" x14ac:dyDescent="0.25">
      <c r="A34" s="23">
        <v>44985</v>
      </c>
      <c r="B34" s="48">
        <v>106</v>
      </c>
      <c r="C34" s="47">
        <v>8830450</v>
      </c>
      <c r="D34" s="51">
        <v>21231640</v>
      </c>
      <c r="E34" s="51">
        <v>4012970</v>
      </c>
      <c r="F34" s="51">
        <v>4493120</v>
      </c>
      <c r="G34" s="51">
        <v>13430070</v>
      </c>
      <c r="H34" s="51">
        <v>8032340</v>
      </c>
      <c r="I34" s="51">
        <v>6908740</v>
      </c>
      <c r="J34" s="51">
        <v>8683040</v>
      </c>
      <c r="K34" s="51">
        <v>12518220</v>
      </c>
      <c r="L34" s="51">
        <v>5461610</v>
      </c>
      <c r="M34" s="51">
        <v>9845100</v>
      </c>
      <c r="N34" s="51">
        <v>16582140</v>
      </c>
      <c r="O34" s="51">
        <v>23448280</v>
      </c>
      <c r="Q34" s="37">
        <f>IF((C34-C33&lt;0), "0",C34-C33)</f>
        <v>560</v>
      </c>
      <c r="R34" s="37">
        <f t="shared" si="22"/>
        <v>1860</v>
      </c>
      <c r="S34" s="37">
        <f t="shared" si="15"/>
        <v>2970</v>
      </c>
      <c r="T34" s="37">
        <f t="shared" si="23"/>
        <v>950</v>
      </c>
      <c r="U34" s="37">
        <f t="shared" si="24"/>
        <v>5520</v>
      </c>
      <c r="V34" s="37">
        <f t="shared" si="25"/>
        <v>4110</v>
      </c>
      <c r="W34" s="37">
        <f t="shared" si="26"/>
        <v>2990</v>
      </c>
      <c r="X34" s="37">
        <f t="shared" si="27"/>
        <v>4030</v>
      </c>
      <c r="Y34" s="37">
        <f t="shared" si="28"/>
        <v>5770</v>
      </c>
      <c r="Z34" s="37">
        <f t="shared" si="29"/>
        <v>2490</v>
      </c>
      <c r="AA34" s="37">
        <f t="shared" si="30"/>
        <v>2640</v>
      </c>
      <c r="AB34" s="37">
        <f t="shared" si="31"/>
        <v>7240</v>
      </c>
      <c r="AC34" s="37">
        <f t="shared" si="32"/>
        <v>13760</v>
      </c>
      <c r="AD34" s="35">
        <f t="shared" si="33"/>
        <v>54890</v>
      </c>
      <c r="AF34" s="20">
        <f>Q34*$D$39</f>
        <v>2.8000000000000003</v>
      </c>
      <c r="AG34" s="20">
        <f t="shared" si="2"/>
        <v>9.3000000000000007</v>
      </c>
      <c r="AH34" s="20">
        <f t="shared" si="3"/>
        <v>14.85</v>
      </c>
      <c r="AI34" s="20">
        <f t="shared" si="4"/>
        <v>4.75</v>
      </c>
      <c r="AJ34" s="20">
        <f t="shared" si="5"/>
        <v>27.6</v>
      </c>
      <c r="AK34" s="20">
        <f t="shared" si="6"/>
        <v>20.55</v>
      </c>
      <c r="AL34" s="20">
        <f t="shared" si="7"/>
        <v>14.950000000000001</v>
      </c>
      <c r="AM34" s="20">
        <f t="shared" si="8"/>
        <v>20.150000000000002</v>
      </c>
      <c r="AN34" s="20">
        <f t="shared" si="9"/>
        <v>28.85</v>
      </c>
      <c r="AO34" s="20">
        <f t="shared" si="10"/>
        <v>12.450000000000001</v>
      </c>
      <c r="AP34" s="20">
        <f t="shared" si="11"/>
        <v>13.200000000000001</v>
      </c>
      <c r="AQ34" s="20">
        <f t="shared" si="12"/>
        <v>36.200000000000003</v>
      </c>
      <c r="AR34" s="20">
        <f t="shared" si="13"/>
        <v>68.8</v>
      </c>
      <c r="AS34" s="35">
        <f>SUM(AF34:AR34)</f>
        <v>274.45</v>
      </c>
      <c r="AT34" s="65">
        <v>0</v>
      </c>
      <c r="AU34" s="67">
        <f t="shared" si="16"/>
        <v>0</v>
      </c>
      <c r="AW34" s="62">
        <v>70538</v>
      </c>
      <c r="AX34" s="61">
        <f t="shared" si="17"/>
        <v>60</v>
      </c>
      <c r="AY34" s="54">
        <v>448654</v>
      </c>
      <c r="AZ34" s="37">
        <f t="shared" si="18"/>
        <v>179100</v>
      </c>
      <c r="BA34" s="37">
        <f t="shared" si="19"/>
        <v>488.94300000000004</v>
      </c>
      <c r="BB34" s="59">
        <f t="shared" si="20"/>
        <v>217.28626920000002</v>
      </c>
    </row>
    <row r="35" spans="1:54" x14ac:dyDescent="0.2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 t="str">
        <f>IF((C35-C34&lt;0), "0",C35-C34)</f>
        <v>0</v>
      </c>
      <c r="R35" s="37" t="str">
        <f t="shared" si="22"/>
        <v>0</v>
      </c>
      <c r="S35" s="37" t="str">
        <f t="shared" si="15"/>
        <v>0</v>
      </c>
      <c r="T35" s="37" t="str">
        <f t="shared" si="23"/>
        <v>0</v>
      </c>
      <c r="U35" s="37" t="str">
        <f t="shared" si="24"/>
        <v>0</v>
      </c>
      <c r="V35" s="37" t="str">
        <f t="shared" si="25"/>
        <v>0</v>
      </c>
      <c r="W35" s="37" t="str">
        <f t="shared" si="26"/>
        <v>0</v>
      </c>
      <c r="X35" s="37" t="str">
        <f t="shared" si="27"/>
        <v>0</v>
      </c>
      <c r="Y35" s="37" t="str">
        <f t="shared" si="28"/>
        <v>0</v>
      </c>
      <c r="Z35" s="37" t="str">
        <f t="shared" si="29"/>
        <v>0</v>
      </c>
      <c r="AA35" s="37" t="str">
        <f t="shared" si="30"/>
        <v>0</v>
      </c>
      <c r="AB35" s="37" t="str">
        <f t="shared" si="31"/>
        <v>0</v>
      </c>
      <c r="AC35" s="37" t="str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5"/>
      <c r="AU35" s="67">
        <f t="shared" si="16"/>
        <v>0</v>
      </c>
      <c r="AW35" s="62">
        <v>0</v>
      </c>
      <c r="AX35" s="61" t="str">
        <f t="shared" si="17"/>
        <v>0</v>
      </c>
      <c r="AY35" s="58"/>
      <c r="AZ35" s="37">
        <f t="shared" si="18"/>
        <v>0</v>
      </c>
      <c r="BA35" s="37">
        <f t="shared" si="19"/>
        <v>0</v>
      </c>
      <c r="BB35" s="59">
        <f t="shared" si="20"/>
        <v>0</v>
      </c>
    </row>
    <row r="36" spans="1:54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5"/>
      <c r="AU36" s="67">
        <f t="shared" si="16"/>
        <v>0</v>
      </c>
      <c r="AW36" s="62">
        <v>0</v>
      </c>
      <c r="AX36" s="61">
        <f t="shared" si="17"/>
        <v>0</v>
      </c>
      <c r="AY36" s="56"/>
      <c r="AZ36" s="37">
        <f t="shared" si="18"/>
        <v>0</v>
      </c>
      <c r="BA36" s="37">
        <f t="shared" si="19"/>
        <v>0</v>
      </c>
      <c r="BB36" s="59">
        <f t="shared" si="20"/>
        <v>0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5"/>
      <c r="AU37" s="67">
        <f t="shared" si="16"/>
        <v>0</v>
      </c>
      <c r="AW37" s="62">
        <v>0</v>
      </c>
      <c r="AX37" s="61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9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15620</v>
      </c>
      <c r="R38" s="38">
        <f t="shared" ref="R38:AD38" si="60">SUM(R7:R37)</f>
        <v>51560</v>
      </c>
      <c r="S38" s="38">
        <f t="shared" si="60"/>
        <v>72030</v>
      </c>
      <c r="T38" s="38">
        <f t="shared" si="60"/>
        <v>30370</v>
      </c>
      <c r="U38" s="38">
        <f t="shared" si="60"/>
        <v>169570</v>
      </c>
      <c r="V38" s="38">
        <f t="shared" si="60"/>
        <v>118410</v>
      </c>
      <c r="W38" s="38">
        <f t="shared" si="60"/>
        <v>86610</v>
      </c>
      <c r="X38" s="38">
        <f t="shared" si="60"/>
        <v>123510</v>
      </c>
      <c r="Y38" s="38">
        <f t="shared" si="60"/>
        <v>162790</v>
      </c>
      <c r="Z38" s="38">
        <f t="shared" si="60"/>
        <v>71540</v>
      </c>
      <c r="AA38" s="38">
        <f t="shared" si="60"/>
        <v>87150</v>
      </c>
      <c r="AB38" s="38">
        <f t="shared" si="60"/>
        <v>208350</v>
      </c>
      <c r="AC38" s="38">
        <f t="shared" si="60"/>
        <v>389120</v>
      </c>
      <c r="AD38" s="38">
        <f t="shared" si="60"/>
        <v>1586630</v>
      </c>
      <c r="AF38" s="35">
        <f>SUM(AF7:AF37)</f>
        <v>78.100000000000009</v>
      </c>
      <c r="AG38" s="35">
        <f t="shared" ref="AG38:AU38" si="61">SUM(AG7:AG37)</f>
        <v>257.8</v>
      </c>
      <c r="AH38" s="35">
        <f t="shared" si="61"/>
        <v>360.15000000000009</v>
      </c>
      <c r="AI38" s="35">
        <f t="shared" si="61"/>
        <v>151.85000000000002</v>
      </c>
      <c r="AJ38" s="35">
        <f t="shared" si="61"/>
        <v>847.85000000000014</v>
      </c>
      <c r="AK38" s="35">
        <f t="shared" si="61"/>
        <v>592.04999999999995</v>
      </c>
      <c r="AL38" s="35">
        <f t="shared" si="61"/>
        <v>433.05</v>
      </c>
      <c r="AM38" s="35">
        <f t="shared" si="61"/>
        <v>617.55000000000007</v>
      </c>
      <c r="AN38" s="35">
        <f t="shared" si="61"/>
        <v>813.94999999999982</v>
      </c>
      <c r="AO38" s="35">
        <f t="shared" si="61"/>
        <v>357.70000000000005</v>
      </c>
      <c r="AP38" s="35">
        <f t="shared" si="61"/>
        <v>435.74999999999994</v>
      </c>
      <c r="AQ38" s="35">
        <f t="shared" si="61"/>
        <v>1041.75</v>
      </c>
      <c r="AR38" s="35">
        <f t="shared" si="61"/>
        <v>1945.6000000000001</v>
      </c>
      <c r="AS38" s="35">
        <f t="shared" si="61"/>
        <v>7933.1499999999987</v>
      </c>
      <c r="AT38" s="65"/>
      <c r="AU38" s="68">
        <f t="shared" si="61"/>
        <v>10883.4375</v>
      </c>
      <c r="AW38" s="62">
        <v>0</v>
      </c>
      <c r="AX38" s="61">
        <f t="shared" si="17"/>
        <v>0</v>
      </c>
      <c r="AY38" s="46"/>
      <c r="AZ38" s="37">
        <f t="shared" si="18"/>
        <v>0</v>
      </c>
      <c r="BA38" s="37">
        <f>SUM(BA7:BA37)</f>
        <v>11352.432000000001</v>
      </c>
      <c r="BB38" s="59">
        <f t="shared" si="20"/>
        <v>5045.0207808000005</v>
      </c>
    </row>
    <row r="39" spans="1:54" x14ac:dyDescent="0.25">
      <c r="B39" s="39">
        <f>SUM(B7:B37)</f>
        <v>3521</v>
      </c>
      <c r="D39">
        <v>5.0000000000000001E-3</v>
      </c>
      <c r="AW39" s="62">
        <v>0</v>
      </c>
      <c r="AX39" s="61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6">
        <v>178.125</v>
      </c>
    </row>
    <row r="44" spans="1:54" x14ac:dyDescent="0.25">
      <c r="AW44" s="60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3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2023-03-01T07:28:13Z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