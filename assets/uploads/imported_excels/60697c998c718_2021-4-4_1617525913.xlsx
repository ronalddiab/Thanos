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780" yWindow="60" windowWidth="14145" windowHeight="12075" tabRatio="581" firstSheet="2" activeTab="1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H6" i="3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AD34" i="76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  <c r="O5"/>
  <c r="O4"/>
  <c r="AC29"/>
  <c r="AC33" s="1"/>
  <c r="AB12" i="74" l="1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C19" i="77" l="1"/>
  <c r="C18"/>
  <c r="C17"/>
  <c r="C16"/>
  <c r="C15"/>
  <c r="C14"/>
  <c r="W16" i="76" l="1"/>
  <c r="W15"/>
  <c r="W14"/>
  <c r="W13"/>
  <c r="X16"/>
  <c r="X15"/>
  <c r="X14"/>
  <c r="Y14"/>
  <c r="Y16"/>
  <c r="AB13"/>
  <c r="AB14"/>
  <c r="AC14"/>
  <c r="AD11"/>
  <c r="AD10"/>
  <c r="AD9"/>
  <c r="AB11"/>
  <c r="AA11"/>
  <c r="Z11"/>
  <c r="Y11"/>
  <c r="AB10"/>
  <c r="AA10"/>
  <c r="Z10"/>
  <c r="Y10"/>
  <c r="AB9"/>
  <c r="AA9"/>
  <c r="Z9"/>
  <c r="Y9"/>
  <c r="X11"/>
  <c r="X10"/>
  <c r="X9"/>
  <c r="W11"/>
  <c r="W10"/>
  <c r="W9"/>
  <c r="V11"/>
  <c r="V10"/>
  <c r="V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A2"/>
  <c r="Z2"/>
  <c r="Y2"/>
  <c r="X2"/>
  <c r="W2"/>
  <c r="V2"/>
  <c r="U2"/>
  <c r="T2"/>
  <c r="S2"/>
  <c r="R2"/>
  <c r="S3" s="1"/>
  <c r="Q2"/>
  <c r="P2"/>
  <c r="O2"/>
  <c r="N2"/>
  <c r="M2"/>
  <c r="L2"/>
  <c r="K2"/>
  <c r="J2"/>
  <c r="I2"/>
  <c r="H2"/>
  <c r="G2"/>
  <c r="F2"/>
  <c r="E2"/>
  <c r="D2"/>
  <c r="C2"/>
  <c r="B2"/>
  <c r="BA5" i="7"/>
  <c r="BB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AP5"/>
  <c r="BC5"/>
  <c r="BD5"/>
  <c r="BE5"/>
  <c r="BF5"/>
  <c r="BG5"/>
  <c r="BH5"/>
  <c r="B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2" i="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AC11" i="76" l="1"/>
  <c r="AC10"/>
  <c r="AC13" l="1"/>
  <c r="AC9"/>
  <c r="O3" l="1"/>
  <c r="P3" l="1"/>
  <c r="R3" l="1"/>
  <c r="T3" l="1"/>
  <c r="Z6" i="5" l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32" i="2"/>
  <c r="B32" s="1"/>
  <c r="A31"/>
  <c r="B31" s="1"/>
  <c r="D31" i="73" l="1"/>
  <c r="A25" i="3"/>
  <c r="AJ25"/>
  <c r="A23" l="1"/>
  <c r="AJ23"/>
  <c r="A23" i="1"/>
  <c r="B14" i="77" l="1"/>
  <c r="I7"/>
  <c r="L30" i="82" l="1"/>
  <c r="L31"/>
  <c r="O30" i="81"/>
  <c r="O31"/>
  <c r="C5" i="79"/>
  <c r="D5"/>
  <c r="E5"/>
  <c r="F5"/>
  <c r="G5"/>
  <c r="H7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V26" i="76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H7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B7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D6" i="3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R6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T4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8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7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V9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X9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C8" i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F6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K7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M7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P5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5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B8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O31" i="2"/>
  <c r="O32"/>
  <c r="F6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H6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J6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L6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P6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S4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W3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3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3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C3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6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B2"/>
  <c r="A2"/>
  <c r="A34" i="79"/>
  <c r="L34" s="1"/>
  <c r="A35"/>
  <c r="L35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J31" i="3"/>
  <c r="AJ32"/>
  <c r="A31"/>
  <c r="A32"/>
  <c r="A34" i="7"/>
  <c r="A35"/>
  <c r="A34" i="73"/>
  <c r="A35"/>
  <c r="A34" i="5"/>
  <c r="AR34" s="1"/>
  <c r="A35"/>
  <c r="AR35" s="1"/>
  <c r="A33" i="1"/>
  <c r="A34"/>
  <c r="D18" i="77"/>
  <c r="R24" i="3" l="1"/>
  <c r="R25" s="1"/>
  <c r="S23"/>
  <c r="U23" s="1"/>
  <c r="D26"/>
  <c r="D27" s="1"/>
  <c r="D28" s="1"/>
  <c r="D29" s="1"/>
  <c r="D30" s="1"/>
  <c r="D31" s="1"/>
  <c r="D32" s="1"/>
  <c r="E25"/>
  <c r="J30" i="76"/>
  <c r="J31" s="1"/>
  <c r="J32" s="1"/>
  <c r="J33" s="1"/>
  <c r="W26" s="1"/>
  <c r="K29"/>
  <c r="B6" i="3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V31" i="2"/>
  <c r="M31"/>
  <c r="E30" i="82" s="1"/>
  <c r="M32" i="2"/>
  <c r="E31" i="82" s="1"/>
  <c r="K31" i="2"/>
  <c r="F30" i="82" s="1"/>
  <c r="I31" i="2"/>
  <c r="G30" i="82" s="1"/>
  <c r="G31" i="2"/>
  <c r="I30" i="82" s="1"/>
  <c r="E31" i="2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B31" i="7"/>
  <c r="AA34" i="1"/>
  <c r="AD34"/>
  <c r="AG34" s="1"/>
  <c r="AA33"/>
  <c r="AD33"/>
  <c r="AG33" s="1"/>
  <c r="AD31" i="2"/>
  <c r="AB31"/>
  <c r="X31"/>
  <c r="T31"/>
  <c r="Q31"/>
  <c r="AD31" i="3" s="1"/>
  <c r="AI31" s="1"/>
  <c r="U35" i="5"/>
  <c r="U34"/>
  <c r="E31" i="3" l="1"/>
  <c r="C23"/>
  <c r="K31" i="76"/>
  <c r="N31" s="1"/>
  <c r="R26" i="3"/>
  <c r="R27" s="1"/>
  <c r="R28" s="1"/>
  <c r="R29" s="1"/>
  <c r="R30" s="1"/>
  <c r="R31" s="1"/>
  <c r="S25"/>
  <c r="U25" s="1"/>
  <c r="B26"/>
  <c r="B27" s="1"/>
  <c r="B28" s="1"/>
  <c r="B29" s="1"/>
  <c r="B30" s="1"/>
  <c r="B31" s="1"/>
  <c r="C25"/>
  <c r="F25" s="1"/>
  <c r="Z31" i="2"/>
  <c r="AF31" s="1"/>
  <c r="Z32"/>
  <c r="K34" i="5"/>
  <c r="I35" i="79"/>
  <c r="I34"/>
  <c r="AL34" i="5"/>
  <c r="Y34" i="1"/>
  <c r="AB34" s="1"/>
  <c r="K32" i="2"/>
  <c r="F31" i="82" s="1"/>
  <c r="I32" i="2"/>
  <c r="G31" i="82" s="1"/>
  <c r="G32" i="2"/>
  <c r="I31" i="82" s="1"/>
  <c r="E32" i="2"/>
  <c r="H30" i="82"/>
  <c r="N31" i="2"/>
  <c r="R31" s="1"/>
  <c r="AI31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B32"/>
  <c r="D31"/>
  <c r="AM33" i="1"/>
  <c r="X32" i="2"/>
  <c r="AE31"/>
  <c r="T32"/>
  <c r="Q32"/>
  <c r="AB32"/>
  <c r="AD32"/>
  <c r="W35" i="5"/>
  <c r="E23" i="3" l="1"/>
  <c r="F23"/>
  <c r="R32"/>
  <c r="S32" s="1"/>
  <c r="U32" s="1"/>
  <c r="S31"/>
  <c r="U31" s="1"/>
  <c r="B32"/>
  <c r="C32" s="1"/>
  <c r="F32" s="1"/>
  <c r="C31"/>
  <c r="F31" s="1"/>
  <c r="AM34" i="1"/>
  <c r="AG31" i="2"/>
  <c r="K35" i="5"/>
  <c r="L35" s="1"/>
  <c r="AK35" s="1"/>
  <c r="V32" i="2"/>
  <c r="AF32" s="1"/>
  <c r="J31" i="82"/>
  <c r="H31"/>
  <c r="N32" i="2"/>
  <c r="R32" s="1"/>
  <c r="AI32" s="1"/>
  <c r="E30" i="81"/>
  <c r="S32" i="76"/>
  <c r="K33"/>
  <c r="N33" s="1"/>
  <c r="N34" s="1"/>
  <c r="I32"/>
  <c r="M32" s="1"/>
  <c r="D31"/>
  <c r="E31" s="1"/>
  <c r="L32"/>
  <c r="G33"/>
  <c r="C33"/>
  <c r="AI35" i="5"/>
  <c r="AL35"/>
  <c r="U34" i="1"/>
  <c r="J34"/>
  <c r="AL34"/>
  <c r="Z35" i="7"/>
  <c r="AB34"/>
  <c r="B33"/>
  <c r="D32"/>
  <c r="F31"/>
  <c r="AE32" i="2"/>
  <c r="AD32" i="3"/>
  <c r="W6" i="5"/>
  <c r="AG32" i="2" l="1"/>
  <c r="E31" i="81"/>
  <c r="S33" i="76"/>
  <c r="I33"/>
  <c r="M33" s="1"/>
  <c r="M34" s="1"/>
  <c r="D32"/>
  <c r="E32" s="1"/>
  <c r="L33"/>
  <c r="L34" s="1"/>
  <c r="F32" i="7"/>
  <c r="AB35"/>
  <c r="H31"/>
  <c r="D33"/>
  <c r="AD34"/>
  <c r="B34"/>
  <c r="AI32" i="3"/>
  <c r="H7" i="77"/>
  <c r="D33" i="76" l="1"/>
  <c r="E33" s="1"/>
  <c r="AD35" i="7"/>
  <c r="AF34"/>
  <c r="D34"/>
  <c r="F33"/>
  <c r="J31"/>
  <c r="B35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H3" i="3"/>
  <c r="H5" s="1"/>
  <c r="D24" i="73"/>
  <c r="AP24" i="5"/>
  <c r="AN24"/>
  <c r="AM24"/>
  <c r="K24"/>
  <c r="I23" i="3" l="1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1" i="2"/>
  <c r="R21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AB12"/>
  <c r="AC12"/>
  <c r="DA2" i="2"/>
  <c r="DB2"/>
  <c r="DC2"/>
  <c r="DD2"/>
  <c r="R33" i="7" l="1"/>
  <c r="P34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P35" i="7"/>
  <c r="R34"/>
  <c r="AB23" i="1"/>
  <c r="T23"/>
  <c r="U23"/>
  <c r="AH23"/>
  <c r="AI23" s="1"/>
  <c r="I25"/>
  <c r="K8" i="5"/>
  <c r="R35" i="7" l="1"/>
  <c r="T34"/>
  <c r="I26" i="1"/>
  <c r="K9" i="5"/>
  <c r="T35" i="7" l="1"/>
  <c r="V34"/>
  <c r="I27" i="1"/>
  <c r="K10" i="5"/>
  <c r="V35" i="7" l="1"/>
  <c r="I28" i="1"/>
  <c r="K11" i="5"/>
  <c r="I29" i="1" l="1"/>
  <c r="K12" i="5"/>
  <c r="I30" i="1" l="1"/>
  <c r="K13" i="5"/>
  <c r="I31" i="1" l="1"/>
  <c r="K14" i="5"/>
  <c r="I32" i="1" l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3" i="3"/>
  <c r="AK37" i="5"/>
  <c r="F36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22" i="2"/>
  <c r="C17" i="76"/>
  <c r="Q15" i="2"/>
  <c r="C12" i="76"/>
  <c r="K27" i="5" l="1"/>
  <c r="L7" i="1"/>
  <c r="BA21" i="5"/>
  <c r="N8" i="1"/>
  <c r="AS36" i="7"/>
  <c r="AU36" s="1"/>
  <c r="AT36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U7" s="1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U16" s="1"/>
  <c r="Y13" i="76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AD23" i="3" s="1"/>
  <c r="C14" i="76"/>
  <c r="AI23" i="3" l="1"/>
  <c r="N26" i="1"/>
  <c r="L25"/>
  <c r="Q24" i="2"/>
  <c r="C15" i="76"/>
  <c r="N27" i="1" l="1"/>
  <c r="L26"/>
  <c r="Q25" i="2"/>
  <c r="AD25" i="3" s="1"/>
  <c r="C16" i="76"/>
  <c r="D12" i="73"/>
  <c r="AB7" i="2"/>
  <c r="G5" i="76"/>
  <c r="AI25" i="3" l="1"/>
  <c r="N28" i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N29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O7" i="79"/>
  <c r="E26" i="2"/>
  <c r="M9" i="79" l="1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7" i="5"/>
  <c r="F38"/>
  <c r="B38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6" i="73"/>
  <c r="B17" i="77" s="1"/>
  <c r="J9" i="63"/>
  <c r="K9" i="73"/>
  <c r="G9"/>
  <c r="C6" i="76"/>
  <c r="K4"/>
  <c r="AS36" i="1"/>
  <c r="AW38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4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U4" s="1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F7" s="1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F4" l="1"/>
  <c r="B3" i="63" s="1"/>
  <c r="AF9" i="2"/>
  <c r="AF10"/>
  <c r="H12" i="65" s="1"/>
  <c r="AF8" i="2"/>
  <c r="H10" i="65" s="1"/>
  <c r="AF11" i="2"/>
  <c r="H13" i="65" s="1"/>
  <c r="AF3" i="2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A34" i="76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B8" i="63"/>
  <c r="E5"/>
  <c r="D7" i="76"/>
  <c r="E7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H9" i="65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H5" i="65"/>
  <c r="E2" i="63"/>
  <c r="J21"/>
  <c r="X76" i="74"/>
  <c r="AT37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8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6" i="73"/>
  <c r="P58" i="74"/>
  <c r="AE12" i="2"/>
  <c r="T13"/>
  <c r="A12" i="63" s="1"/>
  <c r="AP15" i="5"/>
  <c r="P57" i="74"/>
  <c r="S13" i="3"/>
  <c r="U13" s="1"/>
  <c r="S14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C34" i="76" l="1"/>
  <c r="F4" i="77"/>
  <c r="Y34" i="7"/>
  <c r="X34" s="1"/>
  <c r="AO34"/>
  <c r="AN34" s="1"/>
  <c r="AO35"/>
  <c r="AN35" s="1"/>
  <c r="Y35"/>
  <c r="O6" i="81"/>
  <c r="O7" i="2"/>
  <c r="L20" i="82"/>
  <c r="O21" i="2"/>
  <c r="AI3" i="3"/>
  <c r="D5" i="65" s="1"/>
  <c r="K34" i="76"/>
  <c r="I34"/>
  <c r="G34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G12" i="2" l="1"/>
  <c r="AF12"/>
  <c r="B11" i="63" s="1"/>
  <c r="AF5" i="2"/>
  <c r="H7" i="65" s="1"/>
  <c r="AR34" i="7"/>
  <c r="AQ34" s="1"/>
  <c r="AR35"/>
  <c r="X35"/>
  <c r="F14" i="3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Z13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G5" i="2" l="1"/>
  <c r="H14" i="65"/>
  <c r="B4" i="63"/>
  <c r="AG13" i="2"/>
  <c r="AF13"/>
  <c r="H15" i="65" s="1"/>
  <c r="AS35" i="7"/>
  <c r="AX35" s="1"/>
  <c r="AQ35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Z14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F14" i="2" l="1"/>
  <c r="H16" i="65" s="1"/>
  <c r="B12" i="63"/>
  <c r="AY35" i="7"/>
  <c r="Q33" i="76"/>
  <c r="F16" i="3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Z15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B13" i="63" l="1"/>
  <c r="AG15" i="2"/>
  <c r="AF15"/>
  <c r="B14" i="63" s="1"/>
  <c r="G16" i="82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Z16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7" i="65" l="1"/>
  <c r="AG16" i="2"/>
  <c r="AF16"/>
  <c r="B15" i="63" s="1"/>
  <c r="F18" i="3"/>
  <c r="T20" i="1"/>
  <c r="J16" i="82"/>
  <c r="S16" i="76"/>
  <c r="R15" i="2"/>
  <c r="AN7" i="7"/>
  <c r="O15" i="2"/>
  <c r="F9" i="3"/>
  <c r="I9"/>
  <c r="M33" i="79"/>
  <c r="M34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H18" i="65"/>
  <c r="A17" i="63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G17" i="2" l="1"/>
  <c r="AF17"/>
  <c r="B16" i="63" s="1"/>
  <c r="O34" i="79"/>
  <c r="M35"/>
  <c r="O35" s="1"/>
  <c r="T21" i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AE20" s="1"/>
  <c r="Z18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19" i="65" l="1"/>
  <c r="AG18" i="2"/>
  <c r="AF18"/>
  <c r="B17" i="63" s="1"/>
  <c r="F20" i="3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G19" i="2" l="1"/>
  <c r="AF19"/>
  <c r="H21" i="65" s="1"/>
  <c r="H20"/>
  <c r="BC19" i="5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Z20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G20" i="2" l="1"/>
  <c r="AF20"/>
  <c r="B19" i="63" s="1"/>
  <c r="B18"/>
  <c r="F22" i="3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Y25"/>
  <c r="Y25" i="1"/>
  <c r="AB25" s="1"/>
  <c r="AO18" i="7"/>
  <c r="Y15"/>
  <c r="V23" i="2"/>
  <c r="T24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X23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H22" i="65" l="1"/>
  <c r="AR15" i="7"/>
  <c r="BC15" s="1"/>
  <c r="AR13"/>
  <c r="AS13" s="1"/>
  <c r="AR8"/>
  <c r="AS8" s="1"/>
  <c r="AR11"/>
  <c r="AS12" s="1"/>
  <c r="AX12" s="1"/>
  <c r="BJ12" s="1"/>
  <c r="AS10"/>
  <c r="T25" i="1"/>
  <c r="J21" i="82"/>
  <c r="D24" i="75"/>
  <c r="E24" s="1"/>
  <c r="AS7" i="7"/>
  <c r="O20" i="2"/>
  <c r="S21" i="76"/>
  <c r="I14" i="3"/>
  <c r="X13" i="7"/>
  <c r="X10"/>
  <c r="BC10"/>
  <c r="AN18"/>
  <c r="BC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9" l="1"/>
  <c r="AX9" s="1"/>
  <c r="AG22" i="2"/>
  <c r="AF22"/>
  <c r="B21" i="63" s="1"/>
  <c r="AS15" i="7"/>
  <c r="AX15" s="1"/>
  <c r="AS14"/>
  <c r="AX14" s="1"/>
  <c r="AS11"/>
  <c r="AX11" s="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Y27" i="5"/>
  <c r="Y27" i="1"/>
  <c r="AB27" s="1"/>
  <c r="V25" i="2"/>
  <c r="T26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Z23"/>
  <c r="X25"/>
  <c r="A23" i="63"/>
  <c r="AE24" i="2"/>
  <c r="I25" i="65"/>
  <c r="E22" i="63"/>
  <c r="BE25" i="7"/>
  <c r="BG25" s="1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BJ7" s="1"/>
  <c r="AY12"/>
  <c r="Q10" i="76"/>
  <c r="H24" i="65" l="1"/>
  <c r="AG23" i="2"/>
  <c r="AF23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Z24"/>
  <c r="A24" i="63"/>
  <c r="AE25" i="2"/>
  <c r="X26"/>
  <c r="D25" i="65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H25" i="65" l="1"/>
  <c r="AG24" i="2"/>
  <c r="AF24"/>
  <c r="H26" i="65" s="1"/>
  <c r="F26" i="3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B23" i="63"/>
  <c r="Z25" i="2"/>
  <c r="X27"/>
  <c r="AE26"/>
  <c r="A25" i="63"/>
  <c r="AI24" i="3"/>
  <c r="D26" i="65" s="1"/>
  <c r="I27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G25" i="2" l="1"/>
  <c r="AF25"/>
  <c r="H27" i="65" s="1"/>
  <c r="F27" i="3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Z26"/>
  <c r="X28"/>
  <c r="AE27"/>
  <c r="A26" i="63"/>
  <c r="D27" i="65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B24" i="63" l="1"/>
  <c r="AG26" i="2"/>
  <c r="AF26"/>
  <c r="H28" i="65" s="1"/>
  <c r="F28" i="3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29" i="2"/>
  <c r="T30"/>
  <c r="S30" i="3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B25" i="63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G27" i="2" l="1"/>
  <c r="AF27"/>
  <c r="H29" i="65" s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B26" i="63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G28" l="1"/>
  <c r="AF28"/>
  <c r="H30" i="65" s="1"/>
  <c r="AR21" i="7"/>
  <c r="AS21" s="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4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E30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G29" l="1"/>
  <c r="AF29"/>
  <c r="B28" i="63" s="1"/>
  <c r="B27"/>
  <c r="BD33" i="5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6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Z30" i="2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G30" i="2" l="1"/>
  <c r="AF30"/>
  <c r="H32" i="65" s="1"/>
  <c r="C34" i="3"/>
  <c r="D34" i="75"/>
  <c r="E34" s="1"/>
  <c r="O29" i="2"/>
  <c r="S30" i="76"/>
  <c r="I24" i="3"/>
  <c r="AN27" i="7"/>
  <c r="B7" i="77"/>
  <c r="AU31" i="5"/>
  <c r="AZ30"/>
  <c r="BC30" s="1"/>
  <c r="V25" i="1"/>
  <c r="B24" i="65"/>
  <c r="Y24" i="7"/>
  <c r="AR24" s="1"/>
  <c r="Y36" i="5"/>
  <c r="X23" i="7"/>
  <c r="U36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B29" i="63" l="1"/>
  <c r="R30" i="2"/>
  <c r="S31" i="76"/>
  <c r="I26" i="3"/>
  <c r="O30" i="2"/>
  <c r="X24" i="7"/>
  <c r="AN28"/>
  <c r="AU32" i="5"/>
  <c r="AZ31"/>
  <c r="BC31" s="1"/>
  <c r="B25" i="65"/>
  <c r="V26" i="1"/>
  <c r="AO29" i="7"/>
  <c r="Y25"/>
  <c r="AR25" s="1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6" i="5" l="1"/>
  <c r="Z37" s="1"/>
  <c r="I27" i="3"/>
  <c r="D35" i="75"/>
  <c r="E35" s="1"/>
  <c r="AL36" i="1"/>
  <c r="AN29" i="7"/>
  <c r="AU33" i="5"/>
  <c r="AU34" s="1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AU35" i="5" l="1"/>
  <c r="AZ35" s="1"/>
  <c r="BC35" s="1"/>
  <c r="AZ34"/>
  <c r="I28" i="3"/>
  <c r="X26" i="7"/>
  <c r="AN30"/>
  <c r="AZ33" i="5"/>
  <c r="D37" i="73"/>
  <c r="B16" i="77" s="1"/>
  <c r="E8"/>
  <c r="G8" s="1"/>
  <c r="K35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5" i="76"/>
  <c r="AD26"/>
  <c r="I35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5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R33" l="1"/>
  <c r="B34" i="65"/>
  <c r="X33" i="7"/>
  <c r="AS34" l="1"/>
  <c r="AX34" s="1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6" l="1"/>
  <c r="AK36" s="1"/>
  <c r="F7" i="65"/>
  <c r="H4" i="63"/>
  <c r="AA28" i="76" l="1"/>
  <c r="AB28" s="1"/>
  <c r="AE28" s="1"/>
  <c r="AF28" s="1"/>
  <c r="AA27"/>
  <c r="AB27" s="1"/>
  <c r="AA26"/>
  <c r="AB26" l="1"/>
  <c r="AB30" s="1"/>
  <c r="AB33" s="1"/>
  <c r="AA29"/>
  <c r="D10" i="77" l="1"/>
  <c r="AB35" i="76"/>
  <c r="R43" i="74"/>
  <c r="S43"/>
  <c r="G43" l="1"/>
  <c r="J43"/>
  <c r="K43"/>
  <c r="N43"/>
  <c r="AA13" s="1"/>
  <c r="O43"/>
  <c r="AB13" s="1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BJ16" s="1"/>
  <c r="AY16" l="1"/>
  <c r="Q14" i="76"/>
  <c r="AS6" i="7" l="1"/>
  <c r="AS39" l="1"/>
  <c r="AD5" i="1" l="1"/>
  <c r="I5"/>
  <c r="V5" s="1"/>
  <c r="AA5"/>
  <c r="AH5" s="1"/>
  <c r="AD17" l="1"/>
  <c r="AA17"/>
  <c r="AH17" s="1"/>
  <c r="W5"/>
  <c r="B5" i="65"/>
  <c r="V36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BJ6" s="1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6" i="1" l="1"/>
  <c r="F35" i="75"/>
  <c r="G35" s="1"/>
  <c r="AY33" i="7"/>
  <c r="AH36" i="1"/>
  <c r="C34" i="65"/>
  <c r="E34" s="1"/>
  <c r="AI37" i="1" l="1"/>
  <c r="AY36" i="7" l="1"/>
  <c r="AX36"/>
  <c r="AX41" l="1"/>
  <c r="F5" i="75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3"/>
  <c r="O26" l="1"/>
  <c r="O27" s="1"/>
  <c r="O28" s="1"/>
  <c r="O29" s="1"/>
  <c r="O30" s="1"/>
  <c r="O31" s="1"/>
  <c r="O32" s="1"/>
  <c r="O33" s="1"/>
  <c r="O34" s="1"/>
  <c r="O25"/>
  <c r="G34" i="65" l="1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6" s="1"/>
  <c r="AI33"/>
  <c r="AI32"/>
  <c r="AU6" l="1"/>
  <c r="AZ6" l="1"/>
  <c r="AU7"/>
  <c r="AZ7" s="1"/>
  <c r="BC6" l="1"/>
  <c r="BC7"/>
  <c r="BC8"/>
  <c r="X3" i="3" l="1"/>
  <c r="Y3" l="1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X23" s="1"/>
  <c r="Y23" s="1"/>
  <c r="Y20"/>
  <c r="Y21" s="1"/>
  <c r="Y22" l="1"/>
  <c r="X24" l="1"/>
  <c r="X25" s="1"/>
  <c r="Y25" s="1"/>
  <c r="Y24" l="1"/>
  <c r="X26" l="1"/>
  <c r="X27" l="1"/>
  <c r="Y26"/>
  <c r="X28" l="1"/>
  <c r="Y27"/>
  <c r="X29" l="1"/>
  <c r="Y28"/>
  <c r="X30" l="1"/>
  <c r="X31" s="1"/>
  <c r="Y29"/>
  <c r="Y31" l="1"/>
  <c r="X32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AC6" i="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P23" i="3" l="1"/>
  <c r="P24" s="1"/>
  <c r="AD7" i="5"/>
  <c r="K3" i="3"/>
  <c r="Q3"/>
  <c r="AQ5" i="1"/>
  <c r="AO5"/>
  <c r="AS5"/>
  <c r="AT5" l="1"/>
  <c r="P25" i="3"/>
  <c r="P26" s="1"/>
  <c r="P27" s="1"/>
  <c r="P28" s="1"/>
  <c r="P29" s="1"/>
  <c r="P30" s="1"/>
  <c r="P31" s="1"/>
  <c r="P32" s="1"/>
  <c r="AD8" i="5"/>
  <c r="AS6" i="1"/>
  <c r="K4" i="3"/>
  <c r="Q4"/>
  <c r="AQ6" i="1"/>
  <c r="AO6"/>
  <c r="Z3" i="3"/>
  <c r="N3"/>
  <c r="AB3" s="1"/>
  <c r="K5" l="1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BK10" i="7" s="1"/>
  <c r="F7" i="63"/>
  <c r="AS11" i="1"/>
  <c r="AQ11"/>
  <c r="AT10"/>
  <c r="AQ12" l="1"/>
  <c r="AD14" i="5"/>
  <c r="AO12" i="1"/>
  <c r="AS12"/>
  <c r="AK8" i="3"/>
  <c r="F8" i="63"/>
  <c r="AE8" i="3"/>
  <c r="AF8" s="1"/>
  <c r="Q10"/>
  <c r="K10"/>
  <c r="N9"/>
  <c r="AB9" s="1"/>
  <c r="Z9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F9" i="63"/>
  <c r="AK9" i="3"/>
  <c r="AE9"/>
  <c r="AF9" s="1"/>
  <c r="AS13" i="1"/>
  <c r="AD15" i="5"/>
  <c r="AG9" i="3" l="1"/>
  <c r="BK12" i="7"/>
  <c r="AT13" i="1"/>
  <c r="AU13" s="1"/>
  <c r="I10" i="81" s="1"/>
  <c r="AS14" i="1"/>
  <c r="AE10" i="3"/>
  <c r="AF10" s="1"/>
  <c r="AK10"/>
  <c r="F10" i="63"/>
  <c r="K12" i="3"/>
  <c r="Q12"/>
  <c r="AQ14" i="1"/>
  <c r="N11" i="3"/>
  <c r="AB11" s="1"/>
  <c r="Z1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N12"/>
  <c r="AB12" s="1"/>
  <c r="AO15" i="1"/>
  <c r="F11" i="63"/>
  <c r="AK11" i="3"/>
  <c r="AE11"/>
  <c r="AF11" s="1"/>
  <c r="AG11" l="1"/>
  <c r="BK14" i="7"/>
  <c r="AT15" i="1"/>
  <c r="AU15" s="1"/>
  <c r="I12" i="81" s="1"/>
  <c r="AD18" i="5"/>
  <c r="AQ16" i="1"/>
  <c r="F12" i="63"/>
  <c r="AK12" i="3"/>
  <c r="AE12"/>
  <c r="AF12" s="1"/>
  <c r="K14"/>
  <c r="Q14"/>
  <c r="AS16" i="1"/>
  <c r="AO16"/>
  <c r="Z13" i="3"/>
  <c r="N13"/>
  <c r="AB13" s="1"/>
  <c r="AG12" l="1"/>
  <c r="BK15" i="7"/>
  <c r="AT16" i="1"/>
  <c r="AU16" s="1"/>
  <c r="I13" i="81" s="1"/>
  <c r="Z14" i="3"/>
  <c r="N14"/>
  <c r="AB14" s="1"/>
  <c r="AD19" i="5"/>
  <c r="AS17" i="1"/>
  <c r="AO17"/>
  <c r="F13" i="63"/>
  <c r="AE13" i="3"/>
  <c r="AF13" s="1"/>
  <c r="AK13"/>
  <c r="AQ17" i="1"/>
  <c r="K15" i="3"/>
  <c r="Q15"/>
  <c r="AG13" l="1"/>
  <c r="BK16" i="7"/>
  <c r="AS18" i="1"/>
  <c r="F14" i="63"/>
  <c r="AK14" i="3"/>
  <c r="AE14"/>
  <c r="AF14" s="1"/>
  <c r="AG14" s="1"/>
  <c r="K16"/>
  <c r="Q16"/>
  <c r="Z15"/>
  <c r="N15"/>
  <c r="AB15" s="1"/>
  <c r="AO18" i="1"/>
  <c r="AD20" i="5"/>
  <c r="AQ18" i="1"/>
  <c r="AT17"/>
  <c r="AU17" s="1"/>
  <c r="I14" i="81" s="1"/>
  <c r="AD21" i="5" l="1"/>
  <c r="F15" i="63"/>
  <c r="AK15" i="3"/>
  <c r="AE15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T19" i="1" l="1"/>
  <c r="AU19" s="1"/>
  <c r="I16" i="81" s="1"/>
  <c r="AO20" i="1"/>
  <c r="Z17" i="3"/>
  <c r="N17"/>
  <c r="AD22" i="5"/>
  <c r="AS20" i="1"/>
  <c r="AE16" i="3"/>
  <c r="AF16" s="1"/>
  <c r="AG16" s="1"/>
  <c r="AK16"/>
  <c r="F16" i="63"/>
  <c r="AQ20" i="1"/>
  <c r="K18" i="3"/>
  <c r="Q18"/>
  <c r="AD23" i="5" l="1"/>
  <c r="AO21" i="1"/>
  <c r="K19" i="3"/>
  <c r="Q19"/>
  <c r="Z18"/>
  <c r="N18"/>
  <c r="AB18" s="1"/>
  <c r="AS21" i="1"/>
  <c r="AE17" i="3"/>
  <c r="AF17" s="1"/>
  <c r="AG17" s="1"/>
  <c r="AK17"/>
  <c r="F17" i="63"/>
  <c r="AQ21" i="1"/>
  <c r="AT20"/>
  <c r="AU20" s="1"/>
  <c r="I17" i="81" s="1"/>
  <c r="K20" i="3" l="1"/>
  <c r="Q20"/>
  <c r="AD24" i="5"/>
  <c r="AS22" i="1"/>
  <c r="Z19" i="3"/>
  <c r="N19"/>
  <c r="AB19" s="1"/>
  <c r="AQ22" i="1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N20"/>
  <c r="AB20" s="1"/>
  <c r="AO23" i="1"/>
  <c r="AK19" i="3"/>
  <c r="F19" i="63"/>
  <c r="AE19" i="3"/>
  <c r="AF19" s="1"/>
  <c r="AG19" s="1"/>
  <c r="AD25" i="5"/>
  <c r="K23" i="3" l="1"/>
  <c r="Q23"/>
  <c r="AU23" i="1"/>
  <c r="I20" i="81" s="1"/>
  <c r="AT23" i="1"/>
  <c r="AD26" i="5"/>
  <c r="AO24" i="1"/>
  <c r="AS24"/>
  <c r="Z21" i="3"/>
  <c r="N21"/>
  <c r="AB21" s="1"/>
  <c r="F20" i="63"/>
  <c r="AK20" i="3"/>
  <c r="AE20"/>
  <c r="AF20" s="1"/>
  <c r="AG20" s="1"/>
  <c r="AQ24" i="1"/>
  <c r="K22" i="3"/>
  <c r="Q22"/>
  <c r="N23" l="1"/>
  <c r="AB23" s="1"/>
  <c r="Z23"/>
  <c r="AO25" i="1"/>
  <c r="AS25"/>
  <c r="AD27" i="5"/>
  <c r="Z22" i="3"/>
  <c r="N22"/>
  <c r="AB22" s="1"/>
  <c r="AE21"/>
  <c r="AF21" s="1"/>
  <c r="AG21" s="1"/>
  <c r="F21" i="63"/>
  <c r="AK21" i="3"/>
  <c r="AQ25" i="1"/>
  <c r="AT24"/>
  <c r="AU24" s="1"/>
  <c r="I21" i="81" s="1"/>
  <c r="Q25" i="3" l="1"/>
  <c r="K25"/>
  <c r="AE23"/>
  <c r="AF23" s="1"/>
  <c r="AG23" s="1"/>
  <c r="AK23"/>
  <c r="AT25" i="1"/>
  <c r="AU25" s="1"/>
  <c r="I22" i="81" s="1"/>
  <c r="AD28" i="5"/>
  <c r="K24" i="3"/>
  <c r="Q24"/>
  <c r="AO26" i="1"/>
  <c r="AE22" i="3"/>
  <c r="AF22" s="1"/>
  <c r="AG22" s="1"/>
  <c r="F22" i="63"/>
  <c r="AK22" i="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E25" i="3" l="1"/>
  <c r="AF25" s="1"/>
  <c r="AG25" s="1"/>
  <c r="AK25"/>
  <c r="AT27" i="1"/>
  <c r="AU27" s="1"/>
  <c r="I24" i="81" s="1"/>
  <c r="AO28" i="1"/>
  <c r="AD30" i="5"/>
  <c r="AQ28" i="1"/>
  <c r="F24" i="63"/>
  <c r="AE24" i="3"/>
  <c r="AF24" s="1"/>
  <c r="AG24" s="1"/>
  <c r="AK24"/>
  <c r="AS28" i="1"/>
  <c r="K26" i="3"/>
  <c r="Q26"/>
  <c r="AD31" i="5" l="1"/>
  <c r="AO29" i="1"/>
  <c r="K27" i="3"/>
  <c r="Q27"/>
  <c r="Z26"/>
  <c r="N26"/>
  <c r="AB26" s="1"/>
  <c r="AQ29" i="1"/>
  <c r="F25" i="63"/>
  <c r="AS29" i="1"/>
  <c r="AT28"/>
  <c r="AU28" s="1"/>
  <c r="I25" i="81" s="1"/>
  <c r="AD32" i="5" l="1"/>
  <c r="K28" i="3"/>
  <c r="Q28"/>
  <c r="AQ30" i="1"/>
  <c r="Z27" i="3"/>
  <c r="N27"/>
  <c r="AB27" s="1"/>
  <c r="AS30" i="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K27" i="3"/>
  <c r="AE27"/>
  <c r="AF27" s="1"/>
  <c r="AG27" s="1"/>
  <c r="F27" i="63"/>
  <c r="Z28" i="3"/>
  <c r="N28"/>
  <c r="AQ32" i="1" l="1"/>
  <c r="AD34" i="5"/>
  <c r="AO32" i="1"/>
  <c r="AE28" i="3"/>
  <c r="AF28" s="1"/>
  <c r="AG28" s="1"/>
  <c r="F28" i="63"/>
  <c r="AK28" i="3"/>
  <c r="K30"/>
  <c r="Q30"/>
  <c r="AS32" i="1"/>
  <c r="Z29" i="3"/>
  <c r="N29"/>
  <c r="AB29" s="1"/>
  <c r="AT31" i="1"/>
  <c r="AS33" l="1"/>
  <c r="AQ33"/>
  <c r="AK29" i="3"/>
  <c r="AE29"/>
  <c r="AF29" s="1"/>
  <c r="AG29" s="1"/>
  <c r="F29" i="63"/>
  <c r="Z30" i="3"/>
  <c r="N30"/>
  <c r="AB30" s="1"/>
  <c r="K34"/>
  <c r="U33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0"/>
  <c r="AE30"/>
  <c r="AF30" s="1"/>
  <c r="AG30" s="1"/>
  <c r="F30" i="63"/>
  <c r="Z33" i="3"/>
  <c r="B18" i="77" s="1"/>
  <c r="W33" i="76" s="1"/>
  <c r="AQ34" i="1"/>
  <c r="AU32"/>
  <c r="I29" i="81" s="1"/>
  <c r="AT33" i="1"/>
  <c r="AT34" l="1"/>
  <c r="AU34" s="1"/>
  <c r="I31" i="81" s="1"/>
  <c r="AE31" i="3"/>
  <c r="AF31" s="1"/>
  <c r="AG31" s="1"/>
  <c r="AK31"/>
  <c r="E18" i="77"/>
  <c r="B19"/>
  <c r="F18"/>
  <c r="Z32" i="3"/>
  <c r="N32"/>
  <c r="AB32" s="1"/>
  <c r="AU33" i="1"/>
  <c r="I30" i="81" s="1"/>
  <c r="AK32" i="3" l="1"/>
  <c r="AE32"/>
  <c r="AF32" s="1"/>
  <c r="AG32" s="1"/>
  <c r="AU5" i="1" l="1"/>
  <c r="AU36" l="1"/>
  <c r="AU38" s="1"/>
  <c r="I2" i="81"/>
  <c r="F2" i="63" l="1"/>
  <c r="AB2" i="3" l="1"/>
  <c r="AE11" i="76" l="1"/>
  <c r="AF11" s="1"/>
  <c r="AA12"/>
  <c r="AV6" i="7" l="1"/>
  <c r="H2" i="81" l="1"/>
  <c r="AV7" i="7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H3" i="81" l="1"/>
  <c r="AV8" i="7"/>
  <c r="L3" i="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H4" i="81" l="1"/>
  <c r="AV9" i="7"/>
  <c r="M3" i="3"/>
  <c r="AA3" s="1"/>
  <c r="AC3" s="1"/>
  <c r="AH3" s="1"/>
  <c r="B6" i="5"/>
  <c r="O6"/>
  <c r="M6"/>
  <c r="H5" i="81" l="1"/>
  <c r="AV10" i="7"/>
  <c r="O7" i="5"/>
  <c r="P6"/>
  <c r="Q6" s="1"/>
  <c r="M2" i="81" s="1"/>
  <c r="M7" i="5"/>
  <c r="N6"/>
  <c r="M4" i="3"/>
  <c r="AA4" s="1"/>
  <c r="AC4" s="1"/>
  <c r="AH4" s="1"/>
  <c r="B7" i="5"/>
  <c r="C6"/>
  <c r="G2" i="63"/>
  <c r="H6" i="81" l="1"/>
  <c r="AV11" i="7"/>
  <c r="M5" i="3"/>
  <c r="AA5" s="1"/>
  <c r="AC5" s="1"/>
  <c r="AH5" s="1"/>
  <c r="O8" i="5"/>
  <c r="P7"/>
  <c r="B8"/>
  <c r="C7"/>
  <c r="M8"/>
  <c r="N7"/>
  <c r="D6"/>
  <c r="E6"/>
  <c r="I6"/>
  <c r="G3" i="63"/>
  <c r="AV12" i="7" l="1"/>
  <c r="H7" i="81"/>
  <c r="M6" i="3"/>
  <c r="I7" i="5"/>
  <c r="E7"/>
  <c r="G4" i="63"/>
  <c r="D7" i="5"/>
  <c r="O9"/>
  <c r="P8"/>
  <c r="B9"/>
  <c r="C8"/>
  <c r="K2" i="81"/>
  <c r="J6" i="5"/>
  <c r="L2" i="81" s="1"/>
  <c r="M9" i="5"/>
  <c r="N8"/>
  <c r="Q7"/>
  <c r="AV13" i="7" l="1"/>
  <c r="H8" i="81"/>
  <c r="O10" i="5"/>
  <c r="P9"/>
  <c r="J7"/>
  <c r="L3" i="81" s="1"/>
  <c r="K3"/>
  <c r="M3"/>
  <c r="B10" i="5"/>
  <c r="C9"/>
  <c r="M10"/>
  <c r="N9"/>
  <c r="D8"/>
  <c r="E8"/>
  <c r="I8"/>
  <c r="G5" i="63"/>
  <c r="M7" i="3"/>
  <c r="Q8" i="5"/>
  <c r="M4" i="81" s="1"/>
  <c r="H9" l="1"/>
  <c r="AV14" i="7"/>
  <c r="Q9" i="5"/>
  <c r="M5" i="81" s="1"/>
  <c r="M8" i="3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AV15" i="7" l="1"/>
  <c r="H10" i="81"/>
  <c r="M12" i="5"/>
  <c r="N11"/>
  <c r="E10"/>
  <c r="I10"/>
  <c r="D10"/>
  <c r="G7" i="63"/>
  <c r="B12" i="5"/>
  <c r="C11"/>
  <c r="J9"/>
  <c r="L5" i="81" s="1"/>
  <c r="K5"/>
  <c r="M9" i="3"/>
  <c r="AA9" s="1"/>
  <c r="AC9" s="1"/>
  <c r="AH9" s="1"/>
  <c r="O12" i="5"/>
  <c r="P11"/>
  <c r="AV16" i="7" l="1"/>
  <c r="H11" i="81"/>
  <c r="M10" i="3"/>
  <c r="AA10" s="1"/>
  <c r="AC10" s="1"/>
  <c r="AH10" s="1"/>
  <c r="M13" i="5"/>
  <c r="N12"/>
  <c r="O13"/>
  <c r="P12"/>
  <c r="B13"/>
  <c r="C12"/>
  <c r="G8" i="63"/>
  <c r="I11" i="5"/>
  <c r="D11"/>
  <c r="E11"/>
  <c r="J10"/>
  <c r="L6" i="81" s="1"/>
  <c r="K6"/>
  <c r="Q11" i="5"/>
  <c r="H12" i="81" l="1"/>
  <c r="AV17" i="7"/>
  <c r="Q12" i="5"/>
  <c r="M8" i="81" s="1"/>
  <c r="O14" i="5"/>
  <c r="P13"/>
  <c r="J11"/>
  <c r="L7" i="81" s="1"/>
  <c r="K7"/>
  <c r="M11" i="3"/>
  <c r="AA11" s="1"/>
  <c r="AC11" s="1"/>
  <c r="AH11" s="1"/>
  <c r="B14" i="5"/>
  <c r="C13"/>
  <c r="M14"/>
  <c r="N13"/>
  <c r="M7" i="81"/>
  <c r="D12" i="5"/>
  <c r="E12"/>
  <c r="I12"/>
  <c r="G9" i="63"/>
  <c r="AV18" i="7" l="1"/>
  <c r="H13" i="81"/>
  <c r="Q13" i="5"/>
  <c r="M9" i="81" s="1"/>
  <c r="O15" i="5"/>
  <c r="P14"/>
  <c r="E13"/>
  <c r="G10" i="63"/>
  <c r="I13" i="5"/>
  <c r="D13"/>
  <c r="M15"/>
  <c r="N14"/>
  <c r="M12" i="3"/>
  <c r="AA12" s="1"/>
  <c r="AC12" s="1"/>
  <c r="AH12" s="1"/>
  <c r="J12" i="5"/>
  <c r="L8" i="81" s="1"/>
  <c r="K8"/>
  <c r="B15" i="5"/>
  <c r="C14"/>
  <c r="H14" i="81" l="1"/>
  <c r="AV19" i="7"/>
  <c r="Q14" i="5"/>
  <c r="M10" i="81" s="1"/>
  <c r="K9"/>
  <c r="J13" i="5"/>
  <c r="L9" i="81" s="1"/>
  <c r="O16" i="5"/>
  <c r="P15"/>
  <c r="B16"/>
  <c r="C15"/>
  <c r="M13" i="3"/>
  <c r="AA13" s="1"/>
  <c r="AC13" s="1"/>
  <c r="AH13" s="1"/>
  <c r="D14" i="5"/>
  <c r="I14"/>
  <c r="E14"/>
  <c r="G11" i="63"/>
  <c r="M16" i="5"/>
  <c r="N15"/>
  <c r="Q15" l="1"/>
  <c r="M11" i="81" s="1"/>
  <c r="AV20" i="7"/>
  <c r="H15" i="81"/>
  <c r="M17" i="5"/>
  <c r="N16"/>
  <c r="B17"/>
  <c r="C16"/>
  <c r="J14"/>
  <c r="L10" i="81" s="1"/>
  <c r="K10"/>
  <c r="G12" i="63"/>
  <c r="E15" i="5"/>
  <c r="I15"/>
  <c r="D15"/>
  <c r="M14" i="3"/>
  <c r="AA14" s="1"/>
  <c r="AC14" s="1"/>
  <c r="AH14" s="1"/>
  <c r="O17" i="5"/>
  <c r="P16"/>
  <c r="H16" i="81" l="1"/>
  <c r="AV21" i="7"/>
  <c r="M18" i="5"/>
  <c r="N17"/>
  <c r="O18"/>
  <c r="P17"/>
  <c r="J15"/>
  <c r="L11" i="81" s="1"/>
  <c r="K11"/>
  <c r="B18" i="5"/>
  <c r="C17"/>
  <c r="M15" i="3"/>
  <c r="AA15" s="1"/>
  <c r="AC15" s="1"/>
  <c r="AH15" s="1"/>
  <c r="I16" i="5"/>
  <c r="E16"/>
  <c r="G13" i="63"/>
  <c r="D16" i="5"/>
  <c r="Q16"/>
  <c r="M12" i="81" s="1"/>
  <c r="AV22" i="7" l="1"/>
  <c r="H17" i="81"/>
  <c r="M16" i="3"/>
  <c r="AA16" s="1"/>
  <c r="AC16" s="1"/>
  <c r="AH16" s="1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AV23" i="7" l="1"/>
  <c r="H18" i="81"/>
  <c r="M20" i="5"/>
  <c r="N19"/>
  <c r="M17" i="3"/>
  <c r="O20" i="5"/>
  <c r="P19"/>
  <c r="K13" i="81"/>
  <c r="J17" i="5"/>
  <c r="L13" i="81" s="1"/>
  <c r="B20" i="5"/>
  <c r="C19"/>
  <c r="G15" i="63"/>
  <c r="I18" i="5"/>
  <c r="D18"/>
  <c r="E18"/>
  <c r="Q18"/>
  <c r="M14" i="81" s="1"/>
  <c r="AV24" i="7" l="1"/>
  <c r="H19" i="81"/>
  <c r="Q19" i="5"/>
  <c r="M15" i="81" s="1"/>
  <c r="B21" i="5"/>
  <c r="C20"/>
  <c r="I19"/>
  <c r="G16" i="63"/>
  <c r="E19" i="5"/>
  <c r="D19"/>
  <c r="M18" i="3"/>
  <c r="AA18" s="1"/>
  <c r="AC18" s="1"/>
  <c r="AH18" s="1"/>
  <c r="J18" i="5"/>
  <c r="L14" i="81" s="1"/>
  <c r="K14"/>
  <c r="O21" i="5"/>
  <c r="P20"/>
  <c r="M21"/>
  <c r="N20"/>
  <c r="AV25" i="7" l="1"/>
  <c r="H20" i="81"/>
  <c r="M22" i="5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B22" i="5"/>
  <c r="C21"/>
  <c r="Q20"/>
  <c r="M16" i="81" s="1"/>
  <c r="AV26" i="7" l="1"/>
  <c r="H21" i="81"/>
  <c r="O23" i="5"/>
  <c r="P22"/>
  <c r="G18" i="63"/>
  <c r="I21" i="5"/>
  <c r="E21"/>
  <c r="D21"/>
  <c r="M20" i="3"/>
  <c r="AA20" s="1"/>
  <c r="AC20" s="1"/>
  <c r="AH20" s="1"/>
  <c r="M23" i="5"/>
  <c r="N22"/>
  <c r="B23"/>
  <c r="C22"/>
  <c r="K16" i="81"/>
  <c r="J20" i="5"/>
  <c r="L16" i="81" s="1"/>
  <c r="Q21" i="5"/>
  <c r="M17" i="81" s="1"/>
  <c r="AV27" i="7" l="1"/>
  <c r="H22" i="81"/>
  <c r="M24" i="5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H23" l="1"/>
  <c r="AV28" i="7"/>
  <c r="M22" i="3"/>
  <c r="AA22" s="1"/>
  <c r="AC22" s="1"/>
  <c r="AH22" s="1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H24" l="1"/>
  <c r="AV29" i="7"/>
  <c r="Q24" i="5"/>
  <c r="M20" i="81" s="1"/>
  <c r="M25" i="3"/>
  <c r="AA25" s="1"/>
  <c r="AC25" s="1"/>
  <c r="AH25" s="1"/>
  <c r="K19" i="81"/>
  <c r="J23" i="5"/>
  <c r="L19" i="81" s="1"/>
  <c r="B26" i="5"/>
  <c r="C25"/>
  <c r="M26"/>
  <c r="N25"/>
  <c r="D24"/>
  <c r="E24"/>
  <c r="G21" i="63"/>
  <c r="I24" i="5"/>
  <c r="O26"/>
  <c r="P25"/>
  <c r="H25" i="81" l="1"/>
  <c r="AV30" i="7"/>
  <c r="Q25" i="5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V31" i="7" l="1"/>
  <c r="H26" i="81"/>
  <c r="M28" i="5"/>
  <c r="N27"/>
  <c r="O28"/>
  <c r="P27"/>
  <c r="J25"/>
  <c r="L21" i="81" s="1"/>
  <c r="K21"/>
  <c r="B28" i="5"/>
  <c r="C27"/>
  <c r="E26"/>
  <c r="G23" i="63"/>
  <c r="I26" i="5"/>
  <c r="D26"/>
  <c r="Q26"/>
  <c r="M22" i="81" s="1"/>
  <c r="H27" l="1"/>
  <c r="AV32" i="7"/>
  <c r="Q27" i="5"/>
  <c r="M23" i="81" s="1"/>
  <c r="G24" i="63"/>
  <c r="E27" i="5"/>
  <c r="I27"/>
  <c r="D27"/>
  <c r="O29"/>
  <c r="P28"/>
  <c r="M26" i="3"/>
  <c r="AA26" s="1"/>
  <c r="AC26" s="1"/>
  <c r="AH26" s="1"/>
  <c r="M29" i="5"/>
  <c r="N28"/>
  <c r="K22" i="81"/>
  <c r="J26" i="5"/>
  <c r="L22" i="81" s="1"/>
  <c r="B29" i="5"/>
  <c r="C28"/>
  <c r="H28" i="81" l="1"/>
  <c r="AV33" i="7"/>
  <c r="D28" i="5"/>
  <c r="E28"/>
  <c r="I28"/>
  <c r="G25" i="63"/>
  <c r="J27" i="5"/>
  <c r="L23" i="81" s="1"/>
  <c r="K23"/>
  <c r="M27" i="3"/>
  <c r="AA27" s="1"/>
  <c r="AC27" s="1"/>
  <c r="AH27" s="1"/>
  <c r="M30" i="5"/>
  <c r="N29"/>
  <c r="O30"/>
  <c r="P29"/>
  <c r="B30"/>
  <c r="C29"/>
  <c r="Q28"/>
  <c r="M24" i="81" s="1"/>
  <c r="AV34" i="7" l="1"/>
  <c r="H29" i="81"/>
  <c r="D29" i="5"/>
  <c r="G26" i="63"/>
  <c r="I29" i="5"/>
  <c r="E29"/>
  <c r="J28"/>
  <c r="L24" i="81" s="1"/>
  <c r="K24"/>
  <c r="O31" i="5"/>
  <c r="P30"/>
  <c r="M28" i="3"/>
  <c r="B31" i="5"/>
  <c r="C30"/>
  <c r="M31"/>
  <c r="N30"/>
  <c r="Q29"/>
  <c r="M25" i="81" s="1"/>
  <c r="H30" l="1"/>
  <c r="AV35" i="7"/>
  <c r="H31" i="81" s="1"/>
  <c r="M29" i="3"/>
  <c r="AA29" s="1"/>
  <c r="AC29" s="1"/>
  <c r="AH29" s="1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M30" i="3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M31" i="3"/>
  <c r="AA31" s="1"/>
  <c r="AC31" s="1"/>
  <c r="AH31" s="1"/>
  <c r="M34" i="5"/>
  <c r="N33"/>
  <c r="Q32"/>
  <c r="M28" i="81" s="1"/>
  <c r="M32" i="3" l="1"/>
  <c r="AA32" s="1"/>
  <c r="AC32" s="1"/>
  <c r="AH32" s="1"/>
  <c r="B35" i="5"/>
  <c r="C34"/>
  <c r="C36"/>
  <c r="I33"/>
  <c r="E33"/>
  <c r="E37" s="1"/>
  <c r="G30" i="63"/>
  <c r="I30" s="1"/>
  <c r="D33" i="5"/>
  <c r="M35"/>
  <c r="N34"/>
  <c r="O35"/>
  <c r="P34"/>
  <c r="K28" i="81"/>
  <c r="J32" i="5"/>
  <c r="L28" i="81" s="1"/>
  <c r="Q33" i="5"/>
  <c r="C35" l="1"/>
  <c r="P35"/>
  <c r="E34"/>
  <c r="D34"/>
  <c r="I34"/>
  <c r="M29" i="81"/>
  <c r="Q36" i="5"/>
  <c r="D36"/>
  <c r="D38"/>
  <c r="C37"/>
  <c r="B6" i="77"/>
  <c r="N35" i="5"/>
  <c r="I36"/>
  <c r="J33"/>
  <c r="L29" i="81" s="1"/>
  <c r="K29"/>
  <c r="Q34" i="5"/>
  <c r="M30" i="81" s="1"/>
  <c r="O37" i="5" l="1"/>
  <c r="G6" i="77"/>
  <c r="D6"/>
  <c r="E6" s="1"/>
  <c r="F6" s="1"/>
  <c r="E35" i="5"/>
  <c r="I35"/>
  <c r="D35"/>
  <c r="K30" i="81"/>
  <c r="J34" i="5"/>
  <c r="L30" i="81" s="1"/>
  <c r="I37" i="5"/>
  <c r="G38"/>
  <c r="AJ38"/>
  <c r="AM38" s="1"/>
  <c r="H38"/>
  <c r="Q35"/>
  <c r="M31" i="81" s="1"/>
  <c r="K38" i="5" l="1"/>
  <c r="K31" i="81"/>
  <c r="J35" i="5"/>
  <c r="L31" i="81" s="1"/>
  <c r="AC28" i="76" l="1"/>
  <c r="AC27"/>
  <c r="AB16" l="1"/>
  <c r="AC26"/>
  <c r="P16" l="1"/>
  <c r="R16" s="1"/>
  <c r="T16" s="1"/>
  <c r="F14" i="81" s="1"/>
  <c r="P6" i="76"/>
  <c r="R6" s="1"/>
  <c r="T6" s="1"/>
  <c r="F4" i="81" s="1"/>
  <c r="P25" i="76"/>
  <c r="R25" s="1"/>
  <c r="T25" s="1"/>
  <c r="F23" i="81" s="1"/>
  <c r="P22" i="76"/>
  <c r="R22" s="1"/>
  <c r="T22" s="1"/>
  <c r="F20" i="81" s="1"/>
  <c r="P17" i="76"/>
  <c r="R17" s="1"/>
  <c r="T17" s="1"/>
  <c r="F15" i="81" s="1"/>
  <c r="P13" i="76"/>
  <c r="R13" s="1"/>
  <c r="T13" s="1"/>
  <c r="F11" i="81" s="1"/>
  <c r="P15" i="76"/>
  <c r="R15" s="1"/>
  <c r="T15" s="1"/>
  <c r="F13" i="81" s="1"/>
  <c r="P33" i="76"/>
  <c r="R33" s="1"/>
  <c r="T33" s="1"/>
  <c r="F31" i="81" s="1"/>
  <c r="P12" i="76"/>
  <c r="R12" s="1"/>
  <c r="T12" s="1"/>
  <c r="F10" i="81" s="1"/>
  <c r="P29" i="76"/>
  <c r="R29" s="1"/>
  <c r="T29" s="1"/>
  <c r="F27" i="81" s="1"/>
  <c r="P9" i="76"/>
  <c r="R9" s="1"/>
  <c r="T9" s="1"/>
  <c r="F7" i="81" s="1"/>
  <c r="P14" i="76"/>
  <c r="R14" s="1"/>
  <c r="T14" s="1"/>
  <c r="F12" i="81" s="1"/>
  <c r="P5" i="76"/>
  <c r="R5" s="1"/>
  <c r="T5" s="1"/>
  <c r="F3" i="81" s="1"/>
  <c r="P7" i="76"/>
  <c r="R7" s="1"/>
  <c r="T7" s="1"/>
  <c r="F5" i="81" s="1"/>
  <c r="P23" i="76"/>
  <c r="R23" s="1"/>
  <c r="T23" s="1"/>
  <c r="F21" i="81" s="1"/>
  <c r="P32" i="76"/>
  <c r="R32" s="1"/>
  <c r="T32" s="1"/>
  <c r="F30" i="81" s="1"/>
  <c r="P4" i="76"/>
  <c r="R4" s="1"/>
  <c r="T4" s="1"/>
  <c r="F2" i="81" s="1"/>
  <c r="P8" i="76"/>
  <c r="R8" s="1"/>
  <c r="T8" s="1"/>
  <c r="F6" i="81" s="1"/>
  <c r="P10" i="76"/>
  <c r="R10" s="1"/>
  <c r="T10" s="1"/>
  <c r="F8" i="81" s="1"/>
  <c r="P11" i="76"/>
  <c r="R11" s="1"/>
  <c r="T11" s="1"/>
  <c r="F9" i="81" s="1"/>
  <c r="P26" i="76"/>
  <c r="R26" s="1"/>
  <c r="T26" s="1"/>
  <c r="F24" i="81" s="1"/>
  <c r="P27" i="76"/>
  <c r="R27" s="1"/>
  <c r="T27" s="1"/>
  <c r="F25" i="81" s="1"/>
  <c r="P31" i="76"/>
  <c r="R31" s="1"/>
  <c r="T31" s="1"/>
  <c r="P28"/>
  <c r="R28" s="1"/>
  <c r="T28" s="1"/>
  <c r="F26" i="81" s="1"/>
  <c r="P21" i="76"/>
  <c r="R21" s="1"/>
  <c r="T21" s="1"/>
  <c r="F19" i="81" s="1"/>
  <c r="P19" i="76"/>
  <c r="R19" s="1"/>
  <c r="T19" s="1"/>
  <c r="F17" i="81" s="1"/>
  <c r="P18" i="76"/>
  <c r="R18" s="1"/>
  <c r="T18" s="1"/>
  <c r="F16" i="81" s="1"/>
  <c r="P24" i="76"/>
  <c r="R24" s="1"/>
  <c r="T24" s="1"/>
  <c r="F22" i="81" s="1"/>
  <c r="P30" i="76"/>
  <c r="R30" s="1"/>
  <c r="T30" s="1"/>
  <c r="F28" i="81" s="1"/>
  <c r="P20" i="76"/>
  <c r="R20" s="1"/>
  <c r="T20" s="1"/>
  <c r="F18" i="81" s="1"/>
  <c r="AB37" i="76" l="1"/>
  <c r="E10" i="77"/>
  <c r="G10" s="1"/>
  <c r="F29" i="81"/>
  <c r="F10" i="77" l="1"/>
  <c r="F12" s="1"/>
  <c r="G12"/>
  <c r="E12"/>
  <c r="H14" l="1"/>
  <c r="I14"/>
  <c r="AS6" i="5" l="1"/>
  <c r="AX5" i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Y35" i="5" l="1"/>
  <c r="BB35" s="1"/>
  <c r="BE35" s="1"/>
  <c r="BF35" s="1"/>
  <c r="BG35" s="1"/>
  <c r="J31" i="81"/>
  <c r="AB6" i="3" l="1"/>
  <c r="AA6" l="1"/>
  <c r="AC6" s="1"/>
  <c r="AH6" s="1"/>
  <c r="AB7" l="1"/>
  <c r="AA7"/>
  <c r="AC7" s="1"/>
  <c r="AH7" s="1"/>
  <c r="AB8" l="1"/>
  <c r="U8"/>
  <c r="AA8" s="1"/>
  <c r="AC8" s="1"/>
  <c r="AH8" s="1"/>
  <c r="AB17" l="1"/>
  <c r="U17"/>
  <c r="AA17" s="1"/>
  <c r="AC17" s="1"/>
  <c r="AH17" s="1"/>
  <c r="AB24"/>
  <c r="U24"/>
  <c r="AA24" s="1"/>
  <c r="AC24" s="1"/>
  <c r="AH24" s="1"/>
  <c r="AA28" l="1"/>
  <c r="AC28" s="1"/>
  <c r="AH28" s="1"/>
  <c r="AB28"/>
  <c r="U28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<sst xmlns="http://schemas.openxmlformats.org/spreadsheetml/2006/main" count="648" uniqueCount="417">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</sst>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1477120"/>
        <c:axId val="91478656"/>
      </c:lineChart>
      <c:catAx>
        <c:axId val="9147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78656"/>
        <c:crosses val="autoZero"/>
        <c:auto val="1"/>
        <c:lblAlgn val="ctr"/>
        <c:lblOffset val="100"/>
      </c:catAx>
      <c:valAx>
        <c:axId val="9147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7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2093056"/>
        <c:axId val="92098944"/>
      </c:lineChart>
      <c:catAx>
        <c:axId val="9209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8944"/>
        <c:crosses val="autoZero"/>
        <c:auto val="1"/>
        <c:lblAlgn val="ctr"/>
        <c:lblOffset val="100"/>
      </c:catAx>
      <c:valAx>
        <c:axId val="92098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9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301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2110848"/>
        <c:axId val="92112384"/>
      </c:lineChart>
      <c:catAx>
        <c:axId val="9211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2384"/>
        <c:crosses val="autoZero"/>
        <c:auto val="1"/>
        <c:lblAlgn val="ctr"/>
        <c:lblOffset val="100"/>
      </c:catAx>
      <c:valAx>
        <c:axId val="921123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1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0289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2537984"/>
        <c:axId val="92539520"/>
      </c:lineChart>
      <c:catAx>
        <c:axId val="9253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39520"/>
        <c:crosses val="autoZero"/>
        <c:auto val="1"/>
        <c:lblAlgn val="ctr"/>
        <c:lblOffset val="100"/>
      </c:catAx>
      <c:valAx>
        <c:axId val="925395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3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922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2555520"/>
        <c:axId val="92577792"/>
      </c:lineChart>
      <c:catAx>
        <c:axId val="92555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77792"/>
        <c:crosses val="autoZero"/>
        <c:auto val="1"/>
        <c:lblAlgn val="ctr"/>
        <c:lblOffset val="100"/>
      </c:catAx>
      <c:valAx>
        <c:axId val="925777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5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422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-21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041024"/>
        <c:axId val="93042560"/>
      </c:lineChart>
      <c:catAx>
        <c:axId val="9304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2560"/>
        <c:crosses val="autoZero"/>
        <c:auto val="1"/>
        <c:lblAlgn val="ctr"/>
        <c:lblOffset val="100"/>
      </c:catAx>
      <c:valAx>
        <c:axId val="9304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2886528"/>
        <c:axId val="92888064"/>
      </c:lineChart>
      <c:catAx>
        <c:axId val="9288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88064"/>
        <c:crosses val="autoZero"/>
        <c:auto val="1"/>
        <c:lblAlgn val="ctr"/>
        <c:lblOffset val="100"/>
      </c:catAx>
      <c:valAx>
        <c:axId val="9288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88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2907776"/>
        <c:axId val="92917760"/>
      </c:lineChart>
      <c:catAx>
        <c:axId val="9290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17760"/>
        <c:crosses val="autoZero"/>
        <c:auto val="1"/>
        <c:lblAlgn val="ctr"/>
        <c:lblOffset val="100"/>
      </c:catAx>
      <c:valAx>
        <c:axId val="92917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064576"/>
        <c:axId val="93086848"/>
      </c:lineChart>
      <c:catAx>
        <c:axId val="9306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6848"/>
        <c:crosses val="autoZero"/>
        <c:auto val="1"/>
        <c:lblAlgn val="ctr"/>
        <c:lblOffset val="100"/>
      </c:catAx>
      <c:valAx>
        <c:axId val="93086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6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738"/>
          <c:w val="0.1272403315177413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111040"/>
        <c:axId val="93112576"/>
      </c:lineChart>
      <c:catAx>
        <c:axId val="9311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2576"/>
        <c:crosses val="autoZero"/>
        <c:auto val="1"/>
        <c:lblAlgn val="ctr"/>
        <c:lblOffset val="100"/>
      </c:catAx>
      <c:valAx>
        <c:axId val="9311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1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385</c:v>
                </c:pt>
                <c:pt idx="1">
                  <c:v>359</c:v>
                </c:pt>
                <c:pt idx="2">
                  <c:v>298</c:v>
                </c:pt>
                <c:pt idx="3">
                  <c:v>287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3161344"/>
        <c:axId val="93162880"/>
      </c:lineChart>
      <c:catAx>
        <c:axId val="9316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62880"/>
        <c:crosses val="autoZero"/>
        <c:auto val="1"/>
        <c:lblAlgn val="ctr"/>
        <c:lblOffset val="100"/>
      </c:catAx>
      <c:valAx>
        <c:axId val="93162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6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738"/>
          <c:w val="0.135416885389357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170688"/>
        <c:axId val="93266688"/>
      </c:lineChart>
      <c:catAx>
        <c:axId val="9317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66688"/>
        <c:crosses val="autoZero"/>
        <c:auto val="1"/>
        <c:lblAlgn val="ctr"/>
        <c:lblOffset val="100"/>
      </c:catAx>
      <c:valAx>
        <c:axId val="93266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7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73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10928</c:v>
                </c:pt>
                <c:pt idx="1">
                  <c:v>10627</c:v>
                </c:pt>
                <c:pt idx="2">
                  <c:v>8566</c:v>
                </c:pt>
                <c:pt idx="3">
                  <c:v>9686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93299456"/>
        <c:axId val="93300992"/>
      </c:lineChart>
      <c:catAx>
        <c:axId val="9329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0992"/>
        <c:crosses val="autoZero"/>
        <c:auto val="1"/>
        <c:lblAlgn val="ctr"/>
        <c:lblOffset val="100"/>
      </c:catAx>
      <c:valAx>
        <c:axId val="93300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9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3398912"/>
        <c:axId val="93400448"/>
      </c:lineChart>
      <c:catAx>
        <c:axId val="9339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00448"/>
        <c:crosses val="autoZero"/>
        <c:auto val="1"/>
        <c:lblAlgn val="ctr"/>
        <c:lblOffset val="100"/>
      </c:catAx>
      <c:valAx>
        <c:axId val="93400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9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738"/>
          <c:w val="0.135416885389357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424640"/>
        <c:axId val="93434624"/>
      </c:lineChart>
      <c:catAx>
        <c:axId val="93424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34624"/>
        <c:crosses val="autoZero"/>
        <c:auto val="1"/>
        <c:lblAlgn val="ctr"/>
        <c:lblOffset val="100"/>
      </c:catAx>
      <c:valAx>
        <c:axId val="93434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24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-1851.516129032243</c:v>
                </c:pt>
                <c:pt idx="1">
                  <c:v>-3373.4516129032418</c:v>
                </c:pt>
                <c:pt idx="2">
                  <c:v>-3373.4516129032272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462912"/>
        <c:axId val="93464448"/>
      </c:lineChart>
      <c:catAx>
        <c:axId val="9346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4448"/>
        <c:crosses val="autoZero"/>
        <c:auto val="1"/>
        <c:lblAlgn val="ctr"/>
        <c:lblOffset val="100"/>
      </c:catAx>
      <c:valAx>
        <c:axId val="934644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85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-21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484928"/>
        <c:axId val="93486464"/>
      </c:lineChart>
      <c:catAx>
        <c:axId val="9348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86464"/>
        <c:crosses val="autoZero"/>
        <c:auto val="1"/>
        <c:lblAlgn val="ctr"/>
        <c:lblOffset val="100"/>
      </c:catAx>
      <c:valAx>
        <c:axId val="9348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8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7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522944"/>
        <c:axId val="93541120"/>
      </c:lineChart>
      <c:catAx>
        <c:axId val="9352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41120"/>
        <c:crosses val="autoZero"/>
        <c:auto val="1"/>
        <c:lblAlgn val="ctr"/>
        <c:lblOffset val="100"/>
      </c:catAx>
      <c:valAx>
        <c:axId val="9354112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2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76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577600"/>
        <c:axId val="93579136"/>
      </c:lineChart>
      <c:catAx>
        <c:axId val="9357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9136"/>
        <c:crosses val="autoZero"/>
        <c:auto val="1"/>
        <c:lblAlgn val="ctr"/>
        <c:lblOffset val="100"/>
      </c:catAx>
      <c:valAx>
        <c:axId val="93579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706880"/>
        <c:axId val="91708416"/>
      </c:lineChart>
      <c:catAx>
        <c:axId val="9170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08416"/>
        <c:crosses val="autoZero"/>
        <c:auto val="1"/>
        <c:lblAlgn val="ctr"/>
        <c:lblOffset val="100"/>
      </c:catAx>
      <c:valAx>
        <c:axId val="9170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0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960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1744896"/>
        <c:axId val="93585792"/>
      </c:lineChart>
      <c:catAx>
        <c:axId val="9174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85792"/>
        <c:crosses val="autoZero"/>
        <c:auto val="1"/>
        <c:lblAlgn val="ctr"/>
        <c:lblOffset val="100"/>
      </c:catAx>
      <c:valAx>
        <c:axId val="9358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4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73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618176"/>
        <c:axId val="93619712"/>
      </c:lineChart>
      <c:catAx>
        <c:axId val="9361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19712"/>
        <c:crosses val="autoZero"/>
        <c:auto val="1"/>
        <c:lblAlgn val="ctr"/>
        <c:lblOffset val="100"/>
      </c:catAx>
      <c:valAx>
        <c:axId val="93619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1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9229"/>
          <c:w val="0.1234311819809323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-467.4000000000002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3652864"/>
        <c:axId val="93654400"/>
      </c:lineChart>
      <c:catAx>
        <c:axId val="936528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54400"/>
        <c:crosses val="autoZero"/>
        <c:auto val="1"/>
        <c:lblAlgn val="ctr"/>
        <c:lblOffset val="100"/>
      </c:catAx>
      <c:valAx>
        <c:axId val="936544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5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609"/>
          <c:w val="0.1569039853282224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152.125</c:v>
                </c:pt>
                <c:pt idx="1">
                  <c:v>182</c:v>
                </c:pt>
                <c:pt idx="2">
                  <c:v>154.25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674112"/>
        <c:axId val="93700480"/>
      </c:lineChart>
      <c:catAx>
        <c:axId val="93674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00480"/>
        <c:crosses val="autoZero"/>
        <c:auto val="1"/>
        <c:lblAlgn val="ctr"/>
        <c:lblOffset val="100"/>
      </c:catAx>
      <c:valAx>
        <c:axId val="93700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74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30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14.5</c:v>
                </c:pt>
                <c:pt idx="1">
                  <c:v>13.5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3868416"/>
        <c:axId val="93869952"/>
      </c:lineChart>
      <c:catAx>
        <c:axId val="9386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69952"/>
        <c:crosses val="autoZero"/>
        <c:auto val="1"/>
        <c:lblAlgn val="ctr"/>
        <c:lblOffset val="100"/>
      </c:catAx>
      <c:valAx>
        <c:axId val="9386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6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231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20</c:v>
                </c:pt>
                <c:pt idx="1">
                  <c:v>14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94578176"/>
        <c:axId val="94579712"/>
      </c:lineChart>
      <c:catAx>
        <c:axId val="9457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79712"/>
        <c:crosses val="autoZero"/>
        <c:auto val="1"/>
        <c:lblAlgn val="ctr"/>
        <c:lblOffset val="100"/>
      </c:catAx>
      <c:valAx>
        <c:axId val="94579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578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587</c:v>
                </c:pt>
                <c:pt idx="1">
                  <c:v>855</c:v>
                </c:pt>
                <c:pt idx="2">
                  <c:v>612</c:v>
                </c:pt>
                <c:pt idx="3">
                  <c:v>846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243840"/>
        <c:axId val="94266112"/>
      </c:lineChart>
      <c:catAx>
        <c:axId val="9424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66112"/>
        <c:crosses val="autoZero"/>
        <c:auto val="1"/>
        <c:lblAlgn val="ctr"/>
        <c:lblOffset val="100"/>
      </c:catAx>
      <c:valAx>
        <c:axId val="9426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4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941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-467.4000000000002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4840320"/>
        <c:axId val="94841856"/>
      </c:lineChart>
      <c:catAx>
        <c:axId val="9484032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41856"/>
        <c:crosses val="autoZero"/>
        <c:auto val="1"/>
        <c:lblAlgn val="ctr"/>
        <c:lblOffset val="100"/>
      </c:catAx>
      <c:valAx>
        <c:axId val="9484185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4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60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32</xdr:row>
      <xdr:rowOff>152400</xdr:rowOff>
    </xdr:from>
    <xdr:to>
      <xdr:col>6</xdr:col>
      <xdr:colOff>609600</xdr:colOff>
      <xdr:row>47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33</xdr:row>
      <xdr:rowOff>38100</xdr:rowOff>
    </xdr:from>
    <xdr:to>
      <xdr:col>14</xdr:col>
      <xdr:colOff>114300</xdr:colOff>
      <xdr:row>47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32</xdr:row>
      <xdr:rowOff>180975</xdr:rowOff>
    </xdr:from>
    <xdr:to>
      <xdr:col>21</xdr:col>
      <xdr:colOff>266700</xdr:colOff>
      <xdr:row>47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33</xdr:row>
      <xdr:rowOff>142875</xdr:rowOff>
    </xdr:from>
    <xdr:to>
      <xdr:col>30</xdr:col>
      <xdr:colOff>219075</xdr:colOff>
      <xdr:row>48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37</xdr:row>
      <xdr:rowOff>38100</xdr:rowOff>
    </xdr:from>
    <xdr:to>
      <xdr:col>19</xdr:col>
      <xdr:colOff>209550</xdr:colOff>
      <xdr:row>51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0">
          <cell r="A30">
            <v>0</v>
          </cell>
        </row>
      </sheetData>
      <sheetData sheetId="3">
        <row r="32">
          <cell r="B32">
            <v>218</v>
          </cell>
        </row>
      </sheetData>
      <sheetData sheetId="4">
        <row r="33">
          <cell r="B33">
            <v>109443</v>
          </cell>
        </row>
      </sheetData>
      <sheetData sheetId="5"/>
      <sheetData sheetId="6">
        <row r="6">
          <cell r="B6">
            <v>21</v>
          </cell>
        </row>
      </sheetData>
      <sheetData sheetId="7">
        <row r="33">
          <cell r="B33">
            <v>218</v>
          </cell>
        </row>
      </sheetData>
      <sheetData sheetId="8"/>
      <sheetData sheetId="9"/>
      <sheetData sheetId="10"/>
      <sheetData sheetId="11">
        <row r="30">
          <cell r="B30">
            <v>9649</v>
          </cell>
          <cell r="AB30">
            <v>250</v>
          </cell>
        </row>
      </sheetData>
      <sheetData sheetId="12">
        <row r="26">
          <cell r="V26">
            <v>297890</v>
          </cell>
        </row>
        <row r="29">
          <cell r="AA29">
            <v>53698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32737038</v>
          </cell>
          <cell r="E33">
            <v>3610</v>
          </cell>
          <cell r="F33">
            <v>3990693</v>
          </cell>
          <cell r="G33">
            <v>632</v>
          </cell>
          <cell r="H33">
            <v>17830854</v>
          </cell>
          <cell r="I33">
            <v>974</v>
          </cell>
          <cell r="J33">
            <v>28959514</v>
          </cell>
          <cell r="K33">
            <v>1686</v>
          </cell>
          <cell r="L33">
            <v>24121564</v>
          </cell>
          <cell r="M33">
            <v>4026</v>
          </cell>
          <cell r="N33">
            <v>10928</v>
          </cell>
          <cell r="O33">
            <v>0</v>
          </cell>
          <cell r="P33">
            <v>16834.842000000001</v>
          </cell>
          <cell r="Q33">
            <v>9979.9999999995634</v>
          </cell>
          <cell r="R33">
            <v>948.00000000043656</v>
          </cell>
          <cell r="S33">
            <v>10167</v>
          </cell>
          <cell r="T33">
            <v>9</v>
          </cell>
          <cell r="U33">
            <v>427949</v>
          </cell>
          <cell r="V33">
            <v>1317</v>
          </cell>
          <cell r="W33">
            <v>32247</v>
          </cell>
          <cell r="X33">
            <v>0</v>
          </cell>
          <cell r="Y33">
            <v>708695</v>
          </cell>
          <cell r="Z33">
            <v>0</v>
          </cell>
          <cell r="AA33">
            <v>35814</v>
          </cell>
          <cell r="AB33">
            <v>0</v>
          </cell>
          <cell r="AC33">
            <v>936218</v>
          </cell>
          <cell r="AD33">
            <v>0</v>
          </cell>
          <cell r="AE33">
            <v>9</v>
          </cell>
          <cell r="AF33">
            <v>1317</v>
          </cell>
          <cell r="AG33">
            <v>146.33333333333334</v>
          </cell>
          <cell r="AI33">
            <v>-953162.99999999953</v>
          </cell>
        </row>
      </sheetData>
      <sheetData sheetId="3">
        <row r="35">
          <cell r="B35">
            <v>216</v>
          </cell>
          <cell r="C35">
            <v>223</v>
          </cell>
          <cell r="D35">
            <v>12</v>
          </cell>
          <cell r="E35">
            <v>100.56</v>
          </cell>
          <cell r="F35">
            <v>1795</v>
          </cell>
          <cell r="G35">
            <v>3</v>
          </cell>
          <cell r="H35">
            <v>9885</v>
          </cell>
          <cell r="I35">
            <v>203</v>
          </cell>
          <cell r="J35">
            <v>67.666666666666671</v>
          </cell>
          <cell r="K35">
            <v>2285</v>
          </cell>
          <cell r="L35">
            <v>0</v>
          </cell>
          <cell r="M35">
            <v>168295</v>
          </cell>
          <cell r="N35">
            <v>0</v>
          </cell>
          <cell r="O35">
            <v>1869</v>
          </cell>
          <cell r="P35">
            <v>2046</v>
          </cell>
          <cell r="Q35">
            <v>172429</v>
          </cell>
          <cell r="R35">
            <v>182</v>
          </cell>
          <cell r="S35">
            <v>2</v>
          </cell>
          <cell r="T35">
            <v>0</v>
          </cell>
          <cell r="U35">
            <v>5</v>
          </cell>
          <cell r="V35">
            <v>385</v>
          </cell>
          <cell r="X35">
            <v>2463</v>
          </cell>
          <cell r="Y35">
            <v>0</v>
          </cell>
          <cell r="Z35">
            <v>138550</v>
          </cell>
          <cell r="AA35">
            <v>0</v>
          </cell>
          <cell r="AB35">
            <v>0</v>
          </cell>
          <cell r="AC35">
            <v>1936</v>
          </cell>
          <cell r="AD35">
            <v>0</v>
          </cell>
          <cell r="AE35">
            <v>365520.8</v>
          </cell>
          <cell r="AF35">
            <v>0</v>
          </cell>
          <cell r="AG35">
            <v>0</v>
          </cell>
          <cell r="AH35">
            <v>0</v>
          </cell>
          <cell r="AI35">
            <v>385</v>
          </cell>
          <cell r="AJ35">
            <v>385</v>
          </cell>
          <cell r="AK35">
            <v>0</v>
          </cell>
          <cell r="AL35">
            <v>5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618063</v>
          </cell>
          <cell r="H36">
            <v>0</v>
          </cell>
          <cell r="I36">
            <v>0</v>
          </cell>
          <cell r="J36">
            <v>0</v>
          </cell>
          <cell r="K36">
            <v>6733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469</v>
          </cell>
          <cell r="W36">
            <v>0</v>
          </cell>
          <cell r="X36">
            <v>151220</v>
          </cell>
          <cell r="Y36">
            <v>0</v>
          </cell>
          <cell r="Z36">
            <v>98697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229.03</v>
          </cell>
          <cell r="AF36">
            <v>0</v>
          </cell>
          <cell r="AG36">
            <v>2198.54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15.5</v>
          </cell>
          <cell r="AN36">
            <v>0</v>
          </cell>
          <cell r="AP36">
            <v>0</v>
          </cell>
          <cell r="AR36">
            <v>44286</v>
          </cell>
          <cell r="AS36">
            <v>0.9</v>
          </cell>
          <cell r="AT36">
            <v>177</v>
          </cell>
          <cell r="AU36">
            <v>1.1000000000000001</v>
          </cell>
          <cell r="AV36">
            <v>190</v>
          </cell>
          <cell r="AW36">
            <v>2.9</v>
          </cell>
          <cell r="AX36">
            <v>180</v>
          </cell>
          <cell r="AY36">
            <v>159.30000000000001</v>
          </cell>
          <cell r="AZ36">
            <v>209.00000000000003</v>
          </cell>
          <cell r="BA36">
            <v>522</v>
          </cell>
          <cell r="BB36">
            <v>-0.90000000000000568</v>
          </cell>
          <cell r="BC36">
            <v>-3.2999999999999829</v>
          </cell>
          <cell r="BD36">
            <v>-11.600000000000023</v>
          </cell>
          <cell r="BE36">
            <v>-15.800000000000011</v>
          </cell>
          <cell r="BF36">
            <v>15.800000000000011</v>
          </cell>
          <cell r="BG36">
            <v>-15.800000000000011</v>
          </cell>
        </row>
      </sheetData>
      <sheetData sheetId="5"/>
      <sheetData sheetId="6">
        <row r="36">
          <cell r="B36">
            <v>18</v>
          </cell>
          <cell r="C36">
            <v>13</v>
          </cell>
          <cell r="D36">
            <v>15.5</v>
          </cell>
          <cell r="E36">
            <v>0.65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7">
        <row r="36">
          <cell r="B36">
            <v>216</v>
          </cell>
          <cell r="C36">
            <v>4647.4838709677415</v>
          </cell>
          <cell r="D36">
            <v>216</v>
          </cell>
          <cell r="E36">
            <v>4647.4838709677415</v>
          </cell>
          <cell r="F36">
            <v>216</v>
          </cell>
          <cell r="G36">
            <v>4647.4838709677415</v>
          </cell>
          <cell r="H36">
            <v>216</v>
          </cell>
          <cell r="I36">
            <v>4647.4838709677415</v>
          </cell>
          <cell r="J36">
            <v>216</v>
          </cell>
          <cell r="K36">
            <v>4647.4838709677415</v>
          </cell>
          <cell r="L36">
            <v>216</v>
          </cell>
          <cell r="M36">
            <v>4647.4838709677415</v>
          </cell>
          <cell r="N36">
            <v>216</v>
          </cell>
          <cell r="O36">
            <v>4647.4838709677415</v>
          </cell>
          <cell r="P36">
            <v>216</v>
          </cell>
          <cell r="Q36">
            <v>4647.4838709677415</v>
          </cell>
          <cell r="R36">
            <v>216</v>
          </cell>
          <cell r="S36">
            <v>4647.4838709677415</v>
          </cell>
          <cell r="T36">
            <v>216</v>
          </cell>
          <cell r="U36">
            <v>4647.4838709677415</v>
          </cell>
          <cell r="V36">
            <v>216</v>
          </cell>
          <cell r="W36">
            <v>4647.4838709677415</v>
          </cell>
          <cell r="X36">
            <v>0.6967741935483871</v>
          </cell>
          <cell r="Y36">
            <v>51122.322580645159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0.71778339873771269</v>
          </cell>
          <cell r="AR36">
            <v>66732.322580645152</v>
          </cell>
          <cell r="AS36">
            <v>-3916.8064516129234</v>
          </cell>
          <cell r="AV36">
            <v>0.996</v>
          </cell>
          <cell r="AW36">
            <v>-385</v>
          </cell>
          <cell r="AX36">
            <v>-3531.8064516129234</v>
          </cell>
          <cell r="AY36">
            <v>-3916.8064516129234</v>
          </cell>
          <cell r="AZ36">
            <v>0</v>
          </cell>
          <cell r="BA36">
            <v>15.5</v>
          </cell>
          <cell r="BB36">
            <v>0.65</v>
          </cell>
        </row>
      </sheetData>
      <sheetData sheetId="8"/>
      <sheetData sheetId="9"/>
      <sheetData sheetId="10"/>
      <sheetData sheetId="11">
        <row r="33">
          <cell r="B33">
            <v>9772</v>
          </cell>
          <cell r="C33">
            <v>7</v>
          </cell>
          <cell r="D33">
            <v>361982</v>
          </cell>
          <cell r="E33">
            <v>1767</v>
          </cell>
          <cell r="F33">
            <v>252.42857142857142</v>
          </cell>
          <cell r="H33">
            <v>9729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12031</v>
          </cell>
          <cell r="S33">
            <v>12</v>
          </cell>
          <cell r="T33">
            <v>433913</v>
          </cell>
          <cell r="U33">
            <v>3000</v>
          </cell>
          <cell r="V33">
            <v>250</v>
          </cell>
          <cell r="X33">
            <v>11898</v>
          </cell>
          <cell r="Y33" t="str">
            <v>oil change</v>
          </cell>
          <cell r="Z33">
            <v>19</v>
          </cell>
          <cell r="AA33">
            <v>4767</v>
          </cell>
          <cell r="AC33">
            <v>250.89473684210526</v>
          </cell>
          <cell r="AD33">
            <v>9979.9999999995634</v>
          </cell>
          <cell r="AE33">
            <v>525.26315789471391</v>
          </cell>
          <cell r="AF33">
            <v>0.3282894736841962</v>
          </cell>
          <cell r="AG33">
            <v>105.05263157894278</v>
          </cell>
          <cell r="AH33">
            <v>145.84210526316247</v>
          </cell>
          <cell r="AI33">
            <v>2568.6919831222508</v>
          </cell>
          <cell r="AJ33">
            <v>0.25738396624472576</v>
          </cell>
          <cell r="AK33">
            <v>135.19431490117108</v>
          </cell>
        </row>
      </sheetData>
      <sheetData sheetId="12">
        <row r="26">
          <cell r="V26">
            <v>321050</v>
          </cell>
          <cell r="W26">
            <v>344256</v>
          </cell>
          <cell r="X26" t="str">
            <v>Night</v>
          </cell>
          <cell r="Y26">
            <v>80</v>
          </cell>
          <cell r="Z26">
            <v>1</v>
          </cell>
          <cell r="AA26">
            <v>23206</v>
          </cell>
          <cell r="AB26">
            <v>1856480</v>
          </cell>
          <cell r="AC26">
            <v>1033333</v>
          </cell>
          <cell r="AD26">
            <v>0.44904988583149508</v>
          </cell>
        </row>
        <row r="27">
          <cell r="V27">
            <v>446820</v>
          </cell>
          <cell r="W27">
            <v>468436</v>
          </cell>
          <cell r="X27" t="str">
            <v>day</v>
          </cell>
          <cell r="Y27">
            <v>112</v>
          </cell>
          <cell r="Z27">
            <v>1</v>
          </cell>
          <cell r="AA27">
            <v>21616</v>
          </cell>
          <cell r="AB27">
            <v>2420992</v>
          </cell>
          <cell r="AC27">
            <v>6200000</v>
          </cell>
          <cell r="AD27">
            <v>0.41828244127094699</v>
          </cell>
        </row>
        <row r="28">
          <cell r="V28">
            <v>137108</v>
          </cell>
          <cell r="W28">
            <v>143963</v>
          </cell>
          <cell r="X28" t="str">
            <v>Peak</v>
          </cell>
          <cell r="Y28">
            <v>320</v>
          </cell>
          <cell r="Z28">
            <v>1</v>
          </cell>
          <cell r="AA28">
            <v>6855</v>
          </cell>
          <cell r="AB28">
            <v>2193600</v>
          </cell>
          <cell r="AC28">
            <v>1000</v>
          </cell>
          <cell r="AD28">
            <v>0.13264832230349471</v>
          </cell>
        </row>
        <row r="30">
          <cell r="W30">
            <v>0</v>
          </cell>
          <cell r="AB30">
            <v>6471072</v>
          </cell>
          <cell r="AC30">
            <v>7234333</v>
          </cell>
        </row>
        <row r="33">
          <cell r="W33">
            <v>3000</v>
          </cell>
          <cell r="X33">
            <v>6.7741498441945533E-2</v>
          </cell>
          <cell r="Y33">
            <v>3.3870749220972766E-2</v>
          </cell>
        </row>
        <row r="34">
          <cell r="B34">
            <v>956656</v>
          </cell>
          <cell r="C34">
            <v>587</v>
          </cell>
          <cell r="D34">
            <v>587</v>
          </cell>
          <cell r="E34">
            <v>956656</v>
          </cell>
          <cell r="F34">
            <v>143963</v>
          </cell>
          <cell r="G34">
            <v>0</v>
          </cell>
          <cell r="H34">
            <v>468436</v>
          </cell>
          <cell r="I34">
            <v>487</v>
          </cell>
          <cell r="J34">
            <v>344256</v>
          </cell>
          <cell r="K34">
            <v>100</v>
          </cell>
          <cell r="L34">
            <v>0</v>
          </cell>
          <cell r="M34">
            <v>36.181757877280262</v>
          </cell>
          <cell r="N34">
            <v>5.3067993366500827</v>
          </cell>
          <cell r="O34">
            <v>154.80303857058792</v>
          </cell>
          <cell r="P34">
            <v>196.29159578451825</v>
          </cell>
          <cell r="Q34">
            <v>3042.0626236559315</v>
          </cell>
          <cell r="R34">
            <v>3238.3542194404499</v>
          </cell>
          <cell r="S34">
            <v>10928</v>
          </cell>
          <cell r="T34">
            <v>0.29633548860179815</v>
          </cell>
        </row>
      </sheetData>
      <sheetData sheetId="13"/>
      <sheetData sheetId="14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21">
          <cell r="C21">
            <v>44215</v>
          </cell>
        </row>
      </sheetData>
      <sheetData sheetId="3"/>
      <sheetData sheetId="4"/>
      <sheetData sheetId="5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/>
      <sheetData sheetId="9"/>
      <sheetData sheetId="10"/>
      <sheetData sheetId="1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D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>
        <row r="35">
          <cell r="V35">
            <v>9030</v>
          </cell>
        </row>
      </sheetData>
      <sheetData sheetId="4"/>
      <sheetData sheetId="5"/>
      <sheetData sheetId="6"/>
      <sheetData sheetId="7">
        <row r="36">
          <cell r="AX36">
            <v>-15289.903225806396</v>
          </cell>
        </row>
      </sheetData>
      <sheetData sheetId="8"/>
      <sheetData sheetId="9"/>
      <sheetData sheetId="10"/>
      <sheetData sheetId="11"/>
      <sheetData sheetId="12">
        <row r="29">
          <cell r="AA29">
            <v>117834</v>
          </cell>
        </row>
      </sheetData>
      <sheetData sheetId="13"/>
      <sheetData sheetId="14"/>
      <sheetData sheetId="15">
        <row r="6">
          <cell r="B6">
            <v>0</v>
          </cell>
        </row>
        <row r="14">
          <cell r="C14">
            <v>0</v>
          </cell>
        </row>
        <row r="15">
          <cell r="C15">
            <v>-87.799999999999955</v>
          </cell>
        </row>
        <row r="16">
          <cell r="C16">
            <v>18.116666666666667</v>
          </cell>
        </row>
        <row r="17">
          <cell r="C17">
            <v>0.81745666666666661</v>
          </cell>
        </row>
        <row r="18">
          <cell r="C18">
            <v>100</v>
          </cell>
        </row>
        <row r="19">
          <cell r="C19">
            <v>3.3333333333333335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opLeftCell="A4" workbookViewId="0">
      <selection activeCell="A32" sqref="A32:XFD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4</v>
      </c>
      <c r="D2">
        <v>2021</v>
      </c>
      <c r="E2" s="203">
        <f>ELEC!N3</f>
        <v>10627</v>
      </c>
      <c r="F2" s="330">
        <f>SUM('EDl log'!T4)</f>
        <v>0.15538441385299565</v>
      </c>
      <c r="G2" s="203">
        <f>-tanks!AW6</f>
        <v>359</v>
      </c>
      <c r="H2" s="330">
        <f>SUM(tanks!AV6)</f>
        <v>0.96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4</v>
      </c>
      <c r="D3">
        <v>2021</v>
      </c>
      <c r="E3" s="203">
        <f>ELEC!N4</f>
        <v>8566</v>
      </c>
      <c r="F3" s="330">
        <f>SUM('EDl log'!T5)</f>
        <v>0.36806008153077746</v>
      </c>
      <c r="G3" s="203">
        <f>-tanks!AW7</f>
        <v>298</v>
      </c>
      <c r="H3" s="330">
        <f>SUM(tanks!AV7)</f>
        <v>0.96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ELEC!N5</f>
        <v>9686</v>
      </c>
      <c r="F4" s="330">
        <f>SUM('EDl log'!T6)</f>
        <v>0.33156820396105263</v>
      </c>
      <c r="G4" s="203">
        <f>-tanks!AW8</f>
        <v>287</v>
      </c>
      <c r="H4" s="330">
        <f>SUM(tanks!AV8)</f>
        <v>0.96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4</v>
      </c>
      <c r="D5">
        <v>2021</v>
      </c>
      <c r="E5" s="203">
        <f>ELEC!N6</f>
        <v>0</v>
      </c>
      <c r="F5" s="330">
        <f>SUM('EDl log'!T7)</f>
        <v>0</v>
      </c>
      <c r="G5" s="203">
        <f>-tanks!AW9</f>
        <v>0</v>
      </c>
      <c r="H5" s="330">
        <f>SUM(tanks!AV9)</f>
        <v>0.96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4</v>
      </c>
      <c r="D6">
        <v>2021</v>
      </c>
      <c r="E6" s="203">
        <f>ELEC!N7</f>
        <v>0</v>
      </c>
      <c r="F6" s="330">
        <f>SUM('EDl log'!T8)</f>
        <v>0</v>
      </c>
      <c r="G6" s="203">
        <f>-tanks!AW10</f>
        <v>0</v>
      </c>
      <c r="H6" s="330">
        <f>SUM(tanks!AV10)</f>
        <v>0.96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4</v>
      </c>
      <c r="D7">
        <v>2021</v>
      </c>
      <c r="E7" s="203">
        <f>ELEC!N8</f>
        <v>0</v>
      </c>
      <c r="F7" s="330">
        <f>SUM('EDl log'!T9)</f>
        <v>0</v>
      </c>
      <c r="G7" s="203">
        <f>-tanks!AW11</f>
        <v>0</v>
      </c>
      <c r="H7" s="330">
        <f>SUM(tanks!AV11)</f>
        <v>0.96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4</v>
      </c>
      <c r="D8">
        <v>2021</v>
      </c>
      <c r="E8" s="203">
        <f>ELEC!N9</f>
        <v>0</v>
      </c>
      <c r="F8" s="330">
        <f>SUM('EDl log'!T10)</f>
        <v>0</v>
      </c>
      <c r="G8" s="203">
        <f>-tanks!AW12</f>
        <v>0</v>
      </c>
      <c r="H8" s="330">
        <f>SUM(tanks!AV12)</f>
        <v>0.96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4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0.96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4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0.96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4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0.96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4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0.96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4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0.96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4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0.96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4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0.96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4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0.96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4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0.96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4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0.96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4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0.96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4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0.96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4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0.96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4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0.96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4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0.96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4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0.96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4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0.96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4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0.96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4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0.96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4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0.96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4</v>
      </c>
      <c r="D29">
        <v>2021</v>
      </c>
      <c r="E29" s="203">
        <f>ELEC!N30</f>
        <v>0</v>
      </c>
      <c r="F29" s="330" t="e">
        <f>SUM('EDl log'!#REF!)</f>
        <v>#REF!</v>
      </c>
      <c r="G29" s="203">
        <f>-tanks!AW33</f>
        <v>0</v>
      </c>
      <c r="H29" s="330">
        <f>SUM(tanks!AV33)</f>
        <v>0.96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4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0.96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4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0.96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topLeftCell="A17" workbookViewId="0">
      <selection activeCell="D46" sqref="D46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4</v>
      </c>
      <c r="D2">
        <v>2021</v>
      </c>
      <c r="E2" s="203">
        <f>ELEC!M3</f>
        <v>4066</v>
      </c>
      <c r="F2" s="203">
        <f>ELEC!K3</f>
        <v>1692</v>
      </c>
      <c r="G2" s="203">
        <f>ELEC!I3</f>
        <v>1006</v>
      </c>
      <c r="H2" s="203">
        <f>ELEC!E3</f>
        <v>3148</v>
      </c>
      <c r="I2" s="203">
        <f>ELEC!G3</f>
        <v>715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4</v>
      </c>
      <c r="D3">
        <v>2021</v>
      </c>
      <c r="E3" s="203">
        <f>ELEC!M4</f>
        <v>2420</v>
      </c>
      <c r="F3" s="203">
        <f>ELEC!K4</f>
        <v>1836</v>
      </c>
      <c r="G3" s="203">
        <f>ELEC!I4</f>
        <v>838</v>
      </c>
      <c r="H3" s="203">
        <f>ELEC!E4</f>
        <v>2912</v>
      </c>
      <c r="I3" s="203">
        <f>ELEC!G4</f>
        <v>560</v>
      </c>
      <c r="J3" s="203">
        <f>WATER!Y7</f>
        <v>64</v>
      </c>
      <c r="K3" s="203">
        <f>WATER!AJ7</f>
        <v>20</v>
      </c>
      <c r="L3" s="10">
        <f>ELEC!B4</f>
        <v>0</v>
      </c>
      <c r="M3" s="10"/>
    </row>
    <row r="4" spans="1:13">
      <c r="A4" t="s">
        <v>345</v>
      </c>
      <c r="B4">
        <f t="shared" ref="B4:B31" si="0">B3+1</f>
        <v>3</v>
      </c>
      <c r="C4">
        <v>4</v>
      </c>
      <c r="D4">
        <v>2021</v>
      </c>
      <c r="E4" s="203">
        <f>ELEC!M5</f>
        <v>2272</v>
      </c>
      <c r="F4" s="203">
        <f>ELEC!K5</f>
        <v>2844</v>
      </c>
      <c r="G4" s="203">
        <f>ELEC!I5</f>
        <v>838</v>
      </c>
      <c r="H4" s="203">
        <f>ELEC!E5</f>
        <v>3110</v>
      </c>
      <c r="I4" s="203">
        <f>ELEC!G5</f>
        <v>622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4</v>
      </c>
      <c r="D5">
        <v>2021</v>
      </c>
      <c r="E5" s="203">
        <f>ELEC!M6</f>
        <v>0</v>
      </c>
      <c r="F5" s="203">
        <f>ELEC!K6</f>
        <v>0</v>
      </c>
      <c r="G5" s="203">
        <f>ELEC!I6</f>
        <v>0</v>
      </c>
      <c r="H5" s="203">
        <f>ELEC!E6</f>
        <v>0</v>
      </c>
      <c r="I5" s="203">
        <f>ELEC!G6</f>
        <v>0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4</v>
      </c>
      <c r="D6">
        <v>2021</v>
      </c>
      <c r="E6" s="203">
        <f>ELEC!M7</f>
        <v>0</v>
      </c>
      <c r="F6" s="203">
        <f>ELEC!K7</f>
        <v>0</v>
      </c>
      <c r="G6" s="203">
        <f>ELEC!I7</f>
        <v>0</v>
      </c>
      <c r="H6" s="203">
        <f>ELEC!E7</f>
        <v>0</v>
      </c>
      <c r="I6" s="203">
        <f>ELEC!G7</f>
        <v>0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4</v>
      </c>
      <c r="D7">
        <v>2021</v>
      </c>
      <c r="E7" s="203">
        <f>ELEC!M8</f>
        <v>0</v>
      </c>
      <c r="F7" s="203">
        <f>ELEC!K8</f>
        <v>0</v>
      </c>
      <c r="G7" s="203">
        <f>ELEC!I8</f>
        <v>0</v>
      </c>
      <c r="H7" s="203">
        <f>ELEC!E8</f>
        <v>0</v>
      </c>
      <c r="I7" s="203">
        <f>ELEC!G8</f>
        <v>0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4</v>
      </c>
      <c r="D8">
        <v>2021</v>
      </c>
      <c r="E8" s="203">
        <f>ELEC!M9</f>
        <v>0</v>
      </c>
      <c r="F8" s="203">
        <f>ELEC!K9</f>
        <v>0</v>
      </c>
      <c r="G8" s="203">
        <f>ELEC!I9</f>
        <v>0</v>
      </c>
      <c r="H8" s="203">
        <f>ELEC!E9</f>
        <v>0</v>
      </c>
      <c r="I8" s="203">
        <f>ELEC!G9</f>
        <v>0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4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4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4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4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4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4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4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4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4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4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4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4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4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4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4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4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4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4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4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4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4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4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4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2"/>
  <sheetViews>
    <sheetView topLeftCell="N1" zoomScale="85" zoomScaleNormal="85" zoomScaleSheetLayoutView="100" workbookViewId="0">
      <pane ySplit="1" topLeftCell="A2" activePane="bottomLeft" state="frozen"/>
      <selection activeCell="C1" sqref="C1"/>
      <selection pane="bottomLeft" activeCell="AE5" sqref="AE5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v>44286</v>
      </c>
      <c r="D2" s="536">
        <f>[3]ELEC!D33</f>
        <v>32737038</v>
      </c>
      <c r="E2" s="536">
        <f>[3]ELEC!E33</f>
        <v>3610</v>
      </c>
      <c r="F2" s="536">
        <f>[3]ELEC!F33</f>
        <v>3990693</v>
      </c>
      <c r="G2" s="536">
        <f>[3]ELEC!G33</f>
        <v>632</v>
      </c>
      <c r="H2" s="536">
        <f>[3]ELEC!H33</f>
        <v>17830854</v>
      </c>
      <c r="I2" s="536">
        <f>[3]ELEC!I33</f>
        <v>974</v>
      </c>
      <c r="J2" s="536">
        <f>[3]ELEC!J33</f>
        <v>28959514</v>
      </c>
      <c r="K2" s="536">
        <f>[3]ELEC!K33</f>
        <v>1686</v>
      </c>
      <c r="L2" s="536">
        <f>[3]ELEC!L33</f>
        <v>24121564</v>
      </c>
      <c r="M2" s="536">
        <f>[3]ELEC!M33</f>
        <v>4026</v>
      </c>
      <c r="N2" s="536">
        <f>[3]ELEC!N33</f>
        <v>10928</v>
      </c>
      <c r="O2" s="536">
        <f>[3]ELEC!O33</f>
        <v>0</v>
      </c>
      <c r="P2" s="536">
        <f>[3]ELEC!P33</f>
        <v>16834.842000000001</v>
      </c>
      <c r="Q2" s="536">
        <f>[3]ELEC!Q33</f>
        <v>9979.9999999995634</v>
      </c>
      <c r="R2" s="536">
        <f>[3]ELEC!R33</f>
        <v>948.00000000043656</v>
      </c>
      <c r="S2" s="536">
        <f>[3]ELEC!S33</f>
        <v>10167</v>
      </c>
      <c r="T2" s="536">
        <f>[3]ELEC!T33</f>
        <v>9</v>
      </c>
      <c r="U2" s="536">
        <f>[3]ELEC!U33</f>
        <v>427949</v>
      </c>
      <c r="V2" s="536">
        <f>[3]ELEC!V33</f>
        <v>1317</v>
      </c>
      <c r="W2" s="536">
        <f>[3]ELEC!W33</f>
        <v>32247</v>
      </c>
      <c r="X2" s="536">
        <f>[3]ELEC!X33</f>
        <v>0</v>
      </c>
      <c r="Y2" s="536">
        <f>[3]ELEC!Y33</f>
        <v>708695</v>
      </c>
      <c r="Z2" s="536">
        <f>[3]ELEC!Z33</f>
        <v>0</v>
      </c>
      <c r="AA2" s="536">
        <f>[3]ELEC!AA33</f>
        <v>35814</v>
      </c>
      <c r="AB2" s="536">
        <f>[3]ELEC!AB33</f>
        <v>0</v>
      </c>
      <c r="AC2" s="536">
        <f>[3]ELEC!AC33</f>
        <v>936218</v>
      </c>
      <c r="AD2" s="536">
        <f>[3]ELEC!AD33</f>
        <v>0</v>
      </c>
      <c r="AE2" s="536">
        <f>[3]ELEC!AE33</f>
        <v>9</v>
      </c>
      <c r="AF2" s="536">
        <f>[3]ELEC!AF33</f>
        <v>1317</v>
      </c>
      <c r="AG2" s="536">
        <f>[3]ELEC!AG33</f>
        <v>146.33333333333334</v>
      </c>
      <c r="AH2" s="536">
        <f>[3]ELEC!AH33</f>
        <v>0</v>
      </c>
      <c r="AI2" s="536">
        <f>[3]ELEC!AI33</f>
        <v>-953162.99999999953</v>
      </c>
      <c r="AJ2" s="536">
        <f>[3]ELEC!AJ33</f>
        <v>0</v>
      </c>
      <c r="AK2" s="536">
        <f>[3]ELEC!AK33</f>
        <v>0</v>
      </c>
      <c r="AL2" s="536">
        <f>[3]ELEC!AL33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44287</v>
      </c>
      <c r="D3" s="445">
        <v>32740186</v>
      </c>
      <c r="E3" s="446">
        <f>D3-D2</f>
        <v>3148</v>
      </c>
      <c r="F3" s="445">
        <v>3991408</v>
      </c>
      <c r="G3" s="447">
        <f t="shared" ref="G3:G32" si="0">F3-F2</f>
        <v>715</v>
      </c>
      <c r="H3" s="445">
        <v>17831860</v>
      </c>
      <c r="I3" s="447">
        <f>H3-H2</f>
        <v>1006</v>
      </c>
      <c r="J3" s="445">
        <v>28961206</v>
      </c>
      <c r="K3" s="447">
        <f>J3-J2</f>
        <v>1692</v>
      </c>
      <c r="L3" s="445">
        <v>24125630</v>
      </c>
      <c r="M3" s="447">
        <f>L3-L2</f>
        <v>4066</v>
      </c>
      <c r="N3" s="448">
        <f>M3+K3+I3+G3+E3</f>
        <v>10627</v>
      </c>
      <c r="O3" s="459">
        <f t="shared" ref="O3:O9" si="1">IF(B3&gt;0,N3/B3,0)</f>
        <v>0</v>
      </c>
      <c r="P3" s="445">
        <v>16844.05</v>
      </c>
      <c r="Q3" s="468">
        <f t="shared" ref="Q3:Q12" si="2">(P3-P2)*1000</f>
        <v>9207.9999999987194</v>
      </c>
      <c r="R3" s="461">
        <f>+N3-Q3</f>
        <v>1419.0000000012806</v>
      </c>
      <c r="S3" s="445">
        <v>10175</v>
      </c>
      <c r="T3" s="462">
        <f t="shared" ref="T3:T30" si="3">S3-S2</f>
        <v>8</v>
      </c>
      <c r="U3" s="445">
        <v>429166</v>
      </c>
      <c r="V3" s="460">
        <f>U3-U2</f>
        <v>1217</v>
      </c>
      <c r="W3" s="445">
        <f>W2</f>
        <v>32247</v>
      </c>
      <c r="X3" s="460">
        <f t="shared" ref="X3:X8" si="4">W3-W2</f>
        <v>0</v>
      </c>
      <c r="Y3" s="445">
        <f>Y2</f>
        <v>708695</v>
      </c>
      <c r="Z3" s="460">
        <f>Y3-Y2</f>
        <v>0</v>
      </c>
      <c r="AA3" s="445">
        <f>AA2</f>
        <v>35814</v>
      </c>
      <c r="AB3" s="460">
        <f>AA3-AA2</f>
        <v>0</v>
      </c>
      <c r="AC3" s="445">
        <f>AC2</f>
        <v>936218</v>
      </c>
      <c r="AD3" s="463">
        <f>AC3-AC2</f>
        <v>0</v>
      </c>
      <c r="AE3" s="464">
        <f>AB3+X3+T3</f>
        <v>8</v>
      </c>
      <c r="AF3" s="445">
        <f>V3+Z3+AD3</f>
        <v>1217</v>
      </c>
      <c r="AG3" s="465">
        <f t="shared" ref="AG3:AG9" si="5">IF(AE3&gt;0,AF3/AE3,0)</f>
        <v>152.125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44288</v>
      </c>
      <c r="D4" s="445">
        <v>32743098</v>
      </c>
      <c r="E4" s="311">
        <f>D4-D3</f>
        <v>2912</v>
      </c>
      <c r="F4" s="445">
        <v>3991968</v>
      </c>
      <c r="G4" s="312">
        <f t="shared" si="0"/>
        <v>560</v>
      </c>
      <c r="H4" s="445">
        <v>17832698</v>
      </c>
      <c r="I4" s="312">
        <f>H4-H3</f>
        <v>838</v>
      </c>
      <c r="J4" s="445">
        <v>28963042</v>
      </c>
      <c r="K4" s="312">
        <f>J4-J3</f>
        <v>1836</v>
      </c>
      <c r="L4" s="445">
        <v>24128050</v>
      </c>
      <c r="M4" s="312">
        <f>L4-L3</f>
        <v>2420</v>
      </c>
      <c r="N4" s="310">
        <f>M4+K4+I4+G4+E4</f>
        <v>8566</v>
      </c>
      <c r="O4" s="467">
        <f t="shared" si="1"/>
        <v>0</v>
      </c>
      <c r="P4" s="445">
        <v>16851.772000000001</v>
      </c>
      <c r="Q4" s="468">
        <f t="shared" si="2"/>
        <v>7722.0000000015716</v>
      </c>
      <c r="R4" s="449">
        <f>N4-Q4</f>
        <v>843.99999999842839</v>
      </c>
      <c r="S4" s="445">
        <f t="shared" ref="S4:AC32" si="7">S3</f>
        <v>10175</v>
      </c>
      <c r="T4" s="469">
        <f t="shared" si="3"/>
        <v>0</v>
      </c>
      <c r="U4" s="445">
        <f t="shared" si="7"/>
        <v>429166</v>
      </c>
      <c r="V4" s="449">
        <f>U4-U3</f>
        <v>0</v>
      </c>
      <c r="W4" s="445">
        <v>32249</v>
      </c>
      <c r="X4" s="449">
        <f t="shared" si="4"/>
        <v>2</v>
      </c>
      <c r="Y4" s="445">
        <v>709120</v>
      </c>
      <c r="Z4" s="449">
        <f>Y4-Y3</f>
        <v>425</v>
      </c>
      <c r="AA4" s="445">
        <v>35815</v>
      </c>
      <c r="AB4" s="470">
        <f>AA4-AA3</f>
        <v>1</v>
      </c>
      <c r="AC4" s="445">
        <v>936339</v>
      </c>
      <c r="AD4" s="471">
        <f>AC4-AC3</f>
        <v>121</v>
      </c>
      <c r="AE4" s="472">
        <f t="shared" ref="AE4:AE30" si="8">AB4+X4+T4</f>
        <v>3</v>
      </c>
      <c r="AF4" s="473">
        <f t="shared" ref="AF4:AF30" si="9">V4+Z4+AD4</f>
        <v>546</v>
      </c>
      <c r="AG4" s="465">
        <f t="shared" si="5"/>
        <v>182</v>
      </c>
    </row>
    <row r="5" spans="1:115">
      <c r="A5" s="457">
        <f>'General information '!F8</f>
        <v>0</v>
      </c>
      <c r="B5" s="451">
        <f>SUM(230*A5)</f>
        <v>0</v>
      </c>
      <c r="C5" s="458">
        <v>44289</v>
      </c>
      <c r="D5" s="445">
        <v>32746208</v>
      </c>
      <c r="E5" s="311">
        <f t="shared" ref="E5:E32" si="10">D5-D4</f>
        <v>3110</v>
      </c>
      <c r="F5" s="445">
        <v>3992590</v>
      </c>
      <c r="G5" s="312">
        <f t="shared" si="0"/>
        <v>622</v>
      </c>
      <c r="H5" s="445">
        <v>17833536</v>
      </c>
      <c r="I5" s="312">
        <f t="shared" ref="I5:I32" si="11">H5-H4</f>
        <v>838</v>
      </c>
      <c r="J5" s="445">
        <v>28965886</v>
      </c>
      <c r="K5" s="312">
        <f t="shared" ref="K5:K32" si="12">J5-J4</f>
        <v>2844</v>
      </c>
      <c r="L5" s="445">
        <v>24130322</v>
      </c>
      <c r="M5" s="312">
        <f t="shared" ref="M5:M32" si="13">L5-L4</f>
        <v>2272</v>
      </c>
      <c r="N5" s="310">
        <f t="shared" ref="N5:N30" si="14">M5+K5+I5+G5+E5</f>
        <v>9686</v>
      </c>
      <c r="O5" s="467">
        <f t="shared" si="1"/>
        <v>0</v>
      </c>
      <c r="P5" s="445">
        <v>16860.034</v>
      </c>
      <c r="Q5" s="468">
        <f>(P5-P4)*1000</f>
        <v>8261.9999999988067</v>
      </c>
      <c r="R5" s="449">
        <f>N5-Q5</f>
        <v>1424.0000000011933</v>
      </c>
      <c r="S5" s="445">
        <f t="shared" si="7"/>
        <v>10175</v>
      </c>
      <c r="T5" s="469">
        <f t="shared" si="3"/>
        <v>0</v>
      </c>
      <c r="U5" s="445">
        <f t="shared" si="7"/>
        <v>429166</v>
      </c>
      <c r="V5" s="449">
        <f t="shared" ref="V5:V30" si="15">U5-U4</f>
        <v>0</v>
      </c>
      <c r="W5" s="445">
        <v>32257</v>
      </c>
      <c r="X5" s="449">
        <f t="shared" si="4"/>
        <v>8</v>
      </c>
      <c r="Y5" s="445">
        <v>710354</v>
      </c>
      <c r="Z5" s="449">
        <f>Y5-Y4</f>
        <v>1234</v>
      </c>
      <c r="AA5" s="445">
        <f t="shared" si="7"/>
        <v>35815</v>
      </c>
      <c r="AB5" s="449">
        <f t="shared" ref="AB5:AB30" si="16">AA5-AA4</f>
        <v>0</v>
      </c>
      <c r="AC5" s="445">
        <f t="shared" si="7"/>
        <v>936339</v>
      </c>
      <c r="AD5" s="449">
        <f t="shared" ref="AD5:AD16" si="17">AC5-AC4</f>
        <v>0</v>
      </c>
      <c r="AE5" s="472">
        <f t="shared" si="8"/>
        <v>8</v>
      </c>
      <c r="AF5" s="473">
        <f t="shared" si="9"/>
        <v>1234</v>
      </c>
      <c r="AG5" s="465">
        <f t="shared" si="5"/>
        <v>154.25</v>
      </c>
      <c r="AI5" s="466">
        <f>R5-'EDl log'!B3</f>
        <v>-955231.99999999884</v>
      </c>
    </row>
    <row r="6" spans="1:115">
      <c r="A6" s="457">
        <f>'General information '!F9</f>
        <v>0</v>
      </c>
      <c r="B6" s="451">
        <f t="shared" si="6"/>
        <v>0</v>
      </c>
      <c r="C6" s="458">
        <v>44290</v>
      </c>
      <c r="D6" s="445">
        <f t="shared" ref="D5:L32" si="18">D5</f>
        <v>32746208</v>
      </c>
      <c r="E6" s="311">
        <f t="shared" si="10"/>
        <v>0</v>
      </c>
      <c r="F6" s="445">
        <f t="shared" si="18"/>
        <v>3992590</v>
      </c>
      <c r="G6" s="312">
        <f t="shared" si="0"/>
        <v>0</v>
      </c>
      <c r="H6" s="445">
        <f t="shared" si="18"/>
        <v>17833536</v>
      </c>
      <c r="I6" s="312">
        <f t="shared" si="11"/>
        <v>0</v>
      </c>
      <c r="J6" s="445">
        <f t="shared" si="18"/>
        <v>28965886</v>
      </c>
      <c r="K6" s="312">
        <f t="shared" si="12"/>
        <v>0</v>
      </c>
      <c r="L6" s="445">
        <f t="shared" si="18"/>
        <v>24130322</v>
      </c>
      <c r="M6" s="312">
        <f t="shared" si="13"/>
        <v>0</v>
      </c>
      <c r="N6" s="310">
        <f t="shared" si="14"/>
        <v>0</v>
      </c>
      <c r="O6" s="467">
        <f t="shared" si="1"/>
        <v>0</v>
      </c>
      <c r="P6" s="445">
        <f t="shared" ref="P5:P32" si="19">P5</f>
        <v>16860.034</v>
      </c>
      <c r="Q6" s="449">
        <f t="shared" si="2"/>
        <v>0</v>
      </c>
      <c r="R6" s="449">
        <f t="shared" ref="R6:R12" si="20">N6-Q6</f>
        <v>0</v>
      </c>
      <c r="S6" s="445">
        <f t="shared" si="7"/>
        <v>10175</v>
      </c>
      <c r="T6" s="469">
        <f t="shared" si="3"/>
        <v>0</v>
      </c>
      <c r="U6" s="445">
        <f t="shared" si="7"/>
        <v>429166</v>
      </c>
      <c r="V6" s="449">
        <f t="shared" si="15"/>
        <v>0</v>
      </c>
      <c r="W6" s="445">
        <f t="shared" si="7"/>
        <v>32257</v>
      </c>
      <c r="X6" s="449">
        <f t="shared" si="4"/>
        <v>0</v>
      </c>
      <c r="Y6" s="445">
        <f t="shared" si="7"/>
        <v>710354</v>
      </c>
      <c r="Z6" s="449">
        <f t="shared" ref="Z6:Z30" si="21">Y6-Y5</f>
        <v>0</v>
      </c>
      <c r="AA6" s="445">
        <f t="shared" si="7"/>
        <v>35815</v>
      </c>
      <c r="AB6" s="449">
        <f t="shared" si="16"/>
        <v>0</v>
      </c>
      <c r="AC6" s="445">
        <f t="shared" si="7"/>
        <v>936339</v>
      </c>
      <c r="AD6" s="449">
        <f t="shared" si="17"/>
        <v>0</v>
      </c>
      <c r="AE6" s="472">
        <f t="shared" si="8"/>
        <v>0</v>
      </c>
      <c r="AF6" s="473">
        <f t="shared" si="9"/>
        <v>0</v>
      </c>
      <c r="AG6" s="465">
        <f t="shared" si="5"/>
        <v>0</v>
      </c>
      <c r="AI6" s="466">
        <f>R6-'EDl log'!B4</f>
        <v>-957511</v>
      </c>
    </row>
    <row r="7" spans="1:115">
      <c r="A7" s="457">
        <f>'General information '!F10</f>
        <v>0</v>
      </c>
      <c r="B7" s="451">
        <f t="shared" si="6"/>
        <v>0</v>
      </c>
      <c r="C7" s="458">
        <v>44291</v>
      </c>
      <c r="D7" s="445">
        <f t="shared" si="18"/>
        <v>32746208</v>
      </c>
      <c r="E7" s="311">
        <f t="shared" si="10"/>
        <v>0</v>
      </c>
      <c r="F7" s="445">
        <f t="shared" si="18"/>
        <v>3992590</v>
      </c>
      <c r="G7" s="312">
        <f t="shared" si="0"/>
        <v>0</v>
      </c>
      <c r="H7" s="445">
        <f t="shared" si="18"/>
        <v>17833536</v>
      </c>
      <c r="I7" s="312">
        <f t="shared" si="11"/>
        <v>0</v>
      </c>
      <c r="J7" s="445">
        <f t="shared" si="18"/>
        <v>28965886</v>
      </c>
      <c r="K7" s="312">
        <f t="shared" si="12"/>
        <v>0</v>
      </c>
      <c r="L7" s="445">
        <f t="shared" si="18"/>
        <v>24130322</v>
      </c>
      <c r="M7" s="312">
        <f t="shared" si="13"/>
        <v>0</v>
      </c>
      <c r="N7" s="310">
        <f t="shared" si="14"/>
        <v>0</v>
      </c>
      <c r="O7" s="467">
        <f t="shared" si="1"/>
        <v>0</v>
      </c>
      <c r="P7" s="445">
        <f t="shared" si="19"/>
        <v>16860.034</v>
      </c>
      <c r="Q7" s="449">
        <f t="shared" si="2"/>
        <v>0</v>
      </c>
      <c r="R7" s="449">
        <f t="shared" si="20"/>
        <v>0</v>
      </c>
      <c r="S7" s="445">
        <f t="shared" si="7"/>
        <v>10175</v>
      </c>
      <c r="T7" s="469">
        <f t="shared" si="3"/>
        <v>0</v>
      </c>
      <c r="U7" s="445">
        <f t="shared" si="7"/>
        <v>429166</v>
      </c>
      <c r="V7" s="449">
        <f t="shared" si="15"/>
        <v>0</v>
      </c>
      <c r="W7" s="445">
        <f t="shared" si="7"/>
        <v>32257</v>
      </c>
      <c r="X7" s="449">
        <f t="shared" si="4"/>
        <v>0</v>
      </c>
      <c r="Y7" s="445">
        <f t="shared" si="7"/>
        <v>710354</v>
      </c>
      <c r="Z7" s="449">
        <f t="shared" si="21"/>
        <v>0</v>
      </c>
      <c r="AA7" s="445">
        <f t="shared" si="7"/>
        <v>35815</v>
      </c>
      <c r="AB7" s="449">
        <f t="shared" si="16"/>
        <v>0</v>
      </c>
      <c r="AC7" s="445">
        <f t="shared" si="7"/>
        <v>936339</v>
      </c>
      <c r="AD7" s="449">
        <f t="shared" si="17"/>
        <v>0</v>
      </c>
      <c r="AE7" s="472">
        <f t="shared" si="8"/>
        <v>0</v>
      </c>
      <c r="AF7" s="473">
        <f t="shared" si="9"/>
        <v>0</v>
      </c>
      <c r="AG7" s="465">
        <f t="shared" si="5"/>
        <v>0</v>
      </c>
      <c r="AI7" s="466">
        <f>R7-'EDl log'!B5</f>
        <v>-958123</v>
      </c>
    </row>
    <row r="8" spans="1:115">
      <c r="A8" s="457">
        <f>'General information '!F11</f>
        <v>0</v>
      </c>
      <c r="B8" s="451">
        <f t="shared" si="6"/>
        <v>0</v>
      </c>
      <c r="C8" s="458">
        <v>44292</v>
      </c>
      <c r="D8" s="445">
        <f t="shared" si="18"/>
        <v>32746208</v>
      </c>
      <c r="E8" s="311">
        <f t="shared" si="10"/>
        <v>0</v>
      </c>
      <c r="F8" s="445">
        <f t="shared" si="18"/>
        <v>3992590</v>
      </c>
      <c r="G8" s="312">
        <f t="shared" si="0"/>
        <v>0</v>
      </c>
      <c r="H8" s="445">
        <f t="shared" si="18"/>
        <v>17833536</v>
      </c>
      <c r="I8" s="312">
        <f t="shared" si="11"/>
        <v>0</v>
      </c>
      <c r="J8" s="445">
        <f t="shared" si="18"/>
        <v>28965886</v>
      </c>
      <c r="K8" s="312">
        <f t="shared" si="12"/>
        <v>0</v>
      </c>
      <c r="L8" s="445">
        <f t="shared" si="18"/>
        <v>24130322</v>
      </c>
      <c r="M8" s="312">
        <f t="shared" si="13"/>
        <v>0</v>
      </c>
      <c r="N8" s="310">
        <f t="shared" si="14"/>
        <v>0</v>
      </c>
      <c r="O8" s="467">
        <f t="shared" si="1"/>
        <v>0</v>
      </c>
      <c r="P8" s="445">
        <f t="shared" si="19"/>
        <v>16860.034</v>
      </c>
      <c r="Q8" s="449">
        <f t="shared" si="2"/>
        <v>0</v>
      </c>
      <c r="R8" s="449">
        <f t="shared" si="20"/>
        <v>0</v>
      </c>
      <c r="S8" s="445">
        <f t="shared" si="7"/>
        <v>10175</v>
      </c>
      <c r="T8" s="469">
        <f t="shared" si="3"/>
        <v>0</v>
      </c>
      <c r="U8" s="445">
        <f t="shared" si="7"/>
        <v>429166</v>
      </c>
      <c r="V8" s="449">
        <f t="shared" si="15"/>
        <v>0</v>
      </c>
      <c r="W8" s="445">
        <f t="shared" si="7"/>
        <v>32257</v>
      </c>
      <c r="X8" s="449">
        <f t="shared" si="4"/>
        <v>0</v>
      </c>
      <c r="Y8" s="445">
        <f t="shared" si="7"/>
        <v>710354</v>
      </c>
      <c r="Z8" s="449">
        <f t="shared" si="21"/>
        <v>0</v>
      </c>
      <c r="AA8" s="445">
        <f t="shared" si="7"/>
        <v>35815</v>
      </c>
      <c r="AB8" s="449">
        <f t="shared" si="16"/>
        <v>0</v>
      </c>
      <c r="AC8" s="445">
        <f t="shared" si="7"/>
        <v>936339</v>
      </c>
      <c r="AD8" s="449">
        <f t="shared" si="17"/>
        <v>0</v>
      </c>
      <c r="AE8" s="472">
        <f t="shared" si="8"/>
        <v>0</v>
      </c>
      <c r="AF8" s="473">
        <f t="shared" si="9"/>
        <v>0</v>
      </c>
      <c r="AG8" s="465">
        <f t="shared" si="5"/>
        <v>0</v>
      </c>
      <c r="AI8" s="466">
        <f>R8-'EDl log'!B6</f>
        <v>-958969</v>
      </c>
    </row>
    <row r="9" spans="1:115">
      <c r="A9" s="457">
        <f>'General information '!F12</f>
        <v>0</v>
      </c>
      <c r="B9" s="451">
        <f t="shared" si="6"/>
        <v>0</v>
      </c>
      <c r="C9" s="458">
        <v>44293</v>
      </c>
      <c r="D9" s="445">
        <f t="shared" si="18"/>
        <v>32746208</v>
      </c>
      <c r="E9" s="311">
        <f t="shared" si="10"/>
        <v>0</v>
      </c>
      <c r="F9" s="445">
        <f t="shared" si="18"/>
        <v>3992590</v>
      </c>
      <c r="G9" s="312">
        <f t="shared" si="0"/>
        <v>0</v>
      </c>
      <c r="H9" s="445">
        <f t="shared" si="18"/>
        <v>17833536</v>
      </c>
      <c r="I9" s="312">
        <f t="shared" si="11"/>
        <v>0</v>
      </c>
      <c r="J9" s="445">
        <f t="shared" si="18"/>
        <v>28965886</v>
      </c>
      <c r="K9" s="312">
        <f t="shared" si="12"/>
        <v>0</v>
      </c>
      <c r="L9" s="445">
        <f t="shared" si="18"/>
        <v>24130322</v>
      </c>
      <c r="M9" s="312">
        <f t="shared" si="13"/>
        <v>0</v>
      </c>
      <c r="N9" s="310">
        <f t="shared" si="14"/>
        <v>0</v>
      </c>
      <c r="O9" s="467">
        <f t="shared" si="1"/>
        <v>0</v>
      </c>
      <c r="P9" s="445">
        <f t="shared" si="19"/>
        <v>16860.034</v>
      </c>
      <c r="Q9" s="449">
        <f t="shared" si="2"/>
        <v>0</v>
      </c>
      <c r="R9" s="449">
        <f t="shared" si="20"/>
        <v>0</v>
      </c>
      <c r="S9" s="445">
        <f t="shared" si="7"/>
        <v>10175</v>
      </c>
      <c r="T9" s="469">
        <f t="shared" si="3"/>
        <v>0</v>
      </c>
      <c r="U9" s="445">
        <f t="shared" si="7"/>
        <v>429166</v>
      </c>
      <c r="V9" s="449">
        <f t="shared" si="15"/>
        <v>0</v>
      </c>
      <c r="W9" s="445">
        <f t="shared" si="7"/>
        <v>32257</v>
      </c>
      <c r="X9" s="449">
        <f t="shared" ref="X9:X30" si="22">W9-W8</f>
        <v>0</v>
      </c>
      <c r="Y9" s="445">
        <f t="shared" si="7"/>
        <v>710354</v>
      </c>
      <c r="Z9" s="449">
        <f t="shared" si="21"/>
        <v>0</v>
      </c>
      <c r="AA9" s="445">
        <f t="shared" si="7"/>
        <v>35815</v>
      </c>
      <c r="AB9" s="449">
        <f t="shared" si="16"/>
        <v>0</v>
      </c>
      <c r="AC9" s="445">
        <f t="shared" si="7"/>
        <v>936339</v>
      </c>
      <c r="AD9" s="449">
        <f t="shared" si="17"/>
        <v>0</v>
      </c>
      <c r="AE9" s="472">
        <f t="shared" si="8"/>
        <v>0</v>
      </c>
      <c r="AF9" s="473">
        <f t="shared" si="9"/>
        <v>0</v>
      </c>
      <c r="AG9" s="465">
        <f t="shared" si="5"/>
        <v>0</v>
      </c>
      <c r="AI9" s="466">
        <f>R9-'EDl log'!B7</f>
        <v>-958969</v>
      </c>
    </row>
    <row r="10" spans="1:115">
      <c r="A10" s="457">
        <f>'General information '!F13</f>
        <v>0</v>
      </c>
      <c r="B10" s="451">
        <f t="shared" si="6"/>
        <v>0</v>
      </c>
      <c r="C10" s="458">
        <v>44294</v>
      </c>
      <c r="D10" s="445">
        <f t="shared" si="18"/>
        <v>32746208</v>
      </c>
      <c r="E10" s="311">
        <f t="shared" si="10"/>
        <v>0</v>
      </c>
      <c r="F10" s="445">
        <f t="shared" si="18"/>
        <v>3992590</v>
      </c>
      <c r="G10" s="312">
        <f t="shared" si="0"/>
        <v>0</v>
      </c>
      <c r="H10" s="445">
        <f t="shared" si="18"/>
        <v>17833536</v>
      </c>
      <c r="I10" s="312">
        <f t="shared" si="11"/>
        <v>0</v>
      </c>
      <c r="J10" s="445">
        <f t="shared" si="18"/>
        <v>28965886</v>
      </c>
      <c r="K10" s="312">
        <f t="shared" si="12"/>
        <v>0</v>
      </c>
      <c r="L10" s="445">
        <f t="shared" si="18"/>
        <v>24130322</v>
      </c>
      <c r="M10" s="312">
        <f t="shared" si="13"/>
        <v>0</v>
      </c>
      <c r="N10" s="310">
        <f t="shared" si="14"/>
        <v>0</v>
      </c>
      <c r="O10" s="467">
        <f t="shared" ref="O10:O30" si="23">IF(B10&gt;0,N10/B10,0)</f>
        <v>0</v>
      </c>
      <c r="P10" s="445">
        <f t="shared" si="19"/>
        <v>16860.034</v>
      </c>
      <c r="Q10" s="449">
        <f t="shared" si="2"/>
        <v>0</v>
      </c>
      <c r="R10" s="449">
        <f t="shared" si="20"/>
        <v>0</v>
      </c>
      <c r="S10" s="445">
        <f t="shared" si="7"/>
        <v>10175</v>
      </c>
      <c r="T10" s="469">
        <f t="shared" si="3"/>
        <v>0</v>
      </c>
      <c r="U10" s="445">
        <f t="shared" si="7"/>
        <v>429166</v>
      </c>
      <c r="V10" s="449">
        <f t="shared" si="15"/>
        <v>0</v>
      </c>
      <c r="W10" s="445">
        <f t="shared" si="7"/>
        <v>32257</v>
      </c>
      <c r="X10" s="449">
        <f t="shared" si="22"/>
        <v>0</v>
      </c>
      <c r="Y10" s="445">
        <f t="shared" si="7"/>
        <v>710354</v>
      </c>
      <c r="Z10" s="449">
        <f t="shared" si="21"/>
        <v>0</v>
      </c>
      <c r="AA10" s="445">
        <f t="shared" si="7"/>
        <v>35815</v>
      </c>
      <c r="AB10" s="449">
        <f t="shared" si="16"/>
        <v>0</v>
      </c>
      <c r="AC10" s="445">
        <f t="shared" si="7"/>
        <v>936339</v>
      </c>
      <c r="AD10" s="449">
        <f t="shared" si="17"/>
        <v>0</v>
      </c>
      <c r="AE10" s="472">
        <f t="shared" si="8"/>
        <v>0</v>
      </c>
      <c r="AF10" s="473">
        <f t="shared" si="9"/>
        <v>0</v>
      </c>
      <c r="AG10" s="465">
        <f t="shared" ref="AG10:AG30" si="24">IF(AE10&gt;0,AF10/AE10,0)</f>
        <v>0</v>
      </c>
      <c r="AI10" s="466">
        <f>R10-'EDl log'!B8</f>
        <v>-958969</v>
      </c>
    </row>
    <row r="11" spans="1:115">
      <c r="A11" s="457">
        <f>'General information '!F14</f>
        <v>0</v>
      </c>
      <c r="B11" s="451">
        <f>SUM(230*A11)</f>
        <v>0</v>
      </c>
      <c r="C11" s="458">
        <v>44295</v>
      </c>
      <c r="D11" s="445">
        <f t="shared" si="18"/>
        <v>32746208</v>
      </c>
      <c r="E11" s="311">
        <f t="shared" si="10"/>
        <v>0</v>
      </c>
      <c r="F11" s="445">
        <f t="shared" si="18"/>
        <v>3992590</v>
      </c>
      <c r="G11" s="312">
        <f t="shared" si="0"/>
        <v>0</v>
      </c>
      <c r="H11" s="445">
        <f t="shared" si="18"/>
        <v>17833536</v>
      </c>
      <c r="I11" s="312">
        <f t="shared" si="11"/>
        <v>0</v>
      </c>
      <c r="J11" s="445">
        <f t="shared" si="18"/>
        <v>28965886</v>
      </c>
      <c r="K11" s="312">
        <f t="shared" si="12"/>
        <v>0</v>
      </c>
      <c r="L11" s="445">
        <f t="shared" si="18"/>
        <v>24130322</v>
      </c>
      <c r="M11" s="312">
        <f t="shared" si="13"/>
        <v>0</v>
      </c>
      <c r="N11" s="310">
        <f>M11+K11+I11+G11+E11</f>
        <v>0</v>
      </c>
      <c r="O11" s="467">
        <f t="shared" si="23"/>
        <v>0</v>
      </c>
      <c r="P11" s="445">
        <f t="shared" si="19"/>
        <v>16860.034</v>
      </c>
      <c r="Q11" s="449">
        <f t="shared" si="2"/>
        <v>0</v>
      </c>
      <c r="R11" s="449">
        <f t="shared" si="20"/>
        <v>0</v>
      </c>
      <c r="S11" s="445">
        <f t="shared" si="7"/>
        <v>10175</v>
      </c>
      <c r="T11" s="469">
        <f t="shared" si="3"/>
        <v>0</v>
      </c>
      <c r="U11" s="445">
        <f t="shared" si="7"/>
        <v>429166</v>
      </c>
      <c r="V11" s="449">
        <f t="shared" si="15"/>
        <v>0</v>
      </c>
      <c r="W11" s="445">
        <f t="shared" si="7"/>
        <v>32257</v>
      </c>
      <c r="X11" s="449">
        <f t="shared" si="22"/>
        <v>0</v>
      </c>
      <c r="Y11" s="445">
        <f t="shared" si="7"/>
        <v>710354</v>
      </c>
      <c r="Z11" s="449">
        <f t="shared" si="21"/>
        <v>0</v>
      </c>
      <c r="AA11" s="445">
        <f t="shared" si="7"/>
        <v>35815</v>
      </c>
      <c r="AB11" s="449">
        <f t="shared" si="16"/>
        <v>0</v>
      </c>
      <c r="AC11" s="445">
        <f t="shared" si="7"/>
        <v>936339</v>
      </c>
      <c r="AD11" s="449">
        <f t="shared" si="17"/>
        <v>0</v>
      </c>
      <c r="AE11" s="472">
        <f t="shared" si="8"/>
        <v>0</v>
      </c>
      <c r="AF11" s="473">
        <f t="shared" si="9"/>
        <v>0</v>
      </c>
      <c r="AG11" s="465">
        <f t="shared" si="24"/>
        <v>0</v>
      </c>
      <c r="AI11" s="466">
        <f>R11-'EDl log'!B9</f>
        <v>-958969</v>
      </c>
    </row>
    <row r="12" spans="1:115">
      <c r="A12" s="457">
        <f>'General information '!F15</f>
        <v>0</v>
      </c>
      <c r="B12" s="451">
        <f t="shared" si="6"/>
        <v>0</v>
      </c>
      <c r="C12" s="458">
        <v>44296</v>
      </c>
      <c r="D12" s="445">
        <f t="shared" si="18"/>
        <v>32746208</v>
      </c>
      <c r="E12" s="311">
        <f t="shared" si="10"/>
        <v>0</v>
      </c>
      <c r="F12" s="445">
        <f t="shared" si="18"/>
        <v>3992590</v>
      </c>
      <c r="G12" s="312">
        <f t="shared" si="0"/>
        <v>0</v>
      </c>
      <c r="H12" s="445">
        <f t="shared" si="18"/>
        <v>17833536</v>
      </c>
      <c r="I12" s="312">
        <f t="shared" si="11"/>
        <v>0</v>
      </c>
      <c r="J12" s="445">
        <f t="shared" si="18"/>
        <v>28965886</v>
      </c>
      <c r="K12" s="312">
        <f t="shared" si="12"/>
        <v>0</v>
      </c>
      <c r="L12" s="445">
        <f t="shared" si="18"/>
        <v>24130322</v>
      </c>
      <c r="M12" s="312">
        <f t="shared" si="13"/>
        <v>0</v>
      </c>
      <c r="N12" s="310">
        <f>M12+K12+I12+G12+E12</f>
        <v>0</v>
      </c>
      <c r="O12" s="467">
        <f t="shared" si="23"/>
        <v>0</v>
      </c>
      <c r="P12" s="445">
        <f t="shared" si="19"/>
        <v>16860.034</v>
      </c>
      <c r="Q12" s="449">
        <f t="shared" si="2"/>
        <v>0</v>
      </c>
      <c r="R12" s="449">
        <f t="shared" si="20"/>
        <v>0</v>
      </c>
      <c r="S12" s="445">
        <f t="shared" si="7"/>
        <v>10175</v>
      </c>
      <c r="T12" s="469">
        <f t="shared" si="3"/>
        <v>0</v>
      </c>
      <c r="U12" s="445">
        <f t="shared" si="7"/>
        <v>429166</v>
      </c>
      <c r="V12" s="449">
        <f t="shared" si="15"/>
        <v>0</v>
      </c>
      <c r="W12" s="445">
        <f t="shared" si="7"/>
        <v>32257</v>
      </c>
      <c r="X12" s="449">
        <f t="shared" si="22"/>
        <v>0</v>
      </c>
      <c r="Y12" s="445">
        <f t="shared" si="7"/>
        <v>710354</v>
      </c>
      <c r="Z12" s="449">
        <f t="shared" si="21"/>
        <v>0</v>
      </c>
      <c r="AA12" s="445">
        <f t="shared" si="7"/>
        <v>35815</v>
      </c>
      <c r="AB12" s="449">
        <f t="shared" si="16"/>
        <v>0</v>
      </c>
      <c r="AC12" s="445">
        <f t="shared" si="7"/>
        <v>936339</v>
      </c>
      <c r="AD12" s="449">
        <f t="shared" si="17"/>
        <v>0</v>
      </c>
      <c r="AE12" s="472">
        <f t="shared" si="8"/>
        <v>0</v>
      </c>
      <c r="AF12" s="473">
        <f t="shared" si="9"/>
        <v>0</v>
      </c>
      <c r="AG12" s="465">
        <f t="shared" si="24"/>
        <v>0</v>
      </c>
      <c r="AI12" s="466">
        <f>R12-'EDl log'!B10</f>
        <v>-958969</v>
      </c>
    </row>
    <row r="13" spans="1:115">
      <c r="A13" s="457">
        <f>'General information '!F16</f>
        <v>0</v>
      </c>
      <c r="B13" s="451">
        <f t="shared" si="6"/>
        <v>0</v>
      </c>
      <c r="C13" s="458">
        <v>44297</v>
      </c>
      <c r="D13" s="445">
        <f t="shared" si="18"/>
        <v>32746208</v>
      </c>
      <c r="E13" s="311">
        <f t="shared" si="10"/>
        <v>0</v>
      </c>
      <c r="F13" s="445">
        <f t="shared" si="18"/>
        <v>3992590</v>
      </c>
      <c r="G13" s="312">
        <f t="shared" si="0"/>
        <v>0</v>
      </c>
      <c r="H13" s="445">
        <f t="shared" si="18"/>
        <v>17833536</v>
      </c>
      <c r="I13" s="312">
        <f t="shared" si="11"/>
        <v>0</v>
      </c>
      <c r="J13" s="445">
        <f t="shared" si="18"/>
        <v>28965886</v>
      </c>
      <c r="K13" s="312">
        <f t="shared" si="12"/>
        <v>0</v>
      </c>
      <c r="L13" s="445">
        <f t="shared" si="18"/>
        <v>24130322</v>
      </c>
      <c r="M13" s="312">
        <f t="shared" si="13"/>
        <v>0</v>
      </c>
      <c r="N13" s="310">
        <f t="shared" si="14"/>
        <v>0</v>
      </c>
      <c r="O13" s="467">
        <f t="shared" si="23"/>
        <v>0</v>
      </c>
      <c r="P13" s="445">
        <f t="shared" si="19"/>
        <v>16860.034</v>
      </c>
      <c r="Q13" s="449">
        <f>(P13-P12)*1000</f>
        <v>0</v>
      </c>
      <c r="R13" s="449">
        <f t="shared" ref="R13" si="25">N13-Q13</f>
        <v>0</v>
      </c>
      <c r="S13" s="445">
        <f t="shared" si="7"/>
        <v>10175</v>
      </c>
      <c r="T13" s="469">
        <f t="shared" si="3"/>
        <v>0</v>
      </c>
      <c r="U13" s="445">
        <f t="shared" si="7"/>
        <v>429166</v>
      </c>
      <c r="V13" s="449">
        <f t="shared" si="15"/>
        <v>0</v>
      </c>
      <c r="W13" s="445">
        <f t="shared" si="7"/>
        <v>32257</v>
      </c>
      <c r="X13" s="449">
        <f t="shared" si="22"/>
        <v>0</v>
      </c>
      <c r="Y13" s="445">
        <f t="shared" si="7"/>
        <v>710354</v>
      </c>
      <c r="Z13" s="449">
        <f t="shared" si="21"/>
        <v>0</v>
      </c>
      <c r="AA13" s="445">
        <f t="shared" si="7"/>
        <v>35815</v>
      </c>
      <c r="AB13" s="449">
        <f t="shared" si="16"/>
        <v>0</v>
      </c>
      <c r="AC13" s="445">
        <f t="shared" si="7"/>
        <v>936339</v>
      </c>
      <c r="AD13" s="449">
        <f t="shared" si="17"/>
        <v>0</v>
      </c>
      <c r="AE13" s="472">
        <f t="shared" si="8"/>
        <v>0</v>
      </c>
      <c r="AF13" s="473">
        <f t="shared" si="9"/>
        <v>0</v>
      </c>
      <c r="AG13" s="465">
        <f t="shared" si="24"/>
        <v>0</v>
      </c>
      <c r="AI13" s="466">
        <f>R13-'EDl log'!B11</f>
        <v>-958969</v>
      </c>
    </row>
    <row r="14" spans="1:115">
      <c r="A14" s="457">
        <f>'General information '!F17</f>
        <v>0</v>
      </c>
      <c r="B14" s="451">
        <f t="shared" si="6"/>
        <v>0</v>
      </c>
      <c r="C14" s="458">
        <v>44298</v>
      </c>
      <c r="D14" s="445">
        <f t="shared" si="18"/>
        <v>32746208</v>
      </c>
      <c r="E14" s="311">
        <f t="shared" si="10"/>
        <v>0</v>
      </c>
      <c r="F14" s="445">
        <f t="shared" si="18"/>
        <v>3992590</v>
      </c>
      <c r="G14" s="312">
        <f t="shared" si="0"/>
        <v>0</v>
      </c>
      <c r="H14" s="445">
        <f t="shared" si="18"/>
        <v>17833536</v>
      </c>
      <c r="I14" s="312">
        <f t="shared" si="11"/>
        <v>0</v>
      </c>
      <c r="J14" s="445">
        <f t="shared" si="18"/>
        <v>28965886</v>
      </c>
      <c r="K14" s="312">
        <f t="shared" si="12"/>
        <v>0</v>
      </c>
      <c r="L14" s="445">
        <f t="shared" si="18"/>
        <v>24130322</v>
      </c>
      <c r="M14" s="312">
        <f t="shared" si="13"/>
        <v>0</v>
      </c>
      <c r="N14" s="310">
        <f t="shared" si="14"/>
        <v>0</v>
      </c>
      <c r="O14" s="467">
        <f t="shared" si="23"/>
        <v>0</v>
      </c>
      <c r="P14" s="445">
        <f t="shared" si="19"/>
        <v>16860.034</v>
      </c>
      <c r="Q14" s="449">
        <f t="shared" ref="Q14:Q30" si="26">(P14-P13)*1000</f>
        <v>0</v>
      </c>
      <c r="R14" s="449">
        <f t="shared" ref="R14:R30" si="27">N14-Q14</f>
        <v>0</v>
      </c>
      <c r="S14" s="445">
        <f t="shared" si="7"/>
        <v>10175</v>
      </c>
      <c r="T14" s="469">
        <f t="shared" si="3"/>
        <v>0</v>
      </c>
      <c r="U14" s="445">
        <f t="shared" si="7"/>
        <v>429166</v>
      </c>
      <c r="V14" s="449">
        <f t="shared" si="15"/>
        <v>0</v>
      </c>
      <c r="W14" s="445">
        <f t="shared" si="7"/>
        <v>32257</v>
      </c>
      <c r="X14" s="449">
        <f t="shared" si="22"/>
        <v>0</v>
      </c>
      <c r="Y14" s="445">
        <f t="shared" si="7"/>
        <v>710354</v>
      </c>
      <c r="Z14" s="449">
        <f t="shared" si="21"/>
        <v>0</v>
      </c>
      <c r="AA14" s="445">
        <f t="shared" si="7"/>
        <v>35815</v>
      </c>
      <c r="AB14" s="449">
        <f t="shared" si="16"/>
        <v>0</v>
      </c>
      <c r="AC14" s="445">
        <f t="shared" si="7"/>
        <v>936339</v>
      </c>
      <c r="AD14" s="449">
        <f t="shared" si="17"/>
        <v>0</v>
      </c>
      <c r="AE14" s="472">
        <f t="shared" si="8"/>
        <v>0</v>
      </c>
      <c r="AF14" s="473">
        <f t="shared" si="9"/>
        <v>0</v>
      </c>
      <c r="AG14" s="465">
        <f t="shared" si="24"/>
        <v>0</v>
      </c>
      <c r="AI14" s="466">
        <f>R14-'EDl log'!B12</f>
        <v>-958969</v>
      </c>
    </row>
    <row r="15" spans="1:115">
      <c r="A15" s="457">
        <f>'General information '!F18</f>
        <v>0</v>
      </c>
      <c r="B15" s="451">
        <f t="shared" si="6"/>
        <v>0</v>
      </c>
      <c r="C15" s="458">
        <v>44299</v>
      </c>
      <c r="D15" s="445">
        <f t="shared" si="18"/>
        <v>32746208</v>
      </c>
      <c r="E15" s="311">
        <f t="shared" si="10"/>
        <v>0</v>
      </c>
      <c r="F15" s="445">
        <f t="shared" si="18"/>
        <v>3992590</v>
      </c>
      <c r="G15" s="312">
        <f t="shared" si="0"/>
        <v>0</v>
      </c>
      <c r="H15" s="445">
        <f t="shared" si="18"/>
        <v>17833536</v>
      </c>
      <c r="I15" s="312">
        <f t="shared" si="11"/>
        <v>0</v>
      </c>
      <c r="J15" s="445">
        <f t="shared" si="18"/>
        <v>28965886</v>
      </c>
      <c r="K15" s="312">
        <f t="shared" si="12"/>
        <v>0</v>
      </c>
      <c r="L15" s="445">
        <f t="shared" si="18"/>
        <v>24130322</v>
      </c>
      <c r="M15" s="312">
        <f t="shared" si="13"/>
        <v>0</v>
      </c>
      <c r="N15" s="310">
        <f t="shared" si="14"/>
        <v>0</v>
      </c>
      <c r="O15" s="467">
        <f t="shared" si="23"/>
        <v>0</v>
      </c>
      <c r="P15" s="445">
        <f t="shared" si="19"/>
        <v>16860.034</v>
      </c>
      <c r="Q15" s="449">
        <f t="shared" si="26"/>
        <v>0</v>
      </c>
      <c r="R15" s="449">
        <f t="shared" si="27"/>
        <v>0</v>
      </c>
      <c r="S15" s="445">
        <f t="shared" si="7"/>
        <v>10175</v>
      </c>
      <c r="T15" s="469">
        <f t="shared" si="3"/>
        <v>0</v>
      </c>
      <c r="U15" s="445">
        <f t="shared" si="7"/>
        <v>429166</v>
      </c>
      <c r="V15" s="449">
        <f t="shared" si="15"/>
        <v>0</v>
      </c>
      <c r="W15" s="445">
        <f t="shared" si="7"/>
        <v>32257</v>
      </c>
      <c r="X15" s="449">
        <f t="shared" si="22"/>
        <v>0</v>
      </c>
      <c r="Y15" s="445">
        <f t="shared" si="7"/>
        <v>710354</v>
      </c>
      <c r="Z15" s="449">
        <f t="shared" si="21"/>
        <v>0</v>
      </c>
      <c r="AA15" s="445">
        <f t="shared" si="7"/>
        <v>35815</v>
      </c>
      <c r="AB15" s="449">
        <f t="shared" si="16"/>
        <v>0</v>
      </c>
      <c r="AC15" s="445">
        <f t="shared" si="7"/>
        <v>936339</v>
      </c>
      <c r="AD15" s="449">
        <f t="shared" si="17"/>
        <v>0</v>
      </c>
      <c r="AE15" s="472">
        <f t="shared" si="8"/>
        <v>0</v>
      </c>
      <c r="AF15" s="473">
        <f t="shared" si="9"/>
        <v>0</v>
      </c>
      <c r="AG15" s="465">
        <f t="shared" si="24"/>
        <v>0</v>
      </c>
      <c r="AI15" s="466">
        <f>R15-'EDl log'!B13</f>
        <v>-958969</v>
      </c>
    </row>
    <row r="16" spans="1:115">
      <c r="A16" s="457">
        <f>'General information '!F19</f>
        <v>0</v>
      </c>
      <c r="B16" s="451">
        <f t="shared" si="6"/>
        <v>0</v>
      </c>
      <c r="C16" s="458">
        <v>44300</v>
      </c>
      <c r="D16" s="445">
        <f t="shared" si="18"/>
        <v>32746208</v>
      </c>
      <c r="E16" s="311">
        <f t="shared" si="10"/>
        <v>0</v>
      </c>
      <c r="F16" s="445">
        <f t="shared" si="18"/>
        <v>3992590</v>
      </c>
      <c r="G16" s="312">
        <f t="shared" si="0"/>
        <v>0</v>
      </c>
      <c r="H16" s="445">
        <f t="shared" si="18"/>
        <v>17833536</v>
      </c>
      <c r="I16" s="312">
        <f t="shared" si="11"/>
        <v>0</v>
      </c>
      <c r="J16" s="445">
        <f t="shared" si="18"/>
        <v>28965886</v>
      </c>
      <c r="K16" s="312">
        <f t="shared" si="12"/>
        <v>0</v>
      </c>
      <c r="L16" s="445">
        <f t="shared" si="18"/>
        <v>24130322</v>
      </c>
      <c r="M16" s="312">
        <f t="shared" si="13"/>
        <v>0</v>
      </c>
      <c r="N16" s="310">
        <f t="shared" si="14"/>
        <v>0</v>
      </c>
      <c r="O16" s="467">
        <f t="shared" si="23"/>
        <v>0</v>
      </c>
      <c r="P16" s="445">
        <f t="shared" si="19"/>
        <v>16860.034</v>
      </c>
      <c r="Q16" s="449">
        <f t="shared" si="26"/>
        <v>0</v>
      </c>
      <c r="R16" s="449">
        <f t="shared" si="27"/>
        <v>0</v>
      </c>
      <c r="S16" s="445">
        <f t="shared" si="7"/>
        <v>10175</v>
      </c>
      <c r="T16" s="469">
        <f t="shared" si="3"/>
        <v>0</v>
      </c>
      <c r="U16" s="445">
        <f t="shared" si="7"/>
        <v>429166</v>
      </c>
      <c r="V16" s="449">
        <f t="shared" si="15"/>
        <v>0</v>
      </c>
      <c r="W16" s="445">
        <f t="shared" si="7"/>
        <v>32257</v>
      </c>
      <c r="X16" s="449">
        <f>W16-W15</f>
        <v>0</v>
      </c>
      <c r="Y16" s="445">
        <f t="shared" si="7"/>
        <v>710354</v>
      </c>
      <c r="Z16" s="449">
        <f>Y16-Y15</f>
        <v>0</v>
      </c>
      <c r="AA16" s="445">
        <f t="shared" si="7"/>
        <v>35815</v>
      </c>
      <c r="AB16" s="449">
        <f>AA16-AA15</f>
        <v>0</v>
      </c>
      <c r="AC16" s="445">
        <f t="shared" si="7"/>
        <v>936339</v>
      </c>
      <c r="AD16" s="449">
        <f t="shared" si="17"/>
        <v>0</v>
      </c>
      <c r="AE16" s="472">
        <f t="shared" si="8"/>
        <v>0</v>
      </c>
      <c r="AF16" s="473">
        <f t="shared" si="9"/>
        <v>0</v>
      </c>
      <c r="AG16" s="465">
        <f t="shared" si="24"/>
        <v>0</v>
      </c>
      <c r="AI16" s="466">
        <f>R16-'EDl log'!B14</f>
        <v>-958969</v>
      </c>
    </row>
    <row r="17" spans="1:35">
      <c r="A17" s="457">
        <f>'General information '!F20</f>
        <v>0</v>
      </c>
      <c r="B17" s="451">
        <f t="shared" si="6"/>
        <v>0</v>
      </c>
      <c r="C17" s="458">
        <v>44301</v>
      </c>
      <c r="D17" s="445">
        <f t="shared" si="18"/>
        <v>32746208</v>
      </c>
      <c r="E17" s="311">
        <f t="shared" si="10"/>
        <v>0</v>
      </c>
      <c r="F17" s="445">
        <f t="shared" si="18"/>
        <v>3992590</v>
      </c>
      <c r="G17" s="312">
        <f t="shared" si="0"/>
        <v>0</v>
      </c>
      <c r="H17" s="445">
        <f t="shared" si="18"/>
        <v>17833536</v>
      </c>
      <c r="I17" s="312">
        <f t="shared" si="11"/>
        <v>0</v>
      </c>
      <c r="J17" s="445">
        <f t="shared" si="18"/>
        <v>28965886</v>
      </c>
      <c r="K17" s="312">
        <f t="shared" si="12"/>
        <v>0</v>
      </c>
      <c r="L17" s="445">
        <f t="shared" si="18"/>
        <v>24130322</v>
      </c>
      <c r="M17" s="312">
        <f t="shared" si="13"/>
        <v>0</v>
      </c>
      <c r="N17" s="310">
        <f t="shared" si="14"/>
        <v>0</v>
      </c>
      <c r="O17" s="467">
        <f t="shared" si="23"/>
        <v>0</v>
      </c>
      <c r="P17" s="445">
        <f t="shared" si="19"/>
        <v>16860.034</v>
      </c>
      <c r="Q17" s="449">
        <f t="shared" si="26"/>
        <v>0</v>
      </c>
      <c r="R17" s="449">
        <f t="shared" si="27"/>
        <v>0</v>
      </c>
      <c r="S17" s="445">
        <f t="shared" si="7"/>
        <v>10175</v>
      </c>
      <c r="T17" s="469">
        <f t="shared" si="3"/>
        <v>0</v>
      </c>
      <c r="U17" s="445">
        <f t="shared" si="7"/>
        <v>429166</v>
      </c>
      <c r="V17" s="449">
        <f t="shared" si="15"/>
        <v>0</v>
      </c>
      <c r="W17" s="445">
        <f t="shared" si="7"/>
        <v>32257</v>
      </c>
      <c r="X17" s="449">
        <f t="shared" si="22"/>
        <v>0</v>
      </c>
      <c r="Y17" s="445">
        <f t="shared" si="7"/>
        <v>710354</v>
      </c>
      <c r="Z17" s="449">
        <f t="shared" si="21"/>
        <v>0</v>
      </c>
      <c r="AA17" s="445">
        <f t="shared" si="7"/>
        <v>35815</v>
      </c>
      <c r="AB17" s="449">
        <f t="shared" si="16"/>
        <v>0</v>
      </c>
      <c r="AC17" s="445">
        <f t="shared" si="7"/>
        <v>936339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4"/>
        <v>0</v>
      </c>
      <c r="AI17" s="466">
        <f>R17-'EDl log'!B15</f>
        <v>-958969</v>
      </c>
    </row>
    <row r="18" spans="1:35">
      <c r="A18" s="457">
        <f>'General information '!F21</f>
        <v>0</v>
      </c>
      <c r="B18" s="451">
        <f t="shared" si="6"/>
        <v>0</v>
      </c>
      <c r="C18" s="458">
        <v>44302</v>
      </c>
      <c r="D18" s="445">
        <f t="shared" si="18"/>
        <v>32746208</v>
      </c>
      <c r="E18" s="311">
        <f t="shared" si="10"/>
        <v>0</v>
      </c>
      <c r="F18" s="445">
        <f t="shared" si="18"/>
        <v>3992590</v>
      </c>
      <c r="G18" s="312">
        <f t="shared" si="0"/>
        <v>0</v>
      </c>
      <c r="H18" s="445">
        <f t="shared" si="18"/>
        <v>17833536</v>
      </c>
      <c r="I18" s="312">
        <f t="shared" si="11"/>
        <v>0</v>
      </c>
      <c r="J18" s="445">
        <f t="shared" si="18"/>
        <v>28965886</v>
      </c>
      <c r="K18" s="312">
        <f t="shared" si="12"/>
        <v>0</v>
      </c>
      <c r="L18" s="445">
        <f t="shared" si="18"/>
        <v>24130322</v>
      </c>
      <c r="M18" s="312">
        <f t="shared" si="13"/>
        <v>0</v>
      </c>
      <c r="N18" s="310">
        <f t="shared" si="14"/>
        <v>0</v>
      </c>
      <c r="O18" s="467">
        <f t="shared" si="23"/>
        <v>0</v>
      </c>
      <c r="P18" s="445">
        <f t="shared" si="19"/>
        <v>16860.034</v>
      </c>
      <c r="Q18" s="449">
        <f t="shared" si="26"/>
        <v>0</v>
      </c>
      <c r="R18" s="449">
        <f t="shared" si="27"/>
        <v>0</v>
      </c>
      <c r="S18" s="445">
        <f t="shared" si="7"/>
        <v>10175</v>
      </c>
      <c r="T18" s="469">
        <f t="shared" si="3"/>
        <v>0</v>
      </c>
      <c r="U18" s="445">
        <f t="shared" si="7"/>
        <v>429166</v>
      </c>
      <c r="V18" s="449">
        <f t="shared" si="15"/>
        <v>0</v>
      </c>
      <c r="W18" s="445">
        <f t="shared" si="7"/>
        <v>32257</v>
      </c>
      <c r="X18" s="449">
        <f t="shared" si="22"/>
        <v>0</v>
      </c>
      <c r="Y18" s="445">
        <f t="shared" si="7"/>
        <v>710354</v>
      </c>
      <c r="Z18" s="449">
        <f t="shared" si="21"/>
        <v>0</v>
      </c>
      <c r="AA18" s="445">
        <f t="shared" si="7"/>
        <v>35815</v>
      </c>
      <c r="AB18" s="449">
        <f t="shared" si="16"/>
        <v>0</v>
      </c>
      <c r="AC18" s="445">
        <f t="shared" si="7"/>
        <v>936339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4"/>
        <v>0</v>
      </c>
      <c r="AI18" s="466">
        <f>R18-'EDl log'!B16</f>
        <v>-958969</v>
      </c>
    </row>
    <row r="19" spans="1:35">
      <c r="A19" s="457">
        <f>'General information '!F22</f>
        <v>0</v>
      </c>
      <c r="B19" s="451">
        <f t="shared" si="6"/>
        <v>0</v>
      </c>
      <c r="C19" s="458">
        <v>44303</v>
      </c>
      <c r="D19" s="445">
        <f t="shared" si="18"/>
        <v>32746208</v>
      </c>
      <c r="E19" s="311">
        <f t="shared" si="10"/>
        <v>0</v>
      </c>
      <c r="F19" s="445">
        <f t="shared" si="18"/>
        <v>3992590</v>
      </c>
      <c r="G19" s="312">
        <f t="shared" si="0"/>
        <v>0</v>
      </c>
      <c r="H19" s="445">
        <f t="shared" si="18"/>
        <v>17833536</v>
      </c>
      <c r="I19" s="312">
        <f t="shared" si="11"/>
        <v>0</v>
      </c>
      <c r="J19" s="445">
        <f t="shared" si="18"/>
        <v>28965886</v>
      </c>
      <c r="K19" s="312">
        <f t="shared" si="12"/>
        <v>0</v>
      </c>
      <c r="L19" s="445">
        <f t="shared" si="18"/>
        <v>24130322</v>
      </c>
      <c r="M19" s="312">
        <f t="shared" si="13"/>
        <v>0</v>
      </c>
      <c r="N19" s="310">
        <f t="shared" si="14"/>
        <v>0</v>
      </c>
      <c r="O19" s="467">
        <f t="shared" si="23"/>
        <v>0</v>
      </c>
      <c r="P19" s="445">
        <f t="shared" si="19"/>
        <v>16860.034</v>
      </c>
      <c r="Q19" s="449">
        <f t="shared" si="26"/>
        <v>0</v>
      </c>
      <c r="R19" s="449">
        <f t="shared" si="27"/>
        <v>0</v>
      </c>
      <c r="S19" s="445">
        <f t="shared" si="7"/>
        <v>10175</v>
      </c>
      <c r="T19" s="469">
        <f t="shared" si="3"/>
        <v>0</v>
      </c>
      <c r="U19" s="445">
        <f t="shared" si="7"/>
        <v>429166</v>
      </c>
      <c r="V19" s="449">
        <f t="shared" si="15"/>
        <v>0</v>
      </c>
      <c r="W19" s="445">
        <f t="shared" si="7"/>
        <v>32257</v>
      </c>
      <c r="X19" s="449">
        <f t="shared" si="22"/>
        <v>0</v>
      </c>
      <c r="Y19" s="445">
        <f t="shared" si="7"/>
        <v>710354</v>
      </c>
      <c r="Z19" s="449">
        <f t="shared" si="21"/>
        <v>0</v>
      </c>
      <c r="AA19" s="445">
        <f t="shared" si="7"/>
        <v>35815</v>
      </c>
      <c r="AB19" s="449">
        <f t="shared" si="16"/>
        <v>0</v>
      </c>
      <c r="AC19" s="445">
        <f t="shared" si="7"/>
        <v>936339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4"/>
        <v>0</v>
      </c>
      <c r="AI19" s="466">
        <f>R19-'EDl log'!B17</f>
        <v>-958969</v>
      </c>
    </row>
    <row r="20" spans="1:35">
      <c r="A20" s="457">
        <f>'General information '!F23</f>
        <v>0</v>
      </c>
      <c r="B20" s="451">
        <f t="shared" si="6"/>
        <v>0</v>
      </c>
      <c r="C20" s="458">
        <v>44304</v>
      </c>
      <c r="D20" s="445">
        <f t="shared" si="18"/>
        <v>32746208</v>
      </c>
      <c r="E20" s="311">
        <f t="shared" si="10"/>
        <v>0</v>
      </c>
      <c r="F20" s="445">
        <f t="shared" si="18"/>
        <v>3992590</v>
      </c>
      <c r="G20" s="312">
        <f t="shared" si="0"/>
        <v>0</v>
      </c>
      <c r="H20" s="445">
        <f t="shared" si="18"/>
        <v>17833536</v>
      </c>
      <c r="I20" s="312">
        <f t="shared" si="11"/>
        <v>0</v>
      </c>
      <c r="J20" s="445">
        <f t="shared" si="18"/>
        <v>28965886</v>
      </c>
      <c r="K20" s="312">
        <f t="shared" si="12"/>
        <v>0</v>
      </c>
      <c r="L20" s="445">
        <f t="shared" si="18"/>
        <v>24130322</v>
      </c>
      <c r="M20" s="312">
        <f t="shared" si="13"/>
        <v>0</v>
      </c>
      <c r="N20" s="310">
        <f t="shared" si="14"/>
        <v>0</v>
      </c>
      <c r="O20" s="467">
        <f t="shared" si="23"/>
        <v>0</v>
      </c>
      <c r="P20" s="445">
        <f t="shared" si="19"/>
        <v>16860.034</v>
      </c>
      <c r="Q20" s="449">
        <f t="shared" si="26"/>
        <v>0</v>
      </c>
      <c r="R20" s="449">
        <f t="shared" si="27"/>
        <v>0</v>
      </c>
      <c r="S20" s="445">
        <f t="shared" si="7"/>
        <v>10175</v>
      </c>
      <c r="T20" s="469">
        <f t="shared" si="3"/>
        <v>0</v>
      </c>
      <c r="U20" s="445">
        <f t="shared" si="7"/>
        <v>429166</v>
      </c>
      <c r="V20" s="449">
        <f t="shared" si="15"/>
        <v>0</v>
      </c>
      <c r="W20" s="445">
        <f t="shared" si="7"/>
        <v>32257</v>
      </c>
      <c r="X20" s="449">
        <f t="shared" si="22"/>
        <v>0</v>
      </c>
      <c r="Y20" s="445">
        <f t="shared" si="7"/>
        <v>710354</v>
      </c>
      <c r="Z20" s="449">
        <f t="shared" si="21"/>
        <v>0</v>
      </c>
      <c r="AA20" s="445">
        <f t="shared" si="7"/>
        <v>35815</v>
      </c>
      <c r="AB20" s="449">
        <f t="shared" si="16"/>
        <v>0</v>
      </c>
      <c r="AC20" s="445">
        <f t="shared" si="7"/>
        <v>936339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4"/>
        <v>0</v>
      </c>
      <c r="AI20" s="466">
        <f>R20-'EDl log'!B18</f>
        <v>-958969</v>
      </c>
    </row>
    <row r="21" spans="1:35">
      <c r="A21" s="457">
        <f>'General information '!F24</f>
        <v>0</v>
      </c>
      <c r="B21" s="451">
        <f t="shared" si="6"/>
        <v>0</v>
      </c>
      <c r="C21" s="458">
        <v>44305</v>
      </c>
      <c r="D21" s="445">
        <f t="shared" si="18"/>
        <v>32746208</v>
      </c>
      <c r="E21" s="311">
        <f t="shared" si="10"/>
        <v>0</v>
      </c>
      <c r="F21" s="445">
        <f t="shared" si="18"/>
        <v>3992590</v>
      </c>
      <c r="G21" s="312">
        <f t="shared" si="0"/>
        <v>0</v>
      </c>
      <c r="H21" s="445">
        <f t="shared" si="18"/>
        <v>17833536</v>
      </c>
      <c r="I21" s="312">
        <f t="shared" si="11"/>
        <v>0</v>
      </c>
      <c r="J21" s="445">
        <f t="shared" si="18"/>
        <v>28965886</v>
      </c>
      <c r="K21" s="312">
        <f t="shared" si="12"/>
        <v>0</v>
      </c>
      <c r="L21" s="445">
        <f t="shared" si="18"/>
        <v>24130322</v>
      </c>
      <c r="M21" s="312">
        <f t="shared" si="13"/>
        <v>0</v>
      </c>
      <c r="N21" s="310">
        <f t="shared" si="14"/>
        <v>0</v>
      </c>
      <c r="O21" s="467">
        <f t="shared" si="23"/>
        <v>0</v>
      </c>
      <c r="P21" s="445">
        <f t="shared" si="19"/>
        <v>16860.034</v>
      </c>
      <c r="Q21" s="449">
        <f t="shared" si="26"/>
        <v>0</v>
      </c>
      <c r="R21" s="449">
        <f t="shared" si="27"/>
        <v>0</v>
      </c>
      <c r="S21" s="445">
        <f t="shared" si="7"/>
        <v>10175</v>
      </c>
      <c r="T21" s="469">
        <f t="shared" si="3"/>
        <v>0</v>
      </c>
      <c r="U21" s="445">
        <f t="shared" si="7"/>
        <v>429166</v>
      </c>
      <c r="V21" s="449">
        <f t="shared" si="15"/>
        <v>0</v>
      </c>
      <c r="W21" s="445">
        <f t="shared" si="7"/>
        <v>32257</v>
      </c>
      <c r="X21" s="449">
        <f t="shared" si="22"/>
        <v>0</v>
      </c>
      <c r="Y21" s="445">
        <f t="shared" si="7"/>
        <v>710354</v>
      </c>
      <c r="Z21" s="449">
        <f t="shared" si="21"/>
        <v>0</v>
      </c>
      <c r="AA21" s="445">
        <f t="shared" si="7"/>
        <v>35815</v>
      </c>
      <c r="AB21" s="449">
        <f t="shared" si="16"/>
        <v>0</v>
      </c>
      <c r="AC21" s="445">
        <f t="shared" si="7"/>
        <v>936339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4"/>
        <v>0</v>
      </c>
      <c r="AI21" s="466">
        <f>R21-'EDl log'!B19</f>
        <v>-958969</v>
      </c>
    </row>
    <row r="22" spans="1:35">
      <c r="A22" s="457">
        <f>'General information '!F25</f>
        <v>0</v>
      </c>
      <c r="B22" s="451">
        <f t="shared" si="6"/>
        <v>0</v>
      </c>
      <c r="C22" s="458">
        <v>44306</v>
      </c>
      <c r="D22" s="445">
        <f t="shared" si="18"/>
        <v>32746208</v>
      </c>
      <c r="E22" s="311">
        <f t="shared" si="10"/>
        <v>0</v>
      </c>
      <c r="F22" s="445">
        <f t="shared" si="18"/>
        <v>3992590</v>
      </c>
      <c r="G22" s="312">
        <f t="shared" si="0"/>
        <v>0</v>
      </c>
      <c r="H22" s="445">
        <f t="shared" si="18"/>
        <v>17833536</v>
      </c>
      <c r="I22" s="312">
        <f t="shared" si="11"/>
        <v>0</v>
      </c>
      <c r="J22" s="445">
        <f t="shared" si="18"/>
        <v>28965886</v>
      </c>
      <c r="K22" s="312">
        <f t="shared" si="12"/>
        <v>0</v>
      </c>
      <c r="L22" s="445">
        <f t="shared" si="18"/>
        <v>24130322</v>
      </c>
      <c r="M22" s="312">
        <f t="shared" si="13"/>
        <v>0</v>
      </c>
      <c r="N22" s="310">
        <f t="shared" si="14"/>
        <v>0</v>
      </c>
      <c r="O22" s="467">
        <f t="shared" si="23"/>
        <v>0</v>
      </c>
      <c r="P22" s="445">
        <f t="shared" si="19"/>
        <v>16860.034</v>
      </c>
      <c r="Q22" s="449">
        <f t="shared" si="26"/>
        <v>0</v>
      </c>
      <c r="R22" s="449">
        <f t="shared" si="27"/>
        <v>0</v>
      </c>
      <c r="S22" s="445">
        <f t="shared" si="7"/>
        <v>10175</v>
      </c>
      <c r="T22" s="469">
        <f t="shared" si="3"/>
        <v>0</v>
      </c>
      <c r="U22" s="445">
        <f t="shared" si="7"/>
        <v>429166</v>
      </c>
      <c r="V22" s="449">
        <f t="shared" si="15"/>
        <v>0</v>
      </c>
      <c r="W22" s="445">
        <f t="shared" si="7"/>
        <v>32257</v>
      </c>
      <c r="X22" s="449">
        <f t="shared" si="22"/>
        <v>0</v>
      </c>
      <c r="Y22" s="445">
        <f t="shared" si="7"/>
        <v>710354</v>
      </c>
      <c r="Z22" s="449">
        <f t="shared" si="21"/>
        <v>0</v>
      </c>
      <c r="AA22" s="445">
        <f t="shared" si="7"/>
        <v>35815</v>
      </c>
      <c r="AB22" s="449">
        <f t="shared" si="16"/>
        <v>0</v>
      </c>
      <c r="AC22" s="445">
        <f t="shared" si="7"/>
        <v>936339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4"/>
        <v>0</v>
      </c>
      <c r="AI22" s="466">
        <f>R22-'EDl log'!B20</f>
        <v>-958969</v>
      </c>
    </row>
    <row r="23" spans="1:35">
      <c r="A23" s="457">
        <f>'General information '!F26</f>
        <v>0</v>
      </c>
      <c r="B23" s="451">
        <f t="shared" si="6"/>
        <v>0</v>
      </c>
      <c r="C23" s="458">
        <v>44307</v>
      </c>
      <c r="D23" s="445">
        <f t="shared" si="18"/>
        <v>32746208</v>
      </c>
      <c r="E23" s="311">
        <f t="shared" si="10"/>
        <v>0</v>
      </c>
      <c r="F23" s="445">
        <f t="shared" si="18"/>
        <v>3992590</v>
      </c>
      <c r="G23" s="312">
        <f t="shared" si="0"/>
        <v>0</v>
      </c>
      <c r="H23" s="445">
        <f t="shared" si="18"/>
        <v>17833536</v>
      </c>
      <c r="I23" s="438">
        <f t="shared" si="11"/>
        <v>0</v>
      </c>
      <c r="J23" s="445">
        <f t="shared" si="18"/>
        <v>28965886</v>
      </c>
      <c r="K23" s="312">
        <f t="shared" si="12"/>
        <v>0</v>
      </c>
      <c r="L23" s="445">
        <f t="shared" si="18"/>
        <v>24130322</v>
      </c>
      <c r="M23" s="312">
        <f t="shared" si="13"/>
        <v>0</v>
      </c>
      <c r="N23" s="310">
        <f t="shared" si="14"/>
        <v>0</v>
      </c>
      <c r="O23" s="467">
        <f t="shared" si="23"/>
        <v>0</v>
      </c>
      <c r="P23" s="445">
        <f t="shared" si="19"/>
        <v>16860.034</v>
      </c>
      <c r="Q23" s="449">
        <f t="shared" si="26"/>
        <v>0</v>
      </c>
      <c r="R23" s="449">
        <f t="shared" si="27"/>
        <v>0</v>
      </c>
      <c r="S23" s="445">
        <f t="shared" si="7"/>
        <v>10175</v>
      </c>
      <c r="T23" s="469">
        <f t="shared" si="3"/>
        <v>0</v>
      </c>
      <c r="U23" s="445">
        <f t="shared" si="7"/>
        <v>429166</v>
      </c>
      <c r="V23" s="449">
        <f t="shared" si="15"/>
        <v>0</v>
      </c>
      <c r="W23" s="445">
        <f t="shared" si="7"/>
        <v>32257</v>
      </c>
      <c r="X23" s="449">
        <f t="shared" si="22"/>
        <v>0</v>
      </c>
      <c r="Y23" s="445">
        <f t="shared" si="7"/>
        <v>710354</v>
      </c>
      <c r="Z23" s="449">
        <f t="shared" si="21"/>
        <v>0</v>
      </c>
      <c r="AA23" s="445">
        <f t="shared" si="7"/>
        <v>35815</v>
      </c>
      <c r="AB23" s="449">
        <f t="shared" si="16"/>
        <v>0</v>
      </c>
      <c r="AC23" s="445">
        <f t="shared" si="7"/>
        <v>936339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4"/>
        <v>0</v>
      </c>
      <c r="AI23" s="466">
        <f>R23-'EDl log'!B21</f>
        <v>-958969</v>
      </c>
    </row>
    <row r="24" spans="1:35">
      <c r="A24" s="457">
        <f>'General information '!F27</f>
        <v>0</v>
      </c>
      <c r="B24" s="451">
        <f t="shared" si="6"/>
        <v>0</v>
      </c>
      <c r="C24" s="458">
        <v>44308</v>
      </c>
      <c r="D24" s="445">
        <f t="shared" si="18"/>
        <v>32746208</v>
      </c>
      <c r="E24" s="311">
        <f t="shared" si="10"/>
        <v>0</v>
      </c>
      <c r="F24" s="445">
        <f t="shared" si="18"/>
        <v>3992590</v>
      </c>
      <c r="G24" s="312">
        <f t="shared" si="0"/>
        <v>0</v>
      </c>
      <c r="H24" s="445">
        <f t="shared" si="18"/>
        <v>17833536</v>
      </c>
      <c r="I24" s="312">
        <f t="shared" si="11"/>
        <v>0</v>
      </c>
      <c r="J24" s="445">
        <f t="shared" si="18"/>
        <v>28965886</v>
      </c>
      <c r="K24" s="312">
        <f t="shared" si="12"/>
        <v>0</v>
      </c>
      <c r="L24" s="445">
        <f t="shared" si="18"/>
        <v>24130322</v>
      </c>
      <c r="M24" s="312">
        <f t="shared" si="13"/>
        <v>0</v>
      </c>
      <c r="N24" s="310">
        <f t="shared" si="14"/>
        <v>0</v>
      </c>
      <c r="O24" s="467">
        <f t="shared" si="23"/>
        <v>0</v>
      </c>
      <c r="P24" s="445">
        <f t="shared" si="19"/>
        <v>16860.034</v>
      </c>
      <c r="Q24" s="449">
        <f t="shared" si="26"/>
        <v>0</v>
      </c>
      <c r="R24" s="449">
        <f t="shared" si="27"/>
        <v>0</v>
      </c>
      <c r="S24" s="445">
        <f t="shared" si="7"/>
        <v>10175</v>
      </c>
      <c r="T24" s="469">
        <f t="shared" si="3"/>
        <v>0</v>
      </c>
      <c r="U24" s="445">
        <f t="shared" si="7"/>
        <v>429166</v>
      </c>
      <c r="V24" s="449">
        <f t="shared" si="15"/>
        <v>0</v>
      </c>
      <c r="W24" s="445">
        <f t="shared" si="7"/>
        <v>32257</v>
      </c>
      <c r="X24" s="449">
        <f t="shared" si="22"/>
        <v>0</v>
      </c>
      <c r="Y24" s="445">
        <f t="shared" si="7"/>
        <v>710354</v>
      </c>
      <c r="Z24" s="449">
        <f t="shared" si="21"/>
        <v>0</v>
      </c>
      <c r="AA24" s="445">
        <f t="shared" si="7"/>
        <v>35815</v>
      </c>
      <c r="AB24" s="449">
        <f t="shared" si="16"/>
        <v>0</v>
      </c>
      <c r="AC24" s="445">
        <f t="shared" si="7"/>
        <v>936339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4"/>
        <v>0</v>
      </c>
      <c r="AI24" s="466">
        <f>R24-'EDl log'!B22</f>
        <v>-958969</v>
      </c>
    </row>
    <row r="25" spans="1:35">
      <c r="A25" s="457">
        <f>'General information '!F28</f>
        <v>0</v>
      </c>
      <c r="B25" s="451">
        <f t="shared" si="6"/>
        <v>0</v>
      </c>
      <c r="C25" s="458">
        <v>44309</v>
      </c>
      <c r="D25" s="445">
        <f t="shared" si="18"/>
        <v>32746208</v>
      </c>
      <c r="E25" s="311">
        <f t="shared" si="10"/>
        <v>0</v>
      </c>
      <c r="F25" s="445">
        <f t="shared" si="18"/>
        <v>3992590</v>
      </c>
      <c r="G25" s="312">
        <f t="shared" si="0"/>
        <v>0</v>
      </c>
      <c r="H25" s="445">
        <f t="shared" si="18"/>
        <v>17833536</v>
      </c>
      <c r="I25" s="312">
        <f t="shared" si="11"/>
        <v>0</v>
      </c>
      <c r="J25" s="445">
        <f t="shared" si="18"/>
        <v>28965886</v>
      </c>
      <c r="K25" s="312">
        <f t="shared" si="12"/>
        <v>0</v>
      </c>
      <c r="L25" s="445">
        <f t="shared" si="18"/>
        <v>24130322</v>
      </c>
      <c r="M25" s="312">
        <f t="shared" si="13"/>
        <v>0</v>
      </c>
      <c r="N25" s="310">
        <f t="shared" si="14"/>
        <v>0</v>
      </c>
      <c r="O25" s="467">
        <f t="shared" si="23"/>
        <v>0</v>
      </c>
      <c r="P25" s="445">
        <f t="shared" si="19"/>
        <v>16860.034</v>
      </c>
      <c r="Q25" s="449">
        <f t="shared" si="26"/>
        <v>0</v>
      </c>
      <c r="R25" s="449">
        <f t="shared" si="27"/>
        <v>0</v>
      </c>
      <c r="S25" s="445">
        <f t="shared" si="7"/>
        <v>10175</v>
      </c>
      <c r="T25" s="469">
        <f t="shared" si="3"/>
        <v>0</v>
      </c>
      <c r="U25" s="445">
        <f t="shared" si="7"/>
        <v>429166</v>
      </c>
      <c r="V25" s="449">
        <f t="shared" si="15"/>
        <v>0</v>
      </c>
      <c r="W25" s="445">
        <f t="shared" si="7"/>
        <v>32257</v>
      </c>
      <c r="X25" s="449">
        <f t="shared" si="22"/>
        <v>0</v>
      </c>
      <c r="Y25" s="445">
        <f t="shared" si="7"/>
        <v>710354</v>
      </c>
      <c r="Z25" s="449">
        <f t="shared" si="21"/>
        <v>0</v>
      </c>
      <c r="AA25" s="445">
        <f t="shared" si="7"/>
        <v>35815</v>
      </c>
      <c r="AB25" s="449">
        <f t="shared" si="16"/>
        <v>0</v>
      </c>
      <c r="AC25" s="445">
        <f t="shared" si="7"/>
        <v>936339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4"/>
        <v>0</v>
      </c>
      <c r="AI25" s="466">
        <f>R25-'EDl log'!B23</f>
        <v>-958969</v>
      </c>
    </row>
    <row r="26" spans="1:35">
      <c r="A26" s="457">
        <f>'General information '!F29</f>
        <v>0</v>
      </c>
      <c r="B26" s="451">
        <f t="shared" si="6"/>
        <v>0</v>
      </c>
      <c r="C26" s="458">
        <v>44310</v>
      </c>
      <c r="D26" s="445">
        <f t="shared" si="18"/>
        <v>32746208</v>
      </c>
      <c r="E26" s="311">
        <f t="shared" si="10"/>
        <v>0</v>
      </c>
      <c r="F26" s="445">
        <f t="shared" si="18"/>
        <v>3992590</v>
      </c>
      <c r="G26" s="312">
        <f t="shared" si="0"/>
        <v>0</v>
      </c>
      <c r="H26" s="445">
        <f t="shared" si="18"/>
        <v>17833536</v>
      </c>
      <c r="I26" s="312">
        <f t="shared" si="11"/>
        <v>0</v>
      </c>
      <c r="J26" s="445">
        <f t="shared" si="18"/>
        <v>28965886</v>
      </c>
      <c r="K26" s="312">
        <f t="shared" si="12"/>
        <v>0</v>
      </c>
      <c r="L26" s="445">
        <f t="shared" si="18"/>
        <v>24130322</v>
      </c>
      <c r="M26" s="312">
        <f t="shared" si="13"/>
        <v>0</v>
      </c>
      <c r="N26" s="310">
        <f t="shared" si="14"/>
        <v>0</v>
      </c>
      <c r="O26" s="467">
        <f t="shared" si="23"/>
        <v>0</v>
      </c>
      <c r="P26" s="445">
        <f t="shared" si="19"/>
        <v>16860.034</v>
      </c>
      <c r="Q26" s="449">
        <f t="shared" si="26"/>
        <v>0</v>
      </c>
      <c r="R26" s="449">
        <f t="shared" si="27"/>
        <v>0</v>
      </c>
      <c r="S26" s="445">
        <f t="shared" si="7"/>
        <v>10175</v>
      </c>
      <c r="T26" s="469">
        <f t="shared" si="3"/>
        <v>0</v>
      </c>
      <c r="U26" s="445">
        <f t="shared" si="7"/>
        <v>429166</v>
      </c>
      <c r="V26" s="449">
        <f t="shared" si="15"/>
        <v>0</v>
      </c>
      <c r="W26" s="445">
        <f t="shared" si="7"/>
        <v>32257</v>
      </c>
      <c r="X26" s="449">
        <f t="shared" si="22"/>
        <v>0</v>
      </c>
      <c r="Y26" s="445">
        <f t="shared" si="7"/>
        <v>710354</v>
      </c>
      <c r="Z26" s="449">
        <f t="shared" si="21"/>
        <v>0</v>
      </c>
      <c r="AA26" s="445">
        <f t="shared" si="7"/>
        <v>35815</v>
      </c>
      <c r="AB26" s="449">
        <f t="shared" si="16"/>
        <v>0</v>
      </c>
      <c r="AC26" s="445">
        <f t="shared" si="7"/>
        <v>936339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4"/>
        <v>0</v>
      </c>
      <c r="AI26" s="466">
        <f>R26-'EDl log'!B24</f>
        <v>-958969</v>
      </c>
    </row>
    <row r="27" spans="1:35">
      <c r="A27" s="457">
        <f>'General information '!F30</f>
        <v>0</v>
      </c>
      <c r="B27" s="451">
        <f t="shared" si="6"/>
        <v>0</v>
      </c>
      <c r="C27" s="458">
        <v>44311</v>
      </c>
      <c r="D27" s="445">
        <f t="shared" si="18"/>
        <v>32746208</v>
      </c>
      <c r="E27" s="311">
        <f t="shared" si="10"/>
        <v>0</v>
      </c>
      <c r="F27" s="445">
        <f t="shared" si="18"/>
        <v>3992590</v>
      </c>
      <c r="G27" s="312">
        <f>F27-F26</f>
        <v>0</v>
      </c>
      <c r="H27" s="445">
        <f t="shared" si="18"/>
        <v>17833536</v>
      </c>
      <c r="I27" s="312">
        <f t="shared" si="11"/>
        <v>0</v>
      </c>
      <c r="J27" s="445">
        <f t="shared" si="18"/>
        <v>28965886</v>
      </c>
      <c r="K27" s="312">
        <f t="shared" si="12"/>
        <v>0</v>
      </c>
      <c r="L27" s="445">
        <f t="shared" si="18"/>
        <v>24130322</v>
      </c>
      <c r="M27" s="312">
        <f t="shared" si="13"/>
        <v>0</v>
      </c>
      <c r="N27" s="310">
        <f t="shared" si="14"/>
        <v>0</v>
      </c>
      <c r="O27" s="467">
        <f t="shared" si="23"/>
        <v>0</v>
      </c>
      <c r="P27" s="445">
        <f t="shared" si="19"/>
        <v>16860.034</v>
      </c>
      <c r="Q27" s="449">
        <f t="shared" si="26"/>
        <v>0</v>
      </c>
      <c r="R27" s="449">
        <f t="shared" si="27"/>
        <v>0</v>
      </c>
      <c r="S27" s="445">
        <f t="shared" si="7"/>
        <v>10175</v>
      </c>
      <c r="T27" s="469">
        <f t="shared" si="3"/>
        <v>0</v>
      </c>
      <c r="U27" s="445">
        <f t="shared" si="7"/>
        <v>429166</v>
      </c>
      <c r="V27" s="449">
        <f t="shared" si="15"/>
        <v>0</v>
      </c>
      <c r="W27" s="445">
        <f t="shared" si="7"/>
        <v>32257</v>
      </c>
      <c r="X27" s="449">
        <f t="shared" si="22"/>
        <v>0</v>
      </c>
      <c r="Y27" s="445">
        <f t="shared" si="7"/>
        <v>710354</v>
      </c>
      <c r="Z27" s="449">
        <f t="shared" si="21"/>
        <v>0</v>
      </c>
      <c r="AA27" s="445">
        <f t="shared" si="7"/>
        <v>35815</v>
      </c>
      <c r="AB27" s="449">
        <f t="shared" si="16"/>
        <v>0</v>
      </c>
      <c r="AC27" s="445">
        <f t="shared" si="7"/>
        <v>936339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4"/>
        <v>0</v>
      </c>
      <c r="AI27" s="466">
        <f>R27-'EDl log'!B25</f>
        <v>-958969</v>
      </c>
    </row>
    <row r="28" spans="1:35">
      <c r="A28" s="457">
        <f>'General information '!F31</f>
        <v>0</v>
      </c>
      <c r="B28" s="451">
        <f t="shared" si="6"/>
        <v>0</v>
      </c>
      <c r="C28" s="458">
        <v>44312</v>
      </c>
      <c r="D28" s="445">
        <f t="shared" si="18"/>
        <v>32746208</v>
      </c>
      <c r="E28" s="311">
        <f t="shared" si="10"/>
        <v>0</v>
      </c>
      <c r="F28" s="445">
        <f t="shared" si="18"/>
        <v>3992590</v>
      </c>
      <c r="G28" s="312">
        <f t="shared" si="0"/>
        <v>0</v>
      </c>
      <c r="H28" s="445">
        <f t="shared" si="18"/>
        <v>17833536</v>
      </c>
      <c r="I28" s="312">
        <f t="shared" si="11"/>
        <v>0</v>
      </c>
      <c r="J28" s="445">
        <f t="shared" si="18"/>
        <v>28965886</v>
      </c>
      <c r="K28" s="312">
        <f t="shared" si="12"/>
        <v>0</v>
      </c>
      <c r="L28" s="445">
        <f t="shared" si="18"/>
        <v>24130322</v>
      </c>
      <c r="M28" s="312">
        <f t="shared" si="13"/>
        <v>0</v>
      </c>
      <c r="N28" s="310">
        <f t="shared" si="14"/>
        <v>0</v>
      </c>
      <c r="O28" s="467">
        <f t="shared" si="23"/>
        <v>0</v>
      </c>
      <c r="P28" s="445">
        <f t="shared" si="19"/>
        <v>16860.034</v>
      </c>
      <c r="Q28" s="449">
        <f t="shared" si="26"/>
        <v>0</v>
      </c>
      <c r="R28" s="449">
        <f t="shared" si="27"/>
        <v>0</v>
      </c>
      <c r="S28" s="445">
        <f t="shared" si="7"/>
        <v>10175</v>
      </c>
      <c r="T28" s="469">
        <f t="shared" si="3"/>
        <v>0</v>
      </c>
      <c r="U28" s="445">
        <f t="shared" si="7"/>
        <v>429166</v>
      </c>
      <c r="V28" s="449">
        <f t="shared" si="15"/>
        <v>0</v>
      </c>
      <c r="W28" s="445">
        <f t="shared" si="7"/>
        <v>32257</v>
      </c>
      <c r="X28" s="449">
        <f t="shared" si="22"/>
        <v>0</v>
      </c>
      <c r="Y28" s="445">
        <f t="shared" si="7"/>
        <v>710354</v>
      </c>
      <c r="Z28" s="449">
        <f t="shared" si="21"/>
        <v>0</v>
      </c>
      <c r="AA28" s="445">
        <f t="shared" si="7"/>
        <v>35815</v>
      </c>
      <c r="AB28" s="449">
        <f t="shared" si="16"/>
        <v>0</v>
      </c>
      <c r="AC28" s="445">
        <f t="shared" si="7"/>
        <v>936339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4"/>
        <v>0</v>
      </c>
      <c r="AI28" s="466">
        <f>R28-'EDl log'!B26</f>
        <v>-958969</v>
      </c>
    </row>
    <row r="29" spans="1:35">
      <c r="A29" s="457">
        <f>'General information '!F32</f>
        <v>0</v>
      </c>
      <c r="B29" s="451">
        <f>SUM(230*A29)</f>
        <v>0</v>
      </c>
      <c r="C29" s="458">
        <v>44313</v>
      </c>
      <c r="D29" s="445">
        <f t="shared" si="18"/>
        <v>32746208</v>
      </c>
      <c r="E29" s="311">
        <f t="shared" si="10"/>
        <v>0</v>
      </c>
      <c r="F29" s="445">
        <f t="shared" si="18"/>
        <v>3992590</v>
      </c>
      <c r="G29" s="312">
        <f t="shared" si="0"/>
        <v>0</v>
      </c>
      <c r="H29" s="445">
        <f t="shared" si="18"/>
        <v>17833536</v>
      </c>
      <c r="I29" s="312">
        <f t="shared" si="11"/>
        <v>0</v>
      </c>
      <c r="J29" s="445">
        <f t="shared" si="18"/>
        <v>28965886</v>
      </c>
      <c r="K29" s="312">
        <f t="shared" si="12"/>
        <v>0</v>
      </c>
      <c r="L29" s="445">
        <f t="shared" si="18"/>
        <v>24130322</v>
      </c>
      <c r="M29" s="312">
        <f t="shared" si="13"/>
        <v>0</v>
      </c>
      <c r="N29" s="310">
        <f t="shared" si="14"/>
        <v>0</v>
      </c>
      <c r="O29" s="467">
        <f t="shared" si="23"/>
        <v>0</v>
      </c>
      <c r="P29" s="445">
        <f t="shared" si="19"/>
        <v>16860.034</v>
      </c>
      <c r="Q29" s="449">
        <f t="shared" si="26"/>
        <v>0</v>
      </c>
      <c r="R29" s="449">
        <f t="shared" si="27"/>
        <v>0</v>
      </c>
      <c r="S29" s="445">
        <f t="shared" si="7"/>
        <v>10175</v>
      </c>
      <c r="T29" s="469">
        <f t="shared" si="3"/>
        <v>0</v>
      </c>
      <c r="U29" s="445">
        <f t="shared" si="7"/>
        <v>429166</v>
      </c>
      <c r="V29" s="449">
        <f t="shared" si="15"/>
        <v>0</v>
      </c>
      <c r="W29" s="445">
        <f t="shared" si="7"/>
        <v>32257</v>
      </c>
      <c r="X29" s="449">
        <f t="shared" si="22"/>
        <v>0</v>
      </c>
      <c r="Y29" s="445">
        <f t="shared" si="7"/>
        <v>710354</v>
      </c>
      <c r="Z29" s="449">
        <f t="shared" si="21"/>
        <v>0</v>
      </c>
      <c r="AA29" s="445">
        <f t="shared" si="7"/>
        <v>35815</v>
      </c>
      <c r="AB29" s="449">
        <f t="shared" si="16"/>
        <v>0</v>
      </c>
      <c r="AC29" s="445">
        <f t="shared" si="7"/>
        <v>936339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4"/>
        <v>0</v>
      </c>
      <c r="AI29" s="466">
        <f>R29-'EDl log'!B27</f>
        <v>-958969</v>
      </c>
    </row>
    <row r="30" spans="1:35">
      <c r="A30" s="457">
        <f>'General information '!F33</f>
        <v>0</v>
      </c>
      <c r="B30" s="451">
        <f t="shared" si="6"/>
        <v>0</v>
      </c>
      <c r="C30" s="458">
        <v>44314</v>
      </c>
      <c r="D30" s="445">
        <f t="shared" si="18"/>
        <v>32746208</v>
      </c>
      <c r="E30" s="311">
        <f t="shared" si="10"/>
        <v>0</v>
      </c>
      <c r="F30" s="445">
        <f t="shared" si="18"/>
        <v>3992590</v>
      </c>
      <c r="G30" s="312">
        <f t="shared" si="0"/>
        <v>0</v>
      </c>
      <c r="H30" s="445">
        <f t="shared" si="18"/>
        <v>17833536</v>
      </c>
      <c r="I30" s="312">
        <f t="shared" si="11"/>
        <v>0</v>
      </c>
      <c r="J30" s="445">
        <f t="shared" si="18"/>
        <v>28965886</v>
      </c>
      <c r="K30" s="312">
        <f t="shared" si="12"/>
        <v>0</v>
      </c>
      <c r="L30" s="445">
        <f t="shared" si="18"/>
        <v>24130322</v>
      </c>
      <c r="M30" s="312">
        <f t="shared" si="13"/>
        <v>0</v>
      </c>
      <c r="N30" s="310">
        <f t="shared" si="14"/>
        <v>0</v>
      </c>
      <c r="O30" s="467">
        <f t="shared" si="23"/>
        <v>0</v>
      </c>
      <c r="P30" s="445">
        <f t="shared" si="19"/>
        <v>16860.034</v>
      </c>
      <c r="Q30" s="449">
        <f t="shared" si="26"/>
        <v>0</v>
      </c>
      <c r="R30" s="449">
        <f t="shared" si="27"/>
        <v>0</v>
      </c>
      <c r="S30" s="445">
        <f t="shared" si="7"/>
        <v>10175</v>
      </c>
      <c r="T30" s="469">
        <f t="shared" si="3"/>
        <v>0</v>
      </c>
      <c r="U30" s="445">
        <f t="shared" si="7"/>
        <v>429166</v>
      </c>
      <c r="V30" s="449">
        <f t="shared" si="15"/>
        <v>0</v>
      </c>
      <c r="W30" s="445">
        <f t="shared" si="7"/>
        <v>32257</v>
      </c>
      <c r="X30" s="470">
        <f t="shared" si="22"/>
        <v>0</v>
      </c>
      <c r="Y30" s="445">
        <f t="shared" si="7"/>
        <v>710354</v>
      </c>
      <c r="Z30" s="449">
        <f t="shared" si="21"/>
        <v>0</v>
      </c>
      <c r="AA30" s="445">
        <f t="shared" si="7"/>
        <v>35815</v>
      </c>
      <c r="AB30" s="449">
        <f t="shared" si="16"/>
        <v>0</v>
      </c>
      <c r="AC30" s="445">
        <f t="shared" si="7"/>
        <v>936339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4"/>
        <v>0</v>
      </c>
      <c r="AI30" s="466">
        <f>R30-'EDl log'!B28</f>
        <v>-958969</v>
      </c>
    </row>
    <row r="31" spans="1:35">
      <c r="A31" s="457">
        <f>'General information '!F34</f>
        <v>0</v>
      </c>
      <c r="B31" s="451">
        <f t="shared" ref="B31:B32" si="29">SUM(230*A31)</f>
        <v>0</v>
      </c>
      <c r="C31" s="458">
        <v>44315</v>
      </c>
      <c r="D31" s="445">
        <f t="shared" si="18"/>
        <v>32746208</v>
      </c>
      <c r="E31" s="311">
        <f t="shared" si="10"/>
        <v>0</v>
      </c>
      <c r="F31" s="445">
        <f t="shared" si="18"/>
        <v>3992590</v>
      </c>
      <c r="G31" s="312">
        <f t="shared" si="0"/>
        <v>0</v>
      </c>
      <c r="H31" s="445">
        <f t="shared" si="18"/>
        <v>17833536</v>
      </c>
      <c r="I31" s="312">
        <f t="shared" si="11"/>
        <v>0</v>
      </c>
      <c r="J31" s="445">
        <f t="shared" si="18"/>
        <v>28965886</v>
      </c>
      <c r="K31" s="312">
        <f t="shared" si="12"/>
        <v>0</v>
      </c>
      <c r="L31" s="445">
        <f t="shared" si="18"/>
        <v>24130322</v>
      </c>
      <c r="M31" s="312">
        <f t="shared" si="13"/>
        <v>0</v>
      </c>
      <c r="N31" s="310">
        <f t="shared" ref="N31:N32" si="30">M31+K31+I31+G31+E31</f>
        <v>0</v>
      </c>
      <c r="O31" s="467">
        <f t="shared" ref="O31:O32" si="31">IF(B31&gt;0,N31/B31,0)</f>
        <v>0</v>
      </c>
      <c r="P31" s="445">
        <f t="shared" si="19"/>
        <v>16860.034</v>
      </c>
      <c r="Q31" s="449">
        <f t="shared" ref="Q31:Q32" si="32">(P31-P30)*1000</f>
        <v>0</v>
      </c>
      <c r="R31" s="449">
        <f t="shared" ref="R31:R32" si="33">N31-Q31</f>
        <v>0</v>
      </c>
      <c r="S31" s="445">
        <f t="shared" si="7"/>
        <v>10175</v>
      </c>
      <c r="T31" s="469">
        <f t="shared" ref="T31:T32" si="34">S31-S30</f>
        <v>0</v>
      </c>
      <c r="U31" s="445">
        <f t="shared" si="7"/>
        <v>429166</v>
      </c>
      <c r="V31" s="449">
        <f t="shared" ref="V31:V32" si="35">U31-U30</f>
        <v>0</v>
      </c>
      <c r="W31" s="445">
        <f t="shared" si="7"/>
        <v>32257</v>
      </c>
      <c r="X31" s="470">
        <f t="shared" ref="X31:X32" si="36">W31-W30</f>
        <v>0</v>
      </c>
      <c r="Y31" s="445">
        <f t="shared" si="7"/>
        <v>710354</v>
      </c>
      <c r="Z31" s="449">
        <f t="shared" ref="Z31:Z32" si="37">Y31-Y30</f>
        <v>0</v>
      </c>
      <c r="AA31" s="445">
        <f t="shared" si="7"/>
        <v>35815</v>
      </c>
      <c r="AB31" s="449">
        <f t="shared" ref="AB31:AB32" si="38">AA31-AA30</f>
        <v>0</v>
      </c>
      <c r="AC31" s="445">
        <f t="shared" si="7"/>
        <v>936339</v>
      </c>
      <c r="AD31" s="449">
        <f t="shared" ref="AD31:AD32" si="39">AC31-AC30</f>
        <v>0</v>
      </c>
      <c r="AE31" s="472">
        <f t="shared" ref="AE31:AE32" si="40">AB31+X31+T31</f>
        <v>0</v>
      </c>
      <c r="AF31" s="473">
        <f t="shared" ref="AF31:AF32" si="41">V31+Z31+AD31</f>
        <v>0</v>
      </c>
      <c r="AG31" s="465">
        <f t="shared" ref="AG31:AG32" si="42">IF(AE31&gt;0,AF31/AE31,0)</f>
        <v>0</v>
      </c>
      <c r="AI31" s="466">
        <f>R31-'EDl log'!B29</f>
        <v>-958969</v>
      </c>
    </row>
    <row r="32" spans="1:35">
      <c r="A32" s="457">
        <f>'General information '!F35</f>
        <v>0</v>
      </c>
      <c r="B32" s="451">
        <f t="shared" si="29"/>
        <v>0</v>
      </c>
      <c r="C32" s="458">
        <v>44316</v>
      </c>
      <c r="D32" s="445">
        <f t="shared" si="18"/>
        <v>32746208</v>
      </c>
      <c r="E32" s="311">
        <f t="shared" si="10"/>
        <v>0</v>
      </c>
      <c r="F32" s="445">
        <f t="shared" si="18"/>
        <v>3992590</v>
      </c>
      <c r="G32" s="312">
        <f t="shared" si="0"/>
        <v>0</v>
      </c>
      <c r="H32" s="445">
        <f t="shared" si="18"/>
        <v>17833536</v>
      </c>
      <c r="I32" s="312">
        <f t="shared" si="11"/>
        <v>0</v>
      </c>
      <c r="J32" s="445">
        <f t="shared" si="18"/>
        <v>28965886</v>
      </c>
      <c r="K32" s="312">
        <f t="shared" si="12"/>
        <v>0</v>
      </c>
      <c r="L32" s="445">
        <f t="shared" si="18"/>
        <v>24130322</v>
      </c>
      <c r="M32" s="312">
        <f t="shared" si="13"/>
        <v>0</v>
      </c>
      <c r="N32" s="310">
        <f t="shared" si="30"/>
        <v>0</v>
      </c>
      <c r="O32" s="467">
        <f t="shared" si="31"/>
        <v>0</v>
      </c>
      <c r="P32" s="445">
        <f t="shared" si="19"/>
        <v>16860.034</v>
      </c>
      <c r="Q32" s="449">
        <f t="shared" si="32"/>
        <v>0</v>
      </c>
      <c r="R32" s="449">
        <f t="shared" si="33"/>
        <v>0</v>
      </c>
      <c r="S32" s="445">
        <f t="shared" si="7"/>
        <v>10175</v>
      </c>
      <c r="T32" s="469">
        <f t="shared" si="34"/>
        <v>0</v>
      </c>
      <c r="U32" s="445">
        <f t="shared" si="7"/>
        <v>429166</v>
      </c>
      <c r="V32" s="449">
        <f t="shared" si="35"/>
        <v>0</v>
      </c>
      <c r="W32" s="445">
        <f t="shared" si="7"/>
        <v>32257</v>
      </c>
      <c r="X32" s="470">
        <f t="shared" si="36"/>
        <v>0</v>
      </c>
      <c r="Y32" s="445">
        <f t="shared" si="7"/>
        <v>710354</v>
      </c>
      <c r="Z32" s="449">
        <f t="shared" si="37"/>
        <v>0</v>
      </c>
      <c r="AA32" s="445">
        <f t="shared" si="7"/>
        <v>35815</v>
      </c>
      <c r="AB32" s="449">
        <f t="shared" si="38"/>
        <v>0</v>
      </c>
      <c r="AC32" s="445">
        <f t="shared" si="7"/>
        <v>936339</v>
      </c>
      <c r="AD32" s="449">
        <f t="shared" si="39"/>
        <v>0</v>
      </c>
      <c r="AE32" s="472">
        <f t="shared" si="40"/>
        <v>0</v>
      </c>
      <c r="AF32" s="473">
        <f t="shared" si="41"/>
        <v>0</v>
      </c>
      <c r="AG32" s="465">
        <f t="shared" si="42"/>
        <v>0</v>
      </c>
      <c r="AI32" s="466">
        <f>R32-'EDl log'!B30</f>
        <v>-958969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3" activePane="bottomLeft" state="frozen"/>
      <selection activeCell="K1" sqref="K1"/>
      <selection pane="bottomLeft" activeCell="R7" sqref="R7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09" t="s">
        <v>2</v>
      </c>
      <c r="G1" s="610"/>
      <c r="H1" s="610"/>
      <c r="I1" s="611"/>
      <c r="J1" s="282">
        <f>J36</f>
        <v>42.75</v>
      </c>
      <c r="K1" s="612" t="s">
        <v>4</v>
      </c>
      <c r="L1" s="613"/>
      <c r="M1" s="613"/>
      <c r="N1" s="613"/>
      <c r="O1" s="614"/>
      <c r="P1" s="603" t="s">
        <v>6</v>
      </c>
      <c r="Q1" s="604"/>
      <c r="R1" s="604"/>
      <c r="S1" s="604"/>
      <c r="T1" s="605"/>
      <c r="U1" s="397"/>
      <c r="V1" s="27" t="s">
        <v>104</v>
      </c>
      <c r="W1" s="398"/>
      <c r="X1" s="603" t="s">
        <v>8</v>
      </c>
      <c r="Y1" s="604"/>
      <c r="Z1" s="604"/>
      <c r="AA1" s="604"/>
      <c r="AB1" s="604"/>
      <c r="AC1" s="606" t="s">
        <v>10</v>
      </c>
      <c r="AD1" s="607"/>
      <c r="AE1" s="607"/>
      <c r="AF1" s="608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1"/>
      <c r="R2" s="602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44286</v>
      </c>
      <c r="B4" s="395">
        <f>[3]B5!B35</f>
        <v>216</v>
      </c>
      <c r="C4" s="395">
        <f>[3]B5!C35</f>
        <v>223</v>
      </c>
      <c r="D4" s="395">
        <f>[3]B5!D35</f>
        <v>12</v>
      </c>
      <c r="E4" s="395">
        <f>[3]B5!E35</f>
        <v>100.56</v>
      </c>
      <c r="F4" s="395">
        <f>[3]B5!F35</f>
        <v>1795</v>
      </c>
      <c r="G4" s="395">
        <f>[3]B5!G35</f>
        <v>3</v>
      </c>
      <c r="H4" s="395">
        <f>[3]B5!H35</f>
        <v>9885</v>
      </c>
      <c r="I4" s="395">
        <f>[3]B5!I35</f>
        <v>203</v>
      </c>
      <c r="J4" s="395">
        <f>[3]B5!J35</f>
        <v>67.666666666666671</v>
      </c>
      <c r="K4" s="395">
        <f>[3]B5!K35</f>
        <v>2285</v>
      </c>
      <c r="L4" s="395">
        <f>[3]B5!L35</f>
        <v>0</v>
      </c>
      <c r="M4" s="395">
        <f>[3]B5!M35</f>
        <v>168295</v>
      </c>
      <c r="N4" s="395">
        <f>[3]B5!N35</f>
        <v>0</v>
      </c>
      <c r="O4" s="395">
        <f>[3]B5!O35</f>
        <v>1869</v>
      </c>
      <c r="P4" s="395">
        <f>[3]B5!P35</f>
        <v>2046</v>
      </c>
      <c r="Q4" s="395">
        <f>[3]B5!Q35</f>
        <v>172429</v>
      </c>
      <c r="R4" s="395">
        <f>[3]B5!R35</f>
        <v>182</v>
      </c>
      <c r="S4" s="395">
        <f>[3]B5!S35</f>
        <v>2</v>
      </c>
      <c r="T4" s="395">
        <f>[3]B5!T35</f>
        <v>0</v>
      </c>
      <c r="U4" s="395">
        <f>[3]B5!U35</f>
        <v>5</v>
      </c>
      <c r="V4" s="395">
        <f>[3]B5!V35</f>
        <v>385</v>
      </c>
      <c r="W4" s="395">
        <f>[3]B5!W35</f>
        <v>0</v>
      </c>
      <c r="X4" s="395">
        <f>[3]B5!X35</f>
        <v>2463</v>
      </c>
      <c r="Y4" s="395">
        <f>[3]B5!Y35</f>
        <v>0</v>
      </c>
      <c r="Z4" s="395">
        <f>[3]B5!Z35</f>
        <v>138550</v>
      </c>
      <c r="AA4" s="395">
        <f>[3]B5!AA35</f>
        <v>0</v>
      </c>
      <c r="AB4" s="395">
        <f>[3]B5!AB35</f>
        <v>0</v>
      </c>
      <c r="AC4" s="395">
        <f>[3]B5!AC35</f>
        <v>1936</v>
      </c>
      <c r="AD4" s="395">
        <f>[3]B5!AD35</f>
        <v>0</v>
      </c>
      <c r="AE4" s="395">
        <f>[3]B5!AE35</f>
        <v>365520.8</v>
      </c>
      <c r="AF4" s="395">
        <f>[3]B5!AF35</f>
        <v>0</v>
      </c>
      <c r="AG4" s="395">
        <f>[3]B5!AG35</f>
        <v>0</v>
      </c>
      <c r="AH4" s="395">
        <f>[3]B5!AH35</f>
        <v>0</v>
      </c>
      <c r="AI4" s="395">
        <f>[3]B5!AI35</f>
        <v>385</v>
      </c>
      <c r="AJ4" s="395">
        <f>[3]B5!AJ35</f>
        <v>385</v>
      </c>
      <c r="AK4" s="395">
        <f>[3]B5!AK35</f>
        <v>0</v>
      </c>
      <c r="AL4" s="395">
        <f>[3]B5!AL35</f>
        <v>5</v>
      </c>
      <c r="AM4" s="395">
        <f>[3]B5!AM35</f>
        <v>0</v>
      </c>
      <c r="AN4" s="395">
        <f>[3]B5!AN35</f>
        <v>67</v>
      </c>
      <c r="AO4" s="395">
        <f>[3]B5!AO35</f>
        <v>2010.0000000000002</v>
      </c>
      <c r="AP4" s="395">
        <f>[3]B5!AP35</f>
        <v>55</v>
      </c>
      <c r="AQ4" s="395">
        <f>[3]B5!AQ35</f>
        <v>1650.0000000000002</v>
      </c>
      <c r="AR4" s="395">
        <f>[3]B5!AR35</f>
        <v>61</v>
      </c>
      <c r="AS4" s="395">
        <f>[3]B5!AS35</f>
        <v>1830</v>
      </c>
      <c r="AT4" s="395">
        <f>[3]B5!AT35</f>
        <v>5490</v>
      </c>
      <c r="AU4" s="395">
        <f>[3]B5!AU35</f>
        <v>0</v>
      </c>
      <c r="AV4" s="395">
        <f>[3]B5!AV35</f>
        <v>0</v>
      </c>
      <c r="AW4" s="395">
        <f>[3]B5!AW35</f>
        <v>0</v>
      </c>
      <c r="AX4" s="395">
        <f>[3]B5!AX35</f>
        <v>0.8</v>
      </c>
    </row>
    <row r="5" spans="1:52">
      <c r="A5" s="63">
        <f>ELEC!C3</f>
        <v>44287</v>
      </c>
      <c r="B5" s="593">
        <v>230</v>
      </c>
      <c r="C5" s="593">
        <v>237</v>
      </c>
      <c r="D5" s="45">
        <f>C4-C5</f>
        <v>-14</v>
      </c>
      <c r="E5" s="45">
        <f>D5*8.38</f>
        <v>-117.32000000000001</v>
      </c>
      <c r="F5" s="593">
        <v>1797</v>
      </c>
      <c r="G5" s="52">
        <f t="shared" ref="G5:G32" si="0">F5-F4</f>
        <v>2</v>
      </c>
      <c r="H5" s="593">
        <v>10038</v>
      </c>
      <c r="I5" s="396">
        <f t="shared" ref="I5:I32" si="1">SUM(H5-H4)</f>
        <v>153</v>
      </c>
      <c r="J5" s="66">
        <v>1</v>
      </c>
      <c r="K5" s="593">
        <v>2288</v>
      </c>
      <c r="L5" s="52">
        <f>K5-K4</f>
        <v>3</v>
      </c>
      <c r="M5" s="593">
        <v>168501</v>
      </c>
      <c r="N5" s="396">
        <f t="shared" ref="N5:N32" si="2">M5-M4</f>
        <v>206</v>
      </c>
      <c r="O5" s="64">
        <f>O4</f>
        <v>1869</v>
      </c>
      <c r="P5" s="593">
        <f>P4</f>
        <v>2046</v>
      </c>
      <c r="Q5" s="593">
        <f>Q4</f>
        <v>172429</v>
      </c>
      <c r="R5" s="395">
        <f t="shared" ref="R5:R10" si="3">Q5-Q4</f>
        <v>0</v>
      </c>
      <c r="S5" s="52">
        <f t="shared" ref="S5:S32" si="4">SUM(P5-P4)</f>
        <v>0</v>
      </c>
      <c r="T5" s="67">
        <f>SUM(S5*$T$2)</f>
        <v>0</v>
      </c>
      <c r="U5" s="402">
        <f>SUM(G5+L5+S5)</f>
        <v>5</v>
      </c>
      <c r="V5" s="62">
        <f>R5+N5+I5:I5</f>
        <v>359</v>
      </c>
      <c r="W5" s="400">
        <f>SUM(V5/U5)</f>
        <v>71.8</v>
      </c>
      <c r="X5" s="593">
        <f>X4</f>
        <v>2463</v>
      </c>
      <c r="Y5" s="52">
        <f>X5-X4</f>
        <v>0</v>
      </c>
      <c r="Z5" s="593">
        <f>Z4</f>
        <v>138550</v>
      </c>
      <c r="AA5" s="65">
        <f t="shared" ref="AA5:AA32" si="5">Z5-Z4</f>
        <v>0</v>
      </c>
      <c r="AB5" s="284">
        <f>SUM(Y5*$AB$2)</f>
        <v>0</v>
      </c>
      <c r="AC5" s="593">
        <f>AC4</f>
        <v>1936</v>
      </c>
      <c r="AD5" s="45">
        <f t="shared" ref="AD5:AD32" si="6">AC5-AC4</f>
        <v>0</v>
      </c>
      <c r="AE5" s="593">
        <f>AE4</f>
        <v>365520.8</v>
      </c>
      <c r="AF5" s="306">
        <f>AE5-AE4</f>
        <v>0</v>
      </c>
      <c r="AG5" s="209">
        <f>IF(AD5&gt;0,AF5/AD5,0)</f>
        <v>0</v>
      </c>
      <c r="AH5" s="62">
        <f>AF5+AA5</f>
        <v>0</v>
      </c>
      <c r="AI5" s="318">
        <f>SUM(AH5+V5)</f>
        <v>359</v>
      </c>
      <c r="AJ5" s="318">
        <f>-tanks!AW6</f>
        <v>359</v>
      </c>
      <c r="AK5" s="318">
        <f>SUM(AJ5-AI5)</f>
        <v>0</v>
      </c>
      <c r="AL5" s="318">
        <f t="shared" ref="AL5:AL32" si="7">S5+L5+G5</f>
        <v>5</v>
      </c>
      <c r="AM5" s="318">
        <f>Y5+AD5</f>
        <v>0</v>
      </c>
      <c r="AN5" s="593">
        <f>AN4</f>
        <v>67</v>
      </c>
      <c r="AO5" s="320">
        <f>(AN5/100)*3000</f>
        <v>2010.0000000000002</v>
      </c>
      <c r="AP5" s="593">
        <f>AP4</f>
        <v>55</v>
      </c>
      <c r="AQ5" s="320">
        <f>(AP5/100)*3000</f>
        <v>1650.0000000000002</v>
      </c>
      <c r="AR5" s="593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44288</v>
      </c>
      <c r="B6" s="593">
        <v>219</v>
      </c>
      <c r="C6" s="593">
        <v>226</v>
      </c>
      <c r="D6" s="45">
        <f>C5-C6</f>
        <v>11</v>
      </c>
      <c r="E6" s="45">
        <f t="shared" ref="E6:E31" si="8">D6*8.38</f>
        <v>92.18</v>
      </c>
      <c r="F6" s="593">
        <f t="shared" ref="F6:H34" si="9">F5</f>
        <v>1797</v>
      </c>
      <c r="G6" s="52">
        <f t="shared" si="0"/>
        <v>0</v>
      </c>
      <c r="H6" s="593">
        <f t="shared" si="9"/>
        <v>10038</v>
      </c>
      <c r="I6" s="396">
        <f t="shared" si="1"/>
        <v>0</v>
      </c>
      <c r="J6" s="66">
        <f t="shared" ref="J6:J32" si="10">IF(G6&gt;0,I6/G6,0)</f>
        <v>0</v>
      </c>
      <c r="K6" s="593">
        <v>2290</v>
      </c>
      <c r="L6" s="52">
        <f t="shared" ref="L6:L32" si="11">K6-K5</f>
        <v>2</v>
      </c>
      <c r="M6" s="593">
        <v>168619</v>
      </c>
      <c r="N6" s="396">
        <f t="shared" si="2"/>
        <v>118</v>
      </c>
      <c r="O6" s="64">
        <f t="shared" ref="O6:P32" si="12">O5</f>
        <v>1869</v>
      </c>
      <c r="P6" s="593">
        <v>2049</v>
      </c>
      <c r="Q6" s="593">
        <v>172609</v>
      </c>
      <c r="R6" s="395">
        <f t="shared" si="3"/>
        <v>180</v>
      </c>
      <c r="S6" s="52">
        <f t="shared" si="4"/>
        <v>3</v>
      </c>
      <c r="T6" s="67">
        <f>SUM(S6*$T$2)</f>
        <v>0</v>
      </c>
      <c r="U6" s="402">
        <f t="shared" ref="U6:U32" si="13">SUM(G6+L6+S6)</f>
        <v>5</v>
      </c>
      <c r="V6" s="62">
        <f t="shared" ref="V6:V32" si="14">R6+N6+I6:I6</f>
        <v>298</v>
      </c>
      <c r="W6" s="400">
        <f t="shared" ref="W6:W16" si="15">SUM(V6/U6)</f>
        <v>59.6</v>
      </c>
      <c r="X6" s="593">
        <f t="shared" ref="X6:Z34" si="16">X5</f>
        <v>2463</v>
      </c>
      <c r="Y6" s="52">
        <f t="shared" ref="Y6:Y32" si="17">X6-X5</f>
        <v>0</v>
      </c>
      <c r="Z6" s="593">
        <f t="shared" si="16"/>
        <v>138550</v>
      </c>
      <c r="AA6" s="65">
        <f t="shared" si="5"/>
        <v>0</v>
      </c>
      <c r="AB6" s="284">
        <f>SUM(Y6*$AB$2)</f>
        <v>0</v>
      </c>
      <c r="AC6" s="593">
        <f t="shared" ref="AC6:AE6" si="18">AC5</f>
        <v>1936</v>
      </c>
      <c r="AD6" s="45">
        <f t="shared" si="6"/>
        <v>0</v>
      </c>
      <c r="AE6" s="593">
        <f t="shared" si="18"/>
        <v>365520.8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298</v>
      </c>
      <c r="AJ6" s="318">
        <f>-tanks!AW7</f>
        <v>298</v>
      </c>
      <c r="AK6" s="318">
        <f t="shared" ref="AK6:AK32" si="21">SUM(AJ6-AI6)</f>
        <v>0</v>
      </c>
      <c r="AL6" s="318">
        <f t="shared" si="7"/>
        <v>5</v>
      </c>
      <c r="AM6" s="318">
        <f t="shared" ref="AM6:AM32" si="22">Y6+AD6</f>
        <v>0</v>
      </c>
      <c r="AN6" s="593">
        <f t="shared" ref="AN6:AP6" si="23">AN5</f>
        <v>67</v>
      </c>
      <c r="AO6" s="320">
        <f t="shared" ref="AO6:AO26" si="24">(AN6/100)*3000</f>
        <v>2010.0000000000002</v>
      </c>
      <c r="AP6" s="593">
        <f t="shared" si="23"/>
        <v>55</v>
      </c>
      <c r="AQ6" s="320">
        <f t="shared" ref="AQ6:AQ24" si="25">(AP6/100)*3000</f>
        <v>1650.0000000000002</v>
      </c>
      <c r="AR6" s="593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44289</v>
      </c>
      <c r="B7" s="593">
        <v>208</v>
      </c>
      <c r="C7" s="593">
        <v>215</v>
      </c>
      <c r="D7" s="45">
        <f t="shared" ref="D7:D32" si="28">C6-C7</f>
        <v>11</v>
      </c>
      <c r="E7" s="45">
        <f t="shared" si="8"/>
        <v>92.18</v>
      </c>
      <c r="F7" s="593">
        <v>1799</v>
      </c>
      <c r="G7" s="52">
        <f t="shared" si="0"/>
        <v>2</v>
      </c>
      <c r="H7" s="593">
        <v>10207</v>
      </c>
      <c r="I7" s="396">
        <f t="shared" si="1"/>
        <v>169</v>
      </c>
      <c r="J7" s="66">
        <f t="shared" si="10"/>
        <v>84.5</v>
      </c>
      <c r="K7" s="593">
        <f t="shared" ref="K7:M34" si="29">K6</f>
        <v>2290</v>
      </c>
      <c r="L7" s="52">
        <f t="shared" si="11"/>
        <v>0</v>
      </c>
      <c r="M7" s="593">
        <f t="shared" si="29"/>
        <v>168619</v>
      </c>
      <c r="N7" s="396">
        <f t="shared" si="2"/>
        <v>0</v>
      </c>
      <c r="O7" s="64">
        <f t="shared" si="12"/>
        <v>1869</v>
      </c>
      <c r="P7" s="593">
        <v>2050</v>
      </c>
      <c r="Q7" s="593">
        <v>172727</v>
      </c>
      <c r="R7" s="395">
        <f t="shared" si="3"/>
        <v>118</v>
      </c>
      <c r="S7" s="52">
        <f t="shared" si="4"/>
        <v>1</v>
      </c>
      <c r="T7" s="67">
        <f t="shared" ref="T7:T32" si="30">SUM(S7*$T$2)</f>
        <v>0</v>
      </c>
      <c r="U7" s="402">
        <f t="shared" si="13"/>
        <v>3</v>
      </c>
      <c r="V7" s="62">
        <f t="shared" si="14"/>
        <v>287</v>
      </c>
      <c r="W7" s="400">
        <f t="shared" si="15"/>
        <v>95.666666666666671</v>
      </c>
      <c r="X7" s="593">
        <f t="shared" si="16"/>
        <v>2463</v>
      </c>
      <c r="Y7" s="52">
        <f t="shared" si="17"/>
        <v>0</v>
      </c>
      <c r="Z7" s="593">
        <f t="shared" si="16"/>
        <v>138550</v>
      </c>
      <c r="AA7" s="65">
        <f t="shared" si="5"/>
        <v>0</v>
      </c>
      <c r="AB7" s="284">
        <f t="shared" ref="AB7:AB17" si="31">SUM(Y7*$AB$2)</f>
        <v>0</v>
      </c>
      <c r="AC7" s="593">
        <f t="shared" ref="AC7:AE7" si="32">AC6</f>
        <v>1936</v>
      </c>
      <c r="AD7" s="45">
        <f t="shared" si="6"/>
        <v>0</v>
      </c>
      <c r="AE7" s="593">
        <f t="shared" si="32"/>
        <v>365520.8</v>
      </c>
      <c r="AF7" s="306">
        <f t="shared" si="19"/>
        <v>0</v>
      </c>
      <c r="AG7" s="209">
        <f t="shared" ref="AG7:AG32" si="33">IF(AD7&gt;0,AF7/AD7,0)</f>
        <v>0</v>
      </c>
      <c r="AH7" s="62">
        <f t="shared" ref="AH7:AH32" si="34">AF7+AA7</f>
        <v>0</v>
      </c>
      <c r="AI7" s="318">
        <f t="shared" si="20"/>
        <v>287</v>
      </c>
      <c r="AJ7" s="318">
        <f>-tanks!AW8</f>
        <v>287</v>
      </c>
      <c r="AK7" s="318">
        <f t="shared" si="21"/>
        <v>0</v>
      </c>
      <c r="AL7" s="318">
        <f t="shared" si="7"/>
        <v>3</v>
      </c>
      <c r="AM7" s="318">
        <f t="shared" si="22"/>
        <v>0</v>
      </c>
      <c r="AN7" s="593">
        <f t="shared" ref="AN7:AP7" si="35">AN6</f>
        <v>67</v>
      </c>
      <c r="AO7" s="320">
        <f t="shared" si="24"/>
        <v>2010.0000000000002</v>
      </c>
      <c r="AP7" s="593">
        <f t="shared" si="35"/>
        <v>55</v>
      </c>
      <c r="AQ7" s="320">
        <f t="shared" si="25"/>
        <v>1650.0000000000002</v>
      </c>
      <c r="AR7" s="593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44290</v>
      </c>
      <c r="B8" s="593">
        <f t="shared" ref="B7:C34" si="40">B7</f>
        <v>208</v>
      </c>
      <c r="C8" s="593">
        <f t="shared" si="40"/>
        <v>215</v>
      </c>
      <c r="D8" s="45">
        <f t="shared" si="28"/>
        <v>0</v>
      </c>
      <c r="E8" s="45">
        <f t="shared" si="8"/>
        <v>0</v>
      </c>
      <c r="F8" s="593">
        <f t="shared" si="9"/>
        <v>1799</v>
      </c>
      <c r="G8" s="52">
        <f t="shared" si="0"/>
        <v>0</v>
      </c>
      <c r="H8" s="593">
        <f t="shared" si="9"/>
        <v>10207</v>
      </c>
      <c r="I8" s="396">
        <f t="shared" si="1"/>
        <v>0</v>
      </c>
      <c r="J8" s="66">
        <f t="shared" si="10"/>
        <v>0</v>
      </c>
      <c r="K8" s="593">
        <f t="shared" si="29"/>
        <v>2290</v>
      </c>
      <c r="L8" s="52">
        <f t="shared" si="11"/>
        <v>0</v>
      </c>
      <c r="M8" s="593">
        <f t="shared" si="29"/>
        <v>168619</v>
      </c>
      <c r="N8" s="396">
        <f t="shared" si="2"/>
        <v>0</v>
      </c>
      <c r="O8" s="64">
        <f t="shared" si="12"/>
        <v>1869</v>
      </c>
      <c r="P8" s="593">
        <f t="shared" si="12"/>
        <v>2050</v>
      </c>
      <c r="Q8" s="593">
        <f t="shared" ref="Q8" si="41">Q7</f>
        <v>172727</v>
      </c>
      <c r="R8" s="395">
        <f t="shared" si="3"/>
        <v>0</v>
      </c>
      <c r="S8" s="52">
        <f t="shared" si="4"/>
        <v>0</v>
      </c>
      <c r="T8" s="67">
        <f t="shared" si="30"/>
        <v>0</v>
      </c>
      <c r="U8" s="402">
        <f t="shared" si="13"/>
        <v>0</v>
      </c>
      <c r="V8" s="62">
        <f t="shared" si="14"/>
        <v>0</v>
      </c>
      <c r="W8" s="400" t="e">
        <f t="shared" si="15"/>
        <v>#DIV/0!</v>
      </c>
      <c r="X8" s="593">
        <f t="shared" si="16"/>
        <v>2463</v>
      </c>
      <c r="Y8" s="52">
        <f t="shared" si="17"/>
        <v>0</v>
      </c>
      <c r="Z8" s="593">
        <f t="shared" si="16"/>
        <v>138550</v>
      </c>
      <c r="AA8" s="65">
        <f t="shared" si="5"/>
        <v>0</v>
      </c>
      <c r="AB8" s="284">
        <f t="shared" si="31"/>
        <v>0</v>
      </c>
      <c r="AC8" s="593">
        <f t="shared" ref="AC8:AE8" si="42">AC7</f>
        <v>1936</v>
      </c>
      <c r="AD8" s="45">
        <f t="shared" si="6"/>
        <v>0</v>
      </c>
      <c r="AE8" s="593">
        <f t="shared" si="42"/>
        <v>365520.8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0</v>
      </c>
      <c r="AJ8" s="318">
        <f>-tanks!AW9</f>
        <v>0</v>
      </c>
      <c r="AK8" s="318">
        <f t="shared" si="21"/>
        <v>0</v>
      </c>
      <c r="AL8" s="318">
        <f t="shared" si="7"/>
        <v>0</v>
      </c>
      <c r="AM8" s="318">
        <f t="shared" si="22"/>
        <v>0</v>
      </c>
      <c r="AN8" s="593">
        <f t="shared" ref="AN8:AP8" si="43">AN7</f>
        <v>67</v>
      </c>
      <c r="AO8" s="320">
        <f t="shared" si="24"/>
        <v>2010.0000000000002</v>
      </c>
      <c r="AP8" s="593">
        <f t="shared" si="43"/>
        <v>55</v>
      </c>
      <c r="AQ8" s="320">
        <f t="shared" si="25"/>
        <v>1650.0000000000002</v>
      </c>
      <c r="AR8" s="593">
        <f t="shared" ref="AR8" si="44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44291</v>
      </c>
      <c r="B9" s="593">
        <f t="shared" si="40"/>
        <v>208</v>
      </c>
      <c r="C9" s="593">
        <f t="shared" si="40"/>
        <v>215</v>
      </c>
      <c r="D9" s="45">
        <f t="shared" si="28"/>
        <v>0</v>
      </c>
      <c r="E9" s="45">
        <f t="shared" si="8"/>
        <v>0</v>
      </c>
      <c r="F9" s="593">
        <f t="shared" si="9"/>
        <v>1799</v>
      </c>
      <c r="G9" s="52">
        <f t="shared" si="0"/>
        <v>0</v>
      </c>
      <c r="H9" s="593">
        <f t="shared" si="9"/>
        <v>10207</v>
      </c>
      <c r="I9" s="396">
        <f t="shared" si="1"/>
        <v>0</v>
      </c>
      <c r="J9" s="66">
        <f t="shared" si="10"/>
        <v>0</v>
      </c>
      <c r="K9" s="593">
        <f t="shared" si="29"/>
        <v>2290</v>
      </c>
      <c r="L9" s="52">
        <f t="shared" si="11"/>
        <v>0</v>
      </c>
      <c r="M9" s="593">
        <f t="shared" si="29"/>
        <v>168619</v>
      </c>
      <c r="N9" s="396">
        <f t="shared" si="2"/>
        <v>0</v>
      </c>
      <c r="O9" s="64">
        <f t="shared" si="12"/>
        <v>1869</v>
      </c>
      <c r="P9" s="593">
        <f t="shared" si="12"/>
        <v>2050</v>
      </c>
      <c r="Q9" s="593">
        <f t="shared" ref="Q9" si="45">Q8</f>
        <v>172727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0</v>
      </c>
      <c r="V9" s="62">
        <f t="shared" si="14"/>
        <v>0</v>
      </c>
      <c r="W9" s="400" t="e">
        <f t="shared" si="15"/>
        <v>#DIV/0!</v>
      </c>
      <c r="X9" s="593">
        <f t="shared" si="16"/>
        <v>2463</v>
      </c>
      <c r="Y9" s="52">
        <f t="shared" si="17"/>
        <v>0</v>
      </c>
      <c r="Z9" s="593">
        <f t="shared" si="16"/>
        <v>138550</v>
      </c>
      <c r="AA9" s="65">
        <f t="shared" si="5"/>
        <v>0</v>
      </c>
      <c r="AB9" s="284">
        <f t="shared" si="31"/>
        <v>0</v>
      </c>
      <c r="AC9" s="593">
        <f t="shared" ref="AC9:AE9" si="46">AC8</f>
        <v>1936</v>
      </c>
      <c r="AD9" s="45">
        <f t="shared" si="6"/>
        <v>0</v>
      </c>
      <c r="AE9" s="593">
        <f t="shared" si="46"/>
        <v>365520.8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0</v>
      </c>
      <c r="AJ9" s="318">
        <f>-tanks!AW10</f>
        <v>0</v>
      </c>
      <c r="AK9" s="318">
        <f t="shared" si="21"/>
        <v>0</v>
      </c>
      <c r="AL9" s="318">
        <f t="shared" si="7"/>
        <v>0</v>
      </c>
      <c r="AM9" s="318">
        <f t="shared" si="22"/>
        <v>0</v>
      </c>
      <c r="AN9" s="593">
        <f t="shared" ref="AN9:AP9" si="47">AN8</f>
        <v>67</v>
      </c>
      <c r="AO9" s="320">
        <f t="shared" si="24"/>
        <v>2010.0000000000002</v>
      </c>
      <c r="AP9" s="593">
        <f t="shared" si="47"/>
        <v>55</v>
      </c>
      <c r="AQ9" s="320">
        <f t="shared" si="25"/>
        <v>1650.0000000000002</v>
      </c>
      <c r="AR9" s="593">
        <f t="shared" ref="AR9" si="48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44292</v>
      </c>
      <c r="B10" s="593">
        <f t="shared" si="40"/>
        <v>208</v>
      </c>
      <c r="C10" s="593">
        <f t="shared" si="40"/>
        <v>215</v>
      </c>
      <c r="D10" s="45">
        <f t="shared" si="28"/>
        <v>0</v>
      </c>
      <c r="E10" s="45">
        <f t="shared" si="8"/>
        <v>0</v>
      </c>
      <c r="F10" s="593">
        <f t="shared" si="9"/>
        <v>1799</v>
      </c>
      <c r="G10" s="52">
        <f t="shared" si="0"/>
        <v>0</v>
      </c>
      <c r="H10" s="593">
        <f t="shared" si="9"/>
        <v>10207</v>
      </c>
      <c r="I10" s="396">
        <f t="shared" si="1"/>
        <v>0</v>
      </c>
      <c r="J10" s="66">
        <f t="shared" si="10"/>
        <v>0</v>
      </c>
      <c r="K10" s="593">
        <f t="shared" si="29"/>
        <v>2290</v>
      </c>
      <c r="L10" s="52">
        <f t="shared" si="11"/>
        <v>0</v>
      </c>
      <c r="M10" s="593">
        <f t="shared" si="29"/>
        <v>168619</v>
      </c>
      <c r="N10" s="396">
        <f t="shared" si="2"/>
        <v>0</v>
      </c>
      <c r="O10" s="64">
        <f t="shared" si="12"/>
        <v>1869</v>
      </c>
      <c r="P10" s="593">
        <f t="shared" si="12"/>
        <v>2050</v>
      </c>
      <c r="Q10" s="593">
        <f t="shared" ref="Q10" si="49">Q9</f>
        <v>172727</v>
      </c>
      <c r="R10" s="395">
        <f t="shared" si="3"/>
        <v>0</v>
      </c>
      <c r="S10" s="52">
        <f t="shared" si="4"/>
        <v>0</v>
      </c>
      <c r="T10" s="67">
        <f t="shared" si="30"/>
        <v>0</v>
      </c>
      <c r="U10" s="402">
        <f t="shared" si="13"/>
        <v>0</v>
      </c>
      <c r="V10" s="62">
        <f t="shared" si="14"/>
        <v>0</v>
      </c>
      <c r="W10" s="400" t="e">
        <f t="shared" si="15"/>
        <v>#DIV/0!</v>
      </c>
      <c r="X10" s="593">
        <f t="shared" si="16"/>
        <v>2463</v>
      </c>
      <c r="Y10" s="52">
        <f t="shared" si="17"/>
        <v>0</v>
      </c>
      <c r="Z10" s="593">
        <f t="shared" si="16"/>
        <v>138550</v>
      </c>
      <c r="AA10" s="65">
        <f t="shared" si="5"/>
        <v>0</v>
      </c>
      <c r="AB10" s="284">
        <f t="shared" si="31"/>
        <v>0</v>
      </c>
      <c r="AC10" s="593">
        <f t="shared" ref="AC10:AE10" si="50">AC9</f>
        <v>1936</v>
      </c>
      <c r="AD10" s="45">
        <f t="shared" si="6"/>
        <v>0</v>
      </c>
      <c r="AE10" s="593">
        <f t="shared" si="50"/>
        <v>365520.8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0</v>
      </c>
      <c r="AJ10" s="318">
        <f>-tanks!AW11</f>
        <v>0</v>
      </c>
      <c r="AK10" s="318">
        <f t="shared" si="21"/>
        <v>0</v>
      </c>
      <c r="AL10" s="318">
        <f t="shared" si="7"/>
        <v>0</v>
      </c>
      <c r="AM10" s="318">
        <f t="shared" si="22"/>
        <v>0</v>
      </c>
      <c r="AN10" s="593">
        <f t="shared" ref="AN10:AP10" si="51">AN9</f>
        <v>67</v>
      </c>
      <c r="AO10" s="320">
        <f t="shared" si="24"/>
        <v>2010.0000000000002</v>
      </c>
      <c r="AP10" s="593">
        <f t="shared" si="51"/>
        <v>55</v>
      </c>
      <c r="AQ10" s="320">
        <f t="shared" si="25"/>
        <v>1650.0000000000002</v>
      </c>
      <c r="AR10" s="593">
        <f t="shared" ref="AR10" si="52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44293</v>
      </c>
      <c r="B11" s="593">
        <f t="shared" si="40"/>
        <v>208</v>
      </c>
      <c r="C11" s="593">
        <f t="shared" si="40"/>
        <v>215</v>
      </c>
      <c r="D11" s="45">
        <f t="shared" si="28"/>
        <v>0</v>
      </c>
      <c r="E11" s="45">
        <f t="shared" si="8"/>
        <v>0</v>
      </c>
      <c r="F11" s="593">
        <f t="shared" si="9"/>
        <v>1799</v>
      </c>
      <c r="G11" s="52">
        <f t="shared" si="0"/>
        <v>0</v>
      </c>
      <c r="H11" s="593">
        <f t="shared" si="9"/>
        <v>10207</v>
      </c>
      <c r="I11" s="396">
        <f t="shared" si="1"/>
        <v>0</v>
      </c>
      <c r="J11" s="66">
        <f t="shared" si="10"/>
        <v>0</v>
      </c>
      <c r="K11" s="593">
        <f t="shared" si="29"/>
        <v>2290</v>
      </c>
      <c r="L11" s="52">
        <f t="shared" si="11"/>
        <v>0</v>
      </c>
      <c r="M11" s="593">
        <f t="shared" si="29"/>
        <v>168619</v>
      </c>
      <c r="N11" s="396">
        <f t="shared" si="2"/>
        <v>0</v>
      </c>
      <c r="O11" s="64">
        <f t="shared" si="12"/>
        <v>1869</v>
      </c>
      <c r="P11" s="593">
        <f t="shared" si="12"/>
        <v>2050</v>
      </c>
      <c r="Q11" s="593">
        <f t="shared" ref="Q11" si="53">Q10</f>
        <v>172727</v>
      </c>
      <c r="R11" s="395">
        <f t="shared" ref="R11:R32" si="54">Q11-Q10</f>
        <v>0</v>
      </c>
      <c r="S11" s="52">
        <f t="shared" si="4"/>
        <v>0</v>
      </c>
      <c r="T11" s="67">
        <f t="shared" si="30"/>
        <v>0</v>
      </c>
      <c r="U11" s="402">
        <f t="shared" si="13"/>
        <v>0</v>
      </c>
      <c r="V11" s="62">
        <f t="shared" si="14"/>
        <v>0</v>
      </c>
      <c r="W11" s="400" t="e">
        <f t="shared" si="15"/>
        <v>#DIV/0!</v>
      </c>
      <c r="X11" s="593">
        <f t="shared" si="16"/>
        <v>2463</v>
      </c>
      <c r="Y11" s="52">
        <f t="shared" si="17"/>
        <v>0</v>
      </c>
      <c r="Z11" s="593">
        <f t="shared" si="16"/>
        <v>138550</v>
      </c>
      <c r="AA11" s="65">
        <f t="shared" si="5"/>
        <v>0</v>
      </c>
      <c r="AB11" s="284">
        <f t="shared" si="31"/>
        <v>0</v>
      </c>
      <c r="AC11" s="593">
        <f t="shared" ref="AC11:AE11" si="55">AC10</f>
        <v>1936</v>
      </c>
      <c r="AD11" s="45">
        <f t="shared" si="6"/>
        <v>0</v>
      </c>
      <c r="AE11" s="593">
        <f t="shared" si="55"/>
        <v>365520.8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0</v>
      </c>
      <c r="AJ11" s="318">
        <f>-tanks!AW12</f>
        <v>0</v>
      </c>
      <c r="AK11" s="318">
        <f t="shared" si="21"/>
        <v>0</v>
      </c>
      <c r="AL11" s="318">
        <f t="shared" si="7"/>
        <v>0</v>
      </c>
      <c r="AM11" s="318">
        <f t="shared" si="22"/>
        <v>0</v>
      </c>
      <c r="AN11" s="593">
        <f t="shared" ref="AN11:AP11" si="56">AN10</f>
        <v>67</v>
      </c>
      <c r="AO11" s="320">
        <f t="shared" si="24"/>
        <v>2010.0000000000002</v>
      </c>
      <c r="AP11" s="593">
        <f t="shared" si="56"/>
        <v>55</v>
      </c>
      <c r="AQ11" s="320">
        <f t="shared" si="25"/>
        <v>1650.0000000000002</v>
      </c>
      <c r="AR11" s="593">
        <f t="shared" ref="AR11" si="57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44294</v>
      </c>
      <c r="B12" s="593">
        <f t="shared" si="40"/>
        <v>208</v>
      </c>
      <c r="C12" s="593">
        <f t="shared" si="40"/>
        <v>215</v>
      </c>
      <c r="D12" s="45">
        <f t="shared" si="28"/>
        <v>0</v>
      </c>
      <c r="E12" s="45">
        <f t="shared" si="8"/>
        <v>0</v>
      </c>
      <c r="F12" s="593">
        <f t="shared" si="9"/>
        <v>1799</v>
      </c>
      <c r="G12" s="52">
        <f t="shared" si="0"/>
        <v>0</v>
      </c>
      <c r="H12" s="593">
        <f t="shared" si="9"/>
        <v>10207</v>
      </c>
      <c r="I12" s="396">
        <f t="shared" si="1"/>
        <v>0</v>
      </c>
      <c r="J12" s="66">
        <f t="shared" si="10"/>
        <v>0</v>
      </c>
      <c r="K12" s="593">
        <f t="shared" si="29"/>
        <v>2290</v>
      </c>
      <c r="L12" s="52">
        <f t="shared" si="11"/>
        <v>0</v>
      </c>
      <c r="M12" s="593">
        <f t="shared" si="29"/>
        <v>168619</v>
      </c>
      <c r="N12" s="396">
        <f t="shared" si="2"/>
        <v>0</v>
      </c>
      <c r="O12" s="64">
        <f t="shared" si="12"/>
        <v>1869</v>
      </c>
      <c r="P12" s="593">
        <f t="shared" si="12"/>
        <v>2050</v>
      </c>
      <c r="Q12" s="593">
        <f t="shared" ref="Q12" si="58">Q11</f>
        <v>172727</v>
      </c>
      <c r="R12" s="395">
        <f t="shared" si="54"/>
        <v>0</v>
      </c>
      <c r="S12" s="52">
        <f t="shared" si="4"/>
        <v>0</v>
      </c>
      <c r="T12" s="67">
        <f t="shared" si="30"/>
        <v>0</v>
      </c>
      <c r="U12" s="402">
        <f t="shared" si="13"/>
        <v>0</v>
      </c>
      <c r="V12" s="62">
        <f t="shared" si="14"/>
        <v>0</v>
      </c>
      <c r="W12" s="400" t="e">
        <f t="shared" si="15"/>
        <v>#DIV/0!</v>
      </c>
      <c r="X12" s="593">
        <f t="shared" si="16"/>
        <v>2463</v>
      </c>
      <c r="Y12" s="52">
        <f t="shared" si="17"/>
        <v>0</v>
      </c>
      <c r="Z12" s="593">
        <f t="shared" si="16"/>
        <v>138550</v>
      </c>
      <c r="AA12" s="65">
        <f t="shared" si="5"/>
        <v>0</v>
      </c>
      <c r="AB12" s="284">
        <f t="shared" si="31"/>
        <v>0</v>
      </c>
      <c r="AC12" s="593">
        <f t="shared" ref="AC12:AE12" si="59">AC11</f>
        <v>1936</v>
      </c>
      <c r="AD12" s="45">
        <f t="shared" si="6"/>
        <v>0</v>
      </c>
      <c r="AE12" s="593">
        <f t="shared" si="59"/>
        <v>365520.8</v>
      </c>
      <c r="AF12" s="306">
        <f t="shared" si="19"/>
        <v>0</v>
      </c>
      <c r="AG12" s="209">
        <f t="shared" si="33"/>
        <v>0</v>
      </c>
      <c r="AH12" s="62">
        <f t="shared" si="34"/>
        <v>0</v>
      </c>
      <c r="AI12" s="318">
        <f t="shared" si="20"/>
        <v>0</v>
      </c>
      <c r="AJ12" s="318">
        <f>-tanks!AW13</f>
        <v>0</v>
      </c>
      <c r="AK12" s="318">
        <f t="shared" si="21"/>
        <v>0</v>
      </c>
      <c r="AL12" s="318">
        <f t="shared" si="7"/>
        <v>0</v>
      </c>
      <c r="AM12" s="318">
        <f t="shared" si="22"/>
        <v>0</v>
      </c>
      <c r="AN12" s="593">
        <f t="shared" ref="AN12:AP12" si="60">AN11</f>
        <v>67</v>
      </c>
      <c r="AO12" s="320">
        <f t="shared" si="24"/>
        <v>2010.0000000000002</v>
      </c>
      <c r="AP12" s="593">
        <f t="shared" si="60"/>
        <v>55</v>
      </c>
      <c r="AQ12" s="320">
        <f t="shared" si="25"/>
        <v>1650.0000000000002</v>
      </c>
      <c r="AR12" s="593">
        <f t="shared" ref="AR12" si="61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44295</v>
      </c>
      <c r="B13" s="593">
        <f t="shared" si="40"/>
        <v>208</v>
      </c>
      <c r="C13" s="593">
        <f t="shared" si="40"/>
        <v>215</v>
      </c>
      <c r="D13" s="45">
        <f t="shared" si="28"/>
        <v>0</v>
      </c>
      <c r="E13" s="45">
        <f t="shared" si="8"/>
        <v>0</v>
      </c>
      <c r="F13" s="593">
        <f t="shared" si="9"/>
        <v>1799</v>
      </c>
      <c r="G13" s="52">
        <f t="shared" si="0"/>
        <v>0</v>
      </c>
      <c r="H13" s="593">
        <f t="shared" si="9"/>
        <v>10207</v>
      </c>
      <c r="I13" s="396">
        <f t="shared" si="1"/>
        <v>0</v>
      </c>
      <c r="J13" s="66">
        <f t="shared" si="10"/>
        <v>0</v>
      </c>
      <c r="K13" s="593">
        <f t="shared" si="29"/>
        <v>2290</v>
      </c>
      <c r="L13" s="52">
        <f t="shared" si="11"/>
        <v>0</v>
      </c>
      <c r="M13" s="593">
        <f t="shared" si="29"/>
        <v>168619</v>
      </c>
      <c r="N13" s="396">
        <f t="shared" si="2"/>
        <v>0</v>
      </c>
      <c r="O13" s="64">
        <f t="shared" si="12"/>
        <v>1869</v>
      </c>
      <c r="P13" s="593">
        <f t="shared" si="12"/>
        <v>2050</v>
      </c>
      <c r="Q13" s="593">
        <f t="shared" ref="Q13" si="62">Q12</f>
        <v>172727</v>
      </c>
      <c r="R13" s="395">
        <f t="shared" si="54"/>
        <v>0</v>
      </c>
      <c r="S13" s="52">
        <f t="shared" si="4"/>
        <v>0</v>
      </c>
      <c r="T13" s="67">
        <f t="shared" si="30"/>
        <v>0</v>
      </c>
      <c r="U13" s="402">
        <f t="shared" si="13"/>
        <v>0</v>
      </c>
      <c r="V13" s="62">
        <f>R13+N13+I13:I13</f>
        <v>0</v>
      </c>
      <c r="W13" s="400" t="e">
        <f t="shared" si="15"/>
        <v>#DIV/0!</v>
      </c>
      <c r="X13" s="593">
        <f t="shared" si="16"/>
        <v>2463</v>
      </c>
      <c r="Y13" s="52">
        <f t="shared" si="17"/>
        <v>0</v>
      </c>
      <c r="Z13" s="593">
        <f t="shared" si="16"/>
        <v>138550</v>
      </c>
      <c r="AA13" s="284">
        <f t="shared" si="5"/>
        <v>0</v>
      </c>
      <c r="AB13" s="284">
        <f t="shared" si="31"/>
        <v>0</v>
      </c>
      <c r="AC13" s="593">
        <f t="shared" ref="AC13:AE13" si="63">AC12</f>
        <v>1936</v>
      </c>
      <c r="AD13" s="45">
        <f t="shared" si="6"/>
        <v>0</v>
      </c>
      <c r="AE13" s="593">
        <f t="shared" si="63"/>
        <v>365520.8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0</v>
      </c>
      <c r="AJ13" s="318">
        <f>-tanks!AW14</f>
        <v>0</v>
      </c>
      <c r="AK13" s="318">
        <f t="shared" si="21"/>
        <v>0</v>
      </c>
      <c r="AL13" s="318">
        <f t="shared" si="7"/>
        <v>0</v>
      </c>
      <c r="AM13" s="318">
        <f t="shared" si="22"/>
        <v>0</v>
      </c>
      <c r="AN13" s="593">
        <f t="shared" ref="AN13:AP13" si="64">AN12</f>
        <v>67</v>
      </c>
      <c r="AO13" s="320">
        <f t="shared" si="24"/>
        <v>2010.0000000000002</v>
      </c>
      <c r="AP13" s="593">
        <f t="shared" si="64"/>
        <v>55</v>
      </c>
      <c r="AQ13" s="320">
        <f t="shared" si="25"/>
        <v>1650.0000000000002</v>
      </c>
      <c r="AR13" s="593">
        <f t="shared" ref="AR13" si="65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44296</v>
      </c>
      <c r="B14" s="593">
        <f t="shared" si="40"/>
        <v>208</v>
      </c>
      <c r="C14" s="593">
        <f t="shared" si="40"/>
        <v>215</v>
      </c>
      <c r="D14" s="45">
        <f t="shared" si="28"/>
        <v>0</v>
      </c>
      <c r="E14" s="45">
        <f t="shared" si="8"/>
        <v>0</v>
      </c>
      <c r="F14" s="593">
        <f t="shared" si="9"/>
        <v>1799</v>
      </c>
      <c r="G14" s="52">
        <f t="shared" si="0"/>
        <v>0</v>
      </c>
      <c r="H14" s="593">
        <f t="shared" si="9"/>
        <v>10207</v>
      </c>
      <c r="I14" s="396">
        <f t="shared" si="1"/>
        <v>0</v>
      </c>
      <c r="J14" s="66">
        <f t="shared" si="10"/>
        <v>0</v>
      </c>
      <c r="K14" s="593">
        <f t="shared" si="29"/>
        <v>2290</v>
      </c>
      <c r="L14" s="52">
        <f t="shared" si="11"/>
        <v>0</v>
      </c>
      <c r="M14" s="593">
        <f t="shared" si="29"/>
        <v>168619</v>
      </c>
      <c r="N14" s="396">
        <f t="shared" si="2"/>
        <v>0</v>
      </c>
      <c r="O14" s="64">
        <f t="shared" si="12"/>
        <v>1869</v>
      </c>
      <c r="P14" s="593">
        <f t="shared" si="12"/>
        <v>2050</v>
      </c>
      <c r="Q14" s="593">
        <f t="shared" ref="Q14" si="66">Q13</f>
        <v>172727</v>
      </c>
      <c r="R14" s="395">
        <f t="shared" si="54"/>
        <v>0</v>
      </c>
      <c r="S14" s="52">
        <f t="shared" si="4"/>
        <v>0</v>
      </c>
      <c r="T14" s="67">
        <f t="shared" si="30"/>
        <v>0</v>
      </c>
      <c r="U14" s="402">
        <f t="shared" si="13"/>
        <v>0</v>
      </c>
      <c r="V14" s="62">
        <f t="shared" si="14"/>
        <v>0</v>
      </c>
      <c r="W14" s="400" t="e">
        <f t="shared" si="15"/>
        <v>#DIV/0!</v>
      </c>
      <c r="X14" s="593">
        <f t="shared" si="16"/>
        <v>2463</v>
      </c>
      <c r="Y14" s="52">
        <f t="shared" si="17"/>
        <v>0</v>
      </c>
      <c r="Z14" s="593">
        <f t="shared" si="16"/>
        <v>138550</v>
      </c>
      <c r="AA14" s="65">
        <f t="shared" si="5"/>
        <v>0</v>
      </c>
      <c r="AB14" s="284">
        <f t="shared" si="31"/>
        <v>0</v>
      </c>
      <c r="AC14" s="593">
        <f t="shared" ref="AC14:AE14" si="67">AC13</f>
        <v>1936</v>
      </c>
      <c r="AD14" s="45">
        <f t="shared" si="6"/>
        <v>0</v>
      </c>
      <c r="AE14" s="593">
        <f t="shared" si="67"/>
        <v>365520.8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1"/>
        <v>0</v>
      </c>
      <c r="AL14" s="318">
        <f t="shared" si="7"/>
        <v>0</v>
      </c>
      <c r="AM14" s="318">
        <f t="shared" si="22"/>
        <v>0</v>
      </c>
      <c r="AN14" s="593">
        <f t="shared" ref="AN14:AP14" si="68">AN13</f>
        <v>67</v>
      </c>
      <c r="AO14" s="320">
        <f t="shared" si="24"/>
        <v>2010.0000000000002</v>
      </c>
      <c r="AP14" s="593">
        <f t="shared" si="68"/>
        <v>55</v>
      </c>
      <c r="AQ14" s="320">
        <f t="shared" si="25"/>
        <v>1650.0000000000002</v>
      </c>
      <c r="AR14" s="593">
        <f t="shared" ref="AR14" si="69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44297</v>
      </c>
      <c r="B15" s="593">
        <f t="shared" si="40"/>
        <v>208</v>
      </c>
      <c r="C15" s="593">
        <f t="shared" si="40"/>
        <v>215</v>
      </c>
      <c r="D15" s="45">
        <f t="shared" si="28"/>
        <v>0</v>
      </c>
      <c r="E15" s="45">
        <f t="shared" si="8"/>
        <v>0</v>
      </c>
      <c r="F15" s="593">
        <f t="shared" si="9"/>
        <v>1799</v>
      </c>
      <c r="G15" s="52">
        <f t="shared" si="0"/>
        <v>0</v>
      </c>
      <c r="H15" s="593">
        <f t="shared" si="9"/>
        <v>10207</v>
      </c>
      <c r="I15" s="396">
        <f t="shared" si="1"/>
        <v>0</v>
      </c>
      <c r="J15" s="66">
        <f t="shared" si="10"/>
        <v>0</v>
      </c>
      <c r="K15" s="593">
        <f t="shared" si="29"/>
        <v>2290</v>
      </c>
      <c r="L15" s="52">
        <f t="shared" si="11"/>
        <v>0</v>
      </c>
      <c r="M15" s="593">
        <f t="shared" si="29"/>
        <v>168619</v>
      </c>
      <c r="N15" s="396">
        <f t="shared" si="2"/>
        <v>0</v>
      </c>
      <c r="O15" s="64">
        <f t="shared" si="12"/>
        <v>1869</v>
      </c>
      <c r="P15" s="593">
        <f t="shared" si="12"/>
        <v>2050</v>
      </c>
      <c r="Q15" s="593">
        <f t="shared" ref="Q15" si="70">Q14</f>
        <v>172727</v>
      </c>
      <c r="R15" s="395">
        <f t="shared" si="54"/>
        <v>0</v>
      </c>
      <c r="S15" s="52">
        <f t="shared" si="4"/>
        <v>0</v>
      </c>
      <c r="T15" s="67">
        <f t="shared" si="30"/>
        <v>0</v>
      </c>
      <c r="U15" s="402">
        <f t="shared" si="13"/>
        <v>0</v>
      </c>
      <c r="V15" s="62">
        <f t="shared" si="14"/>
        <v>0</v>
      </c>
      <c r="W15" s="400" t="e">
        <f t="shared" si="15"/>
        <v>#DIV/0!</v>
      </c>
      <c r="X15" s="593">
        <f t="shared" si="16"/>
        <v>2463</v>
      </c>
      <c r="Y15" s="52">
        <f t="shared" si="17"/>
        <v>0</v>
      </c>
      <c r="Z15" s="593">
        <f t="shared" si="16"/>
        <v>138550</v>
      </c>
      <c r="AA15" s="65">
        <f t="shared" si="5"/>
        <v>0</v>
      </c>
      <c r="AB15" s="284">
        <f t="shared" si="31"/>
        <v>0</v>
      </c>
      <c r="AC15" s="593">
        <f t="shared" ref="AC15:AE15" si="71">AC14</f>
        <v>1936</v>
      </c>
      <c r="AD15" s="45">
        <f t="shared" si="6"/>
        <v>0</v>
      </c>
      <c r="AE15" s="593">
        <f t="shared" si="71"/>
        <v>365520.8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0</v>
      </c>
      <c r="AJ15" s="318">
        <f>-tanks!AW16</f>
        <v>0</v>
      </c>
      <c r="AK15" s="318">
        <f t="shared" si="21"/>
        <v>0</v>
      </c>
      <c r="AL15" s="318">
        <f t="shared" si="7"/>
        <v>0</v>
      </c>
      <c r="AM15" s="318">
        <f t="shared" si="22"/>
        <v>0</v>
      </c>
      <c r="AN15" s="593">
        <f t="shared" ref="AN15:AP15" si="72">AN14</f>
        <v>67</v>
      </c>
      <c r="AO15" s="320">
        <f t="shared" si="24"/>
        <v>2010.0000000000002</v>
      </c>
      <c r="AP15" s="593">
        <f t="shared" si="72"/>
        <v>55</v>
      </c>
      <c r="AQ15" s="320">
        <f t="shared" si="25"/>
        <v>1650.0000000000002</v>
      </c>
      <c r="AR15" s="593">
        <f t="shared" ref="AR15" si="73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44298</v>
      </c>
      <c r="B16" s="593">
        <f t="shared" si="40"/>
        <v>208</v>
      </c>
      <c r="C16" s="593">
        <f t="shared" si="40"/>
        <v>215</v>
      </c>
      <c r="D16" s="45">
        <f t="shared" si="28"/>
        <v>0</v>
      </c>
      <c r="E16" s="45">
        <f t="shared" si="8"/>
        <v>0</v>
      </c>
      <c r="F16" s="593">
        <f t="shared" si="9"/>
        <v>1799</v>
      </c>
      <c r="G16" s="52">
        <f t="shared" si="0"/>
        <v>0</v>
      </c>
      <c r="H16" s="593">
        <f t="shared" si="9"/>
        <v>10207</v>
      </c>
      <c r="I16" s="396">
        <f t="shared" si="1"/>
        <v>0</v>
      </c>
      <c r="J16" s="66">
        <f t="shared" si="10"/>
        <v>0</v>
      </c>
      <c r="K16" s="593">
        <f t="shared" si="29"/>
        <v>2290</v>
      </c>
      <c r="L16" s="52">
        <f t="shared" si="11"/>
        <v>0</v>
      </c>
      <c r="M16" s="593">
        <f t="shared" si="29"/>
        <v>168619</v>
      </c>
      <c r="N16" s="396">
        <f t="shared" si="2"/>
        <v>0</v>
      </c>
      <c r="O16" s="64">
        <f t="shared" si="12"/>
        <v>1869</v>
      </c>
      <c r="P16" s="593">
        <f t="shared" si="12"/>
        <v>2050</v>
      </c>
      <c r="Q16" s="593">
        <f t="shared" ref="Q16" si="74">Q15</f>
        <v>172727</v>
      </c>
      <c r="R16" s="395">
        <f t="shared" si="54"/>
        <v>0</v>
      </c>
      <c r="S16" s="52">
        <f t="shared" si="4"/>
        <v>0</v>
      </c>
      <c r="T16" s="67">
        <f t="shared" si="30"/>
        <v>0</v>
      </c>
      <c r="U16" s="402">
        <f t="shared" si="13"/>
        <v>0</v>
      </c>
      <c r="V16" s="62">
        <f t="shared" si="14"/>
        <v>0</v>
      </c>
      <c r="W16" s="400" t="e">
        <f t="shared" si="15"/>
        <v>#DIV/0!</v>
      </c>
      <c r="X16" s="593">
        <f t="shared" si="16"/>
        <v>2463</v>
      </c>
      <c r="Y16" s="52">
        <f t="shared" si="17"/>
        <v>0</v>
      </c>
      <c r="Z16" s="593">
        <f t="shared" si="16"/>
        <v>138550</v>
      </c>
      <c r="AA16" s="65">
        <f t="shared" si="5"/>
        <v>0</v>
      </c>
      <c r="AB16" s="284">
        <f t="shared" si="31"/>
        <v>0</v>
      </c>
      <c r="AC16" s="593">
        <f t="shared" ref="AC16:AE16" si="75">AC15</f>
        <v>1936</v>
      </c>
      <c r="AD16" s="45">
        <f t="shared" si="6"/>
        <v>0</v>
      </c>
      <c r="AE16" s="593">
        <f t="shared" si="75"/>
        <v>365520.8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0</v>
      </c>
      <c r="AJ16" s="318">
        <f>-tanks!AW17</f>
        <v>0</v>
      </c>
      <c r="AK16" s="318">
        <f t="shared" si="21"/>
        <v>0</v>
      </c>
      <c r="AL16" s="318">
        <f t="shared" si="7"/>
        <v>0</v>
      </c>
      <c r="AM16" s="318">
        <f t="shared" si="22"/>
        <v>0</v>
      </c>
      <c r="AN16" s="593">
        <f t="shared" ref="AN16:AP16" si="76">AN15</f>
        <v>67</v>
      </c>
      <c r="AO16" s="320">
        <f t="shared" si="24"/>
        <v>2010.0000000000002</v>
      </c>
      <c r="AP16" s="593">
        <f t="shared" si="76"/>
        <v>55</v>
      </c>
      <c r="AQ16" s="320">
        <f t="shared" si="25"/>
        <v>1650.0000000000002</v>
      </c>
      <c r="AR16" s="593">
        <f t="shared" ref="AR16" si="77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44299</v>
      </c>
      <c r="B17" s="593">
        <f t="shared" si="40"/>
        <v>208</v>
      </c>
      <c r="C17" s="593">
        <f t="shared" si="40"/>
        <v>215</v>
      </c>
      <c r="D17" s="45">
        <f t="shared" si="28"/>
        <v>0</v>
      </c>
      <c r="E17" s="45">
        <f t="shared" si="8"/>
        <v>0</v>
      </c>
      <c r="F17" s="593">
        <f t="shared" si="9"/>
        <v>1799</v>
      </c>
      <c r="G17" s="52">
        <f t="shared" si="0"/>
        <v>0</v>
      </c>
      <c r="H17" s="593">
        <f t="shared" si="9"/>
        <v>10207</v>
      </c>
      <c r="I17" s="396">
        <f t="shared" si="1"/>
        <v>0</v>
      </c>
      <c r="J17" s="66">
        <f t="shared" si="10"/>
        <v>0</v>
      </c>
      <c r="K17" s="593">
        <f t="shared" si="29"/>
        <v>2290</v>
      </c>
      <c r="L17" s="52">
        <f t="shared" si="11"/>
        <v>0</v>
      </c>
      <c r="M17" s="593">
        <f t="shared" si="29"/>
        <v>168619</v>
      </c>
      <c r="N17" s="396">
        <f t="shared" si="2"/>
        <v>0</v>
      </c>
      <c r="O17" s="64">
        <f t="shared" si="12"/>
        <v>1869</v>
      </c>
      <c r="P17" s="593">
        <f t="shared" si="12"/>
        <v>2050</v>
      </c>
      <c r="Q17" s="593">
        <f t="shared" ref="Q17" si="78">Q16</f>
        <v>172727</v>
      </c>
      <c r="R17" s="395">
        <f t="shared" si="54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93">
        <f t="shared" si="16"/>
        <v>2463</v>
      </c>
      <c r="Y17" s="52">
        <f t="shared" si="17"/>
        <v>0</v>
      </c>
      <c r="Z17" s="593">
        <f t="shared" si="16"/>
        <v>138550</v>
      </c>
      <c r="AA17" s="65">
        <f t="shared" si="5"/>
        <v>0</v>
      </c>
      <c r="AB17" s="284">
        <f t="shared" si="31"/>
        <v>0</v>
      </c>
      <c r="AC17" s="593">
        <f t="shared" ref="AC17:AE17" si="79">AC16</f>
        <v>1936</v>
      </c>
      <c r="AD17" s="45">
        <f t="shared" si="6"/>
        <v>0</v>
      </c>
      <c r="AE17" s="593">
        <f t="shared" si="79"/>
        <v>365520.8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93">
        <f t="shared" ref="AN17:AP17" si="80">AN16</f>
        <v>67</v>
      </c>
      <c r="AO17" s="320">
        <f t="shared" si="24"/>
        <v>2010.0000000000002</v>
      </c>
      <c r="AP17" s="593">
        <f t="shared" si="80"/>
        <v>55</v>
      </c>
      <c r="AQ17" s="320">
        <f t="shared" si="25"/>
        <v>1650.0000000000002</v>
      </c>
      <c r="AR17" s="593">
        <f t="shared" ref="AR17" si="81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44300</v>
      </c>
      <c r="B18" s="593">
        <f t="shared" si="40"/>
        <v>208</v>
      </c>
      <c r="C18" s="593">
        <f t="shared" si="40"/>
        <v>215</v>
      </c>
      <c r="D18" s="45">
        <f t="shared" si="28"/>
        <v>0</v>
      </c>
      <c r="E18" s="45">
        <f t="shared" si="8"/>
        <v>0</v>
      </c>
      <c r="F18" s="593">
        <f t="shared" si="9"/>
        <v>1799</v>
      </c>
      <c r="G18" s="52">
        <f t="shared" si="0"/>
        <v>0</v>
      </c>
      <c r="H18" s="593">
        <f t="shared" si="9"/>
        <v>10207</v>
      </c>
      <c r="I18" s="396">
        <f t="shared" si="1"/>
        <v>0</v>
      </c>
      <c r="J18" s="66">
        <f t="shared" si="10"/>
        <v>0</v>
      </c>
      <c r="K18" s="593">
        <f t="shared" si="29"/>
        <v>2290</v>
      </c>
      <c r="L18" s="52">
        <f t="shared" si="11"/>
        <v>0</v>
      </c>
      <c r="M18" s="593">
        <f t="shared" si="29"/>
        <v>168619</v>
      </c>
      <c r="N18" s="396">
        <f t="shared" si="2"/>
        <v>0</v>
      </c>
      <c r="O18" s="64">
        <v>1869</v>
      </c>
      <c r="P18" s="593">
        <f t="shared" si="12"/>
        <v>2050</v>
      </c>
      <c r="Q18" s="593">
        <f t="shared" ref="Q18" si="82">Q17</f>
        <v>172727</v>
      </c>
      <c r="R18" s="395">
        <f t="shared" si="54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93">
        <f t="shared" si="16"/>
        <v>2463</v>
      </c>
      <c r="Y18" s="52">
        <f t="shared" si="17"/>
        <v>0</v>
      </c>
      <c r="Z18" s="593">
        <f t="shared" si="16"/>
        <v>138550</v>
      </c>
      <c r="AA18" s="65">
        <f t="shared" si="5"/>
        <v>0</v>
      </c>
      <c r="AB18" s="284">
        <f t="shared" ref="AB18:AB23" si="83">SUM(Y18*$AB$2)</f>
        <v>0</v>
      </c>
      <c r="AC18" s="593">
        <f t="shared" ref="AC18:AE18" si="84">AC17</f>
        <v>1936</v>
      </c>
      <c r="AD18" s="45">
        <f t="shared" si="6"/>
        <v>0</v>
      </c>
      <c r="AE18" s="593">
        <f t="shared" si="84"/>
        <v>365520.8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93">
        <f t="shared" ref="AN18:AP18" si="85">AN17</f>
        <v>67</v>
      </c>
      <c r="AO18" s="320">
        <f t="shared" si="24"/>
        <v>2010.0000000000002</v>
      </c>
      <c r="AP18" s="593">
        <f t="shared" si="85"/>
        <v>55</v>
      </c>
      <c r="AQ18" s="320">
        <f t="shared" si="25"/>
        <v>1650.0000000000002</v>
      </c>
      <c r="AR18" s="593">
        <f t="shared" ref="AR18" si="86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44301</v>
      </c>
      <c r="B19" s="593">
        <f t="shared" si="40"/>
        <v>208</v>
      </c>
      <c r="C19" s="593">
        <f t="shared" si="40"/>
        <v>215</v>
      </c>
      <c r="D19" s="45">
        <f t="shared" si="28"/>
        <v>0</v>
      </c>
      <c r="E19" s="45">
        <f t="shared" si="8"/>
        <v>0</v>
      </c>
      <c r="F19" s="593">
        <f t="shared" si="9"/>
        <v>1799</v>
      </c>
      <c r="G19" s="52">
        <f t="shared" si="0"/>
        <v>0</v>
      </c>
      <c r="H19" s="593">
        <f t="shared" si="9"/>
        <v>10207</v>
      </c>
      <c r="I19" s="396">
        <f t="shared" si="1"/>
        <v>0</v>
      </c>
      <c r="J19" s="66">
        <f t="shared" si="10"/>
        <v>0</v>
      </c>
      <c r="K19" s="593">
        <f t="shared" si="29"/>
        <v>2290</v>
      </c>
      <c r="L19" s="52">
        <f t="shared" si="11"/>
        <v>0</v>
      </c>
      <c r="M19" s="593">
        <f t="shared" si="29"/>
        <v>168619</v>
      </c>
      <c r="N19" s="396">
        <f t="shared" si="2"/>
        <v>0</v>
      </c>
      <c r="O19" s="64">
        <f t="shared" si="12"/>
        <v>1869</v>
      </c>
      <c r="P19" s="593">
        <f t="shared" si="12"/>
        <v>2050</v>
      </c>
      <c r="Q19" s="593">
        <f t="shared" ref="Q19" si="87">Q18</f>
        <v>172727</v>
      </c>
      <c r="R19" s="395">
        <f t="shared" si="54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93">
        <f t="shared" si="16"/>
        <v>2463</v>
      </c>
      <c r="Y19" s="52">
        <f t="shared" si="17"/>
        <v>0</v>
      </c>
      <c r="Z19" s="593">
        <f t="shared" si="16"/>
        <v>138550</v>
      </c>
      <c r="AA19" s="65">
        <f t="shared" si="5"/>
        <v>0</v>
      </c>
      <c r="AB19" s="284">
        <f t="shared" si="83"/>
        <v>0</v>
      </c>
      <c r="AC19" s="593">
        <f t="shared" ref="AC19:AE19" si="88">AC18</f>
        <v>1936</v>
      </c>
      <c r="AD19" s="45">
        <f t="shared" si="6"/>
        <v>0</v>
      </c>
      <c r="AE19" s="593">
        <f t="shared" si="88"/>
        <v>365520.8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93">
        <f t="shared" ref="AN19:AP19" si="89">AN18</f>
        <v>67</v>
      </c>
      <c r="AO19" s="320">
        <f t="shared" si="24"/>
        <v>2010.0000000000002</v>
      </c>
      <c r="AP19" s="593">
        <f t="shared" si="89"/>
        <v>55</v>
      </c>
      <c r="AQ19" s="320">
        <f t="shared" si="25"/>
        <v>1650.0000000000002</v>
      </c>
      <c r="AR19" s="593">
        <f t="shared" ref="AR19" si="90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44302</v>
      </c>
      <c r="B20" s="593">
        <f t="shared" si="40"/>
        <v>208</v>
      </c>
      <c r="C20" s="593">
        <f t="shared" si="40"/>
        <v>215</v>
      </c>
      <c r="D20" s="45">
        <f>C19-C20</f>
        <v>0</v>
      </c>
      <c r="E20" s="45">
        <f t="shared" si="8"/>
        <v>0</v>
      </c>
      <c r="F20" s="593">
        <f t="shared" si="9"/>
        <v>1799</v>
      </c>
      <c r="G20" s="52">
        <f t="shared" si="0"/>
        <v>0</v>
      </c>
      <c r="H20" s="593">
        <f t="shared" si="9"/>
        <v>10207</v>
      </c>
      <c r="I20" s="396">
        <f t="shared" si="1"/>
        <v>0</v>
      </c>
      <c r="J20" s="66">
        <f t="shared" si="10"/>
        <v>0</v>
      </c>
      <c r="K20" s="593">
        <f t="shared" si="29"/>
        <v>2290</v>
      </c>
      <c r="L20" s="52">
        <f t="shared" si="11"/>
        <v>0</v>
      </c>
      <c r="M20" s="593">
        <f t="shared" si="29"/>
        <v>168619</v>
      </c>
      <c r="N20" s="396">
        <f t="shared" si="2"/>
        <v>0</v>
      </c>
      <c r="O20" s="64">
        <f t="shared" si="12"/>
        <v>1869</v>
      </c>
      <c r="P20" s="593">
        <f t="shared" si="12"/>
        <v>2050</v>
      </c>
      <c r="Q20" s="593">
        <f t="shared" ref="Q20" si="91">Q19</f>
        <v>172727</v>
      </c>
      <c r="R20" s="395">
        <f t="shared" si="54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93">
        <f t="shared" si="16"/>
        <v>2463</v>
      </c>
      <c r="Y20" s="52">
        <f t="shared" si="17"/>
        <v>0</v>
      </c>
      <c r="Z20" s="593">
        <f t="shared" si="16"/>
        <v>138550</v>
      </c>
      <c r="AA20" s="65">
        <f t="shared" si="5"/>
        <v>0</v>
      </c>
      <c r="AB20" s="284">
        <f t="shared" si="83"/>
        <v>0</v>
      </c>
      <c r="AC20" s="593">
        <f t="shared" ref="AC20:AE20" si="92">AC19</f>
        <v>1936</v>
      </c>
      <c r="AD20" s="45">
        <f t="shared" si="6"/>
        <v>0</v>
      </c>
      <c r="AE20" s="593">
        <f t="shared" si="92"/>
        <v>365520.8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93">
        <f t="shared" ref="AN20:AP20" si="93">AN19</f>
        <v>67</v>
      </c>
      <c r="AO20" s="320">
        <f t="shared" si="24"/>
        <v>2010.0000000000002</v>
      </c>
      <c r="AP20" s="593">
        <f t="shared" si="93"/>
        <v>55</v>
      </c>
      <c r="AQ20" s="320">
        <f t="shared" si="25"/>
        <v>1650.0000000000002</v>
      </c>
      <c r="AR20" s="593">
        <f t="shared" ref="AR20" si="94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44303</v>
      </c>
      <c r="B21" s="593">
        <f t="shared" si="40"/>
        <v>208</v>
      </c>
      <c r="C21" s="593">
        <f t="shared" si="40"/>
        <v>215</v>
      </c>
      <c r="D21" s="45">
        <f t="shared" ref="D21:D31" si="95">C20-C21</f>
        <v>0</v>
      </c>
      <c r="E21" s="45">
        <f t="shared" si="8"/>
        <v>0</v>
      </c>
      <c r="F21" s="593">
        <f t="shared" si="9"/>
        <v>1799</v>
      </c>
      <c r="G21" s="52">
        <f t="shared" si="0"/>
        <v>0</v>
      </c>
      <c r="H21" s="593">
        <f t="shared" si="9"/>
        <v>10207</v>
      </c>
      <c r="I21" s="396">
        <f t="shared" si="1"/>
        <v>0</v>
      </c>
      <c r="J21" s="66">
        <f t="shared" si="10"/>
        <v>0</v>
      </c>
      <c r="K21" s="593">
        <f t="shared" si="29"/>
        <v>2290</v>
      </c>
      <c r="L21" s="52">
        <f t="shared" si="11"/>
        <v>0</v>
      </c>
      <c r="M21" s="593">
        <f t="shared" si="29"/>
        <v>168619</v>
      </c>
      <c r="N21" s="396">
        <f t="shared" si="2"/>
        <v>0</v>
      </c>
      <c r="O21" s="64">
        <f t="shared" si="12"/>
        <v>1869</v>
      </c>
      <c r="P21" s="593">
        <f t="shared" si="12"/>
        <v>2050</v>
      </c>
      <c r="Q21" s="593">
        <f t="shared" ref="Q21" si="96">Q20</f>
        <v>172727</v>
      </c>
      <c r="R21" s="395">
        <f t="shared" si="54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93">
        <f t="shared" si="16"/>
        <v>2463</v>
      </c>
      <c r="Y21" s="52">
        <f t="shared" si="17"/>
        <v>0</v>
      </c>
      <c r="Z21" s="593">
        <f t="shared" si="16"/>
        <v>138550</v>
      </c>
      <c r="AA21" s="65">
        <f t="shared" si="5"/>
        <v>0</v>
      </c>
      <c r="AB21" s="284">
        <f t="shared" si="83"/>
        <v>0</v>
      </c>
      <c r="AC21" s="593">
        <f t="shared" ref="AC21:AE21" si="97">AC20</f>
        <v>1936</v>
      </c>
      <c r="AD21" s="45">
        <f t="shared" si="6"/>
        <v>0</v>
      </c>
      <c r="AE21" s="593">
        <f t="shared" si="97"/>
        <v>365520.8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93">
        <f t="shared" ref="AN21:AP21" si="98">AN20</f>
        <v>67</v>
      </c>
      <c r="AO21" s="320">
        <f t="shared" si="24"/>
        <v>2010.0000000000002</v>
      </c>
      <c r="AP21" s="593">
        <f t="shared" si="98"/>
        <v>55</v>
      </c>
      <c r="AQ21" s="320">
        <f t="shared" si="25"/>
        <v>1650.0000000000002</v>
      </c>
      <c r="AR21" s="593">
        <f t="shared" ref="AR21" si="99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44304</v>
      </c>
      <c r="B22" s="593">
        <f t="shared" si="40"/>
        <v>208</v>
      </c>
      <c r="C22" s="593">
        <f t="shared" si="40"/>
        <v>215</v>
      </c>
      <c r="D22" s="45">
        <f t="shared" si="95"/>
        <v>0</v>
      </c>
      <c r="E22" s="45">
        <f t="shared" si="8"/>
        <v>0</v>
      </c>
      <c r="F22" s="593">
        <f t="shared" si="9"/>
        <v>1799</v>
      </c>
      <c r="G22" s="52">
        <f t="shared" si="0"/>
        <v>0</v>
      </c>
      <c r="H22" s="593">
        <f t="shared" si="9"/>
        <v>10207</v>
      </c>
      <c r="I22" s="396">
        <f t="shared" si="1"/>
        <v>0</v>
      </c>
      <c r="J22" s="66">
        <f t="shared" si="10"/>
        <v>0</v>
      </c>
      <c r="K22" s="593">
        <f t="shared" si="29"/>
        <v>2290</v>
      </c>
      <c r="L22" s="52">
        <f t="shared" si="11"/>
        <v>0</v>
      </c>
      <c r="M22" s="593">
        <f t="shared" si="29"/>
        <v>168619</v>
      </c>
      <c r="N22" s="396">
        <f t="shared" si="2"/>
        <v>0</v>
      </c>
      <c r="O22" s="64">
        <f t="shared" si="12"/>
        <v>1869</v>
      </c>
      <c r="P22" s="593">
        <f t="shared" si="12"/>
        <v>2050</v>
      </c>
      <c r="Q22" s="593">
        <f t="shared" ref="Q22" si="100">Q21</f>
        <v>172727</v>
      </c>
      <c r="R22" s="395">
        <f t="shared" si="54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93">
        <f t="shared" si="16"/>
        <v>2463</v>
      </c>
      <c r="Y22" s="52">
        <f t="shared" si="17"/>
        <v>0</v>
      </c>
      <c r="Z22" s="593">
        <f t="shared" si="16"/>
        <v>138550</v>
      </c>
      <c r="AA22" s="65">
        <f t="shared" si="5"/>
        <v>0</v>
      </c>
      <c r="AB22" s="284">
        <f t="shared" si="83"/>
        <v>0</v>
      </c>
      <c r="AC22" s="593">
        <f t="shared" ref="AC22:AE22" si="101">AC21</f>
        <v>1936</v>
      </c>
      <c r="AD22" s="45">
        <f t="shared" si="6"/>
        <v>0</v>
      </c>
      <c r="AE22" s="593">
        <f t="shared" si="101"/>
        <v>365520.8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93">
        <f t="shared" ref="AN22:AP22" si="102">AN21</f>
        <v>67</v>
      </c>
      <c r="AO22" s="320">
        <f t="shared" si="24"/>
        <v>2010.0000000000002</v>
      </c>
      <c r="AP22" s="593">
        <f t="shared" si="102"/>
        <v>55</v>
      </c>
      <c r="AQ22" s="320">
        <f t="shared" si="25"/>
        <v>1650.0000000000002</v>
      </c>
      <c r="AR22" s="593">
        <f t="shared" ref="AR22" si="103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ELEC!C21</f>
        <v>44305</v>
      </c>
      <c r="B23" s="593">
        <f t="shared" si="40"/>
        <v>208</v>
      </c>
      <c r="C23" s="593">
        <f t="shared" si="40"/>
        <v>215</v>
      </c>
      <c r="D23" s="45">
        <f t="shared" si="95"/>
        <v>0</v>
      </c>
      <c r="E23" s="45">
        <f t="shared" si="8"/>
        <v>0</v>
      </c>
      <c r="F23" s="593">
        <f t="shared" si="9"/>
        <v>1799</v>
      </c>
      <c r="G23" s="52">
        <f t="shared" si="0"/>
        <v>0</v>
      </c>
      <c r="H23" s="593">
        <f t="shared" si="9"/>
        <v>10207</v>
      </c>
      <c r="I23" s="396">
        <f t="shared" si="1"/>
        <v>0</v>
      </c>
      <c r="J23" s="66">
        <f t="shared" si="10"/>
        <v>0</v>
      </c>
      <c r="K23" s="593">
        <f t="shared" si="29"/>
        <v>2290</v>
      </c>
      <c r="L23" s="52">
        <f t="shared" si="11"/>
        <v>0</v>
      </c>
      <c r="M23" s="593">
        <f t="shared" si="29"/>
        <v>168619</v>
      </c>
      <c r="N23" s="396">
        <f t="shared" si="2"/>
        <v>0</v>
      </c>
      <c r="O23" s="64">
        <f t="shared" si="12"/>
        <v>1869</v>
      </c>
      <c r="P23" s="593">
        <f t="shared" si="12"/>
        <v>2050</v>
      </c>
      <c r="Q23" s="593">
        <f t="shared" ref="Q23" si="104">Q22</f>
        <v>172727</v>
      </c>
      <c r="R23" s="395">
        <f t="shared" si="54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93">
        <f t="shared" si="16"/>
        <v>2463</v>
      </c>
      <c r="Y23" s="52">
        <f t="shared" si="17"/>
        <v>0</v>
      </c>
      <c r="Z23" s="593">
        <f t="shared" si="16"/>
        <v>138550</v>
      </c>
      <c r="AA23" s="65">
        <f t="shared" si="5"/>
        <v>0</v>
      </c>
      <c r="AB23" s="284">
        <f t="shared" si="83"/>
        <v>0</v>
      </c>
      <c r="AC23" s="593">
        <f t="shared" ref="AC23:AE23" si="105">AC22</f>
        <v>1936</v>
      </c>
      <c r="AD23" s="45">
        <f t="shared" si="6"/>
        <v>0</v>
      </c>
      <c r="AE23" s="593">
        <f t="shared" si="105"/>
        <v>365520.8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ref="AI23" si="106">SUM(AH23+V23)</f>
        <v>0</v>
      </c>
      <c r="AJ23" s="318">
        <f>-tanks!AW24</f>
        <v>0</v>
      </c>
      <c r="AK23" s="318">
        <f t="shared" ref="AK23" si="107">SUM(AJ23-AI23)</f>
        <v>0</v>
      </c>
      <c r="AL23" s="318">
        <f t="shared" ref="AL23" si="108">S23+L23+G23</f>
        <v>0</v>
      </c>
      <c r="AM23" s="318">
        <f t="shared" ref="AM23" si="109">Y23+AD23</f>
        <v>0</v>
      </c>
      <c r="AN23" s="593">
        <f t="shared" ref="AN23:AP23" si="110">AN22</f>
        <v>67</v>
      </c>
      <c r="AO23" s="320">
        <f t="shared" si="24"/>
        <v>2010.0000000000002</v>
      </c>
      <c r="AP23" s="593">
        <f t="shared" si="110"/>
        <v>55</v>
      </c>
      <c r="AQ23" s="320">
        <f t="shared" si="25"/>
        <v>1650.0000000000002</v>
      </c>
      <c r="AR23" s="593">
        <f t="shared" ref="AR23" si="111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44306</v>
      </c>
      <c r="B24" s="593">
        <f t="shared" si="40"/>
        <v>208</v>
      </c>
      <c r="C24" s="593">
        <f t="shared" si="40"/>
        <v>215</v>
      </c>
      <c r="D24" s="45">
        <f t="shared" si="95"/>
        <v>0</v>
      </c>
      <c r="E24" s="45">
        <f t="shared" si="8"/>
        <v>0</v>
      </c>
      <c r="F24" s="593">
        <f t="shared" si="9"/>
        <v>1799</v>
      </c>
      <c r="G24" s="52">
        <f t="shared" si="0"/>
        <v>0</v>
      </c>
      <c r="H24" s="593">
        <f t="shared" si="9"/>
        <v>10207</v>
      </c>
      <c r="I24" s="396">
        <f t="shared" si="1"/>
        <v>0</v>
      </c>
      <c r="J24" s="66">
        <f t="shared" si="10"/>
        <v>0</v>
      </c>
      <c r="K24" s="593">
        <f t="shared" si="29"/>
        <v>2290</v>
      </c>
      <c r="L24" s="52">
        <f t="shared" si="11"/>
        <v>0</v>
      </c>
      <c r="M24" s="593">
        <f t="shared" si="29"/>
        <v>168619</v>
      </c>
      <c r="N24" s="396">
        <f t="shared" si="2"/>
        <v>0</v>
      </c>
      <c r="O24" s="64">
        <f t="shared" si="12"/>
        <v>1869</v>
      </c>
      <c r="P24" s="593">
        <f t="shared" si="12"/>
        <v>2050</v>
      </c>
      <c r="Q24" s="593">
        <f t="shared" ref="Q24" si="112">Q23</f>
        <v>172727</v>
      </c>
      <c r="R24" s="395">
        <f t="shared" si="54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93">
        <f t="shared" si="16"/>
        <v>2463</v>
      </c>
      <c r="Y24" s="52">
        <f t="shared" si="17"/>
        <v>0</v>
      </c>
      <c r="Z24" s="593">
        <f t="shared" si="16"/>
        <v>138550</v>
      </c>
      <c r="AA24" s="65">
        <f t="shared" si="5"/>
        <v>0</v>
      </c>
      <c r="AB24" s="284">
        <f t="shared" ref="AB24:AB32" si="113">SUM(Y24*$AB$2)</f>
        <v>0</v>
      </c>
      <c r="AC24" s="593">
        <f t="shared" ref="AC24:AE24" si="114">AC23</f>
        <v>1936</v>
      </c>
      <c r="AD24" s="45">
        <f t="shared" si="6"/>
        <v>0</v>
      </c>
      <c r="AE24" s="593">
        <f t="shared" si="114"/>
        <v>365520.8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93">
        <f t="shared" ref="AN24:AP24" si="115">AN23</f>
        <v>67</v>
      </c>
      <c r="AO24" s="320">
        <f t="shared" si="24"/>
        <v>2010.0000000000002</v>
      </c>
      <c r="AP24" s="593">
        <f t="shared" si="115"/>
        <v>55</v>
      </c>
      <c r="AQ24" s="320">
        <f t="shared" si="25"/>
        <v>1650.0000000000002</v>
      </c>
      <c r="AR24" s="593">
        <f t="shared" ref="AR24" si="116">AR23</f>
        <v>61</v>
      </c>
      <c r="AS24" s="320">
        <f t="shared" si="37"/>
        <v>1830</v>
      </c>
      <c r="AT24" s="320">
        <f t="shared" ref="AT24:AT32" si="117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44307</v>
      </c>
      <c r="B25" s="593">
        <f t="shared" si="40"/>
        <v>208</v>
      </c>
      <c r="C25" s="593">
        <f t="shared" si="40"/>
        <v>215</v>
      </c>
      <c r="D25" s="45">
        <f t="shared" si="95"/>
        <v>0</v>
      </c>
      <c r="E25" s="45">
        <f t="shared" si="8"/>
        <v>0</v>
      </c>
      <c r="F25" s="593">
        <f t="shared" si="9"/>
        <v>1799</v>
      </c>
      <c r="G25" s="52">
        <f t="shared" si="0"/>
        <v>0</v>
      </c>
      <c r="H25" s="593">
        <f t="shared" si="9"/>
        <v>10207</v>
      </c>
      <c r="I25" s="396">
        <f t="shared" si="1"/>
        <v>0</v>
      </c>
      <c r="J25" s="66">
        <f t="shared" si="10"/>
        <v>0</v>
      </c>
      <c r="K25" s="593">
        <f t="shared" si="29"/>
        <v>2290</v>
      </c>
      <c r="L25" s="52">
        <f t="shared" si="11"/>
        <v>0</v>
      </c>
      <c r="M25" s="593">
        <f t="shared" si="29"/>
        <v>168619</v>
      </c>
      <c r="N25" s="396">
        <f t="shared" si="2"/>
        <v>0</v>
      </c>
      <c r="O25" s="64">
        <f>O24</f>
        <v>1869</v>
      </c>
      <c r="P25" s="593">
        <f t="shared" si="12"/>
        <v>2050</v>
      </c>
      <c r="Q25" s="593">
        <f t="shared" ref="Q25" si="118">Q24</f>
        <v>172727</v>
      </c>
      <c r="R25" s="395">
        <f t="shared" si="54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93">
        <f t="shared" si="16"/>
        <v>2463</v>
      </c>
      <c r="Y25" s="52">
        <f t="shared" si="17"/>
        <v>0</v>
      </c>
      <c r="Z25" s="593">
        <f t="shared" si="16"/>
        <v>138550</v>
      </c>
      <c r="AA25" s="65">
        <f t="shared" si="5"/>
        <v>0</v>
      </c>
      <c r="AB25" s="284">
        <f t="shared" si="113"/>
        <v>0</v>
      </c>
      <c r="AC25" s="593">
        <f t="shared" ref="AC25:AE25" si="119">AC24</f>
        <v>1936</v>
      </c>
      <c r="AD25" s="45">
        <f t="shared" si="6"/>
        <v>0</v>
      </c>
      <c r="AE25" s="593">
        <f t="shared" si="119"/>
        <v>365520.8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93">
        <f t="shared" ref="AN25:AP25" si="120">AN24</f>
        <v>67</v>
      </c>
      <c r="AO25" s="320">
        <f t="shared" si="24"/>
        <v>2010.0000000000002</v>
      </c>
      <c r="AP25" s="593">
        <f t="shared" si="120"/>
        <v>55</v>
      </c>
      <c r="AQ25" s="320">
        <f t="shared" ref="AQ25:AQ32" si="121">(AP25/100)*3000</f>
        <v>1650.0000000000002</v>
      </c>
      <c r="AR25" s="593">
        <f t="shared" ref="AR25" si="122">AR24</f>
        <v>61</v>
      </c>
      <c r="AS25" s="320">
        <f t="shared" si="37"/>
        <v>1830</v>
      </c>
      <c r="AT25" s="320">
        <f t="shared" si="117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44308</v>
      </c>
      <c r="B26" s="593">
        <f t="shared" si="40"/>
        <v>208</v>
      </c>
      <c r="C26" s="593">
        <f t="shared" si="40"/>
        <v>215</v>
      </c>
      <c r="D26" s="45">
        <f t="shared" si="95"/>
        <v>0</v>
      </c>
      <c r="E26" s="45">
        <f t="shared" si="8"/>
        <v>0</v>
      </c>
      <c r="F26" s="593">
        <f t="shared" si="9"/>
        <v>1799</v>
      </c>
      <c r="G26" s="52">
        <f t="shared" si="0"/>
        <v>0</v>
      </c>
      <c r="H26" s="593">
        <f t="shared" si="9"/>
        <v>10207</v>
      </c>
      <c r="I26" s="396">
        <f t="shared" si="1"/>
        <v>0</v>
      </c>
      <c r="J26" s="66">
        <f t="shared" si="10"/>
        <v>0</v>
      </c>
      <c r="K26" s="593">
        <f t="shared" si="29"/>
        <v>2290</v>
      </c>
      <c r="L26" s="52">
        <f t="shared" si="11"/>
        <v>0</v>
      </c>
      <c r="M26" s="593">
        <f t="shared" si="29"/>
        <v>168619</v>
      </c>
      <c r="N26" s="396">
        <f t="shared" si="2"/>
        <v>0</v>
      </c>
      <c r="O26" s="64">
        <f t="shared" si="12"/>
        <v>1869</v>
      </c>
      <c r="P26" s="593">
        <f t="shared" si="12"/>
        <v>2050</v>
      </c>
      <c r="Q26" s="593">
        <f t="shared" ref="Q26" si="123">Q25</f>
        <v>172727</v>
      </c>
      <c r="R26" s="395">
        <f t="shared" si="54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93">
        <f t="shared" si="16"/>
        <v>2463</v>
      </c>
      <c r="Y26" s="52">
        <f t="shared" si="17"/>
        <v>0</v>
      </c>
      <c r="Z26" s="593">
        <f t="shared" si="16"/>
        <v>138550</v>
      </c>
      <c r="AA26" s="65">
        <f t="shared" si="5"/>
        <v>0</v>
      </c>
      <c r="AB26" s="284">
        <f t="shared" si="113"/>
        <v>0</v>
      </c>
      <c r="AC26" s="593">
        <f t="shared" ref="AC26:AE26" si="124">AC25</f>
        <v>1936</v>
      </c>
      <c r="AD26" s="45">
        <f t="shared" si="6"/>
        <v>0</v>
      </c>
      <c r="AE26" s="593">
        <f t="shared" si="124"/>
        <v>365520.8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93">
        <f t="shared" ref="AN26:AP26" si="125">AN25</f>
        <v>67</v>
      </c>
      <c r="AO26" s="320">
        <f t="shared" si="24"/>
        <v>2010.0000000000002</v>
      </c>
      <c r="AP26" s="593">
        <f t="shared" si="125"/>
        <v>55</v>
      </c>
      <c r="AQ26" s="320">
        <f t="shared" si="121"/>
        <v>1650.0000000000002</v>
      </c>
      <c r="AR26" s="593">
        <f t="shared" ref="AR26" si="126">AR25</f>
        <v>61</v>
      </c>
      <c r="AS26" s="320">
        <f t="shared" si="37"/>
        <v>1830</v>
      </c>
      <c r="AT26" s="320">
        <f t="shared" si="117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44309</v>
      </c>
      <c r="B27" s="593">
        <f t="shared" si="40"/>
        <v>208</v>
      </c>
      <c r="C27" s="593">
        <f t="shared" si="40"/>
        <v>215</v>
      </c>
      <c r="D27" s="45">
        <f t="shared" si="95"/>
        <v>0</v>
      </c>
      <c r="E27" s="45">
        <f t="shared" si="8"/>
        <v>0</v>
      </c>
      <c r="F27" s="593">
        <f t="shared" si="9"/>
        <v>1799</v>
      </c>
      <c r="G27" s="52">
        <f t="shared" si="0"/>
        <v>0</v>
      </c>
      <c r="H27" s="593">
        <f t="shared" si="9"/>
        <v>10207</v>
      </c>
      <c r="I27" s="396">
        <f t="shared" si="1"/>
        <v>0</v>
      </c>
      <c r="J27" s="66">
        <f t="shared" si="10"/>
        <v>0</v>
      </c>
      <c r="K27" s="593">
        <f t="shared" si="29"/>
        <v>2290</v>
      </c>
      <c r="L27" s="52">
        <f t="shared" si="11"/>
        <v>0</v>
      </c>
      <c r="M27" s="593">
        <f t="shared" si="29"/>
        <v>168619</v>
      </c>
      <c r="N27" s="396">
        <f t="shared" si="2"/>
        <v>0</v>
      </c>
      <c r="O27" s="64">
        <f t="shared" si="12"/>
        <v>1869</v>
      </c>
      <c r="P27" s="593">
        <f t="shared" si="12"/>
        <v>2050</v>
      </c>
      <c r="Q27" s="593">
        <f t="shared" ref="Q27" si="127">Q26</f>
        <v>172727</v>
      </c>
      <c r="R27" s="395">
        <f t="shared" si="54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93">
        <f t="shared" si="16"/>
        <v>2463</v>
      </c>
      <c r="Y27" s="52">
        <f t="shared" si="17"/>
        <v>0</v>
      </c>
      <c r="Z27" s="593">
        <f t="shared" si="16"/>
        <v>138550</v>
      </c>
      <c r="AA27" s="65">
        <f t="shared" si="5"/>
        <v>0</v>
      </c>
      <c r="AB27" s="284">
        <f t="shared" si="113"/>
        <v>0</v>
      </c>
      <c r="AC27" s="593">
        <f t="shared" ref="AC27:AE27" si="128">AC26</f>
        <v>1936</v>
      </c>
      <c r="AD27" s="45">
        <f t="shared" si="6"/>
        <v>0</v>
      </c>
      <c r="AE27" s="593">
        <f t="shared" si="128"/>
        <v>365520.8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93">
        <f t="shared" ref="AN27:AP27" si="129">AN26</f>
        <v>67</v>
      </c>
      <c r="AO27" s="320">
        <f>(AN27/100)*3000</f>
        <v>2010.0000000000002</v>
      </c>
      <c r="AP27" s="593">
        <f t="shared" si="129"/>
        <v>55</v>
      </c>
      <c r="AQ27" s="320">
        <f t="shared" si="121"/>
        <v>1650.0000000000002</v>
      </c>
      <c r="AR27" s="593">
        <f t="shared" ref="AR27" si="130">AR26</f>
        <v>61</v>
      </c>
      <c r="AS27" s="320">
        <f t="shared" si="37"/>
        <v>1830</v>
      </c>
      <c r="AT27" s="320">
        <f t="shared" si="117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44310</v>
      </c>
      <c r="B28" s="593">
        <f t="shared" si="40"/>
        <v>208</v>
      </c>
      <c r="C28" s="593">
        <f t="shared" si="40"/>
        <v>215</v>
      </c>
      <c r="D28" s="45">
        <f t="shared" si="95"/>
        <v>0</v>
      </c>
      <c r="E28" s="45">
        <f t="shared" si="8"/>
        <v>0</v>
      </c>
      <c r="F28" s="593">
        <f t="shared" si="9"/>
        <v>1799</v>
      </c>
      <c r="G28" s="52">
        <f t="shared" si="0"/>
        <v>0</v>
      </c>
      <c r="H28" s="593">
        <f t="shared" si="9"/>
        <v>10207</v>
      </c>
      <c r="I28" s="396">
        <f t="shared" si="1"/>
        <v>0</v>
      </c>
      <c r="J28" s="66">
        <f t="shared" si="10"/>
        <v>0</v>
      </c>
      <c r="K28" s="593">
        <f t="shared" si="29"/>
        <v>2290</v>
      </c>
      <c r="L28" s="52">
        <f t="shared" si="11"/>
        <v>0</v>
      </c>
      <c r="M28" s="593">
        <f t="shared" si="29"/>
        <v>168619</v>
      </c>
      <c r="N28" s="396">
        <f t="shared" si="2"/>
        <v>0</v>
      </c>
      <c r="O28" s="64">
        <f t="shared" si="12"/>
        <v>1869</v>
      </c>
      <c r="P28" s="593">
        <f t="shared" si="12"/>
        <v>2050</v>
      </c>
      <c r="Q28" s="593">
        <f t="shared" ref="Q28" si="131">Q27</f>
        <v>172727</v>
      </c>
      <c r="R28" s="395">
        <f t="shared" si="54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93">
        <f t="shared" si="16"/>
        <v>2463</v>
      </c>
      <c r="Y28" s="52">
        <f t="shared" si="17"/>
        <v>0</v>
      </c>
      <c r="Z28" s="593">
        <f t="shared" si="16"/>
        <v>138550</v>
      </c>
      <c r="AA28" s="65">
        <f t="shared" si="5"/>
        <v>0</v>
      </c>
      <c r="AB28" s="284">
        <f t="shared" si="113"/>
        <v>0</v>
      </c>
      <c r="AC28" s="593">
        <f t="shared" ref="AC28:AE28" si="132">AC27</f>
        <v>1936</v>
      </c>
      <c r="AD28" s="45">
        <f t="shared" si="6"/>
        <v>0</v>
      </c>
      <c r="AE28" s="593">
        <f t="shared" si="132"/>
        <v>365520.8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93">
        <f t="shared" ref="AN28:AP28" si="133">AN27</f>
        <v>67</v>
      </c>
      <c r="AO28" s="320">
        <f t="shared" ref="AO28:AO32" si="134">(AN28/100)*3000</f>
        <v>2010.0000000000002</v>
      </c>
      <c r="AP28" s="593">
        <f t="shared" si="133"/>
        <v>55</v>
      </c>
      <c r="AQ28" s="320">
        <f t="shared" si="121"/>
        <v>1650.0000000000002</v>
      </c>
      <c r="AR28" s="593">
        <f t="shared" ref="AR28" si="135">AR27</f>
        <v>61</v>
      </c>
      <c r="AS28" s="320">
        <f t="shared" si="37"/>
        <v>1830</v>
      </c>
      <c r="AT28" s="320">
        <f t="shared" si="117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44311</v>
      </c>
      <c r="B29" s="593">
        <f t="shared" si="40"/>
        <v>208</v>
      </c>
      <c r="C29" s="593">
        <f t="shared" si="40"/>
        <v>215</v>
      </c>
      <c r="D29" s="45">
        <f t="shared" si="95"/>
        <v>0</v>
      </c>
      <c r="E29" s="45">
        <f t="shared" si="8"/>
        <v>0</v>
      </c>
      <c r="F29" s="593">
        <f t="shared" si="9"/>
        <v>1799</v>
      </c>
      <c r="G29" s="52">
        <f t="shared" si="0"/>
        <v>0</v>
      </c>
      <c r="H29" s="593">
        <f t="shared" si="9"/>
        <v>10207</v>
      </c>
      <c r="I29" s="396">
        <f t="shared" si="1"/>
        <v>0</v>
      </c>
      <c r="J29" s="66">
        <f t="shared" si="10"/>
        <v>0</v>
      </c>
      <c r="K29" s="593">
        <f t="shared" si="29"/>
        <v>2290</v>
      </c>
      <c r="L29" s="52">
        <f t="shared" si="11"/>
        <v>0</v>
      </c>
      <c r="M29" s="593">
        <f t="shared" si="29"/>
        <v>168619</v>
      </c>
      <c r="N29" s="396">
        <f t="shared" si="2"/>
        <v>0</v>
      </c>
      <c r="O29" s="64">
        <f t="shared" si="12"/>
        <v>1869</v>
      </c>
      <c r="P29" s="593">
        <f t="shared" si="12"/>
        <v>2050</v>
      </c>
      <c r="Q29" s="593">
        <f t="shared" ref="Q29" si="136">Q28</f>
        <v>172727</v>
      </c>
      <c r="R29" s="395">
        <f t="shared" si="54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93">
        <f t="shared" si="16"/>
        <v>2463</v>
      </c>
      <c r="Y29" s="52">
        <f t="shared" si="17"/>
        <v>0</v>
      </c>
      <c r="Z29" s="593">
        <f t="shared" si="16"/>
        <v>138550</v>
      </c>
      <c r="AA29" s="65">
        <f t="shared" si="5"/>
        <v>0</v>
      </c>
      <c r="AB29" s="284">
        <f t="shared" si="113"/>
        <v>0</v>
      </c>
      <c r="AC29" s="593">
        <f t="shared" ref="AC29:AE29" si="137">AC28</f>
        <v>1936</v>
      </c>
      <c r="AD29" s="45">
        <f t="shared" si="6"/>
        <v>0</v>
      </c>
      <c r="AE29" s="593">
        <f t="shared" si="137"/>
        <v>365520.8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93">
        <f t="shared" ref="AN29:AP29" si="138">AN28</f>
        <v>67</v>
      </c>
      <c r="AO29" s="320">
        <f t="shared" si="134"/>
        <v>2010.0000000000002</v>
      </c>
      <c r="AP29" s="593">
        <f t="shared" si="138"/>
        <v>55</v>
      </c>
      <c r="AQ29" s="320">
        <f t="shared" si="121"/>
        <v>1650.0000000000002</v>
      </c>
      <c r="AR29" s="593">
        <f t="shared" ref="AR29" si="139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44312</v>
      </c>
      <c r="B30" s="593">
        <f t="shared" si="40"/>
        <v>208</v>
      </c>
      <c r="C30" s="593">
        <f t="shared" si="40"/>
        <v>215</v>
      </c>
      <c r="D30" s="45">
        <f t="shared" si="95"/>
        <v>0</v>
      </c>
      <c r="E30" s="45">
        <f t="shared" si="8"/>
        <v>0</v>
      </c>
      <c r="F30" s="593">
        <f t="shared" si="9"/>
        <v>1799</v>
      </c>
      <c r="G30" s="52">
        <f t="shared" si="0"/>
        <v>0</v>
      </c>
      <c r="H30" s="593">
        <f t="shared" si="9"/>
        <v>10207</v>
      </c>
      <c r="I30" s="396">
        <f t="shared" si="1"/>
        <v>0</v>
      </c>
      <c r="J30" s="66">
        <f t="shared" si="10"/>
        <v>0</v>
      </c>
      <c r="K30" s="593">
        <f t="shared" si="29"/>
        <v>2290</v>
      </c>
      <c r="L30" s="52">
        <f t="shared" si="11"/>
        <v>0</v>
      </c>
      <c r="M30" s="593">
        <f t="shared" si="29"/>
        <v>168619</v>
      </c>
      <c r="N30" s="396">
        <f t="shared" si="2"/>
        <v>0</v>
      </c>
      <c r="O30" s="64">
        <f t="shared" si="12"/>
        <v>1869</v>
      </c>
      <c r="P30" s="593">
        <f t="shared" si="12"/>
        <v>2050</v>
      </c>
      <c r="Q30" s="593">
        <f t="shared" ref="Q30" si="140">Q29</f>
        <v>172727</v>
      </c>
      <c r="R30" s="395">
        <f t="shared" si="54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93">
        <f t="shared" si="16"/>
        <v>2463</v>
      </c>
      <c r="Y30" s="52">
        <f t="shared" si="17"/>
        <v>0</v>
      </c>
      <c r="Z30" s="593">
        <f t="shared" si="16"/>
        <v>138550</v>
      </c>
      <c r="AA30" s="65">
        <f t="shared" si="5"/>
        <v>0</v>
      </c>
      <c r="AB30" s="284">
        <f t="shared" si="113"/>
        <v>0</v>
      </c>
      <c r="AC30" s="593">
        <f t="shared" ref="AC30:AE30" si="141">AC29</f>
        <v>1936</v>
      </c>
      <c r="AD30" s="45">
        <f t="shared" si="6"/>
        <v>0</v>
      </c>
      <c r="AE30" s="593">
        <f t="shared" si="141"/>
        <v>365520.8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93">
        <f t="shared" ref="AN30:AP30" si="142">AN29</f>
        <v>67</v>
      </c>
      <c r="AO30" s="320">
        <f t="shared" si="134"/>
        <v>2010.0000000000002</v>
      </c>
      <c r="AP30" s="593">
        <f t="shared" si="142"/>
        <v>55</v>
      </c>
      <c r="AQ30" s="320">
        <f t="shared" si="121"/>
        <v>1650.0000000000002</v>
      </c>
      <c r="AR30" s="593">
        <f t="shared" ref="AR30" si="143">AR29</f>
        <v>61</v>
      </c>
      <c r="AS30" s="320">
        <f t="shared" si="37"/>
        <v>1830</v>
      </c>
      <c r="AT30" s="320">
        <f t="shared" si="117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44313</v>
      </c>
      <c r="B31" s="593">
        <f t="shared" si="40"/>
        <v>208</v>
      </c>
      <c r="C31" s="593">
        <f t="shared" si="40"/>
        <v>215</v>
      </c>
      <c r="D31" s="45">
        <f t="shared" si="95"/>
        <v>0</v>
      </c>
      <c r="E31" s="45">
        <f t="shared" si="8"/>
        <v>0</v>
      </c>
      <c r="F31" s="593">
        <f t="shared" si="9"/>
        <v>1799</v>
      </c>
      <c r="G31" s="52">
        <f t="shared" si="0"/>
        <v>0</v>
      </c>
      <c r="H31" s="593">
        <f t="shared" si="9"/>
        <v>10207</v>
      </c>
      <c r="I31" s="396">
        <f t="shared" si="1"/>
        <v>0</v>
      </c>
      <c r="J31" s="66">
        <f t="shared" si="10"/>
        <v>0</v>
      </c>
      <c r="K31" s="593">
        <f t="shared" si="29"/>
        <v>2290</v>
      </c>
      <c r="L31" s="52">
        <f t="shared" si="11"/>
        <v>0</v>
      </c>
      <c r="M31" s="593">
        <f t="shared" si="29"/>
        <v>168619</v>
      </c>
      <c r="N31" s="396">
        <f t="shared" si="2"/>
        <v>0</v>
      </c>
      <c r="O31" s="64">
        <f t="shared" si="12"/>
        <v>1869</v>
      </c>
      <c r="P31" s="593">
        <f t="shared" si="12"/>
        <v>2050</v>
      </c>
      <c r="Q31" s="593">
        <f t="shared" ref="Q31" si="144">Q30</f>
        <v>172727</v>
      </c>
      <c r="R31" s="395">
        <f t="shared" si="54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93">
        <f t="shared" si="16"/>
        <v>2463</v>
      </c>
      <c r="Y31" s="52">
        <f t="shared" si="17"/>
        <v>0</v>
      </c>
      <c r="Z31" s="593">
        <f t="shared" si="16"/>
        <v>138550</v>
      </c>
      <c r="AA31" s="65">
        <f t="shared" si="5"/>
        <v>0</v>
      </c>
      <c r="AB31" s="284">
        <f t="shared" si="113"/>
        <v>0</v>
      </c>
      <c r="AC31" s="593">
        <f t="shared" ref="AC31:AE31" si="145">AC30</f>
        <v>1936</v>
      </c>
      <c r="AD31" s="269">
        <f t="shared" si="6"/>
        <v>0</v>
      </c>
      <c r="AE31" s="593">
        <f t="shared" si="145"/>
        <v>365520.8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93">
        <f t="shared" ref="AN31:AP31" si="146">AN30</f>
        <v>67</v>
      </c>
      <c r="AO31" s="320">
        <f t="shared" si="134"/>
        <v>2010.0000000000002</v>
      </c>
      <c r="AP31" s="593">
        <f t="shared" si="146"/>
        <v>55</v>
      </c>
      <c r="AQ31" s="320">
        <f t="shared" si="121"/>
        <v>1650.0000000000002</v>
      </c>
      <c r="AR31" s="593">
        <f t="shared" ref="AR31" si="147">AR30</f>
        <v>61</v>
      </c>
      <c r="AS31" s="320">
        <f t="shared" si="37"/>
        <v>1830</v>
      </c>
      <c r="AT31" s="320">
        <f t="shared" si="117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44314</v>
      </c>
      <c r="B32" s="593">
        <f t="shared" si="40"/>
        <v>208</v>
      </c>
      <c r="C32" s="593">
        <f t="shared" si="40"/>
        <v>215</v>
      </c>
      <c r="D32" s="45">
        <f t="shared" si="28"/>
        <v>0</v>
      </c>
      <c r="E32" s="45">
        <f t="shared" ref="E32" si="148">D32*8.38</f>
        <v>0</v>
      </c>
      <c r="F32" s="593">
        <f t="shared" si="9"/>
        <v>1799</v>
      </c>
      <c r="G32" s="52">
        <f t="shared" si="0"/>
        <v>0</v>
      </c>
      <c r="H32" s="593">
        <f t="shared" si="9"/>
        <v>10207</v>
      </c>
      <c r="I32" s="396">
        <f t="shared" si="1"/>
        <v>0</v>
      </c>
      <c r="J32" s="66">
        <f t="shared" si="10"/>
        <v>0</v>
      </c>
      <c r="K32" s="593">
        <f t="shared" si="29"/>
        <v>2290</v>
      </c>
      <c r="L32" s="52">
        <f t="shared" si="11"/>
        <v>0</v>
      </c>
      <c r="M32" s="593">
        <f t="shared" si="29"/>
        <v>168619</v>
      </c>
      <c r="N32" s="396">
        <f t="shared" si="2"/>
        <v>0</v>
      </c>
      <c r="O32" s="64">
        <f t="shared" si="12"/>
        <v>1869</v>
      </c>
      <c r="P32" s="593">
        <f t="shared" si="12"/>
        <v>2050</v>
      </c>
      <c r="Q32" s="593">
        <f t="shared" ref="Q32" si="149">Q31</f>
        <v>172727</v>
      </c>
      <c r="R32" s="395">
        <f t="shared" si="54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93">
        <f t="shared" si="16"/>
        <v>2463</v>
      </c>
      <c r="Y32" s="52">
        <f t="shared" si="17"/>
        <v>0</v>
      </c>
      <c r="Z32" s="593">
        <f t="shared" si="16"/>
        <v>138550</v>
      </c>
      <c r="AA32" s="65">
        <f t="shared" si="5"/>
        <v>0</v>
      </c>
      <c r="AB32" s="284">
        <f t="shared" si="113"/>
        <v>0</v>
      </c>
      <c r="AC32" s="593">
        <f t="shared" ref="AC32:AE32" si="150">AC31</f>
        <v>1936</v>
      </c>
      <c r="AD32" s="269">
        <f t="shared" si="6"/>
        <v>0</v>
      </c>
      <c r="AE32" s="593">
        <f t="shared" si="150"/>
        <v>365520.8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93">
        <f t="shared" ref="AN32:AP32" si="151">AN31</f>
        <v>67</v>
      </c>
      <c r="AO32" s="320">
        <f t="shared" si="134"/>
        <v>2010.0000000000002</v>
      </c>
      <c r="AP32" s="593">
        <f t="shared" si="151"/>
        <v>55</v>
      </c>
      <c r="AQ32" s="320">
        <f t="shared" si="121"/>
        <v>1650.0000000000002</v>
      </c>
      <c r="AR32" s="593">
        <f t="shared" ref="AR32" si="152">AR31</f>
        <v>61</v>
      </c>
      <c r="AS32" s="320">
        <f t="shared" si="37"/>
        <v>1830</v>
      </c>
      <c r="AT32" s="320">
        <f t="shared" si="117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:50">
      <c r="A33" s="63">
        <f>ELEC!C31</f>
        <v>44315</v>
      </c>
      <c r="B33" s="593">
        <f t="shared" si="40"/>
        <v>208</v>
      </c>
      <c r="C33" s="593">
        <f t="shared" si="40"/>
        <v>215</v>
      </c>
      <c r="D33" s="45">
        <f t="shared" ref="D33:D34" si="153">C32-C33</f>
        <v>0</v>
      </c>
      <c r="E33" s="45">
        <f t="shared" ref="E33:E34" si="154">D33*8.38</f>
        <v>0</v>
      </c>
      <c r="F33" s="593">
        <f t="shared" si="9"/>
        <v>1799</v>
      </c>
      <c r="G33" s="52">
        <f t="shared" ref="G33:G34" si="155">F33-F32</f>
        <v>0</v>
      </c>
      <c r="H33" s="593">
        <f t="shared" si="9"/>
        <v>10207</v>
      </c>
      <c r="I33" s="396">
        <f t="shared" ref="I33:I34" si="156">SUM(H33-H32)</f>
        <v>0</v>
      </c>
      <c r="J33" s="66">
        <f t="shared" ref="J33:J34" si="157">IF(G33&gt;0,I33/G33,0)</f>
        <v>0</v>
      </c>
      <c r="K33" s="593">
        <f t="shared" si="29"/>
        <v>2290</v>
      </c>
      <c r="L33" s="52">
        <f t="shared" ref="L33:L34" si="158">K33-K32</f>
        <v>0</v>
      </c>
      <c r="M33" s="593">
        <f t="shared" si="29"/>
        <v>168619</v>
      </c>
      <c r="N33" s="396">
        <f t="shared" ref="N33:N34" si="159">M33-M32</f>
        <v>0</v>
      </c>
      <c r="O33" s="64">
        <f t="shared" ref="O33:P34" si="160">O32</f>
        <v>1869</v>
      </c>
      <c r="P33" s="593">
        <f t="shared" si="160"/>
        <v>2050</v>
      </c>
      <c r="Q33" s="593">
        <f t="shared" ref="Q33" si="161">Q32</f>
        <v>172727</v>
      </c>
      <c r="R33" s="395">
        <f t="shared" ref="R33:R34" si="162">Q33-Q32</f>
        <v>0</v>
      </c>
      <c r="S33" s="52">
        <f t="shared" ref="S33:S34" si="163">SUM(P33-P32)</f>
        <v>0</v>
      </c>
      <c r="T33" s="67">
        <f t="shared" ref="T33:T34" si="164">SUM(S33*$T$2)</f>
        <v>0</v>
      </c>
      <c r="U33" s="402">
        <f t="shared" ref="U33:U34" si="165">SUM(G33+L33+S33)</f>
        <v>0</v>
      </c>
      <c r="V33" s="62">
        <f t="shared" ref="V33:V34" si="166">R33+N33+I33:I33</f>
        <v>0</v>
      </c>
      <c r="W33" s="400"/>
      <c r="X33" s="593">
        <f t="shared" si="16"/>
        <v>2463</v>
      </c>
      <c r="Y33" s="52">
        <f t="shared" ref="Y33:Y34" si="167">X33-X32</f>
        <v>0</v>
      </c>
      <c r="Z33" s="593">
        <f t="shared" si="16"/>
        <v>138550</v>
      </c>
      <c r="AA33" s="65">
        <f t="shared" ref="AA33:AA34" si="168">Z33-Z32</f>
        <v>0</v>
      </c>
      <c r="AB33" s="284">
        <f t="shared" ref="AB33:AB34" si="169">SUM(Y33*$AB$2)</f>
        <v>0</v>
      </c>
      <c r="AC33" s="593">
        <f t="shared" ref="AC33:AE33" si="170">AC32</f>
        <v>1936</v>
      </c>
      <c r="AD33" s="269">
        <f t="shared" ref="AD33:AD34" si="171">AC33-AC32</f>
        <v>0</v>
      </c>
      <c r="AE33" s="593">
        <f t="shared" si="170"/>
        <v>365520.8</v>
      </c>
      <c r="AF33" s="306">
        <f t="shared" ref="AF33:AF34" si="172">AE33-AE32</f>
        <v>0</v>
      </c>
      <c r="AG33" s="209">
        <f t="shared" ref="AG33:AG34" si="173">IF(AD33&gt;0,AF33/AD33,0)</f>
        <v>0</v>
      </c>
      <c r="AH33" s="62">
        <f t="shared" ref="AH33:AH34" si="174">AF33+AA33</f>
        <v>0</v>
      </c>
      <c r="AI33" s="318">
        <f t="shared" ref="AI33:AI34" si="175">SUM(AH33+V33)</f>
        <v>0</v>
      </c>
      <c r="AJ33" s="318">
        <f>-tanks!AW34</f>
        <v>0</v>
      </c>
      <c r="AK33" s="318">
        <f t="shared" ref="AK33:AK34" si="176">SUM(AJ33-AI33)</f>
        <v>0</v>
      </c>
      <c r="AL33" s="318">
        <f t="shared" ref="AL33:AL34" si="177">S33+L33+G33</f>
        <v>0</v>
      </c>
      <c r="AM33" s="318">
        <f t="shared" ref="AM33:AM34" si="178">Y33+AD33</f>
        <v>0</v>
      </c>
      <c r="AN33" s="593">
        <f t="shared" ref="AN33:AP33" si="179">AN32</f>
        <v>67</v>
      </c>
      <c r="AO33" s="320">
        <f t="shared" ref="AO33:AO34" si="180">(AN33/100)*3000</f>
        <v>2010.0000000000002</v>
      </c>
      <c r="AP33" s="593">
        <f t="shared" si="179"/>
        <v>55</v>
      </c>
      <c r="AQ33" s="320">
        <f t="shared" ref="AQ33:AQ34" si="181">(AP33/100)*3000</f>
        <v>1650.0000000000002</v>
      </c>
      <c r="AR33" s="593">
        <f t="shared" ref="AR33" si="182">AR32</f>
        <v>61</v>
      </c>
      <c r="AS33" s="320">
        <f t="shared" ref="AS33:AS34" si="183">(AR33/100)*3000</f>
        <v>1830</v>
      </c>
      <c r="AT33" s="320">
        <f t="shared" ref="AT33:AT34" si="184">SUM(AO33+AQ33+AS33)</f>
        <v>5490</v>
      </c>
      <c r="AU33" s="320">
        <f t="shared" ref="AU33:AU34" si="185">AT32-AT33+AV33</f>
        <v>0</v>
      </c>
      <c r="AV33" s="269"/>
      <c r="AW33" s="269"/>
      <c r="AX33" s="313">
        <f t="shared" ref="AX33:AX34" si="186">IF(AV33&gt;0,AW33,AX32)</f>
        <v>0.8</v>
      </c>
    </row>
    <row r="34" spans="1:50">
      <c r="A34" s="63">
        <f>ELEC!C32</f>
        <v>44316</v>
      </c>
      <c r="B34" s="593">
        <f t="shared" si="40"/>
        <v>208</v>
      </c>
      <c r="C34" s="593">
        <f t="shared" si="40"/>
        <v>215</v>
      </c>
      <c r="D34" s="45">
        <f t="shared" si="153"/>
        <v>0</v>
      </c>
      <c r="E34" s="45">
        <f t="shared" si="154"/>
        <v>0</v>
      </c>
      <c r="F34" s="593">
        <f t="shared" si="9"/>
        <v>1799</v>
      </c>
      <c r="G34" s="52">
        <f t="shared" si="155"/>
        <v>0</v>
      </c>
      <c r="H34" s="593">
        <f t="shared" si="9"/>
        <v>10207</v>
      </c>
      <c r="I34" s="396">
        <f t="shared" si="156"/>
        <v>0</v>
      </c>
      <c r="J34" s="66">
        <f t="shared" si="157"/>
        <v>0</v>
      </c>
      <c r="K34" s="593">
        <f t="shared" si="29"/>
        <v>2290</v>
      </c>
      <c r="L34" s="52">
        <f t="shared" si="158"/>
        <v>0</v>
      </c>
      <c r="M34" s="593">
        <f t="shared" si="29"/>
        <v>168619</v>
      </c>
      <c r="N34" s="396">
        <f t="shared" si="159"/>
        <v>0</v>
      </c>
      <c r="O34" s="64">
        <f t="shared" ref="O34" si="187">O33</f>
        <v>1869</v>
      </c>
      <c r="P34" s="593">
        <f t="shared" si="160"/>
        <v>2050</v>
      </c>
      <c r="Q34" s="593">
        <f t="shared" ref="Q34" si="188">Q33</f>
        <v>172727</v>
      </c>
      <c r="R34" s="395">
        <f t="shared" si="162"/>
        <v>0</v>
      </c>
      <c r="S34" s="52">
        <f t="shared" si="163"/>
        <v>0</v>
      </c>
      <c r="T34" s="67">
        <f t="shared" si="164"/>
        <v>0</v>
      </c>
      <c r="U34" s="402">
        <f t="shared" si="165"/>
        <v>0</v>
      </c>
      <c r="V34" s="62">
        <f t="shared" si="166"/>
        <v>0</v>
      </c>
      <c r="W34" s="400"/>
      <c r="X34" s="593">
        <f t="shared" si="16"/>
        <v>2463</v>
      </c>
      <c r="Y34" s="52">
        <f t="shared" si="167"/>
        <v>0</v>
      </c>
      <c r="Z34" s="593">
        <f t="shared" si="16"/>
        <v>138550</v>
      </c>
      <c r="AA34" s="65">
        <f t="shared" si="168"/>
        <v>0</v>
      </c>
      <c r="AB34" s="284">
        <f t="shared" si="169"/>
        <v>0</v>
      </c>
      <c r="AC34" s="593">
        <f t="shared" ref="AC34:AE34" si="189">AC33</f>
        <v>1936</v>
      </c>
      <c r="AD34" s="269">
        <f t="shared" si="171"/>
        <v>0</v>
      </c>
      <c r="AE34" s="593">
        <f t="shared" si="189"/>
        <v>365520.8</v>
      </c>
      <c r="AF34" s="306">
        <f t="shared" si="172"/>
        <v>0</v>
      </c>
      <c r="AG34" s="209">
        <f t="shared" si="173"/>
        <v>0</v>
      </c>
      <c r="AH34" s="62">
        <f t="shared" si="174"/>
        <v>0</v>
      </c>
      <c r="AI34" s="318">
        <f t="shared" si="175"/>
        <v>0</v>
      </c>
      <c r="AJ34" s="318">
        <f>-tanks!AW35</f>
        <v>0</v>
      </c>
      <c r="AK34" s="318">
        <f t="shared" si="176"/>
        <v>0</v>
      </c>
      <c r="AL34" s="318">
        <f t="shared" si="177"/>
        <v>0</v>
      </c>
      <c r="AM34" s="318">
        <f t="shared" si="178"/>
        <v>0</v>
      </c>
      <c r="AN34" s="593">
        <f t="shared" ref="AN34:AP34" si="190">AN33</f>
        <v>67</v>
      </c>
      <c r="AO34" s="320">
        <f t="shared" si="180"/>
        <v>2010.0000000000002</v>
      </c>
      <c r="AP34" s="593">
        <f t="shared" si="190"/>
        <v>55</v>
      </c>
      <c r="AQ34" s="320">
        <f t="shared" si="181"/>
        <v>1650.0000000000002</v>
      </c>
      <c r="AR34" s="593">
        <f t="shared" ref="AR34" si="191">AR33</f>
        <v>61</v>
      </c>
      <c r="AS34" s="320">
        <f t="shared" si="183"/>
        <v>1830</v>
      </c>
      <c r="AT34" s="320">
        <f t="shared" si="184"/>
        <v>5490</v>
      </c>
      <c r="AU34" s="320">
        <f t="shared" si="185"/>
        <v>0</v>
      </c>
      <c r="AV34" s="269"/>
      <c r="AW34" s="269"/>
      <c r="AX34" s="313">
        <f t="shared" si="186"/>
        <v>0.8</v>
      </c>
    </row>
    <row r="35" spans="1:50">
      <c r="A35" s="63"/>
      <c r="B35" s="64"/>
      <c r="C35" s="64"/>
      <c r="D35" s="45"/>
      <c r="E35" s="45"/>
      <c r="F35" s="580"/>
      <c r="G35" s="52"/>
      <c r="H35" s="580"/>
      <c r="I35" s="396"/>
      <c r="J35" s="66"/>
      <c r="K35" s="580"/>
      <c r="L35" s="52"/>
      <c r="M35" s="580"/>
      <c r="N35" s="396"/>
      <c r="O35" s="64"/>
      <c r="P35" s="580"/>
      <c r="Q35" s="580"/>
      <c r="R35" s="395"/>
      <c r="S35" s="52"/>
      <c r="T35" s="67"/>
      <c r="U35" s="402"/>
      <c r="V35" s="62"/>
      <c r="W35" s="400"/>
      <c r="X35" s="580"/>
      <c r="Y35" s="52"/>
      <c r="Z35" s="580"/>
      <c r="AA35" s="65"/>
      <c r="AB35" s="284"/>
      <c r="AC35" s="580"/>
      <c r="AD35" s="269"/>
      <c r="AE35" s="580"/>
      <c r="AF35" s="306"/>
      <c r="AG35" s="209"/>
      <c r="AH35" s="62"/>
      <c r="AI35" s="318"/>
      <c r="AJ35" s="318"/>
      <c r="AK35" s="318"/>
      <c r="AL35" s="318"/>
      <c r="AM35" s="318"/>
      <c r="AN35" s="580"/>
      <c r="AO35" s="320"/>
      <c r="AP35" s="580"/>
      <c r="AQ35" s="320"/>
      <c r="AR35" s="580"/>
      <c r="AS35" s="320"/>
      <c r="AT35" s="320"/>
      <c r="AU35" s="320"/>
      <c r="AV35" s="269"/>
      <c r="AW35" s="269"/>
    </row>
    <row r="36" spans="1:50">
      <c r="J36" s="283">
        <f>SUM(J5:J32)/(COUNT(J5:J32)-COUNTIF(J5:J32,0))</f>
        <v>42.75</v>
      </c>
      <c r="V36" s="62">
        <f>SUM(V5:V32)</f>
        <v>944</v>
      </c>
      <c r="AE36" s="71" t="s">
        <v>383</v>
      </c>
      <c r="AG36" s="344"/>
      <c r="AH36" s="62">
        <f>SUM(AH5:AH32)</f>
        <v>0</v>
      </c>
      <c r="AL36" s="62">
        <f>SUM(AL5:AL32)</f>
        <v>13</v>
      </c>
      <c r="AM36" s="62">
        <f>SUM(AM5:AM32)</f>
        <v>0</v>
      </c>
      <c r="AP36" s="313"/>
      <c r="AQ36" s="313"/>
      <c r="AR36" s="313" t="s">
        <v>224</v>
      </c>
      <c r="AS36" s="313">
        <f>COUNT(AW5:AW32)</f>
        <v>0</v>
      </c>
      <c r="AT36" s="313"/>
      <c r="AU36" s="313">
        <f>SUM(AU5:AU32)</f>
        <v>0</v>
      </c>
      <c r="AV36" s="71">
        <f>SUM(AV5:AV32)</f>
        <v>0</v>
      </c>
      <c r="AW36" s="313" t="e">
        <f>SUM(AW5:AW32)/AS36</f>
        <v>#DIV/0!</v>
      </c>
    </row>
    <row r="37" spans="1:50">
      <c r="AH37" s="62">
        <f>AF37+AA37</f>
        <v>0</v>
      </c>
      <c r="AI37" s="321">
        <f>SUM(AI5:AI32)</f>
        <v>944</v>
      </c>
      <c r="AP37" s="313"/>
      <c r="AQ37" s="313"/>
      <c r="AR37" s="313"/>
      <c r="AS37" s="313"/>
      <c r="AT37" s="313"/>
      <c r="AU37" s="313"/>
      <c r="AV37" s="313"/>
      <c r="AW37" s="313"/>
    </row>
    <row r="38" spans="1:50">
      <c r="AH38" s="62">
        <f>AF38+AA38</f>
        <v>0</v>
      </c>
      <c r="AP38" s="313"/>
      <c r="AQ38" s="313"/>
      <c r="AR38" s="313"/>
      <c r="AS38" s="313"/>
      <c r="AT38" s="313"/>
      <c r="AU38" s="313">
        <f>AU36*0.51</f>
        <v>0</v>
      </c>
      <c r="AV38" s="313">
        <f>AV36/0.51</f>
        <v>0</v>
      </c>
      <c r="AW38" s="313" t="e">
        <f>SUM(AW5:AW32)/AS36</f>
        <v>#DIV/0!</v>
      </c>
    </row>
    <row r="39" spans="1:50">
      <c r="AP39" s="313"/>
      <c r="AQ39" s="313"/>
      <c r="AR39" s="313"/>
      <c r="AS39" s="313"/>
      <c r="AT39" s="313"/>
      <c r="AU39" s="313"/>
      <c r="AV39" s="313">
        <f>AV36*0.51</f>
        <v>0</v>
      </c>
      <c r="AW39" s="313"/>
    </row>
    <row r="40" spans="1:50">
      <c r="AP40" s="313"/>
      <c r="AQ40" s="313"/>
      <c r="AR40" s="313"/>
      <c r="AS40" s="313"/>
      <c r="AT40" s="313"/>
      <c r="AU40" s="313"/>
      <c r="AV40" s="313"/>
      <c r="AW40" s="313"/>
    </row>
    <row r="41" spans="1:50">
      <c r="P41" s="69"/>
      <c r="Q41" s="69"/>
      <c r="R41" s="69"/>
      <c r="AP41" s="313"/>
      <c r="AQ41" s="313"/>
      <c r="AR41" s="313"/>
      <c r="AS41" s="313"/>
      <c r="AT41" s="313"/>
      <c r="AU41" s="313"/>
      <c r="AV41" s="313"/>
      <c r="AW41" s="313"/>
    </row>
    <row r="43" spans="1:50">
      <c r="AG43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H1" zoomScaleNormal="100" workbookViewId="0">
      <pane ySplit="3" topLeftCell="A4" activePane="bottomLeft" state="frozen"/>
      <selection pane="bottomLeft" activeCell="BA8" sqref="BA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8034819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18" t="s">
        <v>95</v>
      </c>
      <c r="AS2" s="619"/>
      <c r="AT2" s="619"/>
      <c r="AU2" s="619"/>
      <c r="AV2" s="620"/>
      <c r="AW2" s="618" t="s">
        <v>96</v>
      </c>
      <c r="AX2" s="619"/>
      <c r="AY2" s="620"/>
      <c r="AZ2" s="618" t="s">
        <v>98</v>
      </c>
      <c r="BA2" s="619"/>
      <c r="BB2" s="620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5" t="s">
        <v>126</v>
      </c>
      <c r="AO3" s="616"/>
      <c r="AP3" s="617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44286</v>
      </c>
      <c r="B5" s="410">
        <f>[3]WATER!B36</f>
        <v>109443</v>
      </c>
      <c r="C5" s="410">
        <f>[3]WATER!C36</f>
        <v>0</v>
      </c>
      <c r="D5" s="410">
        <f>[3]WATER!D36</f>
        <v>0</v>
      </c>
      <c r="E5" s="410">
        <f>[3]WATER!E36</f>
        <v>241.93548387096774</v>
      </c>
      <c r="F5" s="410">
        <f>[3]WATER!F36</f>
        <v>0</v>
      </c>
      <c r="G5" s="410">
        <f>[3]WATER!G36</f>
        <v>618063</v>
      </c>
      <c r="H5" s="410">
        <f>[3]WATER!H36</f>
        <v>0</v>
      </c>
      <c r="I5" s="410">
        <f>[3]WATER!I36</f>
        <v>0</v>
      </c>
      <c r="J5" s="410">
        <f>[3]WATER!J36</f>
        <v>0</v>
      </c>
      <c r="K5" s="410">
        <f>[3]WATER!K36</f>
        <v>6733</v>
      </c>
      <c r="L5" s="410">
        <f>[3]WATER!L36</f>
        <v>0</v>
      </c>
      <c r="M5" s="410">
        <f>[3]WATER!M36</f>
        <v>457.44</v>
      </c>
      <c r="N5" s="410">
        <f>[3]WATER!N36</f>
        <v>0</v>
      </c>
      <c r="O5" s="410">
        <f>[3]WATER!O36</f>
        <v>529.52</v>
      </c>
      <c r="P5" s="410">
        <f>[3]WATER!P36</f>
        <v>0</v>
      </c>
      <c r="Q5" s="410">
        <f>[3]WATER!Q36</f>
        <v>0</v>
      </c>
      <c r="R5" s="410">
        <f>[3]WATER!R36</f>
        <v>0</v>
      </c>
      <c r="S5" s="410">
        <f>[3]WATER!S36</f>
        <v>0</v>
      </c>
      <c r="T5" s="410">
        <f>[3]WATER!T36</f>
        <v>5171</v>
      </c>
      <c r="U5" s="410">
        <f>[3]WATER!U36</f>
        <v>0</v>
      </c>
      <c r="V5" s="410">
        <f>[3]WATER!V36</f>
        <v>469</v>
      </c>
      <c r="W5" s="410">
        <f>[3]WATER!W36</f>
        <v>0</v>
      </c>
      <c r="X5" s="410">
        <f>[3]WATER!X36</f>
        <v>151220</v>
      </c>
      <c r="Y5" s="410">
        <f>[3]WATER!Y36</f>
        <v>0</v>
      </c>
      <c r="Z5" s="410">
        <f>[3]WATER!Z36</f>
        <v>98697</v>
      </c>
      <c r="AA5" s="410">
        <f>[3]WATER!AA36</f>
        <v>0</v>
      </c>
      <c r="AB5" s="410">
        <f>[3]WATER!AB36</f>
        <v>261</v>
      </c>
      <c r="AC5" s="410">
        <f>[3]WATER!AC36</f>
        <v>731</v>
      </c>
      <c r="AD5" s="410">
        <f>[3]WATER!AD36</f>
        <v>0</v>
      </c>
      <c r="AE5" s="410">
        <f>[3]WATER!AE36</f>
        <v>229.03</v>
      </c>
      <c r="AF5" s="410">
        <f>[3]WATER!AF36</f>
        <v>0</v>
      </c>
      <c r="AG5" s="410">
        <f>[3]WATER!AG36</f>
        <v>2198.54</v>
      </c>
      <c r="AH5" s="410">
        <f>[3]WATER!AH36</f>
        <v>0</v>
      </c>
      <c r="AI5" s="410">
        <f>[3]WATER!AI36</f>
        <v>0</v>
      </c>
      <c r="AJ5" s="410">
        <f>[3]WATER!AJ36</f>
        <v>0</v>
      </c>
      <c r="AK5" s="410">
        <f>[3]WATER!AK36</f>
        <v>0</v>
      </c>
      <c r="AL5" s="410">
        <f>[3]WATER!AL36</f>
        <v>0</v>
      </c>
      <c r="AM5" s="410">
        <f>[3]WATER!AM36</f>
        <v>15.5</v>
      </c>
      <c r="AN5" s="410">
        <f>[3]WATER!AN36</f>
        <v>0</v>
      </c>
      <c r="AO5" s="410">
        <f>[3]WATER!AO36</f>
        <v>0</v>
      </c>
      <c r="AP5" s="410">
        <f>[3]WATER!AP36</f>
        <v>0</v>
      </c>
      <c r="AQ5" s="410">
        <f>[3]WATER!AQ36</f>
        <v>0</v>
      </c>
      <c r="AR5" s="410">
        <f>[3]WATER!AR36</f>
        <v>44286</v>
      </c>
      <c r="AS5" s="410">
        <f>[3]WATER!AS36</f>
        <v>0.9</v>
      </c>
      <c r="AT5" s="410">
        <f>[3]WATER!AT36</f>
        <v>177</v>
      </c>
      <c r="AU5" s="410">
        <f>[3]WATER!AU36</f>
        <v>1.1000000000000001</v>
      </c>
      <c r="AV5" s="410">
        <f>[3]WATER!AV36</f>
        <v>190</v>
      </c>
      <c r="AW5" s="410">
        <f>[3]WATER!AW36</f>
        <v>2.9</v>
      </c>
      <c r="AX5" s="410">
        <f>[3]WATER!AX36</f>
        <v>180</v>
      </c>
      <c r="AY5" s="410">
        <f>[3]WATER!AY36</f>
        <v>159.30000000000001</v>
      </c>
      <c r="AZ5" s="410">
        <f>[3]WATER!AZ36</f>
        <v>209.00000000000003</v>
      </c>
      <c r="BA5" s="410">
        <f>[3]WATER!BA36</f>
        <v>522</v>
      </c>
      <c r="BB5" s="410">
        <f>[3]WATER!BB36</f>
        <v>-0.90000000000000568</v>
      </c>
      <c r="BC5" s="410">
        <f>[3]WATER!BC36</f>
        <v>-3.2999999999999829</v>
      </c>
      <c r="BD5" s="410">
        <f>[3]WATER!BD36</f>
        <v>-11.600000000000023</v>
      </c>
      <c r="BE5" s="410">
        <f>[3]WATER!BE36</f>
        <v>-15.800000000000011</v>
      </c>
      <c r="BF5" s="410">
        <f>[3]WATER!BF36</f>
        <v>15.800000000000011</v>
      </c>
      <c r="BG5" s="410">
        <f>[3]WATER!BG36</f>
        <v>-15.800000000000011</v>
      </c>
    </row>
    <row r="6" spans="1:65" ht="15.75" thickBot="1">
      <c r="A6" s="6">
        <f>ELEC!C3</f>
        <v>44287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log'!$A$36))</f>
        <v>250</v>
      </c>
      <c r="F6" s="418"/>
      <c r="G6" s="5">
        <f>G5</f>
        <v>618063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6733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5171</v>
      </c>
      <c r="U6" s="5">
        <f t="shared" ref="U6:U33" si="4">SUM(T6-T5)</f>
        <v>0</v>
      </c>
      <c r="V6" s="5">
        <f>V5</f>
        <v>469</v>
      </c>
      <c r="W6" s="324">
        <f>+V6-V5</f>
        <v>0</v>
      </c>
      <c r="X6" s="5">
        <v>151220</v>
      </c>
      <c r="Y6" s="324">
        <f>SUM(X6-X5)</f>
        <v>0</v>
      </c>
      <c r="Z6" s="5">
        <f>Z5</f>
        <v>98697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229.03</v>
      </c>
      <c r="AF6" s="83">
        <f>AE6-AE5</f>
        <v>0</v>
      </c>
      <c r="AG6" s="5">
        <v>2199.36</v>
      </c>
      <c r="AH6" s="83">
        <f>AG6-AG5</f>
        <v>0.82000000000016371</v>
      </c>
      <c r="AI6" s="83">
        <f>AF6+AH6</f>
        <v>0.82000000000016371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14.5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44287</v>
      </c>
      <c r="AS6" s="424">
        <f t="shared" ref="AS6:AT21" si="6">AS5</f>
        <v>0.9</v>
      </c>
      <c r="AT6" s="201">
        <v>179</v>
      </c>
      <c r="AU6" s="425">
        <f>AU5</f>
        <v>1.1000000000000001</v>
      </c>
      <c r="AV6" s="201">
        <v>187</v>
      </c>
      <c r="AW6" s="5">
        <v>2.9</v>
      </c>
      <c r="AX6" s="201">
        <v>172</v>
      </c>
      <c r="AY6" s="426">
        <f t="shared" ref="AY6:AY33" si="7">AS6*AT6</f>
        <v>161.1</v>
      </c>
      <c r="AZ6" s="426">
        <f>AU6*AV6</f>
        <v>205.70000000000002</v>
      </c>
      <c r="BA6" s="426">
        <f>AW6*AX6</f>
        <v>498.8</v>
      </c>
      <c r="BB6" s="21">
        <f>AY6-AY5</f>
        <v>1.7999999999999829</v>
      </c>
      <c r="BC6" s="21">
        <f>AZ6-AZ5</f>
        <v>-3.3000000000000114</v>
      </c>
      <c r="BD6" s="21">
        <f>BA6-BA5</f>
        <v>-23.199999999999989</v>
      </c>
      <c r="BE6" s="24">
        <f>SUM(BB6:BD6)</f>
        <v>-24.700000000000017</v>
      </c>
      <c r="BF6" s="96">
        <f t="shared" ref="BF6:BF33" si="8">SUM(I6-BE6)</f>
        <v>24.700000000000017</v>
      </c>
      <c r="BG6" s="82">
        <f t="shared" ref="BG6:BG33" si="9">SUM(I6-BF6)</f>
        <v>-24.700000000000017</v>
      </c>
      <c r="BI6" s="17"/>
      <c r="BJ6" s="17"/>
      <c r="BK6" s="17"/>
      <c r="BL6" s="17"/>
      <c r="BM6" s="17"/>
    </row>
    <row r="7" spans="1:65" ht="15.75" thickBot="1">
      <c r="A7" s="6">
        <f>ELEC!C4</f>
        <v>44288</v>
      </c>
      <c r="B7" s="5">
        <f t="shared" ref="B7:B35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log'!$A$36))</f>
        <v>250</v>
      </c>
      <c r="F7" s="418"/>
      <c r="G7" s="5">
        <f t="shared" ref="G7:G35" si="13">G6</f>
        <v>618063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6733</v>
      </c>
      <c r="L7" s="83">
        <f>K7-K6</f>
        <v>0</v>
      </c>
      <c r="M7" s="410">
        <f t="shared" ref="M7:M35" si="15">M6</f>
        <v>457.44</v>
      </c>
      <c r="N7" s="514">
        <f t="shared" si="2"/>
        <v>0</v>
      </c>
      <c r="O7" s="410">
        <f t="shared" ref="O7:O35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V35" si="17">T6</f>
        <v>5171</v>
      </c>
      <c r="U7" s="5">
        <f t="shared" si="4"/>
        <v>0</v>
      </c>
      <c r="V7" s="5">
        <f t="shared" si="17"/>
        <v>469</v>
      </c>
      <c r="W7" s="324">
        <f t="shared" ref="W7:W33" si="18">+V7-V6</f>
        <v>0</v>
      </c>
      <c r="X7" s="5">
        <v>151284</v>
      </c>
      <c r="Y7" s="324">
        <f>SUM(X7-X6)</f>
        <v>64</v>
      </c>
      <c r="Z7" s="5">
        <v>98717</v>
      </c>
      <c r="AA7" s="83">
        <f t="shared" ref="AA7:AA33" si="19">Z7-Z6</f>
        <v>20</v>
      </c>
      <c r="AB7" s="5">
        <f t="shared" ref="AB7:AC7" si="20">AB6</f>
        <v>261</v>
      </c>
      <c r="AC7" s="5">
        <f t="shared" si="20"/>
        <v>731</v>
      </c>
      <c r="AD7" s="83">
        <f>AC7-AC6</f>
        <v>0</v>
      </c>
      <c r="AE7" s="5">
        <f t="shared" ref="AE7:AG7" si="21">AE6</f>
        <v>229.03</v>
      </c>
      <c r="AF7" s="83">
        <f t="shared" ref="AF7:AF32" si="22">AE7-AE6</f>
        <v>0</v>
      </c>
      <c r="AG7" s="5">
        <f t="shared" si="21"/>
        <v>2199.36</v>
      </c>
      <c r="AH7" s="83">
        <f t="shared" ref="AH7:AH33" si="23">AG7-AG6</f>
        <v>0</v>
      </c>
      <c r="AI7" s="83">
        <f t="shared" ref="AI7:AI33" si="24">AF7+AH7</f>
        <v>0</v>
      </c>
      <c r="AJ7" s="326">
        <f t="shared" ref="AJ7:AJ33" si="25">+Z7-Z6</f>
        <v>20</v>
      </c>
      <c r="AK7" s="327">
        <f>SUM(Y7-L7)</f>
        <v>64</v>
      </c>
      <c r="AL7" s="327">
        <f t="shared" ref="AL7:AL33" si="26">SUM(AJ7-W7)</f>
        <v>20</v>
      </c>
      <c r="AM7" s="327">
        <f>'General information '!D7</f>
        <v>13.5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7">A7</f>
        <v>44288</v>
      </c>
      <c r="AS7" s="424">
        <f t="shared" si="6"/>
        <v>0.9</v>
      </c>
      <c r="AT7" s="201">
        <v>90</v>
      </c>
      <c r="AU7" s="425">
        <f>AU6</f>
        <v>1.1000000000000001</v>
      </c>
      <c r="AV7" s="201">
        <v>198</v>
      </c>
      <c r="AW7" s="5">
        <v>2.9</v>
      </c>
      <c r="AX7" s="201">
        <v>186</v>
      </c>
      <c r="AY7" s="426">
        <f t="shared" si="7"/>
        <v>81</v>
      </c>
      <c r="AZ7" s="426">
        <f t="shared" ref="AZ7:AZ33" si="28">AU7*AV7</f>
        <v>217.8</v>
      </c>
      <c r="BA7" s="426">
        <f t="shared" ref="BA7:BA33" si="29">AW7*AX7</f>
        <v>539.4</v>
      </c>
      <c r="BB7" s="21">
        <f t="shared" ref="BB7:BD33" si="30">AY7-AY6</f>
        <v>-80.099999999999994</v>
      </c>
      <c r="BC7" s="21">
        <f t="shared" ref="BC7:BD21" si="31">AZ7-AZ6</f>
        <v>12.099999999999994</v>
      </c>
      <c r="BD7" s="21">
        <f t="shared" si="31"/>
        <v>40.599999999999966</v>
      </c>
      <c r="BE7" s="24">
        <f t="shared" ref="BE7:BE33" si="32">SUM(BB7:BD7)</f>
        <v>-27.400000000000034</v>
      </c>
      <c r="BF7" s="96">
        <f t="shared" si="8"/>
        <v>27.400000000000034</v>
      </c>
      <c r="BG7" s="82">
        <f t="shared" si="9"/>
        <v>-27.400000000000034</v>
      </c>
      <c r="BI7" s="86"/>
      <c r="BJ7" s="17"/>
      <c r="BK7" s="17"/>
      <c r="BL7" s="17"/>
      <c r="BM7" s="17"/>
    </row>
    <row r="8" spans="1:65" ht="15.75" thickBot="1">
      <c r="A8" s="6">
        <f>ELEC!C5</f>
        <v>44289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log'!$A$36))</f>
        <v>250</v>
      </c>
      <c r="F8" s="418"/>
      <c r="G8" s="5">
        <f t="shared" si="13"/>
        <v>618063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6734</v>
      </c>
      <c r="L8" s="83">
        <f>K8-K7</f>
        <v>1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5171</v>
      </c>
      <c r="U8" s="5">
        <f t="shared" si="4"/>
        <v>0</v>
      </c>
      <c r="V8" s="5">
        <f t="shared" si="17"/>
        <v>469</v>
      </c>
      <c r="W8" s="324">
        <f t="shared" si="18"/>
        <v>0</v>
      </c>
      <c r="X8" s="5">
        <f t="shared" ref="X8:Z8" si="33">X7</f>
        <v>151284</v>
      </c>
      <c r="Y8" s="324">
        <f>SUM(X8-X7)</f>
        <v>0</v>
      </c>
      <c r="Z8" s="5">
        <v>98717</v>
      </c>
      <c r="AA8" s="83">
        <f t="shared" si="19"/>
        <v>0</v>
      </c>
      <c r="AB8" s="5">
        <f t="shared" ref="AB8:AC8" si="34">AB7</f>
        <v>261</v>
      </c>
      <c r="AC8" s="5">
        <f t="shared" si="34"/>
        <v>731</v>
      </c>
      <c r="AD8" s="83">
        <f t="shared" ref="AD8:AD33" si="35">AC8-AC7</f>
        <v>0</v>
      </c>
      <c r="AE8" s="5">
        <f t="shared" ref="AE8:AG8" si="36">AE7</f>
        <v>229.03</v>
      </c>
      <c r="AF8" s="83">
        <f t="shared" si="22"/>
        <v>0</v>
      </c>
      <c r="AG8" s="5">
        <f t="shared" si="36"/>
        <v>2199.36</v>
      </c>
      <c r="AH8" s="83">
        <f t="shared" si="23"/>
        <v>0</v>
      </c>
      <c r="AI8" s="83">
        <f t="shared" si="24"/>
        <v>0</v>
      </c>
      <c r="AJ8" s="326">
        <f t="shared" si="25"/>
        <v>0</v>
      </c>
      <c r="AK8" s="327">
        <f t="shared" ref="AK8:AK33" si="37">SUM(Y8-L8)</f>
        <v>-1</v>
      </c>
      <c r="AL8" s="327">
        <f t="shared" si="26"/>
        <v>0</v>
      </c>
      <c r="AM8" s="327">
        <f>'General information '!D8</f>
        <v>17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7"/>
        <v>44289</v>
      </c>
      <c r="AS8" s="424">
        <f t="shared" si="6"/>
        <v>0.9</v>
      </c>
      <c r="AT8" s="201">
        <f t="shared" si="6"/>
        <v>90</v>
      </c>
      <c r="AU8" s="425">
        <v>1.1000000000000001</v>
      </c>
      <c r="AV8" s="201">
        <v>196</v>
      </c>
      <c r="AW8" s="5">
        <v>2.9</v>
      </c>
      <c r="AX8" s="201">
        <v>185</v>
      </c>
      <c r="AY8" s="426">
        <f t="shared" si="7"/>
        <v>81</v>
      </c>
      <c r="AZ8" s="426">
        <f t="shared" si="28"/>
        <v>215.60000000000002</v>
      </c>
      <c r="BA8" s="426">
        <f t="shared" si="29"/>
        <v>536.5</v>
      </c>
      <c r="BB8" s="21">
        <f t="shared" si="30"/>
        <v>0</v>
      </c>
      <c r="BC8" s="21">
        <f t="shared" si="31"/>
        <v>-2.1999999999999886</v>
      </c>
      <c r="BD8" s="21">
        <f t="shared" si="31"/>
        <v>-2.8999999999999773</v>
      </c>
      <c r="BE8" s="24">
        <f t="shared" si="32"/>
        <v>-5.0999999999999659</v>
      </c>
      <c r="BF8" s="96">
        <f t="shared" si="8"/>
        <v>5.0999999999999659</v>
      </c>
      <c r="BG8" s="82">
        <f t="shared" si="9"/>
        <v>-5.0999999999999659</v>
      </c>
      <c r="BI8" s="86"/>
      <c r="BJ8" s="17"/>
      <c r="BK8" s="17"/>
    </row>
    <row r="9" spans="1:65" ht="15.75" thickBot="1">
      <c r="A9" s="6">
        <f>ELEC!C6</f>
        <v>44290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log'!$A$36))</f>
        <v>250</v>
      </c>
      <c r="F9" s="418"/>
      <c r="G9" s="5">
        <f t="shared" si="13"/>
        <v>618063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6734</v>
      </c>
      <c r="L9" s="83">
        <f t="shared" ref="L9:L33" si="38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5171</v>
      </c>
      <c r="U9" s="5">
        <f t="shared" si="4"/>
        <v>0</v>
      </c>
      <c r="V9" s="5">
        <f t="shared" si="17"/>
        <v>469</v>
      </c>
      <c r="W9" s="324">
        <f t="shared" si="18"/>
        <v>0</v>
      </c>
      <c r="X9" s="5">
        <f t="shared" ref="X9:Z9" si="39">X8</f>
        <v>151284</v>
      </c>
      <c r="Y9" s="324">
        <f t="shared" ref="Y9:Y33" si="40">SUM(X9-X8)</f>
        <v>0</v>
      </c>
      <c r="Z9" s="5">
        <f t="shared" si="39"/>
        <v>98717</v>
      </c>
      <c r="AA9" s="83">
        <f t="shared" si="19"/>
        <v>0</v>
      </c>
      <c r="AB9" s="5">
        <f t="shared" ref="AB9:AC9" si="41">AB8</f>
        <v>261</v>
      </c>
      <c r="AC9" s="5">
        <f t="shared" si="41"/>
        <v>731</v>
      </c>
      <c r="AD9" s="83">
        <f t="shared" si="35"/>
        <v>0</v>
      </c>
      <c r="AE9" s="5">
        <f t="shared" ref="AE9:AG9" si="42">AE8</f>
        <v>229.03</v>
      </c>
      <c r="AF9" s="83">
        <f t="shared" si="22"/>
        <v>0</v>
      </c>
      <c r="AG9" s="5">
        <f t="shared" si="42"/>
        <v>2199.36</v>
      </c>
      <c r="AH9" s="83">
        <f t="shared" si="23"/>
        <v>0</v>
      </c>
      <c r="AI9" s="83">
        <f t="shared" si="24"/>
        <v>0</v>
      </c>
      <c r="AJ9" s="326">
        <f t="shared" si="25"/>
        <v>0</v>
      </c>
      <c r="AK9" s="327">
        <f t="shared" si="37"/>
        <v>0</v>
      </c>
      <c r="AL9" s="327">
        <f t="shared" si="26"/>
        <v>0</v>
      </c>
      <c r="AM9" s="327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7"/>
        <v>44290</v>
      </c>
      <c r="AS9" s="424">
        <f t="shared" si="6"/>
        <v>0.9</v>
      </c>
      <c r="AT9" s="201">
        <f t="shared" si="6"/>
        <v>90</v>
      </c>
      <c r="AU9" s="425">
        <f t="shared" ref="AU9:AV33" si="43">AU8</f>
        <v>1.1000000000000001</v>
      </c>
      <c r="AV9" s="201">
        <f t="shared" si="43"/>
        <v>196</v>
      </c>
      <c r="AW9" s="5">
        <v>2.9</v>
      </c>
      <c r="AX9" s="201">
        <f t="shared" ref="AX9" si="44">AX8</f>
        <v>185</v>
      </c>
      <c r="AY9" s="426">
        <f t="shared" si="7"/>
        <v>81</v>
      </c>
      <c r="AZ9" s="426">
        <f t="shared" si="28"/>
        <v>215.60000000000002</v>
      </c>
      <c r="BA9" s="426">
        <f t="shared" si="29"/>
        <v>536.5</v>
      </c>
      <c r="BB9" s="21">
        <f t="shared" si="30"/>
        <v>0</v>
      </c>
      <c r="BC9" s="21">
        <f t="shared" si="31"/>
        <v>0</v>
      </c>
      <c r="BD9" s="21">
        <f t="shared" si="31"/>
        <v>0</v>
      </c>
      <c r="BE9" s="24">
        <f t="shared" si="32"/>
        <v>0</v>
      </c>
      <c r="BF9" s="345">
        <f t="shared" si="8"/>
        <v>0</v>
      </c>
      <c r="BG9" s="82">
        <f t="shared" si="9"/>
        <v>0</v>
      </c>
    </row>
    <row r="10" spans="1:65" ht="15.75" thickBot="1">
      <c r="A10" s="6">
        <f>ELEC!C7</f>
        <v>44291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log'!$A$36))</f>
        <v>250</v>
      </c>
      <c r="F10" s="418"/>
      <c r="G10" s="5">
        <f t="shared" si="13"/>
        <v>618063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6734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5171</v>
      </c>
      <c r="U10" s="5">
        <f t="shared" si="4"/>
        <v>0</v>
      </c>
      <c r="V10" s="5">
        <f t="shared" si="17"/>
        <v>469</v>
      </c>
      <c r="W10" s="324">
        <f t="shared" si="18"/>
        <v>0</v>
      </c>
      <c r="X10" s="5">
        <f t="shared" ref="X10:Z10" si="45">X9</f>
        <v>151284</v>
      </c>
      <c r="Y10" s="324">
        <f t="shared" si="40"/>
        <v>0</v>
      </c>
      <c r="Z10" s="5">
        <f t="shared" si="45"/>
        <v>98717</v>
      </c>
      <c r="AA10" s="83">
        <f t="shared" si="19"/>
        <v>0</v>
      </c>
      <c r="AB10" s="5">
        <f t="shared" ref="AB10:AC10" si="46">AB9</f>
        <v>261</v>
      </c>
      <c r="AC10" s="5">
        <f t="shared" si="46"/>
        <v>731</v>
      </c>
      <c r="AD10" s="83">
        <f t="shared" si="35"/>
        <v>0</v>
      </c>
      <c r="AE10" s="5">
        <f t="shared" ref="AE10:AG10" si="47">AE9</f>
        <v>229.03</v>
      </c>
      <c r="AF10" s="83">
        <f t="shared" si="22"/>
        <v>0</v>
      </c>
      <c r="AG10" s="5">
        <f t="shared" si="47"/>
        <v>2199.36</v>
      </c>
      <c r="AH10" s="83">
        <f t="shared" si="23"/>
        <v>0</v>
      </c>
      <c r="AI10" s="83">
        <f t="shared" si="24"/>
        <v>0</v>
      </c>
      <c r="AJ10" s="326">
        <f t="shared" si="25"/>
        <v>0</v>
      </c>
      <c r="AK10" s="327">
        <f t="shared" si="37"/>
        <v>0</v>
      </c>
      <c r="AL10" s="327">
        <f t="shared" si="26"/>
        <v>0</v>
      </c>
      <c r="AM10" s="327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7"/>
        <v>44291</v>
      </c>
      <c r="AS10" s="424">
        <f t="shared" si="6"/>
        <v>0.9</v>
      </c>
      <c r="AT10" s="201">
        <f t="shared" si="6"/>
        <v>90</v>
      </c>
      <c r="AU10" s="425">
        <f t="shared" si="43"/>
        <v>1.1000000000000001</v>
      </c>
      <c r="AV10" s="201">
        <f t="shared" si="43"/>
        <v>196</v>
      </c>
      <c r="AW10" s="5">
        <v>2.9</v>
      </c>
      <c r="AX10" s="201">
        <f t="shared" ref="AX10" si="48">AX9</f>
        <v>185</v>
      </c>
      <c r="AY10" s="426">
        <f t="shared" si="7"/>
        <v>81</v>
      </c>
      <c r="AZ10" s="426">
        <f t="shared" si="28"/>
        <v>215.60000000000002</v>
      </c>
      <c r="BA10" s="426">
        <f t="shared" si="29"/>
        <v>536.5</v>
      </c>
      <c r="BB10" s="21">
        <f t="shared" si="30"/>
        <v>0</v>
      </c>
      <c r="BC10" s="21">
        <f t="shared" si="31"/>
        <v>0</v>
      </c>
      <c r="BD10" s="21">
        <f t="shared" si="31"/>
        <v>0</v>
      </c>
      <c r="BE10" s="24">
        <f t="shared" si="32"/>
        <v>0</v>
      </c>
      <c r="BF10" s="96">
        <f t="shared" si="8"/>
        <v>0</v>
      </c>
      <c r="BG10" s="82">
        <f t="shared" si="9"/>
        <v>0</v>
      </c>
    </row>
    <row r="11" spans="1:65" ht="15.75" thickBot="1">
      <c r="A11" s="6">
        <f>ELEC!C8</f>
        <v>44292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log'!$A$36))</f>
        <v>250</v>
      </c>
      <c r="F11" s="418"/>
      <c r="G11" s="5">
        <f t="shared" si="13"/>
        <v>618063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6734</v>
      </c>
      <c r="L11" s="83">
        <f t="shared" si="38"/>
        <v>0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5171</v>
      </c>
      <c r="U11" s="5">
        <f t="shared" si="4"/>
        <v>0</v>
      </c>
      <c r="V11" s="5">
        <f t="shared" si="17"/>
        <v>469</v>
      </c>
      <c r="W11" s="324">
        <f t="shared" si="18"/>
        <v>0</v>
      </c>
      <c r="X11" s="5">
        <f t="shared" ref="X11:Z11" si="49">X10</f>
        <v>151284</v>
      </c>
      <c r="Y11" s="324">
        <f t="shared" si="40"/>
        <v>0</v>
      </c>
      <c r="Z11" s="5">
        <f t="shared" si="49"/>
        <v>98717</v>
      </c>
      <c r="AA11" s="83">
        <f t="shared" si="19"/>
        <v>0</v>
      </c>
      <c r="AB11" s="5">
        <f t="shared" ref="AB11:AC11" si="50">AB10</f>
        <v>261</v>
      </c>
      <c r="AC11" s="5">
        <f t="shared" si="50"/>
        <v>731</v>
      </c>
      <c r="AD11" s="83">
        <f t="shared" si="35"/>
        <v>0</v>
      </c>
      <c r="AE11" s="5">
        <f t="shared" ref="AE11:AG11" si="51">AE10</f>
        <v>229.03</v>
      </c>
      <c r="AF11" s="83">
        <f t="shared" si="22"/>
        <v>0</v>
      </c>
      <c r="AG11" s="5">
        <f t="shared" si="51"/>
        <v>2199.36</v>
      </c>
      <c r="AH11" s="83">
        <f t="shared" si="23"/>
        <v>0</v>
      </c>
      <c r="AI11" s="83">
        <f t="shared" si="24"/>
        <v>0</v>
      </c>
      <c r="AJ11" s="326">
        <f t="shared" si="25"/>
        <v>0</v>
      </c>
      <c r="AK11" s="327">
        <f t="shared" si="37"/>
        <v>0</v>
      </c>
      <c r="AL11" s="327">
        <f t="shared" si="26"/>
        <v>0</v>
      </c>
      <c r="AM11" s="327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7"/>
        <v>44292</v>
      </c>
      <c r="AS11" s="424">
        <f t="shared" si="6"/>
        <v>0.9</v>
      </c>
      <c r="AT11" s="201">
        <f t="shared" si="6"/>
        <v>90</v>
      </c>
      <c r="AU11" s="425">
        <f t="shared" si="43"/>
        <v>1.1000000000000001</v>
      </c>
      <c r="AV11" s="201">
        <f t="shared" si="43"/>
        <v>196</v>
      </c>
      <c r="AW11" s="5">
        <v>2.9</v>
      </c>
      <c r="AX11" s="201">
        <f t="shared" ref="AX11" si="52">AX10</f>
        <v>185</v>
      </c>
      <c r="AY11" s="426">
        <f t="shared" si="7"/>
        <v>81</v>
      </c>
      <c r="AZ11" s="426">
        <f t="shared" si="28"/>
        <v>215.60000000000002</v>
      </c>
      <c r="BA11" s="426">
        <f t="shared" si="29"/>
        <v>536.5</v>
      </c>
      <c r="BB11" s="21">
        <f t="shared" si="30"/>
        <v>0</v>
      </c>
      <c r="BC11" s="21">
        <f t="shared" si="31"/>
        <v>0</v>
      </c>
      <c r="BD11" s="21">
        <f t="shared" si="31"/>
        <v>0</v>
      </c>
      <c r="BE11" s="24">
        <f t="shared" si="32"/>
        <v>0</v>
      </c>
      <c r="BF11" s="96">
        <f t="shared" si="8"/>
        <v>0</v>
      </c>
      <c r="BG11" s="82">
        <f t="shared" si="9"/>
        <v>0</v>
      </c>
    </row>
    <row r="12" spans="1:65" ht="15.75" thickBot="1">
      <c r="A12" s="6">
        <f>ELEC!C9</f>
        <v>44293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log'!$A$36))</f>
        <v>250</v>
      </c>
      <c r="F12" s="418"/>
      <c r="G12" s="5">
        <f t="shared" si="13"/>
        <v>618063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6734</v>
      </c>
      <c r="L12" s="83">
        <f t="shared" si="38"/>
        <v>0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5171</v>
      </c>
      <c r="U12" s="5">
        <f t="shared" si="4"/>
        <v>0</v>
      </c>
      <c r="V12" s="5">
        <f t="shared" si="17"/>
        <v>469</v>
      </c>
      <c r="W12" s="324">
        <f t="shared" si="18"/>
        <v>0</v>
      </c>
      <c r="X12" s="5">
        <f t="shared" ref="X12:Z12" si="53">X11</f>
        <v>151284</v>
      </c>
      <c r="Y12" s="324">
        <f t="shared" si="40"/>
        <v>0</v>
      </c>
      <c r="Z12" s="5">
        <f t="shared" si="53"/>
        <v>98717</v>
      </c>
      <c r="AA12" s="83">
        <f t="shared" si="19"/>
        <v>0</v>
      </c>
      <c r="AB12" s="5">
        <f t="shared" ref="AB12:AC12" si="54">AB11</f>
        <v>261</v>
      </c>
      <c r="AC12" s="5">
        <f t="shared" si="54"/>
        <v>731</v>
      </c>
      <c r="AD12" s="83">
        <f t="shared" si="35"/>
        <v>0</v>
      </c>
      <c r="AE12" s="5">
        <f t="shared" ref="AE12:AG12" si="55">AE11</f>
        <v>229.03</v>
      </c>
      <c r="AF12" s="83">
        <f t="shared" si="22"/>
        <v>0</v>
      </c>
      <c r="AG12" s="5">
        <f t="shared" si="55"/>
        <v>2199.36</v>
      </c>
      <c r="AH12" s="83">
        <f t="shared" si="23"/>
        <v>0</v>
      </c>
      <c r="AI12" s="83">
        <f t="shared" si="24"/>
        <v>0</v>
      </c>
      <c r="AJ12" s="326">
        <f t="shared" si="25"/>
        <v>0</v>
      </c>
      <c r="AK12" s="327">
        <f t="shared" si="37"/>
        <v>0</v>
      </c>
      <c r="AL12" s="327">
        <f t="shared" si="26"/>
        <v>0</v>
      </c>
      <c r="AM12" s="327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7"/>
        <v>44293</v>
      </c>
      <c r="AS12" s="424">
        <f t="shared" si="6"/>
        <v>0.9</v>
      </c>
      <c r="AT12" s="201">
        <f t="shared" si="6"/>
        <v>90</v>
      </c>
      <c r="AU12" s="425">
        <f t="shared" si="43"/>
        <v>1.1000000000000001</v>
      </c>
      <c r="AV12" s="201">
        <f t="shared" si="43"/>
        <v>196</v>
      </c>
      <c r="AW12" s="5">
        <v>2.9</v>
      </c>
      <c r="AX12" s="201">
        <f t="shared" ref="AX12" si="56">AX11</f>
        <v>185</v>
      </c>
      <c r="AY12" s="426">
        <f t="shared" si="7"/>
        <v>81</v>
      </c>
      <c r="AZ12" s="426">
        <f t="shared" si="28"/>
        <v>215.60000000000002</v>
      </c>
      <c r="BA12" s="426">
        <f t="shared" si="29"/>
        <v>536.5</v>
      </c>
      <c r="BB12" s="21">
        <f t="shared" si="30"/>
        <v>0</v>
      </c>
      <c r="BC12" s="21">
        <f t="shared" si="31"/>
        <v>0</v>
      </c>
      <c r="BD12" s="21">
        <f t="shared" si="31"/>
        <v>0</v>
      </c>
      <c r="BE12" s="24">
        <f t="shared" si="32"/>
        <v>0</v>
      </c>
      <c r="BF12" s="96">
        <f t="shared" si="8"/>
        <v>0</v>
      </c>
      <c r="BG12" s="82">
        <f t="shared" si="9"/>
        <v>0</v>
      </c>
    </row>
    <row r="13" spans="1:65" ht="15.75" thickBot="1">
      <c r="A13" s="6">
        <f>ELEC!C10</f>
        <v>44294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log'!$A$36))</f>
        <v>250</v>
      </c>
      <c r="F13" s="418"/>
      <c r="G13" s="5">
        <f t="shared" si="13"/>
        <v>618063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6734</v>
      </c>
      <c r="L13" s="83">
        <f t="shared" si="38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5171</v>
      </c>
      <c r="U13" s="5">
        <f t="shared" si="4"/>
        <v>0</v>
      </c>
      <c r="V13" s="5">
        <f t="shared" si="17"/>
        <v>469</v>
      </c>
      <c r="W13" s="324">
        <f t="shared" si="18"/>
        <v>0</v>
      </c>
      <c r="X13" s="5">
        <f t="shared" ref="X13:Z13" si="57">X12</f>
        <v>151284</v>
      </c>
      <c r="Y13" s="324">
        <f t="shared" si="40"/>
        <v>0</v>
      </c>
      <c r="Z13" s="5">
        <f t="shared" si="57"/>
        <v>98717</v>
      </c>
      <c r="AA13" s="83">
        <f t="shared" si="19"/>
        <v>0</v>
      </c>
      <c r="AB13" s="5">
        <f t="shared" ref="AB13:AC13" si="58">AB12</f>
        <v>261</v>
      </c>
      <c r="AC13" s="5">
        <f t="shared" si="58"/>
        <v>731</v>
      </c>
      <c r="AD13" s="83">
        <f t="shared" si="35"/>
        <v>0</v>
      </c>
      <c r="AE13" s="5">
        <f t="shared" ref="AE13:AG13" si="59">AE12</f>
        <v>229.03</v>
      </c>
      <c r="AF13" s="83">
        <f t="shared" si="22"/>
        <v>0</v>
      </c>
      <c r="AG13" s="5">
        <f t="shared" si="59"/>
        <v>2199.36</v>
      </c>
      <c r="AH13" s="83">
        <f t="shared" si="23"/>
        <v>0</v>
      </c>
      <c r="AI13" s="83">
        <f t="shared" si="24"/>
        <v>0</v>
      </c>
      <c r="AJ13" s="326">
        <f t="shared" si="25"/>
        <v>0</v>
      </c>
      <c r="AK13" s="327">
        <f t="shared" si="37"/>
        <v>0</v>
      </c>
      <c r="AL13" s="327">
        <f t="shared" si="26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7"/>
        <v>44294</v>
      </c>
      <c r="AS13" s="424">
        <f t="shared" si="6"/>
        <v>0.9</v>
      </c>
      <c r="AT13" s="201">
        <f t="shared" si="6"/>
        <v>90</v>
      </c>
      <c r="AU13" s="425">
        <f t="shared" si="43"/>
        <v>1.1000000000000001</v>
      </c>
      <c r="AV13" s="201">
        <f t="shared" si="43"/>
        <v>196</v>
      </c>
      <c r="AW13" s="5">
        <v>2.9</v>
      </c>
      <c r="AX13" s="201">
        <f t="shared" ref="AX13" si="60">AX12</f>
        <v>185</v>
      </c>
      <c r="AY13" s="426">
        <f t="shared" si="7"/>
        <v>81</v>
      </c>
      <c r="AZ13" s="426">
        <f t="shared" si="28"/>
        <v>215.60000000000002</v>
      </c>
      <c r="BA13" s="426">
        <f t="shared" si="29"/>
        <v>536.5</v>
      </c>
      <c r="BB13" s="21">
        <f t="shared" si="30"/>
        <v>0</v>
      </c>
      <c r="BC13" s="21">
        <f t="shared" si="31"/>
        <v>0</v>
      </c>
      <c r="BD13" s="21">
        <f t="shared" si="31"/>
        <v>0</v>
      </c>
      <c r="BE13" s="24">
        <f t="shared" si="32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44295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log'!$A$36))</f>
        <v>250</v>
      </c>
      <c r="F14" s="418"/>
      <c r="G14" s="5">
        <f t="shared" si="13"/>
        <v>618063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6734</v>
      </c>
      <c r="L14" s="83">
        <f t="shared" si="38"/>
        <v>0</v>
      </c>
      <c r="M14" s="410">
        <f t="shared" si="15"/>
        <v>457.44</v>
      </c>
      <c r="N14" s="514">
        <f t="shared" ref="N14:N33" si="61">SUM(M14-M13)</f>
        <v>0</v>
      </c>
      <c r="O14" s="410">
        <f t="shared" si="16"/>
        <v>529.52</v>
      </c>
      <c r="P14" s="514">
        <f t="shared" ref="P14:P33" si="62">SUM(O14-O13)</f>
        <v>0</v>
      </c>
      <c r="Q14" s="514">
        <f t="shared" ref="Q14:Q33" si="63">SUM(P14+N14)</f>
        <v>0</v>
      </c>
      <c r="R14" s="514"/>
      <c r="S14" s="514"/>
      <c r="T14" s="5">
        <f t="shared" si="17"/>
        <v>5171</v>
      </c>
      <c r="U14" s="5">
        <f t="shared" si="4"/>
        <v>0</v>
      </c>
      <c r="V14" s="5">
        <f t="shared" si="17"/>
        <v>469</v>
      </c>
      <c r="W14" s="324">
        <f t="shared" si="18"/>
        <v>0</v>
      </c>
      <c r="X14" s="5">
        <f t="shared" ref="X14:Z14" si="64">X13</f>
        <v>151284</v>
      </c>
      <c r="Y14" s="324">
        <f t="shared" si="40"/>
        <v>0</v>
      </c>
      <c r="Z14" s="5">
        <f t="shared" si="64"/>
        <v>98717</v>
      </c>
      <c r="AA14" s="83">
        <f t="shared" si="19"/>
        <v>0</v>
      </c>
      <c r="AB14" s="5">
        <f t="shared" ref="AB14:AC14" si="65">AB13</f>
        <v>261</v>
      </c>
      <c r="AC14" s="5">
        <f t="shared" si="65"/>
        <v>731</v>
      </c>
      <c r="AD14" s="83">
        <f t="shared" si="35"/>
        <v>0</v>
      </c>
      <c r="AE14" s="5">
        <f t="shared" ref="AE14:AG14" si="66">AE13</f>
        <v>229.03</v>
      </c>
      <c r="AF14" s="83">
        <f t="shared" si="22"/>
        <v>0</v>
      </c>
      <c r="AG14" s="5">
        <f t="shared" si="66"/>
        <v>2199.36</v>
      </c>
      <c r="AH14" s="83">
        <f t="shared" si="23"/>
        <v>0</v>
      </c>
      <c r="AI14" s="83">
        <f t="shared" si="24"/>
        <v>0</v>
      </c>
      <c r="AJ14" s="326">
        <f t="shared" si="25"/>
        <v>0</v>
      </c>
      <c r="AK14" s="327">
        <f t="shared" si="37"/>
        <v>0</v>
      </c>
      <c r="AL14" s="327">
        <f t="shared" si="26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7"/>
        <v>44295</v>
      </c>
      <c r="AS14" s="424">
        <f t="shared" si="6"/>
        <v>0.9</v>
      </c>
      <c r="AT14" s="201">
        <f t="shared" si="6"/>
        <v>90</v>
      </c>
      <c r="AU14" s="425">
        <f t="shared" si="43"/>
        <v>1.1000000000000001</v>
      </c>
      <c r="AV14" s="201">
        <f t="shared" si="43"/>
        <v>196</v>
      </c>
      <c r="AW14" s="5">
        <v>2.9</v>
      </c>
      <c r="AX14" s="201">
        <f t="shared" ref="AX14" si="67">AX13</f>
        <v>185</v>
      </c>
      <c r="AY14" s="426">
        <f t="shared" si="7"/>
        <v>81</v>
      </c>
      <c r="AZ14" s="426">
        <f t="shared" si="28"/>
        <v>215.60000000000002</v>
      </c>
      <c r="BA14" s="426">
        <f t="shared" si="29"/>
        <v>536.5</v>
      </c>
      <c r="BB14" s="21">
        <f t="shared" si="30"/>
        <v>0</v>
      </c>
      <c r="BC14" s="21">
        <f t="shared" si="31"/>
        <v>0</v>
      </c>
      <c r="BD14" s="21">
        <f t="shared" si="31"/>
        <v>0</v>
      </c>
      <c r="BE14" s="24">
        <f t="shared" si="32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44296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log'!$A$36))</f>
        <v>250</v>
      </c>
      <c r="F15" s="418"/>
      <c r="G15" s="5">
        <f t="shared" si="13"/>
        <v>618063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6734</v>
      </c>
      <c r="L15" s="83">
        <f t="shared" si="38"/>
        <v>0</v>
      </c>
      <c r="M15" s="410">
        <f t="shared" si="15"/>
        <v>457.44</v>
      </c>
      <c r="N15" s="514">
        <f t="shared" si="61"/>
        <v>0</v>
      </c>
      <c r="O15" s="410">
        <f t="shared" si="16"/>
        <v>529.52</v>
      </c>
      <c r="P15" s="514">
        <f t="shared" si="62"/>
        <v>0</v>
      </c>
      <c r="Q15" s="514">
        <f t="shared" si="63"/>
        <v>0</v>
      </c>
      <c r="R15" s="514"/>
      <c r="S15" s="514"/>
      <c r="T15" s="5">
        <f t="shared" si="17"/>
        <v>5171</v>
      </c>
      <c r="U15" s="5">
        <f t="shared" si="4"/>
        <v>0</v>
      </c>
      <c r="V15" s="5">
        <f t="shared" si="17"/>
        <v>469</v>
      </c>
      <c r="W15" s="324">
        <f t="shared" si="18"/>
        <v>0</v>
      </c>
      <c r="X15" s="5">
        <f t="shared" ref="X15:Z15" si="68">X14</f>
        <v>151284</v>
      </c>
      <c r="Y15" s="324">
        <f t="shared" si="40"/>
        <v>0</v>
      </c>
      <c r="Z15" s="5">
        <f t="shared" si="68"/>
        <v>98717</v>
      </c>
      <c r="AA15" s="83">
        <f t="shared" si="19"/>
        <v>0</v>
      </c>
      <c r="AB15" s="5">
        <f t="shared" ref="AB15:AC15" si="69">AB14</f>
        <v>261</v>
      </c>
      <c r="AC15" s="5">
        <f t="shared" si="69"/>
        <v>731</v>
      </c>
      <c r="AD15" s="83">
        <f t="shared" si="35"/>
        <v>0</v>
      </c>
      <c r="AE15" s="5">
        <f t="shared" ref="AE15:AG15" si="70">AE14</f>
        <v>229.03</v>
      </c>
      <c r="AF15" s="83">
        <f t="shared" si="22"/>
        <v>0</v>
      </c>
      <c r="AG15" s="5">
        <f t="shared" si="70"/>
        <v>2199.36</v>
      </c>
      <c r="AH15" s="83">
        <f t="shared" si="23"/>
        <v>0</v>
      </c>
      <c r="AI15" s="83">
        <f t="shared" si="24"/>
        <v>0</v>
      </c>
      <c r="AJ15" s="326">
        <f t="shared" si="25"/>
        <v>0</v>
      </c>
      <c r="AK15" s="327">
        <f t="shared" si="37"/>
        <v>0</v>
      </c>
      <c r="AL15" s="327">
        <f t="shared" si="26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7"/>
        <v>44296</v>
      </c>
      <c r="AS15" s="424">
        <f t="shared" si="6"/>
        <v>0.9</v>
      </c>
      <c r="AT15" s="201">
        <f t="shared" si="6"/>
        <v>90</v>
      </c>
      <c r="AU15" s="425">
        <f t="shared" si="43"/>
        <v>1.1000000000000001</v>
      </c>
      <c r="AV15" s="201">
        <f t="shared" si="43"/>
        <v>196</v>
      </c>
      <c r="AW15" s="5">
        <v>2.9</v>
      </c>
      <c r="AX15" s="201">
        <f t="shared" ref="AX15" si="71">AX14</f>
        <v>185</v>
      </c>
      <c r="AY15" s="426">
        <f t="shared" si="7"/>
        <v>81</v>
      </c>
      <c r="AZ15" s="426">
        <f t="shared" si="28"/>
        <v>215.60000000000002</v>
      </c>
      <c r="BA15" s="426">
        <f t="shared" si="29"/>
        <v>536.5</v>
      </c>
      <c r="BB15" s="21">
        <f t="shared" si="30"/>
        <v>0</v>
      </c>
      <c r="BC15" s="21">
        <f t="shared" si="31"/>
        <v>0</v>
      </c>
      <c r="BD15" s="21">
        <f t="shared" si="31"/>
        <v>0</v>
      </c>
      <c r="BE15" s="24">
        <f t="shared" si="32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44297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log'!$A$36))</f>
        <v>250</v>
      </c>
      <c r="F16" s="418"/>
      <c r="G16" s="5">
        <f t="shared" si="13"/>
        <v>618063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6734</v>
      </c>
      <c r="L16" s="274">
        <f t="shared" si="38"/>
        <v>0</v>
      </c>
      <c r="M16" s="410">
        <f t="shared" si="15"/>
        <v>457.44</v>
      </c>
      <c r="N16" s="514">
        <f t="shared" si="61"/>
        <v>0</v>
      </c>
      <c r="O16" s="410">
        <f t="shared" si="16"/>
        <v>529.52</v>
      </c>
      <c r="P16" s="514">
        <f t="shared" si="62"/>
        <v>0</v>
      </c>
      <c r="Q16" s="514">
        <f t="shared" si="63"/>
        <v>0</v>
      </c>
      <c r="R16" s="516"/>
      <c r="S16" s="516"/>
      <c r="T16" s="5">
        <f t="shared" si="17"/>
        <v>5171</v>
      </c>
      <c r="U16" s="5">
        <f t="shared" si="4"/>
        <v>0</v>
      </c>
      <c r="V16" s="5">
        <f t="shared" si="17"/>
        <v>469</v>
      </c>
      <c r="W16" s="324">
        <f t="shared" si="18"/>
        <v>0</v>
      </c>
      <c r="X16" s="5">
        <f t="shared" ref="X16:Z16" si="72">X15</f>
        <v>151284</v>
      </c>
      <c r="Y16" s="324">
        <f t="shared" si="40"/>
        <v>0</v>
      </c>
      <c r="Z16" s="5">
        <f t="shared" si="72"/>
        <v>98717</v>
      </c>
      <c r="AA16" s="83">
        <f t="shared" si="19"/>
        <v>0</v>
      </c>
      <c r="AB16" s="5">
        <f t="shared" ref="AB16:AC16" si="73">AB15</f>
        <v>261</v>
      </c>
      <c r="AC16" s="5">
        <f t="shared" si="73"/>
        <v>731</v>
      </c>
      <c r="AD16" s="83">
        <f t="shared" si="35"/>
        <v>0</v>
      </c>
      <c r="AE16" s="5">
        <f t="shared" ref="AE16:AG16" si="74">AE15</f>
        <v>229.03</v>
      </c>
      <c r="AF16" s="83">
        <f t="shared" si="22"/>
        <v>0</v>
      </c>
      <c r="AG16" s="5">
        <f t="shared" si="74"/>
        <v>2199.36</v>
      </c>
      <c r="AH16" s="83">
        <f t="shared" si="23"/>
        <v>0</v>
      </c>
      <c r="AI16" s="83">
        <f t="shared" si="24"/>
        <v>0</v>
      </c>
      <c r="AJ16" s="326">
        <f t="shared" si="25"/>
        <v>0</v>
      </c>
      <c r="AK16" s="327">
        <f t="shared" si="37"/>
        <v>0</v>
      </c>
      <c r="AL16" s="327">
        <f t="shared" si="26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7"/>
        <v>44297</v>
      </c>
      <c r="AS16" s="424">
        <f t="shared" si="6"/>
        <v>0.9</v>
      </c>
      <c r="AT16" s="201">
        <f t="shared" si="6"/>
        <v>90</v>
      </c>
      <c r="AU16" s="425">
        <f t="shared" si="43"/>
        <v>1.1000000000000001</v>
      </c>
      <c r="AV16" s="201">
        <f t="shared" si="43"/>
        <v>196</v>
      </c>
      <c r="AW16" s="5">
        <v>2.9</v>
      </c>
      <c r="AX16" s="201">
        <f t="shared" ref="AX16" si="75">AX15</f>
        <v>185</v>
      </c>
      <c r="AY16" s="426">
        <f t="shared" si="7"/>
        <v>81</v>
      </c>
      <c r="AZ16" s="426">
        <f t="shared" si="28"/>
        <v>215.60000000000002</v>
      </c>
      <c r="BA16" s="426">
        <f t="shared" si="29"/>
        <v>536.5</v>
      </c>
      <c r="BB16" s="21">
        <f t="shared" si="30"/>
        <v>0</v>
      </c>
      <c r="BC16" s="21">
        <f t="shared" si="31"/>
        <v>0</v>
      </c>
      <c r="BD16" s="21">
        <f t="shared" si="31"/>
        <v>0</v>
      </c>
      <c r="BE16" s="24">
        <f t="shared" si="32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44298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log'!$A$36))</f>
        <v>250</v>
      </c>
      <c r="F17" s="418"/>
      <c r="G17" s="5">
        <f t="shared" si="13"/>
        <v>618063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6734</v>
      </c>
      <c r="L17" s="83">
        <f t="shared" si="38"/>
        <v>0</v>
      </c>
      <c r="M17" s="410">
        <f t="shared" si="15"/>
        <v>457.44</v>
      </c>
      <c r="N17" s="514">
        <f t="shared" si="61"/>
        <v>0</v>
      </c>
      <c r="O17" s="410">
        <f t="shared" si="16"/>
        <v>529.52</v>
      </c>
      <c r="P17" s="514">
        <f t="shared" si="62"/>
        <v>0</v>
      </c>
      <c r="Q17" s="514">
        <f t="shared" si="63"/>
        <v>0</v>
      </c>
      <c r="R17" s="514"/>
      <c r="S17" s="514"/>
      <c r="T17" s="5">
        <f t="shared" si="17"/>
        <v>5171</v>
      </c>
      <c r="U17" s="5">
        <f t="shared" si="4"/>
        <v>0</v>
      </c>
      <c r="V17" s="5">
        <f t="shared" si="17"/>
        <v>469</v>
      </c>
      <c r="W17" s="324">
        <f t="shared" si="18"/>
        <v>0</v>
      </c>
      <c r="X17" s="5">
        <f t="shared" ref="X17:Z17" si="76">X16</f>
        <v>151284</v>
      </c>
      <c r="Y17" s="324">
        <f t="shared" si="40"/>
        <v>0</v>
      </c>
      <c r="Z17" s="5">
        <f t="shared" si="76"/>
        <v>98717</v>
      </c>
      <c r="AA17" s="83">
        <f t="shared" si="19"/>
        <v>0</v>
      </c>
      <c r="AB17" s="5">
        <f t="shared" ref="AB17:AC17" si="77">AB16</f>
        <v>261</v>
      </c>
      <c r="AC17" s="5">
        <f t="shared" si="77"/>
        <v>731</v>
      </c>
      <c r="AD17" s="83">
        <f t="shared" si="35"/>
        <v>0</v>
      </c>
      <c r="AE17" s="5">
        <f t="shared" ref="AE17:AG17" si="78">AE16</f>
        <v>229.03</v>
      </c>
      <c r="AF17" s="83">
        <f t="shared" si="22"/>
        <v>0</v>
      </c>
      <c r="AG17" s="5">
        <f t="shared" si="78"/>
        <v>2199.36</v>
      </c>
      <c r="AH17" s="83">
        <f t="shared" si="23"/>
        <v>0</v>
      </c>
      <c r="AI17" s="83">
        <f t="shared" si="24"/>
        <v>0</v>
      </c>
      <c r="AJ17" s="326">
        <f t="shared" si="25"/>
        <v>0</v>
      </c>
      <c r="AK17" s="327">
        <f>SUM(Y17-L17)</f>
        <v>0</v>
      </c>
      <c r="AL17" s="327">
        <f t="shared" si="26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7"/>
        <v>44298</v>
      </c>
      <c r="AS17" s="424">
        <f t="shared" si="6"/>
        <v>0.9</v>
      </c>
      <c r="AT17" s="201">
        <f t="shared" si="6"/>
        <v>90</v>
      </c>
      <c r="AU17" s="425">
        <f t="shared" si="43"/>
        <v>1.1000000000000001</v>
      </c>
      <c r="AV17" s="201">
        <f t="shared" si="43"/>
        <v>196</v>
      </c>
      <c r="AW17" s="5">
        <v>2.9</v>
      </c>
      <c r="AX17" s="201">
        <f t="shared" ref="AX17" si="79">AX16</f>
        <v>185</v>
      </c>
      <c r="AY17" s="426">
        <f t="shared" si="7"/>
        <v>81</v>
      </c>
      <c r="AZ17" s="426">
        <f t="shared" si="28"/>
        <v>215.60000000000002</v>
      </c>
      <c r="BA17" s="426">
        <f t="shared" si="29"/>
        <v>536.5</v>
      </c>
      <c r="BB17" s="21">
        <f t="shared" si="30"/>
        <v>0</v>
      </c>
      <c r="BC17" s="21">
        <f t="shared" si="31"/>
        <v>0</v>
      </c>
      <c r="BD17" s="21">
        <f t="shared" si="31"/>
        <v>0</v>
      </c>
      <c r="BE17" s="24">
        <f t="shared" si="32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44299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log'!$A$36))</f>
        <v>250</v>
      </c>
      <c r="F18" s="418"/>
      <c r="G18" s="5">
        <f t="shared" si="13"/>
        <v>618063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6734</v>
      </c>
      <c r="L18" s="83">
        <f t="shared" si="38"/>
        <v>0</v>
      </c>
      <c r="M18" s="410">
        <f t="shared" si="15"/>
        <v>457.44</v>
      </c>
      <c r="N18" s="514">
        <f t="shared" si="61"/>
        <v>0</v>
      </c>
      <c r="O18" s="410">
        <f t="shared" si="16"/>
        <v>529.52</v>
      </c>
      <c r="P18" s="514">
        <f t="shared" si="62"/>
        <v>0</v>
      </c>
      <c r="Q18" s="514">
        <f t="shared" si="63"/>
        <v>0</v>
      </c>
      <c r="R18" s="514"/>
      <c r="S18" s="514"/>
      <c r="T18" s="5">
        <f t="shared" si="17"/>
        <v>5171</v>
      </c>
      <c r="U18" s="5">
        <f t="shared" si="4"/>
        <v>0</v>
      </c>
      <c r="V18" s="5">
        <f t="shared" si="17"/>
        <v>469</v>
      </c>
      <c r="W18" s="324">
        <f t="shared" si="18"/>
        <v>0</v>
      </c>
      <c r="X18" s="5">
        <f t="shared" ref="X18:Z18" si="80">X17</f>
        <v>151284</v>
      </c>
      <c r="Y18" s="324">
        <f t="shared" si="40"/>
        <v>0</v>
      </c>
      <c r="Z18" s="5">
        <f t="shared" si="80"/>
        <v>98717</v>
      </c>
      <c r="AA18" s="83">
        <f t="shared" si="19"/>
        <v>0</v>
      </c>
      <c r="AB18" s="5">
        <f t="shared" ref="AB18:AC18" si="81">AB17</f>
        <v>261</v>
      </c>
      <c r="AC18" s="5">
        <f t="shared" si="81"/>
        <v>731</v>
      </c>
      <c r="AD18" s="83">
        <f t="shared" si="35"/>
        <v>0</v>
      </c>
      <c r="AE18" s="5">
        <f t="shared" ref="AE18:AG18" si="82">AE17</f>
        <v>229.03</v>
      </c>
      <c r="AF18" s="83">
        <f t="shared" si="22"/>
        <v>0</v>
      </c>
      <c r="AG18" s="5">
        <f t="shared" si="82"/>
        <v>2199.36</v>
      </c>
      <c r="AH18" s="83">
        <f t="shared" si="23"/>
        <v>0</v>
      </c>
      <c r="AI18" s="83">
        <f t="shared" si="24"/>
        <v>0</v>
      </c>
      <c r="AJ18" s="326">
        <f t="shared" si="25"/>
        <v>0</v>
      </c>
      <c r="AK18" s="327">
        <f>SUM(Y18-L18)</f>
        <v>0</v>
      </c>
      <c r="AL18" s="327">
        <f t="shared" si="26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7"/>
        <v>44299</v>
      </c>
      <c r="AS18" s="424">
        <f t="shared" si="6"/>
        <v>0.9</v>
      </c>
      <c r="AT18" s="201">
        <f t="shared" si="6"/>
        <v>90</v>
      </c>
      <c r="AU18" s="425">
        <f t="shared" si="43"/>
        <v>1.1000000000000001</v>
      </c>
      <c r="AV18" s="201">
        <f t="shared" si="43"/>
        <v>196</v>
      </c>
      <c r="AW18" s="5">
        <v>2.9</v>
      </c>
      <c r="AX18" s="201">
        <f t="shared" ref="AX18" si="83">AX17</f>
        <v>185</v>
      </c>
      <c r="AY18" s="426">
        <f t="shared" si="7"/>
        <v>81</v>
      </c>
      <c r="AZ18" s="426">
        <f t="shared" si="28"/>
        <v>215.60000000000002</v>
      </c>
      <c r="BA18" s="426">
        <f t="shared" si="29"/>
        <v>536.5</v>
      </c>
      <c r="BB18" s="21">
        <f t="shared" si="30"/>
        <v>0</v>
      </c>
      <c r="BC18" s="21">
        <f t="shared" si="31"/>
        <v>0</v>
      </c>
      <c r="BD18" s="21">
        <f t="shared" si="31"/>
        <v>0</v>
      </c>
      <c r="BE18" s="24">
        <f t="shared" si="32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44300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log'!$A$36))</f>
        <v>250</v>
      </c>
      <c r="F19" s="418"/>
      <c r="G19" s="5">
        <f t="shared" si="13"/>
        <v>618063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6734</v>
      </c>
      <c r="L19" s="83">
        <f t="shared" si="38"/>
        <v>0</v>
      </c>
      <c r="M19" s="410">
        <f t="shared" si="15"/>
        <v>457.44</v>
      </c>
      <c r="N19" s="514">
        <f t="shared" si="61"/>
        <v>0</v>
      </c>
      <c r="O19" s="410">
        <f t="shared" si="16"/>
        <v>529.52</v>
      </c>
      <c r="P19" s="514">
        <f t="shared" si="62"/>
        <v>0</v>
      </c>
      <c r="Q19" s="514">
        <f t="shared" si="63"/>
        <v>0</v>
      </c>
      <c r="R19" s="514"/>
      <c r="S19" s="514"/>
      <c r="T19" s="5">
        <f t="shared" si="17"/>
        <v>5171</v>
      </c>
      <c r="U19" s="5">
        <f t="shared" si="4"/>
        <v>0</v>
      </c>
      <c r="V19" s="5">
        <f t="shared" si="17"/>
        <v>469</v>
      </c>
      <c r="W19" s="324">
        <f t="shared" si="18"/>
        <v>0</v>
      </c>
      <c r="X19" s="5">
        <f t="shared" ref="X19:Z19" si="84">X18</f>
        <v>151284</v>
      </c>
      <c r="Y19" s="324">
        <f t="shared" si="40"/>
        <v>0</v>
      </c>
      <c r="Z19" s="5">
        <f t="shared" si="84"/>
        <v>98717</v>
      </c>
      <c r="AA19" s="83">
        <f t="shared" si="19"/>
        <v>0</v>
      </c>
      <c r="AB19" s="5">
        <f t="shared" ref="AB19:AC19" si="85">AB18</f>
        <v>261</v>
      </c>
      <c r="AC19" s="5">
        <f t="shared" si="85"/>
        <v>731</v>
      </c>
      <c r="AD19" s="83">
        <f t="shared" si="35"/>
        <v>0</v>
      </c>
      <c r="AE19" s="5">
        <f t="shared" ref="AE19:AG19" si="86">AE18</f>
        <v>229.03</v>
      </c>
      <c r="AF19" s="83">
        <f t="shared" si="22"/>
        <v>0</v>
      </c>
      <c r="AG19" s="5">
        <f t="shared" si="86"/>
        <v>2199.36</v>
      </c>
      <c r="AH19" s="83">
        <f t="shared" si="23"/>
        <v>0</v>
      </c>
      <c r="AI19" s="83">
        <f t="shared" si="24"/>
        <v>0</v>
      </c>
      <c r="AJ19" s="326">
        <f t="shared" si="25"/>
        <v>0</v>
      </c>
      <c r="AK19" s="327">
        <f t="shared" si="37"/>
        <v>0</v>
      </c>
      <c r="AL19" s="327">
        <f t="shared" si="26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7"/>
        <v>44300</v>
      </c>
      <c r="AS19" s="424">
        <f t="shared" si="6"/>
        <v>0.9</v>
      </c>
      <c r="AT19" s="201">
        <f t="shared" si="6"/>
        <v>90</v>
      </c>
      <c r="AU19" s="425">
        <f t="shared" si="43"/>
        <v>1.1000000000000001</v>
      </c>
      <c r="AV19" s="201">
        <f t="shared" si="43"/>
        <v>196</v>
      </c>
      <c r="AW19" s="5">
        <v>2.9</v>
      </c>
      <c r="AX19" s="201">
        <f t="shared" ref="AX19" si="87">AX18</f>
        <v>185</v>
      </c>
      <c r="AY19" s="426">
        <f t="shared" ref="AY19:AY21" si="88">AS19*AT19</f>
        <v>81</v>
      </c>
      <c r="AZ19" s="426">
        <f t="shared" ref="AZ19:AZ21" si="89">AU19*AV19</f>
        <v>215.60000000000002</v>
      </c>
      <c r="BA19" s="426">
        <f t="shared" ref="BA19:BA21" si="90">AW19*AX19</f>
        <v>536.5</v>
      </c>
      <c r="BB19" s="21">
        <f t="shared" ref="BB19:BB20" si="91">AY19-AY18</f>
        <v>0</v>
      </c>
      <c r="BC19" s="21">
        <f t="shared" ref="BC19:BC20" si="92">AZ19-AZ18</f>
        <v>0</v>
      </c>
      <c r="BD19" s="21">
        <f t="shared" ref="BD19:BD20" si="93">BA19-BA18</f>
        <v>0</v>
      </c>
      <c r="BE19" s="24">
        <f t="shared" ref="BE19:BE20" si="9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44301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log'!$A$36))</f>
        <v>250</v>
      </c>
      <c r="F20" s="418"/>
      <c r="G20" s="5">
        <f t="shared" si="13"/>
        <v>618063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6734</v>
      </c>
      <c r="L20" s="83">
        <f t="shared" si="38"/>
        <v>0</v>
      </c>
      <c r="M20" s="410">
        <f t="shared" si="15"/>
        <v>457.44</v>
      </c>
      <c r="N20" s="514">
        <f t="shared" si="61"/>
        <v>0</v>
      </c>
      <c r="O20" s="410">
        <f t="shared" si="16"/>
        <v>529.52</v>
      </c>
      <c r="P20" s="514">
        <f t="shared" si="62"/>
        <v>0</v>
      </c>
      <c r="Q20" s="514">
        <f t="shared" si="63"/>
        <v>0</v>
      </c>
      <c r="R20" s="514"/>
      <c r="S20" s="514"/>
      <c r="T20" s="5">
        <f t="shared" si="17"/>
        <v>5171</v>
      </c>
      <c r="U20" s="5">
        <f t="shared" si="4"/>
        <v>0</v>
      </c>
      <c r="V20" s="5">
        <f t="shared" si="17"/>
        <v>469</v>
      </c>
      <c r="W20" s="324">
        <f t="shared" si="18"/>
        <v>0</v>
      </c>
      <c r="X20" s="5">
        <f t="shared" ref="X20:Z20" si="95">X19</f>
        <v>151284</v>
      </c>
      <c r="Y20" s="324">
        <f t="shared" si="40"/>
        <v>0</v>
      </c>
      <c r="Z20" s="5">
        <f t="shared" si="95"/>
        <v>98717</v>
      </c>
      <c r="AA20" s="83">
        <f t="shared" si="19"/>
        <v>0</v>
      </c>
      <c r="AB20" s="5">
        <f t="shared" ref="AB20:AC20" si="96">AB19</f>
        <v>261</v>
      </c>
      <c r="AC20" s="5">
        <f t="shared" si="96"/>
        <v>731</v>
      </c>
      <c r="AD20" s="83">
        <f t="shared" si="35"/>
        <v>0</v>
      </c>
      <c r="AE20" s="5">
        <f t="shared" ref="AE20:AG20" si="97">AE19</f>
        <v>229.03</v>
      </c>
      <c r="AF20" s="83">
        <f t="shared" si="22"/>
        <v>0</v>
      </c>
      <c r="AG20" s="5">
        <f t="shared" si="97"/>
        <v>2199.36</v>
      </c>
      <c r="AH20" s="83">
        <f t="shared" si="23"/>
        <v>0</v>
      </c>
      <c r="AI20" s="83">
        <f t="shared" si="24"/>
        <v>0</v>
      </c>
      <c r="AJ20" s="326">
        <f t="shared" si="25"/>
        <v>0</v>
      </c>
      <c r="AK20" s="327">
        <f t="shared" si="37"/>
        <v>0</v>
      </c>
      <c r="AL20" s="327">
        <f t="shared" si="26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7"/>
        <v>44301</v>
      </c>
      <c r="AS20" s="424">
        <f t="shared" si="6"/>
        <v>0.9</v>
      </c>
      <c r="AT20" s="201">
        <f t="shared" si="6"/>
        <v>90</v>
      </c>
      <c r="AU20" s="425">
        <f t="shared" si="43"/>
        <v>1.1000000000000001</v>
      </c>
      <c r="AV20" s="201">
        <f t="shared" si="43"/>
        <v>196</v>
      </c>
      <c r="AW20" s="5">
        <v>2.9</v>
      </c>
      <c r="AX20" s="201">
        <f t="shared" ref="AX20" si="98">AX19</f>
        <v>185</v>
      </c>
      <c r="AY20" s="426">
        <f t="shared" si="88"/>
        <v>81</v>
      </c>
      <c r="AZ20" s="426">
        <f t="shared" si="89"/>
        <v>215.60000000000002</v>
      </c>
      <c r="BA20" s="426">
        <f t="shared" si="90"/>
        <v>536.5</v>
      </c>
      <c r="BB20" s="21">
        <f t="shared" si="91"/>
        <v>0</v>
      </c>
      <c r="BC20" s="21">
        <f t="shared" si="92"/>
        <v>0</v>
      </c>
      <c r="BD20" s="21">
        <f t="shared" si="93"/>
        <v>0</v>
      </c>
      <c r="BE20" s="24">
        <f t="shared" si="9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44302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log'!$A$36))</f>
        <v>250</v>
      </c>
      <c r="F21" s="327"/>
      <c r="G21" s="5">
        <f t="shared" si="13"/>
        <v>618063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6734</v>
      </c>
      <c r="L21" s="83">
        <f t="shared" si="38"/>
        <v>0</v>
      </c>
      <c r="M21" s="410">
        <f t="shared" si="15"/>
        <v>457.44</v>
      </c>
      <c r="N21" s="514">
        <f t="shared" si="61"/>
        <v>0</v>
      </c>
      <c r="O21" s="410">
        <f t="shared" si="16"/>
        <v>529.52</v>
      </c>
      <c r="P21" s="514">
        <f t="shared" si="62"/>
        <v>0</v>
      </c>
      <c r="Q21" s="514">
        <f t="shared" si="63"/>
        <v>0</v>
      </c>
      <c r="R21" s="514"/>
      <c r="S21" s="514"/>
      <c r="T21" s="5">
        <f t="shared" si="17"/>
        <v>5171</v>
      </c>
      <c r="U21" s="5">
        <f t="shared" si="4"/>
        <v>0</v>
      </c>
      <c r="V21" s="5">
        <f t="shared" si="17"/>
        <v>469</v>
      </c>
      <c r="W21" s="324">
        <f t="shared" si="18"/>
        <v>0</v>
      </c>
      <c r="X21" s="5">
        <f t="shared" ref="X21:Z21" si="99">X20</f>
        <v>151284</v>
      </c>
      <c r="Y21" s="324">
        <f>SUM(X21-X20)</f>
        <v>0</v>
      </c>
      <c r="Z21" s="5">
        <f t="shared" si="99"/>
        <v>98717</v>
      </c>
      <c r="AA21" s="83">
        <f t="shared" si="19"/>
        <v>0</v>
      </c>
      <c r="AB21" s="5">
        <f t="shared" ref="AB21:AC21" si="100">AB20</f>
        <v>261</v>
      </c>
      <c r="AC21" s="5">
        <f t="shared" si="100"/>
        <v>731</v>
      </c>
      <c r="AD21" s="83">
        <f t="shared" si="35"/>
        <v>0</v>
      </c>
      <c r="AE21" s="5">
        <f t="shared" ref="AE21:AG21" si="101">AE20</f>
        <v>229.03</v>
      </c>
      <c r="AF21" s="83">
        <f t="shared" si="22"/>
        <v>0</v>
      </c>
      <c r="AG21" s="5">
        <f t="shared" si="101"/>
        <v>2199.36</v>
      </c>
      <c r="AH21" s="83">
        <f t="shared" si="23"/>
        <v>0</v>
      </c>
      <c r="AI21" s="83">
        <f t="shared" si="24"/>
        <v>0</v>
      </c>
      <c r="AJ21" s="326">
        <f t="shared" si="25"/>
        <v>0</v>
      </c>
      <c r="AK21" s="327">
        <f>SUM(Y21-L21)</f>
        <v>0</v>
      </c>
      <c r="AL21" s="327">
        <f t="shared" si="26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7"/>
        <v>44302</v>
      </c>
      <c r="AS21" s="424">
        <f t="shared" si="6"/>
        <v>0.9</v>
      </c>
      <c r="AT21" s="201">
        <f t="shared" si="6"/>
        <v>90</v>
      </c>
      <c r="AU21" s="425">
        <f t="shared" si="43"/>
        <v>1.1000000000000001</v>
      </c>
      <c r="AV21" s="201">
        <f t="shared" si="43"/>
        <v>196</v>
      </c>
      <c r="AW21" s="5">
        <v>2.9</v>
      </c>
      <c r="AX21" s="201">
        <f t="shared" ref="AX21" si="102">AX20</f>
        <v>185</v>
      </c>
      <c r="AY21" s="426">
        <f t="shared" si="88"/>
        <v>81</v>
      </c>
      <c r="AZ21" s="426">
        <f t="shared" si="89"/>
        <v>215.60000000000002</v>
      </c>
      <c r="BA21" s="426">
        <f t="shared" si="90"/>
        <v>536.5</v>
      </c>
      <c r="BB21" s="21">
        <f t="shared" si="30"/>
        <v>0</v>
      </c>
      <c r="BC21" s="21">
        <f t="shared" si="31"/>
        <v>0</v>
      </c>
      <c r="BD21" s="21">
        <f t="shared" si="31"/>
        <v>0</v>
      </c>
      <c r="BE21" s="24">
        <f t="shared" si="32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44303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log'!$A$36))</f>
        <v>250</v>
      </c>
      <c r="F22" s="327"/>
      <c r="G22" s="5">
        <f t="shared" si="13"/>
        <v>618063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6734</v>
      </c>
      <c r="L22" s="83">
        <f t="shared" si="38"/>
        <v>0</v>
      </c>
      <c r="M22" s="410">
        <f t="shared" si="15"/>
        <v>457.44</v>
      </c>
      <c r="N22" s="514">
        <f t="shared" si="61"/>
        <v>0</v>
      </c>
      <c r="O22" s="410">
        <f t="shared" si="16"/>
        <v>529.52</v>
      </c>
      <c r="P22" s="514">
        <f t="shared" si="62"/>
        <v>0</v>
      </c>
      <c r="Q22" s="514">
        <f t="shared" si="63"/>
        <v>0</v>
      </c>
      <c r="R22" s="514"/>
      <c r="S22" s="514"/>
      <c r="T22" s="5">
        <f t="shared" si="17"/>
        <v>5171</v>
      </c>
      <c r="U22" s="5">
        <f t="shared" si="4"/>
        <v>0</v>
      </c>
      <c r="V22" s="5">
        <f t="shared" si="17"/>
        <v>469</v>
      </c>
      <c r="W22" s="324">
        <f t="shared" si="18"/>
        <v>0</v>
      </c>
      <c r="X22" s="5">
        <f t="shared" ref="X22:Z22" si="103">X21</f>
        <v>151284</v>
      </c>
      <c r="Y22" s="324">
        <f t="shared" si="40"/>
        <v>0</v>
      </c>
      <c r="Z22" s="5">
        <f t="shared" si="103"/>
        <v>98717</v>
      </c>
      <c r="AA22" s="83">
        <f t="shared" si="19"/>
        <v>0</v>
      </c>
      <c r="AB22" s="5">
        <f t="shared" ref="AB22:AC22" si="104">AB21</f>
        <v>261</v>
      </c>
      <c r="AC22" s="5">
        <f t="shared" si="104"/>
        <v>731</v>
      </c>
      <c r="AD22" s="83">
        <f t="shared" si="35"/>
        <v>0</v>
      </c>
      <c r="AE22" s="5">
        <f t="shared" ref="AE22:AG22" si="105">AE21</f>
        <v>229.03</v>
      </c>
      <c r="AF22" s="83">
        <f t="shared" si="22"/>
        <v>0</v>
      </c>
      <c r="AG22" s="5">
        <f t="shared" si="105"/>
        <v>2199.36</v>
      </c>
      <c r="AH22" s="83">
        <f t="shared" si="23"/>
        <v>0</v>
      </c>
      <c r="AI22" s="83">
        <f t="shared" si="24"/>
        <v>0</v>
      </c>
      <c r="AJ22" s="326">
        <f t="shared" si="25"/>
        <v>0</v>
      </c>
      <c r="AK22" s="327">
        <f t="shared" si="37"/>
        <v>0</v>
      </c>
      <c r="AL22" s="327">
        <f t="shared" si="26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7"/>
        <v>44303</v>
      </c>
      <c r="AS22" s="424">
        <f t="shared" ref="AS22:AT33" si="106">AS21</f>
        <v>0.9</v>
      </c>
      <c r="AT22" s="201">
        <f t="shared" si="106"/>
        <v>90</v>
      </c>
      <c r="AU22" s="425">
        <f t="shared" si="43"/>
        <v>1.1000000000000001</v>
      </c>
      <c r="AV22" s="201">
        <f t="shared" si="43"/>
        <v>196</v>
      </c>
      <c r="AW22" s="5">
        <v>2.9</v>
      </c>
      <c r="AX22" s="201">
        <f t="shared" ref="AX22" si="107">AX21</f>
        <v>185</v>
      </c>
      <c r="AY22" s="426">
        <f t="shared" si="7"/>
        <v>81</v>
      </c>
      <c r="AZ22" s="426">
        <f t="shared" si="28"/>
        <v>215.60000000000002</v>
      </c>
      <c r="BA22" s="426">
        <f t="shared" si="29"/>
        <v>536.5</v>
      </c>
      <c r="BB22" s="21">
        <f>AY22-AY21</f>
        <v>0</v>
      </c>
      <c r="BC22" s="21">
        <f t="shared" si="30"/>
        <v>0</v>
      </c>
      <c r="BD22" s="21">
        <f t="shared" si="30"/>
        <v>0</v>
      </c>
      <c r="BE22" s="24">
        <f t="shared" si="32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44304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log'!$A$36))</f>
        <v>250</v>
      </c>
      <c r="F23" s="327"/>
      <c r="G23" s="5">
        <f t="shared" si="13"/>
        <v>618063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6734</v>
      </c>
      <c r="L23" s="274">
        <f t="shared" si="38"/>
        <v>0</v>
      </c>
      <c r="M23" s="410">
        <f t="shared" si="15"/>
        <v>457.44</v>
      </c>
      <c r="N23" s="514">
        <f t="shared" si="61"/>
        <v>0</v>
      </c>
      <c r="O23" s="410">
        <f t="shared" si="16"/>
        <v>529.52</v>
      </c>
      <c r="P23" s="514">
        <f t="shared" si="62"/>
        <v>0</v>
      </c>
      <c r="Q23" s="514">
        <f t="shared" si="63"/>
        <v>0</v>
      </c>
      <c r="R23" s="516"/>
      <c r="S23" s="516"/>
      <c r="T23" s="5">
        <f t="shared" si="17"/>
        <v>5171</v>
      </c>
      <c r="U23" s="5">
        <f t="shared" si="4"/>
        <v>0</v>
      </c>
      <c r="V23" s="5">
        <f t="shared" si="17"/>
        <v>469</v>
      </c>
      <c r="W23" s="324">
        <f t="shared" si="18"/>
        <v>0</v>
      </c>
      <c r="X23" s="5">
        <f t="shared" ref="X23:Z23" si="108">X22</f>
        <v>151284</v>
      </c>
      <c r="Y23" s="324">
        <f t="shared" si="40"/>
        <v>0</v>
      </c>
      <c r="Z23" s="5">
        <f t="shared" si="108"/>
        <v>98717</v>
      </c>
      <c r="AA23" s="83">
        <f t="shared" si="19"/>
        <v>0</v>
      </c>
      <c r="AB23" s="5">
        <f t="shared" ref="AB23:AC23" si="109">AB22</f>
        <v>261</v>
      </c>
      <c r="AC23" s="5">
        <f t="shared" si="109"/>
        <v>731</v>
      </c>
      <c r="AD23" s="83">
        <f t="shared" si="35"/>
        <v>0</v>
      </c>
      <c r="AE23" s="5">
        <f t="shared" ref="AE23:AG23" si="110">AE22</f>
        <v>229.03</v>
      </c>
      <c r="AF23" s="83">
        <f t="shared" si="22"/>
        <v>0</v>
      </c>
      <c r="AG23" s="5">
        <f t="shared" si="110"/>
        <v>2199.36</v>
      </c>
      <c r="AH23" s="83">
        <f t="shared" si="23"/>
        <v>0</v>
      </c>
      <c r="AI23" s="83">
        <f t="shared" si="24"/>
        <v>0</v>
      </c>
      <c r="AJ23" s="326">
        <f t="shared" si="25"/>
        <v>0</v>
      </c>
      <c r="AK23" s="327">
        <f t="shared" si="37"/>
        <v>0</v>
      </c>
      <c r="AL23" s="327">
        <f t="shared" si="26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7"/>
        <v>44304</v>
      </c>
      <c r="AS23" s="424">
        <f t="shared" si="106"/>
        <v>0.9</v>
      </c>
      <c r="AT23" s="201">
        <f t="shared" si="106"/>
        <v>90</v>
      </c>
      <c r="AU23" s="425">
        <f t="shared" si="43"/>
        <v>1.1000000000000001</v>
      </c>
      <c r="AV23" s="201">
        <f t="shared" si="43"/>
        <v>196</v>
      </c>
      <c r="AW23" s="5">
        <v>2.9</v>
      </c>
      <c r="AX23" s="201">
        <f t="shared" ref="AX23" si="111">AX22</f>
        <v>185</v>
      </c>
      <c r="AY23" s="426">
        <f t="shared" si="7"/>
        <v>81</v>
      </c>
      <c r="AZ23" s="426">
        <f t="shared" si="28"/>
        <v>215.60000000000002</v>
      </c>
      <c r="BA23" s="426">
        <f t="shared" si="29"/>
        <v>536.5</v>
      </c>
      <c r="BB23" s="21">
        <f t="shared" si="30"/>
        <v>0</v>
      </c>
      <c r="BC23" s="21">
        <f t="shared" si="30"/>
        <v>0</v>
      </c>
      <c r="BD23" s="21">
        <f t="shared" si="30"/>
        <v>0</v>
      </c>
      <c r="BE23" s="24">
        <f t="shared" si="32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44305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SUM((C24*$E$4)+(7500/'[4]EDl log'!$A$37))</f>
        <v>241.93548387096774</v>
      </c>
      <c r="F24" s="327"/>
      <c r="G24" s="5">
        <f t="shared" si="13"/>
        <v>618063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'[4]Swimming Pool quality check '!H24</f>
        <v>6713</v>
      </c>
      <c r="L24" s="274">
        <f t="shared" si="38"/>
        <v>-21</v>
      </c>
      <c r="M24" s="410">
        <f t="shared" si="15"/>
        <v>457.44</v>
      </c>
      <c r="N24" s="514">
        <f t="shared" si="61"/>
        <v>0</v>
      </c>
      <c r="O24" s="410">
        <f t="shared" si="16"/>
        <v>529.52</v>
      </c>
      <c r="P24" s="514">
        <f t="shared" si="62"/>
        <v>0</v>
      </c>
      <c r="Q24" s="514">
        <f t="shared" si="63"/>
        <v>0</v>
      </c>
      <c r="R24" s="516"/>
      <c r="S24" s="516"/>
      <c r="T24" s="5">
        <f t="shared" si="17"/>
        <v>5171</v>
      </c>
      <c r="U24" s="5">
        <f t="shared" si="4"/>
        <v>0</v>
      </c>
      <c r="V24" s="5">
        <f t="shared" si="17"/>
        <v>469</v>
      </c>
      <c r="W24" s="324">
        <f t="shared" si="18"/>
        <v>0</v>
      </c>
      <c r="X24" s="5">
        <f t="shared" ref="X24:Z24" si="112">X23</f>
        <v>151284</v>
      </c>
      <c r="Y24" s="324">
        <f t="shared" si="40"/>
        <v>0</v>
      </c>
      <c r="Z24" s="5">
        <f t="shared" si="112"/>
        <v>98717</v>
      </c>
      <c r="AA24" s="83">
        <f t="shared" si="19"/>
        <v>0</v>
      </c>
      <c r="AB24" s="5">
        <f t="shared" ref="AB24:AC24" si="113">AB23</f>
        <v>261</v>
      </c>
      <c r="AC24" s="5">
        <f t="shared" si="113"/>
        <v>731</v>
      </c>
      <c r="AD24" s="83">
        <f t="shared" si="35"/>
        <v>0</v>
      </c>
      <c r="AE24" s="5">
        <f t="shared" ref="AE24:AG24" si="114">AE23</f>
        <v>229.03</v>
      </c>
      <c r="AF24" s="83">
        <f t="shared" si="22"/>
        <v>0</v>
      </c>
      <c r="AG24" s="5">
        <f t="shared" si="114"/>
        <v>2199.36</v>
      </c>
      <c r="AH24" s="83">
        <f t="shared" si="23"/>
        <v>0</v>
      </c>
      <c r="AI24" s="83">
        <f t="shared" si="24"/>
        <v>0</v>
      </c>
      <c r="AJ24" s="326">
        <f t="shared" si="25"/>
        <v>0</v>
      </c>
      <c r="AK24" s="327">
        <f t="shared" si="37"/>
        <v>21</v>
      </c>
      <c r="AL24" s="327">
        <f t="shared" si="26"/>
        <v>0</v>
      </c>
      <c r="AM24" s="327">
        <f>'[4]General information '!D24</f>
        <v>13.5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27"/>
        <v>44305</v>
      </c>
      <c r="AS24" s="424">
        <f t="shared" si="106"/>
        <v>0.9</v>
      </c>
      <c r="AT24" s="201">
        <f t="shared" si="106"/>
        <v>90</v>
      </c>
      <c r="AU24" s="425">
        <f t="shared" si="43"/>
        <v>1.1000000000000001</v>
      </c>
      <c r="AV24" s="201">
        <f t="shared" si="43"/>
        <v>196</v>
      </c>
      <c r="AW24" s="5">
        <v>2.9</v>
      </c>
      <c r="AX24" s="201">
        <f t="shared" ref="AX24" si="115">AX23</f>
        <v>185</v>
      </c>
      <c r="AY24" s="426">
        <f t="shared" si="7"/>
        <v>81</v>
      </c>
      <c r="AZ24" s="426">
        <f t="shared" si="28"/>
        <v>215.60000000000002</v>
      </c>
      <c r="BA24" s="426">
        <f t="shared" si="29"/>
        <v>536.5</v>
      </c>
      <c r="BB24" s="21">
        <f t="shared" si="30"/>
        <v>0</v>
      </c>
      <c r="BC24" s="21">
        <f t="shared" si="30"/>
        <v>0</v>
      </c>
      <c r="BD24" s="21">
        <f t="shared" si="30"/>
        <v>0</v>
      </c>
      <c r="BE24" s="24">
        <f t="shared" si="32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44306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log'!$A$36))</f>
        <v>250</v>
      </c>
      <c r="F25" s="327"/>
      <c r="G25" s="5">
        <f t="shared" si="13"/>
        <v>618063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6734</v>
      </c>
      <c r="L25" s="274">
        <f t="shared" si="38"/>
        <v>21</v>
      </c>
      <c r="M25" s="410">
        <f t="shared" si="15"/>
        <v>457.44</v>
      </c>
      <c r="N25" s="514">
        <f t="shared" si="61"/>
        <v>0</v>
      </c>
      <c r="O25" s="410">
        <f t="shared" si="16"/>
        <v>529.52</v>
      </c>
      <c r="P25" s="514">
        <f t="shared" si="62"/>
        <v>0</v>
      </c>
      <c r="Q25" s="514">
        <f t="shared" si="63"/>
        <v>0</v>
      </c>
      <c r="R25" s="516"/>
      <c r="S25" s="516"/>
      <c r="T25" s="5">
        <f t="shared" si="17"/>
        <v>5171</v>
      </c>
      <c r="U25" s="5">
        <f t="shared" si="4"/>
        <v>0</v>
      </c>
      <c r="V25" s="5">
        <f t="shared" si="17"/>
        <v>469</v>
      </c>
      <c r="W25" s="324">
        <f t="shared" si="18"/>
        <v>0</v>
      </c>
      <c r="X25" s="5">
        <f t="shared" ref="X25:Z25" si="116">X24</f>
        <v>151284</v>
      </c>
      <c r="Y25" s="324">
        <f t="shared" si="40"/>
        <v>0</v>
      </c>
      <c r="Z25" s="5">
        <f t="shared" si="116"/>
        <v>98717</v>
      </c>
      <c r="AA25" s="83">
        <f t="shared" si="19"/>
        <v>0</v>
      </c>
      <c r="AB25" s="5">
        <f t="shared" ref="AB25:AC25" si="117">AB24</f>
        <v>261</v>
      </c>
      <c r="AC25" s="5">
        <f t="shared" si="117"/>
        <v>731</v>
      </c>
      <c r="AD25" s="83">
        <f t="shared" si="35"/>
        <v>0</v>
      </c>
      <c r="AE25" s="5">
        <f t="shared" ref="AE25:AG25" si="118">AE24</f>
        <v>229.03</v>
      </c>
      <c r="AF25" s="83">
        <f t="shared" si="22"/>
        <v>0</v>
      </c>
      <c r="AG25" s="5">
        <f t="shared" si="118"/>
        <v>2199.36</v>
      </c>
      <c r="AH25" s="83">
        <f t="shared" si="23"/>
        <v>0</v>
      </c>
      <c r="AI25" s="83">
        <f t="shared" si="24"/>
        <v>0</v>
      </c>
      <c r="AJ25" s="326">
        <f t="shared" si="25"/>
        <v>0</v>
      </c>
      <c r="AK25" s="327">
        <f t="shared" si="37"/>
        <v>-21</v>
      </c>
      <c r="AL25" s="327">
        <f t="shared" si="26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7"/>
        <v>44306</v>
      </c>
      <c r="AS25" s="424">
        <f t="shared" si="106"/>
        <v>0.9</v>
      </c>
      <c r="AT25" s="201">
        <f t="shared" si="106"/>
        <v>90</v>
      </c>
      <c r="AU25" s="425">
        <f t="shared" si="43"/>
        <v>1.1000000000000001</v>
      </c>
      <c r="AV25" s="201">
        <f t="shared" si="43"/>
        <v>196</v>
      </c>
      <c r="AW25" s="5">
        <v>2.9</v>
      </c>
      <c r="AX25" s="201">
        <f t="shared" ref="AX25" si="119">AX24</f>
        <v>185</v>
      </c>
      <c r="AY25" s="426">
        <f t="shared" si="7"/>
        <v>81</v>
      </c>
      <c r="AZ25" s="426">
        <f t="shared" si="28"/>
        <v>215.60000000000002</v>
      </c>
      <c r="BA25" s="426">
        <f t="shared" si="29"/>
        <v>536.5</v>
      </c>
      <c r="BB25" s="21">
        <f t="shared" si="30"/>
        <v>0</v>
      </c>
      <c r="BC25" s="21">
        <f t="shared" si="30"/>
        <v>0</v>
      </c>
      <c r="BD25" s="21">
        <f t="shared" si="30"/>
        <v>0</v>
      </c>
      <c r="BE25" s="24">
        <f t="shared" si="32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44307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log'!$A$36))</f>
        <v>250</v>
      </c>
      <c r="F26" s="327"/>
      <c r="G26" s="5">
        <f t="shared" si="13"/>
        <v>618063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6734</v>
      </c>
      <c r="L26" s="274">
        <f t="shared" si="38"/>
        <v>0</v>
      </c>
      <c r="M26" s="410">
        <f t="shared" si="15"/>
        <v>457.44</v>
      </c>
      <c r="N26" s="514">
        <f t="shared" si="61"/>
        <v>0</v>
      </c>
      <c r="O26" s="410">
        <f t="shared" si="16"/>
        <v>529.52</v>
      </c>
      <c r="P26" s="514">
        <f t="shared" si="62"/>
        <v>0</v>
      </c>
      <c r="Q26" s="514">
        <f t="shared" si="63"/>
        <v>0</v>
      </c>
      <c r="R26" s="516"/>
      <c r="S26" s="516"/>
      <c r="T26" s="5">
        <f t="shared" si="17"/>
        <v>5171</v>
      </c>
      <c r="U26" s="5">
        <f t="shared" si="4"/>
        <v>0</v>
      </c>
      <c r="V26" s="5">
        <f t="shared" si="17"/>
        <v>469</v>
      </c>
      <c r="W26" s="324">
        <f t="shared" si="18"/>
        <v>0</v>
      </c>
      <c r="X26" s="5">
        <f t="shared" ref="X26:Z26" si="120">X25</f>
        <v>151284</v>
      </c>
      <c r="Y26" s="324">
        <f t="shared" si="40"/>
        <v>0</v>
      </c>
      <c r="Z26" s="5">
        <f t="shared" si="120"/>
        <v>98717</v>
      </c>
      <c r="AA26" s="83">
        <f t="shared" si="19"/>
        <v>0</v>
      </c>
      <c r="AB26" s="5">
        <f t="shared" ref="AB26:AC26" si="121">AB25</f>
        <v>261</v>
      </c>
      <c r="AC26" s="5">
        <f t="shared" si="121"/>
        <v>731</v>
      </c>
      <c r="AD26" s="83">
        <f t="shared" si="35"/>
        <v>0</v>
      </c>
      <c r="AE26" s="5">
        <f t="shared" ref="AE26:AG26" si="122">AE25</f>
        <v>229.03</v>
      </c>
      <c r="AF26" s="83">
        <f t="shared" si="22"/>
        <v>0</v>
      </c>
      <c r="AG26" s="5">
        <f t="shared" si="122"/>
        <v>2199.36</v>
      </c>
      <c r="AH26" s="83">
        <f t="shared" si="23"/>
        <v>0</v>
      </c>
      <c r="AI26" s="83">
        <f t="shared" si="24"/>
        <v>0</v>
      </c>
      <c r="AJ26" s="326">
        <f t="shared" si="25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7"/>
        <v>44307</v>
      </c>
      <c r="AS26" s="424">
        <f t="shared" si="106"/>
        <v>0.9</v>
      </c>
      <c r="AT26" s="201">
        <f t="shared" si="106"/>
        <v>90</v>
      </c>
      <c r="AU26" s="425">
        <f t="shared" si="43"/>
        <v>1.1000000000000001</v>
      </c>
      <c r="AV26" s="201">
        <f t="shared" si="43"/>
        <v>196</v>
      </c>
      <c r="AW26" s="5">
        <v>2.9</v>
      </c>
      <c r="AX26" s="201">
        <f t="shared" ref="AX26" si="123">AX25</f>
        <v>185</v>
      </c>
      <c r="AY26" s="426">
        <f t="shared" si="7"/>
        <v>81</v>
      </c>
      <c r="AZ26" s="426">
        <f t="shared" si="28"/>
        <v>215.60000000000002</v>
      </c>
      <c r="BA26" s="426">
        <f t="shared" si="29"/>
        <v>536.5</v>
      </c>
      <c r="BB26" s="21">
        <f t="shared" si="30"/>
        <v>0</v>
      </c>
      <c r="BC26" s="21">
        <f t="shared" si="30"/>
        <v>0</v>
      </c>
      <c r="BD26" s="21">
        <f t="shared" si="30"/>
        <v>0</v>
      </c>
      <c r="BE26" s="24">
        <f t="shared" si="32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44308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log'!$A$36))</f>
        <v>250</v>
      </c>
      <c r="F27" s="327"/>
      <c r="G27" s="5">
        <f t="shared" si="13"/>
        <v>618063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6734</v>
      </c>
      <c r="L27" s="274">
        <f t="shared" si="38"/>
        <v>0</v>
      </c>
      <c r="M27" s="410">
        <f t="shared" si="15"/>
        <v>457.44</v>
      </c>
      <c r="N27" s="514">
        <f t="shared" si="61"/>
        <v>0</v>
      </c>
      <c r="O27" s="410">
        <f t="shared" si="16"/>
        <v>529.52</v>
      </c>
      <c r="P27" s="514">
        <f t="shared" si="62"/>
        <v>0</v>
      </c>
      <c r="Q27" s="514">
        <f t="shared" si="63"/>
        <v>0</v>
      </c>
      <c r="R27" s="516"/>
      <c r="S27" s="516"/>
      <c r="T27" s="5">
        <f t="shared" si="17"/>
        <v>5171</v>
      </c>
      <c r="U27" s="5">
        <f t="shared" si="4"/>
        <v>0</v>
      </c>
      <c r="V27" s="5">
        <f t="shared" si="17"/>
        <v>469</v>
      </c>
      <c r="W27" s="324">
        <f t="shared" si="18"/>
        <v>0</v>
      </c>
      <c r="X27" s="5">
        <f t="shared" ref="X27:Z27" si="124">X26</f>
        <v>151284</v>
      </c>
      <c r="Y27" s="324">
        <f>SUM(X27-X26)</f>
        <v>0</v>
      </c>
      <c r="Z27" s="5">
        <f t="shared" si="124"/>
        <v>98717</v>
      </c>
      <c r="AA27" s="83">
        <f t="shared" si="19"/>
        <v>0</v>
      </c>
      <c r="AB27" s="5">
        <f t="shared" ref="AB27:AC27" si="125">AB26</f>
        <v>261</v>
      </c>
      <c r="AC27" s="5">
        <f t="shared" si="125"/>
        <v>731</v>
      </c>
      <c r="AD27" s="83">
        <f t="shared" si="35"/>
        <v>0</v>
      </c>
      <c r="AE27" s="5">
        <f t="shared" ref="AE27:AG27" si="126">AE26</f>
        <v>229.03</v>
      </c>
      <c r="AF27" s="83">
        <f t="shared" si="22"/>
        <v>0</v>
      </c>
      <c r="AG27" s="5">
        <f t="shared" si="126"/>
        <v>2199.36</v>
      </c>
      <c r="AH27" s="83">
        <f t="shared" si="23"/>
        <v>0</v>
      </c>
      <c r="AI27" s="83">
        <f t="shared" si="24"/>
        <v>0</v>
      </c>
      <c r="AJ27" s="326">
        <f t="shared" si="25"/>
        <v>0</v>
      </c>
      <c r="AK27" s="327">
        <f t="shared" si="37"/>
        <v>0</v>
      </c>
      <c r="AL27" s="327">
        <f t="shared" si="26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7"/>
        <v>44308</v>
      </c>
      <c r="AS27" s="424">
        <f t="shared" si="106"/>
        <v>0.9</v>
      </c>
      <c r="AT27" s="201">
        <f t="shared" si="106"/>
        <v>90</v>
      </c>
      <c r="AU27" s="425">
        <f t="shared" si="43"/>
        <v>1.1000000000000001</v>
      </c>
      <c r="AV27" s="201">
        <f t="shared" si="43"/>
        <v>196</v>
      </c>
      <c r="AW27" s="5">
        <v>2.9</v>
      </c>
      <c r="AX27" s="201">
        <f t="shared" ref="AX27" si="127">AX26</f>
        <v>185</v>
      </c>
      <c r="AY27" s="426">
        <f t="shared" si="7"/>
        <v>81</v>
      </c>
      <c r="AZ27" s="426">
        <f t="shared" si="28"/>
        <v>215.60000000000002</v>
      </c>
      <c r="BA27" s="426">
        <f t="shared" si="29"/>
        <v>536.5</v>
      </c>
      <c r="BB27" s="21">
        <f t="shared" si="30"/>
        <v>0</v>
      </c>
      <c r="BC27" s="21">
        <f t="shared" si="30"/>
        <v>0</v>
      </c>
      <c r="BD27" s="21">
        <f t="shared" si="30"/>
        <v>0</v>
      </c>
      <c r="BE27" s="24">
        <f t="shared" si="32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44309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log'!$A$36))</f>
        <v>250</v>
      </c>
      <c r="F28" s="327"/>
      <c r="G28" s="5">
        <f t="shared" si="13"/>
        <v>618063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6734</v>
      </c>
      <c r="L28" s="274">
        <f t="shared" si="38"/>
        <v>0</v>
      </c>
      <c r="M28" s="410">
        <f t="shared" si="15"/>
        <v>457.44</v>
      </c>
      <c r="N28" s="514">
        <f t="shared" si="61"/>
        <v>0</v>
      </c>
      <c r="O28" s="410">
        <f t="shared" si="16"/>
        <v>529.52</v>
      </c>
      <c r="P28" s="514">
        <f t="shared" si="62"/>
        <v>0</v>
      </c>
      <c r="Q28" s="514">
        <f t="shared" si="63"/>
        <v>0</v>
      </c>
      <c r="R28" s="516"/>
      <c r="S28" s="516"/>
      <c r="T28" s="5">
        <f t="shared" si="17"/>
        <v>5171</v>
      </c>
      <c r="U28" s="5">
        <f t="shared" si="4"/>
        <v>0</v>
      </c>
      <c r="V28" s="5">
        <f t="shared" si="17"/>
        <v>469</v>
      </c>
      <c r="W28" s="324">
        <f t="shared" si="18"/>
        <v>0</v>
      </c>
      <c r="X28" s="5">
        <f t="shared" ref="X28:Z28" si="128">X27</f>
        <v>151284</v>
      </c>
      <c r="Y28" s="324">
        <f t="shared" si="40"/>
        <v>0</v>
      </c>
      <c r="Z28" s="5">
        <f t="shared" si="128"/>
        <v>98717</v>
      </c>
      <c r="AA28" s="83">
        <f t="shared" si="19"/>
        <v>0</v>
      </c>
      <c r="AB28" s="5">
        <f t="shared" ref="AB28:AC28" si="129">AB27</f>
        <v>261</v>
      </c>
      <c r="AC28" s="5">
        <f t="shared" si="129"/>
        <v>731</v>
      </c>
      <c r="AD28" s="83">
        <f t="shared" si="35"/>
        <v>0</v>
      </c>
      <c r="AE28" s="5">
        <f t="shared" ref="AE28:AG28" si="130">AE27</f>
        <v>229.03</v>
      </c>
      <c r="AF28" s="83">
        <f t="shared" si="22"/>
        <v>0</v>
      </c>
      <c r="AG28" s="5">
        <f t="shared" si="130"/>
        <v>2199.36</v>
      </c>
      <c r="AH28" s="83">
        <f t="shared" si="23"/>
        <v>0</v>
      </c>
      <c r="AI28" s="83">
        <f t="shared" si="24"/>
        <v>0</v>
      </c>
      <c r="AJ28" s="326">
        <f t="shared" si="25"/>
        <v>0</v>
      </c>
      <c r="AK28" s="327">
        <f t="shared" si="37"/>
        <v>0</v>
      </c>
      <c r="AL28" s="327">
        <f t="shared" si="26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7"/>
        <v>44309</v>
      </c>
      <c r="AS28" s="424">
        <f t="shared" si="106"/>
        <v>0.9</v>
      </c>
      <c r="AT28" s="201">
        <f t="shared" si="106"/>
        <v>90</v>
      </c>
      <c r="AU28" s="425">
        <f t="shared" si="43"/>
        <v>1.1000000000000001</v>
      </c>
      <c r="AV28" s="201">
        <f t="shared" si="43"/>
        <v>196</v>
      </c>
      <c r="AW28" s="5">
        <v>2.9</v>
      </c>
      <c r="AX28" s="201">
        <f t="shared" ref="AX28" si="131">AX27</f>
        <v>185</v>
      </c>
      <c r="AY28" s="426">
        <f t="shared" si="7"/>
        <v>81</v>
      </c>
      <c r="AZ28" s="426">
        <f t="shared" si="28"/>
        <v>215.60000000000002</v>
      </c>
      <c r="BA28" s="426">
        <f t="shared" si="29"/>
        <v>536.5</v>
      </c>
      <c r="BB28" s="21">
        <f t="shared" si="30"/>
        <v>0</v>
      </c>
      <c r="BC28" s="21">
        <f t="shared" si="30"/>
        <v>0</v>
      </c>
      <c r="BD28" s="21">
        <f t="shared" si="30"/>
        <v>0</v>
      </c>
      <c r="BE28" s="24">
        <f t="shared" si="32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44310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log'!$A$36))</f>
        <v>250</v>
      </c>
      <c r="F29" s="327"/>
      <c r="G29" s="5">
        <f t="shared" si="13"/>
        <v>618063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6734</v>
      </c>
      <c r="L29" s="274">
        <f t="shared" si="38"/>
        <v>0</v>
      </c>
      <c r="M29" s="410">
        <f t="shared" si="15"/>
        <v>457.44</v>
      </c>
      <c r="N29" s="514">
        <f t="shared" si="61"/>
        <v>0</v>
      </c>
      <c r="O29" s="410">
        <f t="shared" si="16"/>
        <v>529.52</v>
      </c>
      <c r="P29" s="514">
        <f t="shared" si="62"/>
        <v>0</v>
      </c>
      <c r="Q29" s="514">
        <f t="shared" si="63"/>
        <v>0</v>
      </c>
      <c r="R29" s="516"/>
      <c r="S29" s="516"/>
      <c r="T29" s="5">
        <f t="shared" si="17"/>
        <v>5171</v>
      </c>
      <c r="U29" s="5">
        <f t="shared" si="4"/>
        <v>0</v>
      </c>
      <c r="V29" s="5">
        <f t="shared" si="17"/>
        <v>469</v>
      </c>
      <c r="W29" s="324">
        <f t="shared" si="18"/>
        <v>0</v>
      </c>
      <c r="X29" s="5">
        <f t="shared" ref="X29:Z29" si="132">X28</f>
        <v>151284</v>
      </c>
      <c r="Y29" s="324">
        <f t="shared" si="40"/>
        <v>0</v>
      </c>
      <c r="Z29" s="5">
        <f t="shared" si="132"/>
        <v>98717</v>
      </c>
      <c r="AA29" s="83">
        <f t="shared" si="19"/>
        <v>0</v>
      </c>
      <c r="AB29" s="5">
        <f t="shared" ref="AB29:AC29" si="133">AB28</f>
        <v>261</v>
      </c>
      <c r="AC29" s="5">
        <f t="shared" si="133"/>
        <v>731</v>
      </c>
      <c r="AD29" s="83">
        <f t="shared" si="35"/>
        <v>0</v>
      </c>
      <c r="AE29" s="5">
        <f t="shared" ref="AE29:AG29" si="134">AE28</f>
        <v>229.03</v>
      </c>
      <c r="AF29" s="83">
        <f t="shared" si="22"/>
        <v>0</v>
      </c>
      <c r="AG29" s="5">
        <f t="shared" si="134"/>
        <v>2199.36</v>
      </c>
      <c r="AH29" s="83">
        <f t="shared" si="23"/>
        <v>0</v>
      </c>
      <c r="AI29" s="83">
        <f t="shared" si="24"/>
        <v>0</v>
      </c>
      <c r="AJ29" s="326">
        <f t="shared" si="25"/>
        <v>0</v>
      </c>
      <c r="AK29" s="327">
        <f t="shared" si="37"/>
        <v>0</v>
      </c>
      <c r="AL29" s="327">
        <f t="shared" si="26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7"/>
        <v>44310</v>
      </c>
      <c r="AS29" s="424">
        <f t="shared" si="106"/>
        <v>0.9</v>
      </c>
      <c r="AT29" s="201">
        <f t="shared" si="106"/>
        <v>90</v>
      </c>
      <c r="AU29" s="425">
        <f t="shared" si="43"/>
        <v>1.1000000000000001</v>
      </c>
      <c r="AV29" s="201">
        <f t="shared" si="43"/>
        <v>196</v>
      </c>
      <c r="AW29" s="5">
        <v>2.9</v>
      </c>
      <c r="AX29" s="201">
        <f t="shared" ref="AX29" si="135">AX28</f>
        <v>185</v>
      </c>
      <c r="AY29" s="426">
        <f t="shared" si="7"/>
        <v>81</v>
      </c>
      <c r="AZ29" s="426">
        <f t="shared" si="28"/>
        <v>215.60000000000002</v>
      </c>
      <c r="BA29" s="426">
        <f t="shared" si="29"/>
        <v>536.5</v>
      </c>
      <c r="BB29" s="21">
        <f t="shared" si="30"/>
        <v>0</v>
      </c>
      <c r="BC29" s="21">
        <f t="shared" si="30"/>
        <v>0</v>
      </c>
      <c r="BD29" s="21">
        <f t="shared" si="30"/>
        <v>0</v>
      </c>
      <c r="BE29" s="24">
        <f t="shared" si="32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44311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log'!$A$36))</f>
        <v>250</v>
      </c>
      <c r="F30" s="327"/>
      <c r="G30" s="5">
        <f t="shared" si="13"/>
        <v>618063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6734</v>
      </c>
      <c r="L30" s="274">
        <f t="shared" si="38"/>
        <v>0</v>
      </c>
      <c r="M30" s="410">
        <f t="shared" si="15"/>
        <v>457.44</v>
      </c>
      <c r="N30" s="514">
        <f t="shared" si="61"/>
        <v>0</v>
      </c>
      <c r="O30" s="410">
        <f t="shared" si="16"/>
        <v>529.52</v>
      </c>
      <c r="P30" s="514">
        <f t="shared" si="62"/>
        <v>0</v>
      </c>
      <c r="Q30" s="514">
        <f t="shared" si="63"/>
        <v>0</v>
      </c>
      <c r="R30" s="516"/>
      <c r="S30" s="516"/>
      <c r="T30" s="5">
        <f t="shared" si="17"/>
        <v>5171</v>
      </c>
      <c r="U30" s="5">
        <f t="shared" si="4"/>
        <v>0</v>
      </c>
      <c r="V30" s="5">
        <f t="shared" si="17"/>
        <v>469</v>
      </c>
      <c r="W30" s="324">
        <f t="shared" si="18"/>
        <v>0</v>
      </c>
      <c r="X30" s="5">
        <f t="shared" ref="X30:Z30" si="136">X29</f>
        <v>151284</v>
      </c>
      <c r="Y30" s="324">
        <f t="shared" si="40"/>
        <v>0</v>
      </c>
      <c r="Z30" s="5">
        <f t="shared" si="136"/>
        <v>98717</v>
      </c>
      <c r="AA30" s="83">
        <f t="shared" si="19"/>
        <v>0</v>
      </c>
      <c r="AB30" s="5">
        <f t="shared" ref="AB30:AC30" si="137">AB29</f>
        <v>261</v>
      </c>
      <c r="AC30" s="5">
        <f t="shared" si="137"/>
        <v>731</v>
      </c>
      <c r="AD30" s="83">
        <f t="shared" si="35"/>
        <v>0</v>
      </c>
      <c r="AE30" s="5">
        <f t="shared" ref="AE30:AG30" si="138">AE29</f>
        <v>229.03</v>
      </c>
      <c r="AF30" s="83">
        <f t="shared" si="22"/>
        <v>0</v>
      </c>
      <c r="AG30" s="5">
        <f t="shared" si="138"/>
        <v>2199.36</v>
      </c>
      <c r="AH30" s="83">
        <f t="shared" si="23"/>
        <v>0</v>
      </c>
      <c r="AI30" s="83">
        <f t="shared" si="24"/>
        <v>0</v>
      </c>
      <c r="AJ30" s="326">
        <f t="shared" si="25"/>
        <v>0</v>
      </c>
      <c r="AK30" s="327">
        <f t="shared" si="37"/>
        <v>0</v>
      </c>
      <c r="AL30" s="327">
        <f t="shared" si="26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7"/>
        <v>44311</v>
      </c>
      <c r="AS30" s="424">
        <f t="shared" si="106"/>
        <v>0.9</v>
      </c>
      <c r="AT30" s="201">
        <f t="shared" si="106"/>
        <v>90</v>
      </c>
      <c r="AU30" s="425">
        <f t="shared" si="43"/>
        <v>1.1000000000000001</v>
      </c>
      <c r="AV30" s="201">
        <f t="shared" si="43"/>
        <v>196</v>
      </c>
      <c r="AW30" s="5">
        <v>2.9</v>
      </c>
      <c r="AX30" s="201">
        <f t="shared" ref="AX30" si="139">AX29</f>
        <v>185</v>
      </c>
      <c r="AY30" s="426">
        <f t="shared" si="7"/>
        <v>81</v>
      </c>
      <c r="AZ30" s="426">
        <f t="shared" si="28"/>
        <v>215.60000000000002</v>
      </c>
      <c r="BA30" s="426">
        <f t="shared" si="29"/>
        <v>536.5</v>
      </c>
      <c r="BB30" s="21">
        <f t="shared" si="30"/>
        <v>0</v>
      </c>
      <c r="BC30" s="21">
        <f t="shared" si="30"/>
        <v>0</v>
      </c>
      <c r="BD30" s="21">
        <f t="shared" si="30"/>
        <v>0</v>
      </c>
      <c r="BE30" s="24">
        <f t="shared" si="32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44312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log'!$A$36))</f>
        <v>250</v>
      </c>
      <c r="F31" s="327"/>
      <c r="G31" s="5">
        <f t="shared" si="13"/>
        <v>618063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6734</v>
      </c>
      <c r="L31" s="274">
        <f t="shared" si="38"/>
        <v>0</v>
      </c>
      <c r="M31" s="410">
        <f t="shared" si="15"/>
        <v>457.44</v>
      </c>
      <c r="N31" s="514">
        <f t="shared" si="61"/>
        <v>0</v>
      </c>
      <c r="O31" s="410">
        <f t="shared" si="16"/>
        <v>529.52</v>
      </c>
      <c r="P31" s="514">
        <f t="shared" si="62"/>
        <v>0</v>
      </c>
      <c r="Q31" s="514">
        <f t="shared" si="63"/>
        <v>0</v>
      </c>
      <c r="R31" s="516"/>
      <c r="S31" s="516"/>
      <c r="T31" s="5">
        <f t="shared" si="17"/>
        <v>5171</v>
      </c>
      <c r="U31" s="5">
        <f t="shared" si="4"/>
        <v>0</v>
      </c>
      <c r="V31" s="5">
        <f t="shared" si="17"/>
        <v>469</v>
      </c>
      <c r="W31" s="324">
        <f t="shared" si="18"/>
        <v>0</v>
      </c>
      <c r="X31" s="5">
        <f t="shared" ref="X31:Z31" si="140">X30</f>
        <v>151284</v>
      </c>
      <c r="Y31" s="324">
        <f t="shared" si="40"/>
        <v>0</v>
      </c>
      <c r="Z31" s="5">
        <f t="shared" si="140"/>
        <v>98717</v>
      </c>
      <c r="AA31" s="83">
        <f t="shared" si="19"/>
        <v>0</v>
      </c>
      <c r="AB31" s="5">
        <f t="shared" ref="AB31:AC31" si="141">AB30</f>
        <v>261</v>
      </c>
      <c r="AC31" s="5">
        <f t="shared" si="141"/>
        <v>731</v>
      </c>
      <c r="AD31" s="83">
        <f t="shared" si="35"/>
        <v>0</v>
      </c>
      <c r="AE31" s="5">
        <f t="shared" ref="AE31:AG31" si="142">AE30</f>
        <v>229.03</v>
      </c>
      <c r="AF31" s="83">
        <f t="shared" si="22"/>
        <v>0</v>
      </c>
      <c r="AG31" s="5">
        <f t="shared" si="142"/>
        <v>2199.36</v>
      </c>
      <c r="AH31" s="83">
        <f>AG31-AG30</f>
        <v>0</v>
      </c>
      <c r="AI31" s="83">
        <f>AF31+AH31</f>
        <v>0</v>
      </c>
      <c r="AJ31" s="326">
        <f t="shared" si="25"/>
        <v>0</v>
      </c>
      <c r="AK31" s="327">
        <f t="shared" si="37"/>
        <v>0</v>
      </c>
      <c r="AL31" s="327">
        <f t="shared" si="26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7"/>
        <v>44312</v>
      </c>
      <c r="AS31" s="424">
        <f t="shared" si="106"/>
        <v>0.9</v>
      </c>
      <c r="AT31" s="201">
        <f t="shared" si="106"/>
        <v>90</v>
      </c>
      <c r="AU31" s="425">
        <f t="shared" si="43"/>
        <v>1.1000000000000001</v>
      </c>
      <c r="AV31" s="201">
        <f t="shared" si="43"/>
        <v>196</v>
      </c>
      <c r="AW31" s="5">
        <v>2.9</v>
      </c>
      <c r="AX31" s="201">
        <f t="shared" ref="AX31" si="143">AX30</f>
        <v>185</v>
      </c>
      <c r="AY31" s="426">
        <f t="shared" si="7"/>
        <v>81</v>
      </c>
      <c r="AZ31" s="426">
        <f t="shared" si="28"/>
        <v>215.60000000000002</v>
      </c>
      <c r="BA31" s="426">
        <f t="shared" si="29"/>
        <v>536.5</v>
      </c>
      <c r="BB31" s="21">
        <f t="shared" si="30"/>
        <v>0</v>
      </c>
      <c r="BC31" s="21">
        <f t="shared" si="30"/>
        <v>0</v>
      </c>
      <c r="BD31" s="21">
        <f t="shared" si="30"/>
        <v>0</v>
      </c>
      <c r="BE31" s="24">
        <f t="shared" si="32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44313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log'!$A$36))</f>
        <v>250</v>
      </c>
      <c r="F32" s="327"/>
      <c r="G32" s="5">
        <f t="shared" si="13"/>
        <v>618063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6734</v>
      </c>
      <c r="L32" s="274">
        <f t="shared" si="38"/>
        <v>0</v>
      </c>
      <c r="M32" s="410">
        <f t="shared" si="15"/>
        <v>457.44</v>
      </c>
      <c r="N32" s="514">
        <f t="shared" si="61"/>
        <v>0</v>
      </c>
      <c r="O32" s="410">
        <f t="shared" si="16"/>
        <v>529.52</v>
      </c>
      <c r="P32" s="514">
        <f t="shared" si="62"/>
        <v>0</v>
      </c>
      <c r="Q32" s="514">
        <f t="shared" si="63"/>
        <v>0</v>
      </c>
      <c r="R32" s="516"/>
      <c r="S32" s="516"/>
      <c r="T32" s="5">
        <f t="shared" si="17"/>
        <v>5171</v>
      </c>
      <c r="U32" s="5">
        <f t="shared" si="4"/>
        <v>0</v>
      </c>
      <c r="V32" s="5">
        <f t="shared" si="17"/>
        <v>469</v>
      </c>
      <c r="W32" s="324">
        <f t="shared" si="18"/>
        <v>0</v>
      </c>
      <c r="X32" s="5">
        <f t="shared" ref="X32:Z32" si="144">X31</f>
        <v>151284</v>
      </c>
      <c r="Y32" s="324">
        <f t="shared" si="40"/>
        <v>0</v>
      </c>
      <c r="Z32" s="5">
        <f t="shared" si="144"/>
        <v>98717</v>
      </c>
      <c r="AA32" s="83">
        <f t="shared" si="19"/>
        <v>0</v>
      </c>
      <c r="AB32" s="5">
        <f t="shared" ref="AB32:AC32" si="145">AB31</f>
        <v>261</v>
      </c>
      <c r="AC32" s="5">
        <f t="shared" si="145"/>
        <v>731</v>
      </c>
      <c r="AD32" s="83">
        <f t="shared" si="35"/>
        <v>0</v>
      </c>
      <c r="AE32" s="5">
        <f t="shared" ref="AE32:AG32" si="146">AE31</f>
        <v>229.03</v>
      </c>
      <c r="AF32" s="83">
        <f t="shared" si="22"/>
        <v>0</v>
      </c>
      <c r="AG32" s="5">
        <f t="shared" si="146"/>
        <v>2199.36</v>
      </c>
      <c r="AH32" s="83">
        <f t="shared" si="23"/>
        <v>0</v>
      </c>
      <c r="AI32" s="83">
        <f t="shared" si="24"/>
        <v>0</v>
      </c>
      <c r="AJ32" s="326">
        <f t="shared" si="25"/>
        <v>0</v>
      </c>
      <c r="AK32" s="327">
        <f t="shared" si="37"/>
        <v>0</v>
      </c>
      <c r="AL32" s="327">
        <f t="shared" si="26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7"/>
        <v>44313</v>
      </c>
      <c r="AS32" s="424">
        <f t="shared" si="106"/>
        <v>0.9</v>
      </c>
      <c r="AT32" s="201">
        <f t="shared" si="106"/>
        <v>90</v>
      </c>
      <c r="AU32" s="425">
        <f t="shared" si="43"/>
        <v>1.1000000000000001</v>
      </c>
      <c r="AV32" s="201">
        <f t="shared" si="43"/>
        <v>196</v>
      </c>
      <c r="AW32" s="5">
        <v>2.9</v>
      </c>
      <c r="AX32" s="201">
        <f t="shared" ref="AX32" si="147">AX31</f>
        <v>185</v>
      </c>
      <c r="AY32" s="426">
        <f t="shared" si="7"/>
        <v>81</v>
      </c>
      <c r="AZ32" s="426">
        <f t="shared" si="28"/>
        <v>215.60000000000002</v>
      </c>
      <c r="BA32" s="426">
        <f t="shared" si="29"/>
        <v>536.5</v>
      </c>
      <c r="BB32" s="21">
        <f t="shared" si="30"/>
        <v>0</v>
      </c>
      <c r="BC32" s="21">
        <f t="shared" si="30"/>
        <v>0</v>
      </c>
      <c r="BD32" s="21">
        <f t="shared" si="30"/>
        <v>0</v>
      </c>
      <c r="BE32" s="24">
        <f t="shared" si="32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44314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log'!$A$36))</f>
        <v>250</v>
      </c>
      <c r="F33" s="327"/>
      <c r="G33" s="5">
        <f t="shared" si="13"/>
        <v>618063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6734</v>
      </c>
      <c r="L33" s="274">
        <f t="shared" si="38"/>
        <v>0</v>
      </c>
      <c r="M33" s="410">
        <f t="shared" si="15"/>
        <v>457.44</v>
      </c>
      <c r="N33" s="514">
        <f t="shared" si="61"/>
        <v>0</v>
      </c>
      <c r="O33" s="410">
        <f t="shared" si="16"/>
        <v>529.52</v>
      </c>
      <c r="P33" s="514">
        <f t="shared" si="62"/>
        <v>0</v>
      </c>
      <c r="Q33" s="514">
        <f t="shared" si="63"/>
        <v>0</v>
      </c>
      <c r="R33" s="516"/>
      <c r="S33" s="516"/>
      <c r="T33" s="5">
        <f t="shared" si="17"/>
        <v>5171</v>
      </c>
      <c r="U33" s="5">
        <f t="shared" si="4"/>
        <v>0</v>
      </c>
      <c r="V33" s="5">
        <f t="shared" si="17"/>
        <v>469</v>
      </c>
      <c r="W33" s="324">
        <f t="shared" si="18"/>
        <v>0</v>
      </c>
      <c r="X33" s="5">
        <f t="shared" ref="X33:Z33" si="148">X32</f>
        <v>151284</v>
      </c>
      <c r="Y33" s="324">
        <f t="shared" si="40"/>
        <v>0</v>
      </c>
      <c r="Z33" s="5">
        <f t="shared" si="148"/>
        <v>98717</v>
      </c>
      <c r="AA33" s="83">
        <f t="shared" si="19"/>
        <v>0</v>
      </c>
      <c r="AB33" s="5">
        <f t="shared" ref="AB33:AC33" si="149">AB32</f>
        <v>261</v>
      </c>
      <c r="AC33" s="5">
        <f t="shared" si="149"/>
        <v>731</v>
      </c>
      <c r="AD33" s="83">
        <f t="shared" si="35"/>
        <v>0</v>
      </c>
      <c r="AE33" s="5">
        <f t="shared" ref="AE33:AG33" si="150">AE32</f>
        <v>229.03</v>
      </c>
      <c r="AF33" s="83">
        <f>AE33-AE32</f>
        <v>0</v>
      </c>
      <c r="AG33" s="5">
        <f t="shared" si="150"/>
        <v>2199.36</v>
      </c>
      <c r="AH33" s="83">
        <f t="shared" si="23"/>
        <v>0</v>
      </c>
      <c r="AI33" s="83">
        <f t="shared" si="24"/>
        <v>0</v>
      </c>
      <c r="AJ33" s="326">
        <f t="shared" si="25"/>
        <v>0</v>
      </c>
      <c r="AK33" s="327">
        <f t="shared" si="37"/>
        <v>0</v>
      </c>
      <c r="AL33" s="327">
        <f t="shared" si="26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7"/>
        <v>44314</v>
      </c>
      <c r="AS33" s="424">
        <f t="shared" si="106"/>
        <v>0.9</v>
      </c>
      <c r="AT33" s="201">
        <f t="shared" si="106"/>
        <v>90</v>
      </c>
      <c r="AU33" s="425">
        <f t="shared" si="43"/>
        <v>1.1000000000000001</v>
      </c>
      <c r="AV33" s="201">
        <f t="shared" si="43"/>
        <v>196</v>
      </c>
      <c r="AW33" s="5">
        <v>2.9</v>
      </c>
      <c r="AX33" s="201">
        <f t="shared" ref="AX33" si="151">AX32</f>
        <v>185</v>
      </c>
      <c r="AY33" s="426">
        <f t="shared" si="7"/>
        <v>81</v>
      </c>
      <c r="AZ33" s="426">
        <f t="shared" si="28"/>
        <v>215.60000000000002</v>
      </c>
      <c r="BA33" s="426">
        <f t="shared" si="29"/>
        <v>536.5</v>
      </c>
      <c r="BB33" s="21">
        <f t="shared" si="30"/>
        <v>0</v>
      </c>
      <c r="BC33" s="21">
        <f t="shared" si="30"/>
        <v>0</v>
      </c>
      <c r="BD33" s="21">
        <f t="shared" si="30"/>
        <v>0</v>
      </c>
      <c r="BE33" s="24">
        <f t="shared" si="32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44315</v>
      </c>
      <c r="B34" s="5">
        <f t="shared" si="10"/>
        <v>109443</v>
      </c>
      <c r="C34" s="5">
        <f t="shared" ref="C34:C35" si="152">B34-B33</f>
        <v>0</v>
      </c>
      <c r="D34" s="419">
        <f t="shared" ref="D34:D35" si="153">C34/27</f>
        <v>0</v>
      </c>
      <c r="E34" s="333">
        <f>SUM((C34*$E$4)+(7500/'EDl log'!$A$36))</f>
        <v>250</v>
      </c>
      <c r="F34" s="327"/>
      <c r="G34" s="5">
        <f t="shared" si="13"/>
        <v>618063</v>
      </c>
      <c r="H34" s="5">
        <f t="shared" ref="H34:H35" si="154">G34-G33</f>
        <v>0</v>
      </c>
      <c r="I34" s="5">
        <f t="shared" ref="I34:I35" si="155">C34+H34</f>
        <v>0</v>
      </c>
      <c r="J34" s="334">
        <f t="shared" ref="J34:J35" si="156">IF(I34&gt;0,E34/I34,0)</f>
        <v>0</v>
      </c>
      <c r="K34" s="5">
        <f>'Swimming Pool quality check '!H34</f>
        <v>6734</v>
      </c>
      <c r="L34" s="274">
        <f t="shared" ref="L34:L35" si="157">K34-K33</f>
        <v>0</v>
      </c>
      <c r="M34" s="410">
        <f t="shared" si="15"/>
        <v>457.44</v>
      </c>
      <c r="N34" s="514">
        <f t="shared" ref="N34:N35" si="158">SUM(M34-M33)</f>
        <v>0</v>
      </c>
      <c r="O34" s="410">
        <f t="shared" si="16"/>
        <v>529.52</v>
      </c>
      <c r="P34" s="514">
        <f t="shared" ref="P34:P35" si="159">SUM(O34-O33)</f>
        <v>0</v>
      </c>
      <c r="Q34" s="514">
        <f t="shared" ref="Q34:Q35" si="160">SUM(P34+N34)</f>
        <v>0</v>
      </c>
      <c r="R34" s="516"/>
      <c r="S34" s="516"/>
      <c r="T34" s="5">
        <f t="shared" si="17"/>
        <v>5171</v>
      </c>
      <c r="U34" s="5">
        <f t="shared" ref="U34:U35" si="161">SUM(T34-T33)</f>
        <v>0</v>
      </c>
      <c r="V34" s="5">
        <f t="shared" si="17"/>
        <v>469</v>
      </c>
      <c r="W34" s="324">
        <f t="shared" ref="W34:W35" si="162">+V34-V33</f>
        <v>0</v>
      </c>
      <c r="X34" s="5">
        <f t="shared" ref="X34:Z34" si="163">X33</f>
        <v>151284</v>
      </c>
      <c r="Y34" s="324">
        <f t="shared" ref="Y34:Y35" si="164">SUM(X34-X33)</f>
        <v>0</v>
      </c>
      <c r="Z34" s="5">
        <f t="shared" si="163"/>
        <v>98717</v>
      </c>
      <c r="AA34" s="83">
        <f t="shared" ref="AA34:AA35" si="165">Z34-Z33</f>
        <v>0</v>
      </c>
      <c r="AB34" s="5">
        <f t="shared" ref="AB34:AC34" si="166">AB33</f>
        <v>261</v>
      </c>
      <c r="AC34" s="5">
        <f t="shared" si="166"/>
        <v>731</v>
      </c>
      <c r="AD34" s="83">
        <f t="shared" ref="AD34:AD35" si="167">AC34-AC33</f>
        <v>0</v>
      </c>
      <c r="AE34" s="5">
        <f t="shared" ref="AE34:AG34" si="168">AE33</f>
        <v>229.03</v>
      </c>
      <c r="AF34" s="83">
        <f t="shared" ref="AF34:AF35" si="169">AE34-AE33</f>
        <v>0</v>
      </c>
      <c r="AG34" s="5">
        <f t="shared" si="168"/>
        <v>2199.36</v>
      </c>
      <c r="AH34" s="83">
        <f t="shared" ref="AH34:AH35" si="170">AG34-AG33</f>
        <v>0</v>
      </c>
      <c r="AI34" s="83">
        <f t="shared" ref="AI34:AI35" si="171">AF34+AH34</f>
        <v>0</v>
      </c>
      <c r="AJ34" s="326">
        <f t="shared" ref="AJ34:AJ35" si="172">+Z34-Z33</f>
        <v>0</v>
      </c>
      <c r="AK34" s="327">
        <f t="shared" ref="AK34:AK35" si="173">SUM(Y34-L34)</f>
        <v>0</v>
      </c>
      <c r="AL34" s="327">
        <f t="shared" ref="AL34:AL35" si="174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5" si="175">A34</f>
        <v>44315</v>
      </c>
      <c r="AS34" s="424">
        <f t="shared" ref="AS34:AT34" si="176">AS33</f>
        <v>0.9</v>
      </c>
      <c r="AT34" s="201">
        <f t="shared" si="176"/>
        <v>90</v>
      </c>
      <c r="AU34" s="425">
        <f t="shared" ref="AU34:AV34" si="177">AU33</f>
        <v>1.1000000000000001</v>
      </c>
      <c r="AV34" s="201">
        <f t="shared" si="177"/>
        <v>196</v>
      </c>
      <c r="AW34" s="5">
        <v>2.9</v>
      </c>
      <c r="AX34" s="201">
        <f t="shared" ref="AX34" si="178">AX33</f>
        <v>185</v>
      </c>
      <c r="AY34" s="426">
        <f t="shared" ref="AY34:AY35" si="179">AS34*AT34</f>
        <v>81</v>
      </c>
      <c r="AZ34" s="426">
        <f t="shared" ref="AZ34:AZ35" si="180">AU34*AV34</f>
        <v>215.60000000000002</v>
      </c>
      <c r="BA34" s="426">
        <f t="shared" ref="BA34:BA35" si="181">AW34*AX34</f>
        <v>536.5</v>
      </c>
      <c r="BB34" s="21">
        <f t="shared" ref="BB34:BB35" si="182">AY34-AY33</f>
        <v>0</v>
      </c>
      <c r="BC34" s="21">
        <f t="shared" ref="BC34:BC35" si="183">AZ34-AZ33</f>
        <v>0</v>
      </c>
      <c r="BD34" s="21">
        <f t="shared" ref="BD34:BD35" si="184">BA34-BA33</f>
        <v>0</v>
      </c>
      <c r="BE34" s="24">
        <f t="shared" ref="BE34:BE35" si="185">SUM(BB34:BD34)</f>
        <v>0</v>
      </c>
      <c r="BF34" s="96">
        <f t="shared" ref="BF34:BF35" si="186">SUM(I34-BE34)</f>
        <v>0</v>
      </c>
      <c r="BG34" s="82">
        <f t="shared" ref="BG34:BG35" si="187">SUM(I34-BF34)</f>
        <v>0</v>
      </c>
    </row>
    <row r="35" spans="1:59" ht="15.75" thickBot="1">
      <c r="A35" s="6">
        <f>ELEC!C32</f>
        <v>44316</v>
      </c>
      <c r="B35" s="5">
        <f t="shared" si="10"/>
        <v>109443</v>
      </c>
      <c r="C35" s="5">
        <f t="shared" si="152"/>
        <v>0</v>
      </c>
      <c r="D35" s="419">
        <f t="shared" si="153"/>
        <v>0</v>
      </c>
      <c r="E35" s="333">
        <f>SUM((C35*$E$4)+(7500/'EDl log'!$A$36))</f>
        <v>250</v>
      </c>
      <c r="F35" s="327"/>
      <c r="G35" s="5">
        <f t="shared" si="13"/>
        <v>618063</v>
      </c>
      <c r="H35" s="5">
        <f t="shared" si="154"/>
        <v>0</v>
      </c>
      <c r="I35" s="5">
        <f t="shared" si="155"/>
        <v>0</v>
      </c>
      <c r="J35" s="334">
        <f t="shared" si="156"/>
        <v>0</v>
      </c>
      <c r="K35" s="5">
        <f>'Swimming Pool quality check '!H35</f>
        <v>6734</v>
      </c>
      <c r="L35" s="274">
        <f t="shared" si="157"/>
        <v>0</v>
      </c>
      <c r="M35" s="410">
        <f t="shared" si="15"/>
        <v>457.44</v>
      </c>
      <c r="N35" s="514">
        <f t="shared" si="158"/>
        <v>0</v>
      </c>
      <c r="O35" s="410">
        <f t="shared" si="16"/>
        <v>529.52</v>
      </c>
      <c r="P35" s="514">
        <f t="shared" si="159"/>
        <v>0</v>
      </c>
      <c r="Q35" s="514">
        <f t="shared" si="160"/>
        <v>0</v>
      </c>
      <c r="R35" s="516"/>
      <c r="S35" s="516"/>
      <c r="T35" s="5">
        <f t="shared" si="17"/>
        <v>5171</v>
      </c>
      <c r="U35" s="5">
        <f t="shared" si="161"/>
        <v>0</v>
      </c>
      <c r="V35" s="5">
        <f t="shared" si="17"/>
        <v>469</v>
      </c>
      <c r="W35" s="324">
        <f t="shared" si="162"/>
        <v>0</v>
      </c>
      <c r="X35" s="5">
        <f t="shared" ref="X35:Z35" si="188">X34</f>
        <v>151284</v>
      </c>
      <c r="Y35" s="324">
        <f t="shared" si="164"/>
        <v>0</v>
      </c>
      <c r="Z35" s="5">
        <f t="shared" si="188"/>
        <v>98717</v>
      </c>
      <c r="AA35" s="83">
        <f t="shared" si="165"/>
        <v>0</v>
      </c>
      <c r="AB35" s="5">
        <f t="shared" ref="AB35:AC35" si="189">AB34</f>
        <v>261</v>
      </c>
      <c r="AC35" s="5">
        <f t="shared" si="189"/>
        <v>731</v>
      </c>
      <c r="AD35" s="83">
        <f t="shared" si="167"/>
        <v>0</v>
      </c>
      <c r="AE35" s="5">
        <f t="shared" ref="AE35:AG35" si="190">AE34</f>
        <v>229.03</v>
      </c>
      <c r="AF35" s="83">
        <f t="shared" si="169"/>
        <v>0</v>
      </c>
      <c r="AG35" s="5">
        <f t="shared" si="190"/>
        <v>2199.36</v>
      </c>
      <c r="AH35" s="83">
        <f t="shared" si="170"/>
        <v>0</v>
      </c>
      <c r="AI35" s="83">
        <f t="shared" si="171"/>
        <v>0</v>
      </c>
      <c r="AJ35" s="326">
        <f t="shared" si="172"/>
        <v>0</v>
      </c>
      <c r="AK35" s="327">
        <f t="shared" si="173"/>
        <v>0</v>
      </c>
      <c r="AL35" s="327">
        <f t="shared" si="174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175"/>
        <v>44316</v>
      </c>
      <c r="AS35" s="424">
        <f t="shared" ref="AS35:AT35" si="191">AS34</f>
        <v>0.9</v>
      </c>
      <c r="AT35" s="201">
        <f t="shared" si="191"/>
        <v>90</v>
      </c>
      <c r="AU35" s="425">
        <f t="shared" ref="AU35:AV35" si="192">AU34</f>
        <v>1.1000000000000001</v>
      </c>
      <c r="AV35" s="201">
        <f t="shared" si="192"/>
        <v>196</v>
      </c>
      <c r="AW35" s="5">
        <v>2.9</v>
      </c>
      <c r="AX35" s="201">
        <f t="shared" ref="AX35" si="193">AX34</f>
        <v>185</v>
      </c>
      <c r="AY35" s="426">
        <f t="shared" si="179"/>
        <v>81</v>
      </c>
      <c r="AZ35" s="426">
        <f t="shared" si="180"/>
        <v>215.60000000000002</v>
      </c>
      <c r="BA35" s="426">
        <f t="shared" si="181"/>
        <v>536.5</v>
      </c>
      <c r="BB35" s="21">
        <f t="shared" si="182"/>
        <v>0</v>
      </c>
      <c r="BC35" s="21">
        <f t="shared" si="183"/>
        <v>0</v>
      </c>
      <c r="BD35" s="21">
        <f t="shared" si="184"/>
        <v>0</v>
      </c>
      <c r="BE35" s="24">
        <f t="shared" si="185"/>
        <v>0</v>
      </c>
      <c r="BF35" s="96">
        <f t="shared" si="186"/>
        <v>0</v>
      </c>
      <c r="BG35" s="82">
        <f t="shared" si="187"/>
        <v>0</v>
      </c>
    </row>
    <row r="36" spans="1:59">
      <c r="C36" s="412">
        <f>SUM(C6:C33)</f>
        <v>0</v>
      </c>
      <c r="D36" s="322">
        <f>SUM(D6:D33)</f>
        <v>0</v>
      </c>
      <c r="F36" s="414">
        <f>SUM(F6:F33)</f>
        <v>0</v>
      </c>
      <c r="H36" s="412">
        <f>SUM(H6:H33)</f>
        <v>0</v>
      </c>
      <c r="I36" s="412">
        <f>SUM(I6:I33)</f>
        <v>0</v>
      </c>
      <c r="L36" s="268">
        <f>SUM(L7:L33)</f>
        <v>1</v>
      </c>
      <c r="Q36" s="495">
        <f>SUM(Q5:Q33)</f>
        <v>0</v>
      </c>
      <c r="U36" s="409">
        <f>SUM(U6:U33)</f>
        <v>0</v>
      </c>
      <c r="X36" s="323"/>
      <c r="Y36" s="322" t="e">
        <f>SUM(#REF!,Y33,Y31,Y29,Y27,Y25,Y23,Y21,Y19,Y17,Y15,Y13,Y11,Y9,Y7,#REF!)</f>
        <v>#REF!</v>
      </c>
      <c r="AJ36" s="322">
        <f>SUM(AJ6:AJ33)</f>
        <v>20</v>
      </c>
      <c r="AK36" s="327" t="e">
        <f>SUM(Y36-L36)</f>
        <v>#REF!</v>
      </c>
      <c r="AL36" s="322">
        <f>SUM(AL6:AL33)</f>
        <v>20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2">
        <f>SUM(E6:E33)</f>
        <v>6991.9354838709678</v>
      </c>
      <c r="F37" s="417">
        <f>SUM(F6:F33)</f>
        <v>0</v>
      </c>
      <c r="H37" s="157">
        <v>7500</v>
      </c>
      <c r="I37" s="413" t="e">
        <f>SUM('General information '!G36/WATER!I36)</f>
        <v>#DIV/0!</v>
      </c>
      <c r="L37" s="157"/>
      <c r="O37" s="492">
        <f>SUM(Q36+I36)</f>
        <v>0</v>
      </c>
      <c r="Z37" s="322" t="e">
        <f>SUM(Y36:AJ36)</f>
        <v>#REF!</v>
      </c>
      <c r="AK37" s="327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4">
        <f>SUM(D6:D33)</f>
        <v>0</v>
      </c>
      <c r="F38" s="415">
        <f>SUM(F6:F33)</f>
        <v>0</v>
      </c>
      <c r="G38" s="1">
        <f>SUM(I36)</f>
        <v>0</v>
      </c>
      <c r="H38" s="1">
        <f>SUM(H37+C37)</f>
        <v>7500</v>
      </c>
      <c r="K38" s="1" t="e">
        <f>SUM(H38/G38)</f>
        <v>#DIV/0!</v>
      </c>
      <c r="AJ38" s="322">
        <f>SUM(C37-AK37)</f>
        <v>0</v>
      </c>
      <c r="AM38" s="34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G8" sqref="G8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1" t="s">
        <v>193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3"/>
    </row>
    <row r="2" spans="1:15" ht="15.75" customHeight="1" thickBot="1">
      <c r="A2" s="624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6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44286</v>
      </c>
      <c r="B5" s="356">
        <f>'[3]General information '!B36</f>
        <v>18</v>
      </c>
      <c r="C5" s="356">
        <f>'[3]General information '!C36</f>
        <v>13</v>
      </c>
      <c r="D5" s="356">
        <f>'[3]General information '!D36</f>
        <v>15.5</v>
      </c>
      <c r="E5" s="356">
        <f>'[3]General information '!E36</f>
        <v>0.65</v>
      </c>
      <c r="F5" s="356">
        <f>'[3]General information '!F36</f>
        <v>0</v>
      </c>
      <c r="G5" s="356">
        <f>'[3]General information '!G36</f>
        <v>0</v>
      </c>
      <c r="H5" s="356">
        <f>'[3]General information '!H36</f>
        <v>0</v>
      </c>
      <c r="I5" s="356">
        <f>'[3]General information '!I36</f>
        <v>0</v>
      </c>
      <c r="J5" s="356">
        <f>'[3]General information '!J36</f>
        <v>0</v>
      </c>
      <c r="K5" s="356">
        <f>'[3]General information '!K36</f>
        <v>0</v>
      </c>
      <c r="L5" s="356">
        <f>'[3]General information '!L36</f>
        <v>0</v>
      </c>
      <c r="M5" s="356">
        <f>'[3]General information '!M36</f>
        <v>0</v>
      </c>
      <c r="N5" s="356">
        <f>'[3]General information '!N36</f>
        <v>0</v>
      </c>
      <c r="O5" s="356">
        <f>'[3]General information '!O36</f>
        <v>0</v>
      </c>
    </row>
    <row r="6" spans="1:15">
      <c r="A6" s="483">
        <f>ELEC!C3</f>
        <v>44287</v>
      </c>
      <c r="B6" s="37">
        <v>17</v>
      </c>
      <c r="C6" s="37">
        <v>12</v>
      </c>
      <c r="D6" s="26">
        <f t="shared" ref="D6:D12" si="0">(C6+B6)/2</f>
        <v>14.5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44288</v>
      </c>
      <c r="B7" s="37">
        <v>15</v>
      </c>
      <c r="C7" s="37">
        <v>12</v>
      </c>
      <c r="D7" s="26">
        <f t="shared" si="0"/>
        <v>13.5</v>
      </c>
      <c r="E7" s="340">
        <v>0.67</v>
      </c>
      <c r="F7" s="343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44289</v>
      </c>
      <c r="B8" s="37">
        <v>19</v>
      </c>
      <c r="C8" s="37">
        <v>15</v>
      </c>
      <c r="D8" s="26">
        <f t="shared" si="0"/>
        <v>17</v>
      </c>
      <c r="E8" s="340">
        <v>0.59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44290</v>
      </c>
      <c r="B9" s="37"/>
      <c r="C9" s="37"/>
      <c r="D9" s="26">
        <f>(C9+B9)/2</f>
        <v>0</v>
      </c>
      <c r="E9" s="394"/>
      <c r="F9" s="394"/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44291</v>
      </c>
      <c r="B10" s="37"/>
      <c r="C10" s="37"/>
      <c r="D10" s="26">
        <f t="shared" si="0"/>
        <v>0</v>
      </c>
      <c r="E10" s="354"/>
      <c r="F10" s="340"/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44292</v>
      </c>
      <c r="B11" s="37"/>
      <c r="C11" s="37"/>
      <c r="D11" s="26">
        <f t="shared" si="0"/>
        <v>0</v>
      </c>
      <c r="E11" s="394"/>
      <c r="F11" s="394"/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44293</v>
      </c>
      <c r="B12" s="37"/>
      <c r="C12" s="37"/>
      <c r="D12" s="26">
        <f t="shared" si="0"/>
        <v>0</v>
      </c>
      <c r="E12" s="394"/>
      <c r="F12" s="394"/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44294</v>
      </c>
      <c r="B13" s="37"/>
      <c r="C13" s="37"/>
      <c r="D13" s="26">
        <f>(C13+B13)/2</f>
        <v>0</v>
      </c>
      <c r="E13" s="354"/>
      <c r="F13" s="394"/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44295</v>
      </c>
      <c r="B14" s="37"/>
      <c r="C14" s="37"/>
      <c r="D14" s="26">
        <f t="shared" ref="D14:D33" si="3">(C14+B14)/2</f>
        <v>0</v>
      </c>
      <c r="E14" s="340"/>
      <c r="F14" s="394"/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44296</v>
      </c>
      <c r="B15" s="37"/>
      <c r="C15" s="37"/>
      <c r="D15" s="26">
        <f t="shared" si="3"/>
        <v>0</v>
      </c>
      <c r="E15" s="340"/>
      <c r="F15" s="340"/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44297</v>
      </c>
      <c r="B16" s="37"/>
      <c r="C16" s="37"/>
      <c r="D16" s="26">
        <f t="shared" si="3"/>
        <v>0</v>
      </c>
      <c r="E16" s="340"/>
      <c r="F16" s="340"/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44298</v>
      </c>
      <c r="B17" s="37"/>
      <c r="C17" s="37"/>
      <c r="D17" s="26">
        <f t="shared" si="3"/>
        <v>0</v>
      </c>
      <c r="E17" s="340"/>
      <c r="F17" s="340"/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44299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44300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44301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44302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44303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44304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44305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44306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44307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44308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44309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44310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44311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44312</v>
      </c>
      <c r="B31" s="37"/>
      <c r="C31" s="37"/>
      <c r="D31" s="26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44313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44314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44315</v>
      </c>
      <c r="B34" s="37"/>
      <c r="C34" s="37"/>
      <c r="D34" s="26">
        <f t="shared" ref="D34:D35" si="7">(C34+B34)/2</f>
        <v>0</v>
      </c>
      <c r="E34" s="394"/>
      <c r="F34" s="342"/>
      <c r="G34" s="241">
        <f t="shared" ref="G34:G35" si="8">F34*230</f>
        <v>0</v>
      </c>
      <c r="H34" s="3">
        <v>0</v>
      </c>
      <c r="I34" s="3">
        <v>0</v>
      </c>
      <c r="J34" s="37">
        <v>0</v>
      </c>
      <c r="K34" s="263">
        <f t="shared" ref="K34:K35" si="9">+J34+H34+I34</f>
        <v>0</v>
      </c>
      <c r="L34" s="3"/>
      <c r="M34" s="3"/>
      <c r="N34" s="155"/>
      <c r="O34" s="3"/>
    </row>
    <row r="35" spans="1:15">
      <c r="A35" s="483">
        <f>ELEC!C32</f>
        <v>44316</v>
      </c>
      <c r="B35" s="37"/>
      <c r="C35" s="37"/>
      <c r="D35" s="26">
        <f t="shared" si="7"/>
        <v>0</v>
      </c>
      <c r="E35" s="394"/>
      <c r="F35" s="342"/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D36" s="261"/>
      <c r="F36" s="530">
        <f>AVERAGE(F6:F33)</f>
        <v>0</v>
      </c>
      <c r="G36" s="203">
        <f>SUM(G6:G33)</f>
        <v>0</v>
      </c>
    </row>
    <row r="37" spans="1:15">
      <c r="D37" s="261">
        <f>SUM(D6:D33)/'EDl log'!A34</f>
        <v>15</v>
      </c>
      <c r="F37" s="211"/>
    </row>
    <row r="40" spans="1:15">
      <c r="I40" s="411" t="s">
        <v>315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K41"/>
  <sheetViews>
    <sheetView zoomScale="90" zoomScaleNormal="90" workbookViewId="0">
      <pane xSplit="1" topLeftCell="AI1" activePane="topRight" state="frozen"/>
      <selection pane="topRight" activeCell="AT6" sqref="AT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233</v>
      </c>
      <c r="AT3" s="627" t="s">
        <v>301</v>
      </c>
      <c r="AU3" s="628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4">
        <f>ELEC!C2</f>
        <v>44286</v>
      </c>
      <c r="B5" s="532">
        <f>[3]tanks!B36</f>
        <v>216</v>
      </c>
      <c r="C5" s="532">
        <f>[3]tanks!C36</f>
        <v>4647.4838709677415</v>
      </c>
      <c r="D5" s="532">
        <f>[3]tanks!D36</f>
        <v>216</v>
      </c>
      <c r="E5" s="532">
        <f>[3]tanks!E36</f>
        <v>4647.4838709677415</v>
      </c>
      <c r="F5" s="532">
        <f>[3]tanks!F36</f>
        <v>216</v>
      </c>
      <c r="G5" s="532">
        <f>[3]tanks!G36</f>
        <v>4647.4838709677415</v>
      </c>
      <c r="H5" s="532">
        <f>[3]tanks!H36</f>
        <v>216</v>
      </c>
      <c r="I5" s="532">
        <f>[3]tanks!I36</f>
        <v>4647.4838709677415</v>
      </c>
      <c r="J5" s="532">
        <f>[3]tanks!J36</f>
        <v>216</v>
      </c>
      <c r="K5" s="532">
        <f>[3]tanks!K36</f>
        <v>4647.4838709677415</v>
      </c>
      <c r="L5" s="532">
        <f>[3]tanks!L36</f>
        <v>216</v>
      </c>
      <c r="M5" s="532">
        <f>[3]tanks!M36</f>
        <v>4647.4838709677415</v>
      </c>
      <c r="N5" s="532">
        <f>[3]tanks!N36</f>
        <v>216</v>
      </c>
      <c r="O5" s="532">
        <f>[3]tanks!O36</f>
        <v>4647.4838709677415</v>
      </c>
      <c r="P5" s="532">
        <f>[3]tanks!P36</f>
        <v>216</v>
      </c>
      <c r="Q5" s="532">
        <f>[3]tanks!Q36</f>
        <v>4647.4838709677415</v>
      </c>
      <c r="R5" s="532">
        <f>[3]tanks!R36</f>
        <v>216</v>
      </c>
      <c r="S5" s="532">
        <f>[3]tanks!S36</f>
        <v>4647.4838709677415</v>
      </c>
      <c r="T5" s="532">
        <f>[3]tanks!T36</f>
        <v>216</v>
      </c>
      <c r="U5" s="532">
        <f>[3]tanks!U36</f>
        <v>4647.4838709677415</v>
      </c>
      <c r="V5" s="532">
        <f>[3]tanks!V36</f>
        <v>216</v>
      </c>
      <c r="W5" s="532">
        <f>[3]tanks!W36</f>
        <v>4647.4838709677415</v>
      </c>
      <c r="X5" s="505">
        <f>[3]tanks!X36</f>
        <v>0.6967741935483871</v>
      </c>
      <c r="Y5" s="532">
        <f>[3]tanks!Y36</f>
        <v>51122.322580645159</v>
      </c>
      <c r="Z5" s="532">
        <f>[3]tanks!Z36</f>
        <v>223</v>
      </c>
      <c r="AA5" s="532">
        <f>[3]tanks!AA36</f>
        <v>2230</v>
      </c>
      <c r="AB5" s="532">
        <f>[3]tanks!AB36</f>
        <v>223</v>
      </c>
      <c r="AC5" s="532">
        <f>[3]tanks!AC36</f>
        <v>2230</v>
      </c>
      <c r="AD5" s="532">
        <f>[3]tanks!AD36</f>
        <v>223</v>
      </c>
      <c r="AE5" s="532">
        <f>[3]tanks!AE36</f>
        <v>2230</v>
      </c>
      <c r="AF5" s="532">
        <f>[3]tanks!AF36</f>
        <v>223</v>
      </c>
      <c r="AG5" s="532">
        <f>[3]tanks!AG36</f>
        <v>2230</v>
      </c>
      <c r="AH5" s="532">
        <f>[3]tanks!AH36</f>
        <v>223</v>
      </c>
      <c r="AI5" s="532">
        <f>[3]tanks!AI36</f>
        <v>2230</v>
      </c>
      <c r="AJ5" s="532">
        <f>[3]tanks!AJ36</f>
        <v>223</v>
      </c>
      <c r="AK5" s="532">
        <f>[3]tanks!AK36</f>
        <v>2230</v>
      </c>
      <c r="AL5" s="532">
        <f>[3]tanks!AL36</f>
        <v>223</v>
      </c>
      <c r="AM5" s="532">
        <f>[3]tanks!AM36</f>
        <v>2230</v>
      </c>
      <c r="AN5" s="505">
        <f>[3]tanks!AN36</f>
        <v>0.79642857142857137</v>
      </c>
      <c r="AO5" s="532">
        <f>[3]tanks!AO36</f>
        <v>15610</v>
      </c>
      <c r="AP5" s="532">
        <f>[1]tanks!AP33</f>
        <v>0</v>
      </c>
      <c r="AQ5" s="505">
        <f>[3]tanks!AQ36</f>
        <v>0.71778339873771269</v>
      </c>
      <c r="AR5" s="532">
        <f>[3]tanks!AR36</f>
        <v>66732.322580645152</v>
      </c>
      <c r="AS5" s="532">
        <f>[3]tanks!AS36</f>
        <v>-3916.8064516129234</v>
      </c>
      <c r="AT5" s="532">
        <f>[3]tanks!AT36</f>
        <v>0</v>
      </c>
      <c r="AU5" s="532">
        <f>[3]tanks!AU36</f>
        <v>0</v>
      </c>
      <c r="AV5" s="289">
        <f>[3]tanks!AV36</f>
        <v>0.996</v>
      </c>
      <c r="AW5" s="289">
        <f>[3]tanks!AW36</f>
        <v>-385</v>
      </c>
      <c r="AX5" s="289">
        <f>[3]tanks!AX36</f>
        <v>-3531.8064516129234</v>
      </c>
      <c r="AY5" s="289">
        <f>[3]tanks!AY36</f>
        <v>-3916.8064516129234</v>
      </c>
      <c r="AZ5" s="505">
        <f>[3]tanks!AZ36</f>
        <v>0</v>
      </c>
      <c r="BA5" s="289">
        <f>[3]tanks!BA36</f>
        <v>15.5</v>
      </c>
      <c r="BB5" s="505">
        <f>[3]tanks!BB36</f>
        <v>0.65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[5]tanks!BH36</f>
        <v>0</v>
      </c>
      <c r="BI5" s="203"/>
    </row>
    <row r="6" spans="1:63">
      <c r="A6" s="444">
        <f>ELEC!C3</f>
        <v>44287</v>
      </c>
      <c r="B6">
        <f>'B5'!B5</f>
        <v>230</v>
      </c>
      <c r="C6" s="203">
        <f>B6*$B$4</f>
        <v>4948.7096774193551</v>
      </c>
      <c r="D6">
        <f>SUM(B6)</f>
        <v>230</v>
      </c>
      <c r="E6" s="203">
        <f>D6*$B$4</f>
        <v>4948.7096774193551</v>
      </c>
      <c r="F6">
        <f>SUM(D6)</f>
        <v>230</v>
      </c>
      <c r="G6" s="203">
        <f t="shared" ref="G6:G33" si="1">F6*$B$4</f>
        <v>4948.7096774193551</v>
      </c>
      <c r="H6" s="203">
        <f>SUM(F6)</f>
        <v>230</v>
      </c>
      <c r="I6" s="203">
        <f t="shared" ref="I6:I33" si="2">H6*$B$4</f>
        <v>4948.7096774193551</v>
      </c>
      <c r="J6" s="203">
        <f>SUM(H6)</f>
        <v>230</v>
      </c>
      <c r="K6" s="203">
        <f t="shared" ref="K6:K33" si="3">J6*$B$4</f>
        <v>4948.7096774193551</v>
      </c>
      <c r="L6" s="203">
        <f>SUM(J6)</f>
        <v>230</v>
      </c>
      <c r="M6" s="203">
        <f t="shared" ref="M6:M33" si="4">L6*$B$4</f>
        <v>4948.7096774193551</v>
      </c>
      <c r="N6" s="203">
        <f>SUM(L6)</f>
        <v>230</v>
      </c>
      <c r="O6" s="203">
        <f t="shared" ref="O6:O33" si="5">N6*$B$4</f>
        <v>4948.7096774193551</v>
      </c>
      <c r="P6" s="203">
        <f>SUM(N6)</f>
        <v>230</v>
      </c>
      <c r="Q6" s="203">
        <f t="shared" ref="Q6:Q33" si="6">P6*$B$4</f>
        <v>4948.7096774193551</v>
      </c>
      <c r="R6" s="203">
        <f>SUM(P6)</f>
        <v>230</v>
      </c>
      <c r="S6" s="203">
        <f t="shared" ref="S6:S33" si="7">R6*$B$4</f>
        <v>4948.7096774193551</v>
      </c>
      <c r="T6" s="203">
        <f>SUM(R6)</f>
        <v>230</v>
      </c>
      <c r="U6" s="203">
        <f t="shared" ref="U6:U33" si="8">T6*$B$4</f>
        <v>4948.7096774193551</v>
      </c>
      <c r="V6" s="203">
        <f>SUM(T6)</f>
        <v>230</v>
      </c>
      <c r="W6" s="203">
        <f t="shared" ref="W6:W33" si="9">V6*$B$4</f>
        <v>4948.7096774193551</v>
      </c>
      <c r="X6" s="35">
        <f t="shared" ref="X6:X29" si="10">SUM(Y6/73370)</f>
        <v>0.74193548387096786</v>
      </c>
      <c r="Y6" s="36">
        <f>SUM(C6+E6+G6+I6+K6+M6+O6+Q6+S6+U6+W6)</f>
        <v>54435.806451612909</v>
      </c>
      <c r="Z6" s="203">
        <f>'B5'!C5</f>
        <v>237</v>
      </c>
      <c r="AA6" s="203">
        <f>SUM(Z6*$Z$4)</f>
        <v>2370</v>
      </c>
      <c r="AB6" s="203">
        <f>SUM(Z6)</f>
        <v>237</v>
      </c>
      <c r="AC6" s="203">
        <f>SUM(AB6*$Z$4)</f>
        <v>2370</v>
      </c>
      <c r="AD6" s="203">
        <f>SUM(AB6)</f>
        <v>237</v>
      </c>
      <c r="AE6" s="203">
        <f t="shared" ref="AE6:AE33" si="11">SUM(AD6*$Z$4)</f>
        <v>2370</v>
      </c>
      <c r="AF6" s="203">
        <f>SUM(AD6)</f>
        <v>237</v>
      </c>
      <c r="AG6" s="203">
        <f t="shared" ref="AG6:AG33" si="12">SUM(AF6*$Z$4)</f>
        <v>2370</v>
      </c>
      <c r="AH6" s="203">
        <f>SUM(AF6)</f>
        <v>237</v>
      </c>
      <c r="AI6" s="203">
        <f t="shared" ref="AI6:AI33" si="13">SUM(AH6*$Z$4)</f>
        <v>2370</v>
      </c>
      <c r="AJ6" s="203">
        <f>SUM(AH6)</f>
        <v>237</v>
      </c>
      <c r="AK6" s="203">
        <f t="shared" ref="AK6:AK33" si="14">SUM(AJ6*$Z$4)</f>
        <v>2370</v>
      </c>
      <c r="AL6" s="203">
        <f>SUM(AJ6)</f>
        <v>237</v>
      </c>
      <c r="AM6" s="203">
        <f t="shared" ref="AM6:AM33" si="15">SUM(AL6*$Z$4)</f>
        <v>2370</v>
      </c>
      <c r="AN6" s="35">
        <f t="shared" ref="AN6:AN29" si="16">SUM(AO6/19600)</f>
        <v>0.84642857142857142</v>
      </c>
      <c r="AO6" s="36">
        <f t="shared" ref="AO6:AO29" si="17">SUM(AA6+AC6+AE6+AG6+AI6+AK6+AM6)</f>
        <v>16590</v>
      </c>
      <c r="AQ6" s="223">
        <f>SUM(AR6/92970)</f>
        <v>0.76396478919665389</v>
      </c>
      <c r="AR6" s="38">
        <f>Y6+AO6</f>
        <v>71025.806451612909</v>
      </c>
      <c r="AS6" s="197">
        <f>SUM(AR6-AR5-AT6)</f>
        <v>-1851.516129032243</v>
      </c>
      <c r="AT6" s="355">
        <v>6145</v>
      </c>
      <c r="AU6" s="436">
        <v>0.96</v>
      </c>
      <c r="AV6" s="518">
        <f>IF(AT6&gt;0,AU6,AV5)</f>
        <v>0.96</v>
      </c>
      <c r="AW6" s="290">
        <f>-SUM('B5'!AI5)</f>
        <v>-359</v>
      </c>
      <c r="AX6" s="290">
        <f>-SUM(AW6-AS6)</f>
        <v>-1492.516129032243</v>
      </c>
      <c r="AY6" s="37">
        <f>SUM(AX6+AW6)</f>
        <v>-1851.516129032243</v>
      </c>
      <c r="AZ6" s="100">
        <f>ELEC!A3</f>
        <v>0</v>
      </c>
      <c r="BA6" s="118">
        <f>'General information '!D6</f>
        <v>14.5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1987.5189873421768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-124.37634408602025</v>
      </c>
      <c r="BK6" s="594">
        <f>GEN!AF3</f>
        <v>0.28774999999995998</v>
      </c>
    </row>
    <row r="7" spans="1:63">
      <c r="A7" s="444">
        <f>ELEC!C4</f>
        <v>44288</v>
      </c>
      <c r="B7">
        <f>'B5'!B6</f>
        <v>219</v>
      </c>
      <c r="C7" s="203">
        <f t="shared" ref="C7:E33" si="18">B7*$B$4</f>
        <v>4712.0322580645161</v>
      </c>
      <c r="D7">
        <f t="shared" ref="D7:D29" si="19">SUM(B7)</f>
        <v>219</v>
      </c>
      <c r="E7" s="203">
        <f t="shared" si="18"/>
        <v>4712.0322580645161</v>
      </c>
      <c r="F7">
        <f t="shared" ref="F7:F29" si="20">SUM(D7)</f>
        <v>219</v>
      </c>
      <c r="G7" s="203">
        <f t="shared" si="1"/>
        <v>4712.0322580645161</v>
      </c>
      <c r="H7" s="203">
        <f t="shared" ref="H7:H29" si="21">SUM(F7)</f>
        <v>219</v>
      </c>
      <c r="I7" s="203">
        <f t="shared" si="2"/>
        <v>4712.0322580645161</v>
      </c>
      <c r="J7" s="203">
        <f t="shared" ref="J7:J29" si="22">SUM(H7)</f>
        <v>219</v>
      </c>
      <c r="K7" s="203">
        <f t="shared" si="3"/>
        <v>4712.0322580645161</v>
      </c>
      <c r="L7" s="203">
        <f t="shared" ref="L7:L29" si="23">SUM(J7)</f>
        <v>219</v>
      </c>
      <c r="M7" s="203">
        <f t="shared" si="4"/>
        <v>4712.0322580645161</v>
      </c>
      <c r="N7" s="203">
        <f t="shared" ref="N7:N29" si="24">SUM(L7)</f>
        <v>219</v>
      </c>
      <c r="O7" s="203">
        <f t="shared" si="5"/>
        <v>4712.0322580645161</v>
      </c>
      <c r="P7" s="203">
        <f t="shared" ref="P7:P29" si="25">SUM(N7)</f>
        <v>219</v>
      </c>
      <c r="Q7" s="203">
        <f t="shared" si="6"/>
        <v>4712.0322580645161</v>
      </c>
      <c r="R7" s="203">
        <f t="shared" ref="R7:R29" si="26">SUM(P7)</f>
        <v>219</v>
      </c>
      <c r="S7" s="203">
        <f t="shared" si="7"/>
        <v>4712.0322580645161</v>
      </c>
      <c r="T7" s="203">
        <f t="shared" ref="T7:T29" si="27">SUM(R7)</f>
        <v>219</v>
      </c>
      <c r="U7" s="203">
        <f t="shared" si="8"/>
        <v>4712.0322580645161</v>
      </c>
      <c r="V7" s="203">
        <f t="shared" ref="V7:V29" si="28">SUM(T7)</f>
        <v>219</v>
      </c>
      <c r="W7" s="203">
        <f t="shared" si="9"/>
        <v>4712.0322580645161</v>
      </c>
      <c r="X7" s="35">
        <f t="shared" si="10"/>
        <v>0.70645161290322578</v>
      </c>
      <c r="Y7" s="36">
        <f t="shared" ref="Y7:Y29" si="29">SUM(C7+E7+G7+I7+K7+M7+O7+Q7+S7+U7+W7)</f>
        <v>51832.354838709674</v>
      </c>
      <c r="Z7" s="203">
        <f>'B5'!C6</f>
        <v>226</v>
      </c>
      <c r="AA7" s="203">
        <f t="shared" ref="AA7:AC33" si="30">SUM(Z7*$Z$4)</f>
        <v>2260</v>
      </c>
      <c r="AB7" s="203">
        <f t="shared" ref="AB7:AB29" si="31">SUM(Z7)</f>
        <v>226</v>
      </c>
      <c r="AC7" s="203">
        <f t="shared" si="30"/>
        <v>2260</v>
      </c>
      <c r="AD7" s="203">
        <f t="shared" ref="AD7:AD29" si="32">SUM(AB7)</f>
        <v>226</v>
      </c>
      <c r="AE7" s="203">
        <f t="shared" si="11"/>
        <v>2260</v>
      </c>
      <c r="AF7" s="203">
        <f t="shared" ref="AF7:AF29" si="33">SUM(AD7)</f>
        <v>226</v>
      </c>
      <c r="AG7" s="203">
        <f t="shared" si="12"/>
        <v>2260</v>
      </c>
      <c r="AH7" s="203">
        <f t="shared" ref="AH7:AH29" si="34">SUM(AF7)</f>
        <v>226</v>
      </c>
      <c r="AI7" s="203">
        <f t="shared" si="13"/>
        <v>2260</v>
      </c>
      <c r="AJ7" s="203">
        <f t="shared" ref="AJ7:AJ29" si="35">SUM(AH7)</f>
        <v>226</v>
      </c>
      <c r="AK7" s="203">
        <f t="shared" si="14"/>
        <v>2260</v>
      </c>
      <c r="AL7" s="203">
        <f t="shared" ref="AL7:AL29" si="36">SUM(AJ7)</f>
        <v>226</v>
      </c>
      <c r="AM7" s="203">
        <f t="shared" si="15"/>
        <v>2260</v>
      </c>
      <c r="AN7" s="35">
        <f t="shared" si="16"/>
        <v>0.80714285714285716</v>
      </c>
      <c r="AO7" s="36">
        <f t="shared" si="17"/>
        <v>15820</v>
      </c>
      <c r="AQ7" s="223">
        <f t="shared" ref="AQ7:AQ33" si="37">SUM(AR7/92970)</f>
        <v>0.72767941097891431</v>
      </c>
      <c r="AR7" s="38">
        <f>Y7+AO7</f>
        <v>67652.354838709667</v>
      </c>
      <c r="AS7" s="197">
        <f t="shared" ref="AS7:AS33" si="38">SUM(AR7-AR6-AT7)</f>
        <v>-3373.4516129032418</v>
      </c>
      <c r="AT7" s="355"/>
      <c r="AU7" s="491"/>
      <c r="AV7" s="518">
        <f>IF(AT7&gt;0,AU7,AV6)</f>
        <v>0.96</v>
      </c>
      <c r="AW7" s="290">
        <f>-SUM('B5'!AI6)</f>
        <v>-298</v>
      </c>
      <c r="AX7" s="290">
        <f t="shared" ref="AX7:AX33" si="39">-SUM(AW7-AS7)</f>
        <v>-3075.4516129032418</v>
      </c>
      <c r="AY7" s="37">
        <f t="shared" ref="AY7:AY33" si="40">SUM(AX7+AW7)</f>
        <v>-3373.4516129032418</v>
      </c>
      <c r="AZ7" s="100">
        <f>ELEC!A4</f>
        <v>0</v>
      </c>
      <c r="BA7" s="118">
        <f>'General information '!D7</f>
        <v>13.5</v>
      </c>
      <c r="BB7" s="394">
        <f>SUM('General information '!E7)</f>
        <v>0.67</v>
      </c>
      <c r="BC7" s="3">
        <v>0</v>
      </c>
      <c r="BD7" s="102">
        <v>19222</v>
      </c>
      <c r="BE7" s="14">
        <f>(305/1185)*ELEC!Q5</f>
        <v>2126.5063291136171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-205.03010752688277</v>
      </c>
      <c r="BK7" s="594">
        <f>GEN!AF4</f>
        <v>0.34473214285721304</v>
      </c>
    </row>
    <row r="8" spans="1:63">
      <c r="A8" s="444">
        <f>ELEC!C5</f>
        <v>44289</v>
      </c>
      <c r="B8">
        <f>'B5'!B7</f>
        <v>208</v>
      </c>
      <c r="C8" s="203">
        <f t="shared" si="18"/>
        <v>4475.3548387096771</v>
      </c>
      <c r="D8">
        <f t="shared" si="19"/>
        <v>208</v>
      </c>
      <c r="E8" s="203">
        <f t="shared" si="18"/>
        <v>4475.3548387096771</v>
      </c>
      <c r="F8">
        <f t="shared" si="20"/>
        <v>208</v>
      </c>
      <c r="G8" s="203">
        <f t="shared" si="1"/>
        <v>4475.3548387096771</v>
      </c>
      <c r="H8" s="203">
        <f t="shared" si="21"/>
        <v>208</v>
      </c>
      <c r="I8" s="203">
        <f t="shared" si="2"/>
        <v>4475.3548387096771</v>
      </c>
      <c r="J8" s="203">
        <f t="shared" si="22"/>
        <v>208</v>
      </c>
      <c r="K8" s="203">
        <f t="shared" si="3"/>
        <v>4475.3548387096771</v>
      </c>
      <c r="L8" s="203">
        <f t="shared" si="23"/>
        <v>208</v>
      </c>
      <c r="M8" s="203">
        <f t="shared" si="4"/>
        <v>4475.3548387096771</v>
      </c>
      <c r="N8" s="203">
        <f t="shared" si="24"/>
        <v>208</v>
      </c>
      <c r="O8" s="203">
        <f t="shared" si="5"/>
        <v>4475.3548387096771</v>
      </c>
      <c r="P8" s="203">
        <f t="shared" si="25"/>
        <v>208</v>
      </c>
      <c r="Q8" s="203">
        <f t="shared" si="6"/>
        <v>4475.3548387096771</v>
      </c>
      <c r="R8" s="203">
        <f t="shared" si="26"/>
        <v>208</v>
      </c>
      <c r="S8" s="203">
        <f t="shared" si="7"/>
        <v>4475.3548387096771</v>
      </c>
      <c r="T8" s="203">
        <f t="shared" si="27"/>
        <v>208</v>
      </c>
      <c r="U8" s="203">
        <f t="shared" si="8"/>
        <v>4475.3548387096771</v>
      </c>
      <c r="V8" s="203">
        <f t="shared" si="28"/>
        <v>208</v>
      </c>
      <c r="W8" s="203">
        <f t="shared" si="9"/>
        <v>4475.3548387096771</v>
      </c>
      <c r="X8" s="35">
        <f t="shared" si="10"/>
        <v>0.6709677419354837</v>
      </c>
      <c r="Y8" s="36">
        <f t="shared" si="29"/>
        <v>49228.90322580644</v>
      </c>
      <c r="Z8" s="203">
        <f>'B5'!C7</f>
        <v>215</v>
      </c>
      <c r="AA8" s="203">
        <f t="shared" si="30"/>
        <v>2150</v>
      </c>
      <c r="AB8" s="203">
        <f t="shared" si="31"/>
        <v>215</v>
      </c>
      <c r="AC8" s="203">
        <f t="shared" si="30"/>
        <v>2150</v>
      </c>
      <c r="AD8" s="203">
        <f t="shared" si="32"/>
        <v>215</v>
      </c>
      <c r="AE8" s="203">
        <f t="shared" si="11"/>
        <v>2150</v>
      </c>
      <c r="AF8" s="203">
        <f t="shared" si="33"/>
        <v>215</v>
      </c>
      <c r="AG8" s="203">
        <f t="shared" si="12"/>
        <v>2150</v>
      </c>
      <c r="AH8" s="203">
        <f t="shared" si="34"/>
        <v>215</v>
      </c>
      <c r="AI8" s="203">
        <f t="shared" si="13"/>
        <v>2150</v>
      </c>
      <c r="AJ8" s="203">
        <f t="shared" si="35"/>
        <v>215</v>
      </c>
      <c r="AK8" s="203">
        <f t="shared" si="14"/>
        <v>2150</v>
      </c>
      <c r="AL8" s="203">
        <f t="shared" si="36"/>
        <v>215</v>
      </c>
      <c r="AM8" s="203">
        <f t="shared" si="15"/>
        <v>2150</v>
      </c>
      <c r="AN8" s="35">
        <f t="shared" si="16"/>
        <v>0.7678571428571429</v>
      </c>
      <c r="AO8" s="36">
        <f t="shared" si="17"/>
        <v>15050</v>
      </c>
      <c r="AQ8" s="223">
        <f t="shared" si="37"/>
        <v>0.69139403276117495</v>
      </c>
      <c r="AR8" s="38">
        <f t="shared" ref="AR8:AR35" si="42">Y8+AO8</f>
        <v>64278.90322580644</v>
      </c>
      <c r="AS8" s="197">
        <f t="shared" si="38"/>
        <v>-3373.4516129032272</v>
      </c>
      <c r="AT8" s="355"/>
      <c r="AU8" s="436"/>
      <c r="AV8" s="518">
        <f t="shared" ref="AV8:AV31" si="43">IF(AT8&gt;0,AU8,AV7)</f>
        <v>0.96</v>
      </c>
      <c r="AW8" s="290">
        <f>-SUM('B5'!AI7)</f>
        <v>-287</v>
      </c>
      <c r="AX8" s="290">
        <f t="shared" si="39"/>
        <v>-3086.4516129032272</v>
      </c>
      <c r="AY8" s="37">
        <f t="shared" si="40"/>
        <v>-3373.4516129032272</v>
      </c>
      <c r="AZ8" s="100">
        <f>ELEC!A5</f>
        <v>0</v>
      </c>
      <c r="BA8" s="118">
        <f>'General information '!D8</f>
        <v>17</v>
      </c>
      <c r="BB8" s="394">
        <f>SUM('General information '!E8)</f>
        <v>0.59</v>
      </c>
      <c r="BC8" s="3">
        <f t="shared" ref="BC8:BC33" si="44">IF(AR7&gt;=AR8,0,1)</f>
        <v>0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-342.93906810035855</v>
      </c>
      <c r="BK8" s="594">
        <f>GEN!AF5</f>
        <v>0.34424999999995032</v>
      </c>
    </row>
    <row r="9" spans="1:63">
      <c r="A9" s="444">
        <f>ELEC!C6</f>
        <v>44290</v>
      </c>
      <c r="B9">
        <f>'B5'!B8</f>
        <v>208</v>
      </c>
      <c r="C9" s="203">
        <f t="shared" si="18"/>
        <v>4475.3548387096771</v>
      </c>
      <c r="D9">
        <f t="shared" si="19"/>
        <v>208</v>
      </c>
      <c r="E9" s="203">
        <f t="shared" si="18"/>
        <v>4475.3548387096771</v>
      </c>
      <c r="F9">
        <f t="shared" si="20"/>
        <v>208</v>
      </c>
      <c r="G9" s="203">
        <f t="shared" si="1"/>
        <v>4475.3548387096771</v>
      </c>
      <c r="H9" s="203">
        <f t="shared" si="21"/>
        <v>208</v>
      </c>
      <c r="I9" s="203">
        <f t="shared" si="2"/>
        <v>4475.3548387096771</v>
      </c>
      <c r="J9" s="203">
        <f t="shared" si="22"/>
        <v>208</v>
      </c>
      <c r="K9" s="203">
        <f t="shared" si="3"/>
        <v>4475.3548387096771</v>
      </c>
      <c r="L9" s="203">
        <f t="shared" si="23"/>
        <v>208</v>
      </c>
      <c r="M9" s="203">
        <f t="shared" si="4"/>
        <v>4475.3548387096771</v>
      </c>
      <c r="N9" s="203">
        <f t="shared" si="24"/>
        <v>208</v>
      </c>
      <c r="O9" s="203">
        <f t="shared" si="5"/>
        <v>4475.3548387096771</v>
      </c>
      <c r="P9" s="203">
        <f t="shared" si="25"/>
        <v>208</v>
      </c>
      <c r="Q9" s="203">
        <f t="shared" si="6"/>
        <v>4475.3548387096771</v>
      </c>
      <c r="R9" s="203">
        <f t="shared" si="26"/>
        <v>208</v>
      </c>
      <c r="S9" s="203">
        <f t="shared" si="7"/>
        <v>4475.3548387096771</v>
      </c>
      <c r="T9" s="203">
        <f t="shared" si="27"/>
        <v>208</v>
      </c>
      <c r="U9" s="203">
        <f t="shared" si="8"/>
        <v>4475.3548387096771</v>
      </c>
      <c r="V9" s="203">
        <f t="shared" si="28"/>
        <v>208</v>
      </c>
      <c r="W9" s="203">
        <f t="shared" si="9"/>
        <v>4475.3548387096771</v>
      </c>
      <c r="X9" s="35">
        <f t="shared" si="10"/>
        <v>0.6709677419354837</v>
      </c>
      <c r="Y9" s="36">
        <f t="shared" si="29"/>
        <v>49228.90322580644</v>
      </c>
      <c r="Z9" s="203">
        <f>'B5'!C8</f>
        <v>215</v>
      </c>
      <c r="AA9" s="203">
        <f t="shared" si="30"/>
        <v>2150</v>
      </c>
      <c r="AB9" s="203">
        <f t="shared" si="31"/>
        <v>215</v>
      </c>
      <c r="AC9" s="203">
        <f t="shared" si="30"/>
        <v>2150</v>
      </c>
      <c r="AD9" s="203">
        <f t="shared" si="32"/>
        <v>215</v>
      </c>
      <c r="AE9" s="203">
        <f t="shared" si="11"/>
        <v>2150</v>
      </c>
      <c r="AF9" s="203">
        <f t="shared" si="33"/>
        <v>215</v>
      </c>
      <c r="AG9" s="203">
        <f t="shared" si="12"/>
        <v>2150</v>
      </c>
      <c r="AH9" s="203">
        <f t="shared" si="34"/>
        <v>215</v>
      </c>
      <c r="AI9" s="203">
        <f t="shared" si="13"/>
        <v>2150</v>
      </c>
      <c r="AJ9" s="203">
        <f t="shared" si="35"/>
        <v>215</v>
      </c>
      <c r="AK9" s="203">
        <f t="shared" si="14"/>
        <v>2150</v>
      </c>
      <c r="AL9" s="203">
        <f t="shared" si="36"/>
        <v>215</v>
      </c>
      <c r="AM9" s="203">
        <f t="shared" si="15"/>
        <v>2150</v>
      </c>
      <c r="AN9" s="35">
        <f t="shared" si="16"/>
        <v>0.7678571428571429</v>
      </c>
      <c r="AO9" s="36">
        <f>SUM(AA9+AC9+AE9+AG9+AI9+AK9+AM9)</f>
        <v>15050</v>
      </c>
      <c r="AQ9" s="223">
        <f t="shared" si="37"/>
        <v>0.69139403276117495</v>
      </c>
      <c r="AR9" s="38">
        <f t="shared" si="42"/>
        <v>64278.90322580644</v>
      </c>
      <c r="AS9" s="197">
        <f t="shared" si="38"/>
        <v>0</v>
      </c>
      <c r="AT9" s="491"/>
      <c r="AU9" s="436"/>
      <c r="AV9" s="518">
        <f t="shared" si="43"/>
        <v>0.96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ELEC!A6</f>
        <v>0</v>
      </c>
      <c r="BA9" s="118">
        <f>'General information '!D9</f>
        <v>0</v>
      </c>
      <c r="BB9" s="394">
        <f>SUM('General information '!E9)</f>
        <v>0</v>
      </c>
      <c r="BC9" s="3">
        <f t="shared" si="44"/>
        <v>0</v>
      </c>
      <c r="BD9" s="102">
        <v>19222</v>
      </c>
      <c r="BE9" s="14">
        <f>(305/1185)*ELEC!Q7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94" t="e">
        <f>GEN!AF6</f>
        <v>#DIV/0!</v>
      </c>
    </row>
    <row r="10" spans="1:63">
      <c r="A10" s="444">
        <f>ELEC!C7</f>
        <v>44291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215</v>
      </c>
      <c r="AA10" s="203">
        <f t="shared" si="30"/>
        <v>2150</v>
      </c>
      <c r="AB10" s="203">
        <f t="shared" si="31"/>
        <v>215</v>
      </c>
      <c r="AC10" s="203">
        <f t="shared" si="30"/>
        <v>2150</v>
      </c>
      <c r="AD10" s="203">
        <f t="shared" si="32"/>
        <v>215</v>
      </c>
      <c r="AE10" s="203">
        <f t="shared" si="11"/>
        <v>2150</v>
      </c>
      <c r="AF10" s="203">
        <f t="shared" si="33"/>
        <v>215</v>
      </c>
      <c r="AG10" s="203">
        <f t="shared" si="12"/>
        <v>2150</v>
      </c>
      <c r="AH10" s="203">
        <f t="shared" si="34"/>
        <v>215</v>
      </c>
      <c r="AI10" s="203">
        <f t="shared" si="13"/>
        <v>2150</v>
      </c>
      <c r="AJ10" s="203">
        <f t="shared" si="35"/>
        <v>215</v>
      </c>
      <c r="AK10" s="203">
        <f t="shared" si="14"/>
        <v>2150</v>
      </c>
      <c r="AL10" s="203">
        <f t="shared" si="36"/>
        <v>215</v>
      </c>
      <c r="AM10" s="203">
        <f t="shared" si="15"/>
        <v>2150</v>
      </c>
      <c r="AN10" s="35">
        <f t="shared" si="16"/>
        <v>0.7678571428571429</v>
      </c>
      <c r="AO10" s="36">
        <f t="shared" si="17"/>
        <v>15050</v>
      </c>
      <c r="AQ10" s="223">
        <f t="shared" si="37"/>
        <v>0.69139403276117495</v>
      </c>
      <c r="AR10" s="38">
        <f t="shared" si="42"/>
        <v>64278.90322580644</v>
      </c>
      <c r="AS10" s="197">
        <f>SUM(AR10-AR9-AT10)</f>
        <v>0</v>
      </c>
      <c r="AT10" s="355"/>
      <c r="AU10" s="436"/>
      <c r="AV10" s="518">
        <f>IF(AT10&gt;0,AU10,AV9)</f>
        <v>0.96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ELEC!A7</f>
        <v>0</v>
      </c>
      <c r="BA10" s="118">
        <f>'General information '!D10</f>
        <v>0</v>
      </c>
      <c r="BB10" s="394">
        <f>SUM('General information '!E10)</f>
        <v>0</v>
      </c>
      <c r="BC10" s="3">
        <f t="shared" si="44"/>
        <v>0</v>
      </c>
      <c r="BD10" s="102">
        <v>19222</v>
      </c>
      <c r="BE10" s="14">
        <f>(305/1185)*ELEC!Q8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94" t="e">
        <f>GEN!AF7</f>
        <v>#DIV/0!</v>
      </c>
    </row>
    <row r="11" spans="1:63">
      <c r="A11" s="444">
        <f>ELEC!C8</f>
        <v>44292</v>
      </c>
      <c r="B11">
        <f>'B5'!B10</f>
        <v>208</v>
      </c>
      <c r="C11" s="203">
        <f t="shared" si="18"/>
        <v>4475.3548387096771</v>
      </c>
      <c r="D11">
        <f>SUM(B11)</f>
        <v>208</v>
      </c>
      <c r="E11" s="203">
        <f t="shared" si="18"/>
        <v>4475.3548387096771</v>
      </c>
      <c r="F11">
        <f>SUM(D11)</f>
        <v>208</v>
      </c>
      <c r="G11" s="203">
        <f t="shared" si="1"/>
        <v>4475.3548387096771</v>
      </c>
      <c r="H11" s="203">
        <f>SUM(F11)</f>
        <v>208</v>
      </c>
      <c r="I11" s="203">
        <f t="shared" si="2"/>
        <v>4475.3548387096771</v>
      </c>
      <c r="J11" s="203">
        <f>SUM(H11)</f>
        <v>208</v>
      </c>
      <c r="K11" s="203">
        <f t="shared" si="3"/>
        <v>4475.3548387096771</v>
      </c>
      <c r="L11" s="203">
        <f>SUM(J11)</f>
        <v>208</v>
      </c>
      <c r="M11" s="203">
        <f t="shared" si="4"/>
        <v>4475.3548387096771</v>
      </c>
      <c r="N11" s="203">
        <f>SUM(L11)</f>
        <v>208</v>
      </c>
      <c r="O11" s="203">
        <f t="shared" si="5"/>
        <v>4475.3548387096771</v>
      </c>
      <c r="P11" s="203">
        <f>SUM(N11)</f>
        <v>208</v>
      </c>
      <c r="Q11" s="203">
        <f t="shared" si="6"/>
        <v>4475.3548387096771</v>
      </c>
      <c r="R11" s="203">
        <f>SUM(P11)</f>
        <v>208</v>
      </c>
      <c r="S11" s="203">
        <f t="shared" si="7"/>
        <v>4475.3548387096771</v>
      </c>
      <c r="T11" s="203">
        <f>SUM(R11)</f>
        <v>208</v>
      </c>
      <c r="U11" s="203">
        <f t="shared" si="8"/>
        <v>4475.3548387096771</v>
      </c>
      <c r="V11" s="203">
        <f>SUM(T11)</f>
        <v>208</v>
      </c>
      <c r="W11" s="203">
        <f t="shared" si="9"/>
        <v>4475.3548387096771</v>
      </c>
      <c r="X11" s="35">
        <f>SUM(Y11/73370)</f>
        <v>0.6709677419354837</v>
      </c>
      <c r="Y11" s="36">
        <f>SUM(C11+E11+G11+I11+K11+M11+O11+Q11+S11+U11+W11)</f>
        <v>49228.90322580644</v>
      </c>
      <c r="Z11" s="203">
        <f>'B5'!C10</f>
        <v>215</v>
      </c>
      <c r="AA11" s="203">
        <f t="shared" si="30"/>
        <v>2150</v>
      </c>
      <c r="AB11" s="203">
        <f>SUM(Z11)</f>
        <v>215</v>
      </c>
      <c r="AC11" s="203">
        <f t="shared" si="30"/>
        <v>2150</v>
      </c>
      <c r="AD11" s="203">
        <f>SUM(AB11)</f>
        <v>215</v>
      </c>
      <c r="AE11" s="203">
        <f t="shared" si="11"/>
        <v>2150</v>
      </c>
      <c r="AF11" s="203">
        <f>SUM(AD11)</f>
        <v>215</v>
      </c>
      <c r="AG11" s="203">
        <f t="shared" si="12"/>
        <v>2150</v>
      </c>
      <c r="AH11" s="203">
        <f>SUM(AF11)</f>
        <v>215</v>
      </c>
      <c r="AI11" s="203">
        <f t="shared" si="13"/>
        <v>2150</v>
      </c>
      <c r="AJ11" s="203">
        <f>SUM(AH11)</f>
        <v>215</v>
      </c>
      <c r="AK11" s="203">
        <f t="shared" si="14"/>
        <v>2150</v>
      </c>
      <c r="AL11" s="203">
        <f>SUM(AJ11)</f>
        <v>215</v>
      </c>
      <c r="AM11" s="203">
        <f t="shared" si="15"/>
        <v>2150</v>
      </c>
      <c r="AN11" s="35">
        <f>SUM(AO11/19600)</f>
        <v>0.7678571428571429</v>
      </c>
      <c r="AO11" s="36">
        <f t="shared" si="17"/>
        <v>15050</v>
      </c>
      <c r="AP11" s="563"/>
      <c r="AQ11" s="223">
        <f t="shared" si="37"/>
        <v>0.69139403276117495</v>
      </c>
      <c r="AR11" s="38">
        <f t="shared" si="42"/>
        <v>64278.90322580644</v>
      </c>
      <c r="AS11" s="197">
        <f>SUM(AR11-AR10-AT11)</f>
        <v>0</v>
      </c>
      <c r="AT11" s="355"/>
      <c r="AU11" s="436"/>
      <c r="AV11" s="518">
        <f>IF(AT11&gt;0,AU11,AV10)</f>
        <v>0.96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ELEC!A8</f>
        <v>0</v>
      </c>
      <c r="BA11" s="118">
        <f>'General information '!D11</f>
        <v>0</v>
      </c>
      <c r="BB11" s="394">
        <f>SUM('General information '!E11)</f>
        <v>0</v>
      </c>
      <c r="BC11" s="3">
        <f t="shared" si="44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94" t="e">
        <f>GEN!AF8</f>
        <v>#DIV/0!</v>
      </c>
    </row>
    <row r="12" spans="1:63">
      <c r="A12" s="444">
        <f>ELEC!C9</f>
        <v>44293</v>
      </c>
      <c r="B12">
        <f>'B5'!B11</f>
        <v>208</v>
      </c>
      <c r="C12" s="203">
        <f t="shared" si="18"/>
        <v>4475.3548387096771</v>
      </c>
      <c r="D12">
        <f t="shared" si="19"/>
        <v>208</v>
      </c>
      <c r="E12" s="203">
        <f t="shared" si="18"/>
        <v>4475.3548387096771</v>
      </c>
      <c r="F12">
        <f t="shared" si="20"/>
        <v>208</v>
      </c>
      <c r="G12" s="203">
        <f t="shared" si="1"/>
        <v>4475.3548387096771</v>
      </c>
      <c r="H12" s="203">
        <f t="shared" si="21"/>
        <v>208</v>
      </c>
      <c r="I12" s="203">
        <f t="shared" si="2"/>
        <v>4475.3548387096771</v>
      </c>
      <c r="J12" s="203">
        <f t="shared" si="22"/>
        <v>208</v>
      </c>
      <c r="K12" s="203">
        <f t="shared" si="3"/>
        <v>4475.3548387096771</v>
      </c>
      <c r="L12" s="203">
        <f t="shared" si="23"/>
        <v>208</v>
      </c>
      <c r="M12" s="203">
        <f t="shared" si="4"/>
        <v>4475.3548387096771</v>
      </c>
      <c r="N12" s="203">
        <f t="shared" si="24"/>
        <v>208</v>
      </c>
      <c r="O12" s="203">
        <f t="shared" si="5"/>
        <v>4475.3548387096771</v>
      </c>
      <c r="P12" s="203">
        <f t="shared" si="25"/>
        <v>208</v>
      </c>
      <c r="Q12" s="203">
        <f t="shared" si="6"/>
        <v>4475.3548387096771</v>
      </c>
      <c r="R12" s="203">
        <f t="shared" si="26"/>
        <v>208</v>
      </c>
      <c r="S12" s="203">
        <f t="shared" si="7"/>
        <v>4475.3548387096771</v>
      </c>
      <c r="T12" s="203">
        <f t="shared" si="27"/>
        <v>208</v>
      </c>
      <c r="U12" s="203">
        <f t="shared" si="8"/>
        <v>4475.3548387096771</v>
      </c>
      <c r="V12" s="203">
        <f t="shared" si="28"/>
        <v>208</v>
      </c>
      <c r="W12" s="203">
        <f t="shared" si="9"/>
        <v>4475.3548387096771</v>
      </c>
      <c r="X12" s="35">
        <f t="shared" si="10"/>
        <v>0.6709677419354837</v>
      </c>
      <c r="Y12" s="36">
        <f t="shared" si="29"/>
        <v>49228.90322580644</v>
      </c>
      <c r="Z12" s="203">
        <f>'B5'!C11</f>
        <v>215</v>
      </c>
      <c r="AA12" s="203">
        <f t="shared" si="30"/>
        <v>2150</v>
      </c>
      <c r="AB12" s="203">
        <f t="shared" si="31"/>
        <v>215</v>
      </c>
      <c r="AC12" s="203">
        <f t="shared" si="30"/>
        <v>2150</v>
      </c>
      <c r="AD12" s="203">
        <f t="shared" si="32"/>
        <v>215</v>
      </c>
      <c r="AE12" s="203">
        <f t="shared" si="11"/>
        <v>2150</v>
      </c>
      <c r="AF12" s="203">
        <f t="shared" si="33"/>
        <v>215</v>
      </c>
      <c r="AG12" s="203">
        <f t="shared" si="12"/>
        <v>2150</v>
      </c>
      <c r="AH12" s="203">
        <f t="shared" si="34"/>
        <v>215</v>
      </c>
      <c r="AI12" s="203">
        <f t="shared" si="13"/>
        <v>2150</v>
      </c>
      <c r="AJ12" s="203">
        <f t="shared" si="35"/>
        <v>215</v>
      </c>
      <c r="AK12" s="203">
        <f t="shared" si="14"/>
        <v>2150</v>
      </c>
      <c r="AL12" s="203">
        <f t="shared" si="36"/>
        <v>215</v>
      </c>
      <c r="AM12" s="203">
        <f t="shared" si="15"/>
        <v>2150</v>
      </c>
      <c r="AN12" s="35">
        <f t="shared" si="16"/>
        <v>0.7678571428571429</v>
      </c>
      <c r="AO12" s="36">
        <f t="shared" si="17"/>
        <v>15050</v>
      </c>
      <c r="AP12" s="563"/>
      <c r="AQ12" s="223">
        <f t="shared" si="37"/>
        <v>0.69139403276117495</v>
      </c>
      <c r="AR12" s="38">
        <f t="shared" si="42"/>
        <v>64278.90322580644</v>
      </c>
      <c r="AS12" s="197">
        <f>SUM(AR12-AR11-AT12)</f>
        <v>0</v>
      </c>
      <c r="AT12" s="271"/>
      <c r="AU12" s="478"/>
      <c r="AV12" s="518">
        <f t="shared" si="43"/>
        <v>0.96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ELEC!A9</f>
        <v>0</v>
      </c>
      <c r="BA12" s="118">
        <f>'General information '!D12</f>
        <v>0</v>
      </c>
      <c r="BB12" s="394">
        <f>SUM('General information '!E12)</f>
        <v>0</v>
      </c>
      <c r="BC12" s="3">
        <f t="shared" si="44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94" t="e">
        <f>GEN!AF9</f>
        <v>#DIV/0!</v>
      </c>
    </row>
    <row r="13" spans="1:63">
      <c r="A13" s="444">
        <f>ELEC!C10</f>
        <v>44294</v>
      </c>
      <c r="B13">
        <f>'B5'!B12</f>
        <v>208</v>
      </c>
      <c r="C13" s="203">
        <f t="shared" si="18"/>
        <v>4475.3548387096771</v>
      </c>
      <c r="D13">
        <f t="shared" si="19"/>
        <v>208</v>
      </c>
      <c r="E13" s="203">
        <f t="shared" si="18"/>
        <v>4475.3548387096771</v>
      </c>
      <c r="F13">
        <f t="shared" si="20"/>
        <v>208</v>
      </c>
      <c r="G13" s="203">
        <f t="shared" si="1"/>
        <v>4475.3548387096771</v>
      </c>
      <c r="H13" s="203">
        <f t="shared" si="21"/>
        <v>208</v>
      </c>
      <c r="I13" s="203">
        <f t="shared" si="2"/>
        <v>4475.3548387096771</v>
      </c>
      <c r="J13" s="203">
        <f t="shared" si="22"/>
        <v>208</v>
      </c>
      <c r="K13" s="203">
        <f t="shared" si="3"/>
        <v>4475.3548387096771</v>
      </c>
      <c r="L13" s="203">
        <f t="shared" si="23"/>
        <v>208</v>
      </c>
      <c r="M13" s="203">
        <f t="shared" si="4"/>
        <v>4475.3548387096771</v>
      </c>
      <c r="N13" s="203">
        <f t="shared" si="24"/>
        <v>208</v>
      </c>
      <c r="O13" s="203">
        <f t="shared" si="5"/>
        <v>4475.3548387096771</v>
      </c>
      <c r="P13" s="203">
        <f t="shared" si="25"/>
        <v>208</v>
      </c>
      <c r="Q13" s="203">
        <f t="shared" si="6"/>
        <v>4475.3548387096771</v>
      </c>
      <c r="R13" s="203">
        <f t="shared" si="26"/>
        <v>208</v>
      </c>
      <c r="S13" s="203">
        <f t="shared" si="7"/>
        <v>4475.3548387096771</v>
      </c>
      <c r="T13" s="203">
        <f t="shared" si="27"/>
        <v>208</v>
      </c>
      <c r="U13" s="203">
        <f t="shared" si="8"/>
        <v>4475.3548387096771</v>
      </c>
      <c r="V13" s="203">
        <f t="shared" si="28"/>
        <v>208</v>
      </c>
      <c r="W13" s="203">
        <f t="shared" si="9"/>
        <v>4475.3548387096771</v>
      </c>
      <c r="X13" s="35">
        <f t="shared" si="10"/>
        <v>0.6709677419354837</v>
      </c>
      <c r="Y13" s="36">
        <f t="shared" si="29"/>
        <v>49228.90322580644</v>
      </c>
      <c r="Z13" s="203">
        <f>'B5'!C12</f>
        <v>215</v>
      </c>
      <c r="AA13" s="203">
        <f t="shared" si="30"/>
        <v>2150</v>
      </c>
      <c r="AB13" s="203">
        <f t="shared" si="31"/>
        <v>215</v>
      </c>
      <c r="AC13" s="203">
        <f t="shared" si="30"/>
        <v>2150</v>
      </c>
      <c r="AD13" s="203">
        <f t="shared" si="32"/>
        <v>215</v>
      </c>
      <c r="AE13" s="203">
        <f t="shared" si="11"/>
        <v>2150</v>
      </c>
      <c r="AF13" s="203">
        <f t="shared" si="33"/>
        <v>215</v>
      </c>
      <c r="AG13" s="203">
        <f t="shared" si="12"/>
        <v>2150</v>
      </c>
      <c r="AH13" s="203">
        <f t="shared" si="34"/>
        <v>215</v>
      </c>
      <c r="AI13" s="203">
        <f t="shared" si="13"/>
        <v>2150</v>
      </c>
      <c r="AJ13" s="203">
        <f t="shared" si="35"/>
        <v>215</v>
      </c>
      <c r="AK13" s="203">
        <f t="shared" si="14"/>
        <v>2150</v>
      </c>
      <c r="AL13" s="203">
        <f t="shared" si="36"/>
        <v>215</v>
      </c>
      <c r="AM13" s="203">
        <f t="shared" si="15"/>
        <v>2150</v>
      </c>
      <c r="AN13" s="35">
        <f t="shared" si="16"/>
        <v>0.7678571428571429</v>
      </c>
      <c r="AO13" s="36">
        <f t="shared" si="17"/>
        <v>15050</v>
      </c>
      <c r="AP13" s="563"/>
      <c r="AQ13" s="223">
        <f t="shared" si="37"/>
        <v>0.69139403276117495</v>
      </c>
      <c r="AR13" s="38">
        <f t="shared" si="42"/>
        <v>64278.90322580644</v>
      </c>
      <c r="AS13" s="197">
        <f t="shared" si="38"/>
        <v>0</v>
      </c>
      <c r="AT13" s="271"/>
      <c r="AU13" s="436"/>
      <c r="AV13" s="518">
        <f t="shared" si="43"/>
        <v>0.96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4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94" t="e">
        <f>GEN!AF10</f>
        <v>#DIV/0!</v>
      </c>
    </row>
    <row r="14" spans="1:63">
      <c r="A14" s="444">
        <f>ELEC!C11</f>
        <v>44295</v>
      </c>
      <c r="B14">
        <f>'B5'!B13</f>
        <v>208</v>
      </c>
      <c r="C14" s="203">
        <f t="shared" si="18"/>
        <v>4475.3548387096771</v>
      </c>
      <c r="D14">
        <f t="shared" si="19"/>
        <v>208</v>
      </c>
      <c r="E14" s="203">
        <f t="shared" si="18"/>
        <v>4475.3548387096771</v>
      </c>
      <c r="F14">
        <f t="shared" si="20"/>
        <v>208</v>
      </c>
      <c r="G14" s="203">
        <f t="shared" si="1"/>
        <v>4475.3548387096771</v>
      </c>
      <c r="H14" s="203">
        <f t="shared" si="21"/>
        <v>208</v>
      </c>
      <c r="I14" s="203">
        <f t="shared" si="2"/>
        <v>4475.3548387096771</v>
      </c>
      <c r="J14" s="203">
        <f t="shared" si="22"/>
        <v>208</v>
      </c>
      <c r="K14" s="203">
        <f t="shared" si="3"/>
        <v>4475.3548387096771</v>
      </c>
      <c r="L14" s="203">
        <f t="shared" si="23"/>
        <v>208</v>
      </c>
      <c r="M14" s="203">
        <f t="shared" si="4"/>
        <v>4475.3548387096771</v>
      </c>
      <c r="N14" s="203">
        <f t="shared" si="24"/>
        <v>208</v>
      </c>
      <c r="O14" s="203">
        <f t="shared" si="5"/>
        <v>4475.3548387096771</v>
      </c>
      <c r="P14" s="203">
        <f t="shared" si="25"/>
        <v>208</v>
      </c>
      <c r="Q14" s="203">
        <f t="shared" si="6"/>
        <v>4475.3548387096771</v>
      </c>
      <c r="R14" s="203">
        <f t="shared" si="26"/>
        <v>208</v>
      </c>
      <c r="S14" s="203">
        <f t="shared" si="7"/>
        <v>4475.3548387096771</v>
      </c>
      <c r="T14" s="203">
        <f t="shared" si="27"/>
        <v>208</v>
      </c>
      <c r="U14" s="203">
        <f t="shared" si="8"/>
        <v>4475.3548387096771</v>
      </c>
      <c r="V14" s="203">
        <f t="shared" si="28"/>
        <v>208</v>
      </c>
      <c r="W14" s="203">
        <f t="shared" si="9"/>
        <v>4475.3548387096771</v>
      </c>
      <c r="X14" s="35">
        <f t="shared" si="10"/>
        <v>0.6709677419354837</v>
      </c>
      <c r="Y14" s="36">
        <f t="shared" si="29"/>
        <v>49228.90322580644</v>
      </c>
      <c r="Z14" s="203">
        <f>'B5'!C13</f>
        <v>215</v>
      </c>
      <c r="AA14" s="203">
        <f t="shared" si="30"/>
        <v>2150</v>
      </c>
      <c r="AB14" s="203">
        <f t="shared" si="31"/>
        <v>215</v>
      </c>
      <c r="AC14" s="203">
        <f t="shared" si="30"/>
        <v>2150</v>
      </c>
      <c r="AD14" s="203">
        <f t="shared" si="32"/>
        <v>215</v>
      </c>
      <c r="AE14" s="203">
        <f t="shared" si="11"/>
        <v>2150</v>
      </c>
      <c r="AF14" s="203">
        <f t="shared" si="33"/>
        <v>215</v>
      </c>
      <c r="AG14" s="203">
        <f t="shared" si="12"/>
        <v>2150</v>
      </c>
      <c r="AH14" s="203">
        <f t="shared" si="34"/>
        <v>215</v>
      </c>
      <c r="AI14" s="203">
        <f t="shared" si="13"/>
        <v>2150</v>
      </c>
      <c r="AJ14" s="203">
        <f t="shared" si="35"/>
        <v>215</v>
      </c>
      <c r="AK14" s="203">
        <f t="shared" si="14"/>
        <v>2150</v>
      </c>
      <c r="AL14" s="203">
        <f t="shared" si="36"/>
        <v>215</v>
      </c>
      <c r="AM14" s="203">
        <f t="shared" si="15"/>
        <v>2150</v>
      </c>
      <c r="AN14" s="35">
        <f t="shared" si="16"/>
        <v>0.7678571428571429</v>
      </c>
      <c r="AO14" s="36">
        <f t="shared" si="17"/>
        <v>15050</v>
      </c>
      <c r="AQ14" s="223">
        <f t="shared" si="37"/>
        <v>0.69139403276117495</v>
      </c>
      <c r="AR14" s="38">
        <f t="shared" si="42"/>
        <v>64278.90322580644</v>
      </c>
      <c r="AS14" s="197">
        <f>SUM(AR14-AR13-AT14)</f>
        <v>0</v>
      </c>
      <c r="AT14" s="271"/>
      <c r="AU14" s="478"/>
      <c r="AV14" s="518">
        <f t="shared" si="43"/>
        <v>0.96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4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94" t="e">
        <f>GEN!AF11</f>
        <v>#DIV/0!</v>
      </c>
    </row>
    <row r="15" spans="1:63" ht="13.5" customHeight="1">
      <c r="A15" s="444">
        <f>ELEC!C12</f>
        <v>44296</v>
      </c>
      <c r="B15">
        <f>'B5'!B14</f>
        <v>208</v>
      </c>
      <c r="C15" s="203">
        <f t="shared" si="18"/>
        <v>4475.3548387096771</v>
      </c>
      <c r="D15">
        <f t="shared" si="19"/>
        <v>208</v>
      </c>
      <c r="E15" s="203">
        <f t="shared" si="18"/>
        <v>4475.3548387096771</v>
      </c>
      <c r="F15">
        <f t="shared" si="20"/>
        <v>208</v>
      </c>
      <c r="G15" s="203">
        <f t="shared" si="1"/>
        <v>4475.3548387096771</v>
      </c>
      <c r="H15" s="203">
        <f t="shared" si="21"/>
        <v>208</v>
      </c>
      <c r="I15" s="203">
        <f t="shared" si="2"/>
        <v>4475.3548387096771</v>
      </c>
      <c r="J15" s="203">
        <f t="shared" si="22"/>
        <v>208</v>
      </c>
      <c r="K15" s="203">
        <f t="shared" si="3"/>
        <v>4475.3548387096771</v>
      </c>
      <c r="L15" s="203">
        <f t="shared" si="23"/>
        <v>208</v>
      </c>
      <c r="M15" s="203">
        <f t="shared" si="4"/>
        <v>4475.3548387096771</v>
      </c>
      <c r="N15" s="203">
        <f t="shared" si="24"/>
        <v>208</v>
      </c>
      <c r="O15" s="203">
        <f t="shared" si="5"/>
        <v>4475.3548387096771</v>
      </c>
      <c r="P15" s="203">
        <f t="shared" si="25"/>
        <v>208</v>
      </c>
      <c r="Q15" s="203">
        <f t="shared" si="6"/>
        <v>4475.3548387096771</v>
      </c>
      <c r="R15" s="203">
        <f t="shared" si="26"/>
        <v>208</v>
      </c>
      <c r="S15" s="203">
        <f t="shared" si="7"/>
        <v>4475.3548387096771</v>
      </c>
      <c r="T15" s="203">
        <f t="shared" si="27"/>
        <v>208</v>
      </c>
      <c r="U15" s="203">
        <f t="shared" si="8"/>
        <v>4475.3548387096771</v>
      </c>
      <c r="V15" s="203">
        <f t="shared" si="28"/>
        <v>208</v>
      </c>
      <c r="W15" s="203">
        <f t="shared" si="9"/>
        <v>4475.3548387096771</v>
      </c>
      <c r="X15" s="35">
        <f t="shared" si="10"/>
        <v>0.6709677419354837</v>
      </c>
      <c r="Y15" s="36">
        <f t="shared" si="29"/>
        <v>49228.90322580644</v>
      </c>
      <c r="Z15" s="203">
        <f>'B5'!C14</f>
        <v>215</v>
      </c>
      <c r="AA15" s="203">
        <f t="shared" si="30"/>
        <v>2150</v>
      </c>
      <c r="AB15" s="203">
        <f t="shared" si="31"/>
        <v>215</v>
      </c>
      <c r="AC15" s="203">
        <f t="shared" si="30"/>
        <v>2150</v>
      </c>
      <c r="AD15" s="203">
        <f t="shared" si="32"/>
        <v>215</v>
      </c>
      <c r="AE15" s="203">
        <f t="shared" si="11"/>
        <v>2150</v>
      </c>
      <c r="AF15" s="203">
        <f t="shared" si="33"/>
        <v>215</v>
      </c>
      <c r="AG15" s="203">
        <f t="shared" si="12"/>
        <v>2150</v>
      </c>
      <c r="AH15" s="203">
        <f t="shared" si="34"/>
        <v>215</v>
      </c>
      <c r="AI15" s="203">
        <f t="shared" si="13"/>
        <v>2150</v>
      </c>
      <c r="AJ15" s="203">
        <f t="shared" si="35"/>
        <v>215</v>
      </c>
      <c r="AK15" s="203">
        <f t="shared" si="14"/>
        <v>2150</v>
      </c>
      <c r="AL15" s="203">
        <f t="shared" si="36"/>
        <v>215</v>
      </c>
      <c r="AM15" s="203">
        <f t="shared" si="15"/>
        <v>2150</v>
      </c>
      <c r="AN15" s="35">
        <f t="shared" si="16"/>
        <v>0.7678571428571429</v>
      </c>
      <c r="AO15" s="36">
        <f t="shared" si="17"/>
        <v>15050</v>
      </c>
      <c r="AQ15" s="223">
        <f t="shared" si="37"/>
        <v>0.69139403276117495</v>
      </c>
      <c r="AR15" s="38">
        <f t="shared" si="42"/>
        <v>64278.90322580644</v>
      </c>
      <c r="AS15" s="197">
        <f>SUM(AR15-AR14-AT15)</f>
        <v>0</v>
      </c>
      <c r="AT15" s="271"/>
      <c r="AU15" s="436"/>
      <c r="AV15" s="518">
        <f>IF(AT15&gt;0,AU15,AV14)</f>
        <v>0.96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4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94" t="e">
        <f>GEN!AF12</f>
        <v>#DIV/0!</v>
      </c>
    </row>
    <row r="16" spans="1:63">
      <c r="A16" s="444">
        <f>ELEC!C13</f>
        <v>44297</v>
      </c>
      <c r="B16">
        <f>'B5'!B15</f>
        <v>208</v>
      </c>
      <c r="C16" s="203">
        <f t="shared" si="18"/>
        <v>4475.3548387096771</v>
      </c>
      <c r="D16">
        <f t="shared" si="19"/>
        <v>208</v>
      </c>
      <c r="E16" s="203">
        <f t="shared" si="18"/>
        <v>4475.3548387096771</v>
      </c>
      <c r="F16">
        <f t="shared" si="20"/>
        <v>208</v>
      </c>
      <c r="G16" s="203">
        <f t="shared" si="1"/>
        <v>4475.3548387096771</v>
      </c>
      <c r="H16" s="203">
        <f t="shared" si="21"/>
        <v>208</v>
      </c>
      <c r="I16" s="203">
        <f t="shared" si="2"/>
        <v>4475.3548387096771</v>
      </c>
      <c r="J16" s="203">
        <f t="shared" si="22"/>
        <v>208</v>
      </c>
      <c r="K16" s="203">
        <f t="shared" si="3"/>
        <v>4475.3548387096771</v>
      </c>
      <c r="L16" s="203">
        <f t="shared" si="23"/>
        <v>208</v>
      </c>
      <c r="M16" s="203">
        <f t="shared" si="4"/>
        <v>4475.3548387096771</v>
      </c>
      <c r="N16" s="203">
        <f t="shared" si="24"/>
        <v>208</v>
      </c>
      <c r="O16" s="203">
        <f t="shared" si="5"/>
        <v>4475.3548387096771</v>
      </c>
      <c r="P16" s="203">
        <f t="shared" si="25"/>
        <v>208</v>
      </c>
      <c r="Q16" s="203">
        <f t="shared" si="6"/>
        <v>4475.3548387096771</v>
      </c>
      <c r="R16" s="203">
        <f t="shared" si="26"/>
        <v>208</v>
      </c>
      <c r="S16" s="203">
        <f t="shared" si="7"/>
        <v>4475.3548387096771</v>
      </c>
      <c r="T16" s="203">
        <f t="shared" si="27"/>
        <v>208</v>
      </c>
      <c r="U16" s="203">
        <f t="shared" si="8"/>
        <v>4475.3548387096771</v>
      </c>
      <c r="V16" s="203">
        <f t="shared" si="28"/>
        <v>208</v>
      </c>
      <c r="W16" s="203">
        <f t="shared" si="9"/>
        <v>4475.3548387096771</v>
      </c>
      <c r="X16" s="35">
        <f t="shared" si="10"/>
        <v>0.6709677419354837</v>
      </c>
      <c r="Y16" s="36">
        <f t="shared" si="29"/>
        <v>49228.90322580644</v>
      </c>
      <c r="Z16" s="203">
        <f>'B5'!C15</f>
        <v>215</v>
      </c>
      <c r="AA16" s="203">
        <f t="shared" si="30"/>
        <v>2150</v>
      </c>
      <c r="AB16" s="203">
        <f t="shared" si="31"/>
        <v>215</v>
      </c>
      <c r="AC16" s="203">
        <f t="shared" si="30"/>
        <v>2150</v>
      </c>
      <c r="AD16" s="203">
        <f t="shared" si="32"/>
        <v>215</v>
      </c>
      <c r="AE16" s="203">
        <f t="shared" si="11"/>
        <v>2150</v>
      </c>
      <c r="AF16" s="203">
        <f t="shared" si="33"/>
        <v>215</v>
      </c>
      <c r="AG16" s="203">
        <f t="shared" si="12"/>
        <v>2150</v>
      </c>
      <c r="AH16" s="203">
        <f t="shared" si="34"/>
        <v>215</v>
      </c>
      <c r="AI16" s="203">
        <f t="shared" si="13"/>
        <v>2150</v>
      </c>
      <c r="AJ16" s="203">
        <f t="shared" si="35"/>
        <v>215</v>
      </c>
      <c r="AK16" s="203">
        <f t="shared" si="14"/>
        <v>2150</v>
      </c>
      <c r="AL16" s="203">
        <f t="shared" si="36"/>
        <v>215</v>
      </c>
      <c r="AM16" s="203">
        <f t="shared" si="15"/>
        <v>2150</v>
      </c>
      <c r="AN16" s="35">
        <f t="shared" si="16"/>
        <v>0.7678571428571429</v>
      </c>
      <c r="AO16" s="36">
        <f t="shared" si="17"/>
        <v>15050</v>
      </c>
      <c r="AQ16" s="223">
        <f t="shared" si="37"/>
        <v>0.69139403276117495</v>
      </c>
      <c r="AR16" s="38">
        <f t="shared" si="42"/>
        <v>64278.90322580644</v>
      </c>
      <c r="AS16" s="197">
        <f>SUM(AR16-AR15-AT16)</f>
        <v>0</v>
      </c>
      <c r="AT16" s="355"/>
      <c r="AU16" s="436"/>
      <c r="AV16" s="518">
        <f>IF(AT16&gt;0,AU16,AV15)</f>
        <v>0.96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4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94" t="e">
        <f>GEN!AF13</f>
        <v>#DIV/0!</v>
      </c>
    </row>
    <row r="17" spans="1:61">
      <c r="A17" s="444">
        <f>ELEC!C14</f>
        <v>44298</v>
      </c>
      <c r="B17">
        <f>'B5'!B16</f>
        <v>208</v>
      </c>
      <c r="C17" s="203">
        <f t="shared" si="18"/>
        <v>4475.3548387096771</v>
      </c>
      <c r="D17">
        <f t="shared" si="19"/>
        <v>208</v>
      </c>
      <c r="E17" s="203">
        <f t="shared" si="18"/>
        <v>4475.3548387096771</v>
      </c>
      <c r="F17">
        <f t="shared" si="20"/>
        <v>208</v>
      </c>
      <c r="G17" s="203">
        <f t="shared" si="1"/>
        <v>4475.3548387096771</v>
      </c>
      <c r="H17" s="203">
        <f t="shared" si="21"/>
        <v>208</v>
      </c>
      <c r="I17" s="203">
        <f t="shared" si="2"/>
        <v>4475.3548387096771</v>
      </c>
      <c r="J17" s="203">
        <f t="shared" si="22"/>
        <v>208</v>
      </c>
      <c r="K17" s="203">
        <f t="shared" si="3"/>
        <v>4475.3548387096771</v>
      </c>
      <c r="L17" s="203">
        <f t="shared" si="23"/>
        <v>208</v>
      </c>
      <c r="M17" s="203">
        <f t="shared" si="4"/>
        <v>4475.3548387096771</v>
      </c>
      <c r="N17" s="203">
        <f t="shared" si="24"/>
        <v>208</v>
      </c>
      <c r="O17" s="203">
        <f t="shared" si="5"/>
        <v>4475.3548387096771</v>
      </c>
      <c r="P17" s="203">
        <f t="shared" si="25"/>
        <v>208</v>
      </c>
      <c r="Q17" s="203">
        <f t="shared" si="6"/>
        <v>4475.3548387096771</v>
      </c>
      <c r="R17" s="203">
        <f t="shared" si="26"/>
        <v>208</v>
      </c>
      <c r="S17" s="203">
        <f t="shared" si="7"/>
        <v>4475.3548387096771</v>
      </c>
      <c r="T17" s="203">
        <f t="shared" si="27"/>
        <v>208</v>
      </c>
      <c r="U17" s="203">
        <f t="shared" si="8"/>
        <v>4475.3548387096771</v>
      </c>
      <c r="V17" s="203">
        <f t="shared" si="28"/>
        <v>208</v>
      </c>
      <c r="W17" s="203">
        <f t="shared" si="9"/>
        <v>4475.3548387096771</v>
      </c>
      <c r="X17" s="35">
        <f t="shared" si="10"/>
        <v>0.6709677419354837</v>
      </c>
      <c r="Y17" s="36">
        <f t="shared" si="29"/>
        <v>49228.90322580644</v>
      </c>
      <c r="Z17" s="203">
        <f>'B5'!C16</f>
        <v>215</v>
      </c>
      <c r="AA17" s="203">
        <f t="shared" si="30"/>
        <v>2150</v>
      </c>
      <c r="AB17" s="203">
        <f t="shared" si="31"/>
        <v>215</v>
      </c>
      <c r="AC17" s="203">
        <f t="shared" si="30"/>
        <v>2150</v>
      </c>
      <c r="AD17" s="203">
        <f t="shared" si="32"/>
        <v>215</v>
      </c>
      <c r="AE17" s="203">
        <f t="shared" si="11"/>
        <v>2150</v>
      </c>
      <c r="AF17" s="203">
        <f t="shared" si="33"/>
        <v>215</v>
      </c>
      <c r="AG17" s="203">
        <f t="shared" si="12"/>
        <v>2150</v>
      </c>
      <c r="AH17" s="203">
        <f t="shared" si="34"/>
        <v>215</v>
      </c>
      <c r="AI17" s="203">
        <f t="shared" si="13"/>
        <v>2150</v>
      </c>
      <c r="AJ17" s="203">
        <f t="shared" si="35"/>
        <v>215</v>
      </c>
      <c r="AK17" s="203">
        <f t="shared" si="14"/>
        <v>2150</v>
      </c>
      <c r="AL17" s="203">
        <f t="shared" si="36"/>
        <v>215</v>
      </c>
      <c r="AM17" s="203">
        <f t="shared" si="15"/>
        <v>2150</v>
      </c>
      <c r="AN17" s="35">
        <f t="shared" si="16"/>
        <v>0.7678571428571429</v>
      </c>
      <c r="AO17" s="36">
        <f>SUM(AA17+AC17+AE17+AG17+AI17+AK17+AM17)</f>
        <v>15050</v>
      </c>
      <c r="AQ17" s="223">
        <f t="shared" si="37"/>
        <v>0.69139403276117495</v>
      </c>
      <c r="AR17" s="38">
        <f t="shared" si="42"/>
        <v>64278.90322580644</v>
      </c>
      <c r="AS17" s="197">
        <f t="shared" si="38"/>
        <v>0</v>
      </c>
      <c r="AT17" s="355"/>
      <c r="AU17" s="478"/>
      <c r="AV17" s="518">
        <f t="shared" si="43"/>
        <v>0.96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4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44299</v>
      </c>
      <c r="B18">
        <f>'B5'!B17</f>
        <v>208</v>
      </c>
      <c r="C18" s="203">
        <f t="shared" si="18"/>
        <v>4475.3548387096771</v>
      </c>
      <c r="D18">
        <f t="shared" si="19"/>
        <v>208</v>
      </c>
      <c r="E18" s="203">
        <f t="shared" si="18"/>
        <v>4475.3548387096771</v>
      </c>
      <c r="F18">
        <f t="shared" si="20"/>
        <v>208</v>
      </c>
      <c r="G18" s="203">
        <f t="shared" si="1"/>
        <v>4475.3548387096771</v>
      </c>
      <c r="H18" s="203">
        <f t="shared" si="21"/>
        <v>208</v>
      </c>
      <c r="I18" s="203">
        <f t="shared" si="2"/>
        <v>4475.3548387096771</v>
      </c>
      <c r="J18" s="203">
        <f t="shared" si="22"/>
        <v>208</v>
      </c>
      <c r="K18" s="203">
        <f t="shared" si="3"/>
        <v>4475.3548387096771</v>
      </c>
      <c r="L18" s="203">
        <f t="shared" si="23"/>
        <v>208</v>
      </c>
      <c r="M18" s="203">
        <f t="shared" si="4"/>
        <v>4475.3548387096771</v>
      </c>
      <c r="N18" s="203">
        <f t="shared" si="24"/>
        <v>208</v>
      </c>
      <c r="O18" s="203">
        <f t="shared" si="5"/>
        <v>4475.3548387096771</v>
      </c>
      <c r="P18" s="203">
        <f t="shared" si="25"/>
        <v>208</v>
      </c>
      <c r="Q18" s="203">
        <f t="shared" si="6"/>
        <v>4475.3548387096771</v>
      </c>
      <c r="R18" s="203">
        <f t="shared" si="26"/>
        <v>208</v>
      </c>
      <c r="S18" s="203">
        <f t="shared" si="7"/>
        <v>4475.3548387096771</v>
      </c>
      <c r="T18" s="203">
        <f t="shared" si="27"/>
        <v>208</v>
      </c>
      <c r="U18" s="203">
        <f t="shared" si="8"/>
        <v>4475.3548387096771</v>
      </c>
      <c r="V18" s="203">
        <f t="shared" si="28"/>
        <v>208</v>
      </c>
      <c r="W18" s="203">
        <f t="shared" si="9"/>
        <v>4475.3548387096771</v>
      </c>
      <c r="X18" s="35">
        <f t="shared" si="10"/>
        <v>0.6709677419354837</v>
      </c>
      <c r="Y18" s="36">
        <f t="shared" si="29"/>
        <v>49228.90322580644</v>
      </c>
      <c r="Z18" s="203">
        <f>'B5'!C17</f>
        <v>215</v>
      </c>
      <c r="AA18" s="203">
        <f t="shared" si="30"/>
        <v>2150</v>
      </c>
      <c r="AB18" s="203">
        <f t="shared" si="31"/>
        <v>215</v>
      </c>
      <c r="AC18" s="203">
        <f t="shared" si="30"/>
        <v>2150</v>
      </c>
      <c r="AD18" s="203">
        <f t="shared" si="32"/>
        <v>215</v>
      </c>
      <c r="AE18" s="203">
        <f t="shared" si="11"/>
        <v>2150</v>
      </c>
      <c r="AF18" s="203">
        <f t="shared" si="33"/>
        <v>215</v>
      </c>
      <c r="AG18" s="203">
        <f t="shared" si="12"/>
        <v>2150</v>
      </c>
      <c r="AH18" s="203">
        <f t="shared" si="34"/>
        <v>215</v>
      </c>
      <c r="AI18" s="203">
        <f t="shared" si="13"/>
        <v>2150</v>
      </c>
      <c r="AJ18" s="203">
        <f t="shared" si="35"/>
        <v>215</v>
      </c>
      <c r="AK18" s="203">
        <f t="shared" si="14"/>
        <v>2150</v>
      </c>
      <c r="AL18" s="203">
        <f t="shared" si="36"/>
        <v>215</v>
      </c>
      <c r="AM18" s="203">
        <f t="shared" si="15"/>
        <v>2150</v>
      </c>
      <c r="AN18" s="35">
        <f t="shared" si="16"/>
        <v>0.7678571428571429</v>
      </c>
      <c r="AO18" s="36">
        <f t="shared" si="17"/>
        <v>15050</v>
      </c>
      <c r="AQ18" s="223">
        <f t="shared" si="37"/>
        <v>0.69139403276117495</v>
      </c>
      <c r="AR18" s="38">
        <f t="shared" si="42"/>
        <v>64278.90322580644</v>
      </c>
      <c r="AS18" s="197">
        <f t="shared" si="38"/>
        <v>0</v>
      </c>
      <c r="AT18" s="271"/>
      <c r="AU18" s="436"/>
      <c r="AV18" s="518">
        <f>IF(AT18&gt;0,AU18,AV17)</f>
        <v>0.96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4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44300</v>
      </c>
      <c r="B19">
        <f>'B5'!B18</f>
        <v>208</v>
      </c>
      <c r="C19" s="203">
        <f t="shared" si="18"/>
        <v>4475.3548387096771</v>
      </c>
      <c r="D19">
        <f t="shared" si="19"/>
        <v>208</v>
      </c>
      <c r="E19" s="203">
        <f t="shared" si="18"/>
        <v>4475.3548387096771</v>
      </c>
      <c r="F19">
        <f t="shared" si="20"/>
        <v>208</v>
      </c>
      <c r="G19" s="203">
        <f t="shared" si="1"/>
        <v>4475.3548387096771</v>
      </c>
      <c r="H19" s="203">
        <f t="shared" si="21"/>
        <v>208</v>
      </c>
      <c r="I19" s="203">
        <f t="shared" si="2"/>
        <v>4475.3548387096771</v>
      </c>
      <c r="J19" s="203">
        <f t="shared" si="22"/>
        <v>208</v>
      </c>
      <c r="K19" s="203">
        <f t="shared" si="3"/>
        <v>4475.3548387096771</v>
      </c>
      <c r="L19" s="203">
        <f t="shared" si="23"/>
        <v>208</v>
      </c>
      <c r="M19" s="203">
        <f t="shared" si="4"/>
        <v>4475.3548387096771</v>
      </c>
      <c r="N19" s="203">
        <f t="shared" si="24"/>
        <v>208</v>
      </c>
      <c r="O19" s="203">
        <f t="shared" si="5"/>
        <v>4475.3548387096771</v>
      </c>
      <c r="P19" s="203">
        <f t="shared" si="25"/>
        <v>208</v>
      </c>
      <c r="Q19" s="203">
        <f t="shared" si="6"/>
        <v>4475.3548387096771</v>
      </c>
      <c r="R19" s="203">
        <f t="shared" si="26"/>
        <v>208</v>
      </c>
      <c r="S19" s="203">
        <f t="shared" si="7"/>
        <v>4475.3548387096771</v>
      </c>
      <c r="T19" s="203">
        <f t="shared" si="27"/>
        <v>208</v>
      </c>
      <c r="U19" s="203">
        <f t="shared" si="8"/>
        <v>4475.3548387096771</v>
      </c>
      <c r="V19" s="203">
        <f t="shared" si="28"/>
        <v>208</v>
      </c>
      <c r="W19" s="203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3">
        <f>'B5'!C18</f>
        <v>215</v>
      </c>
      <c r="AA19" s="203">
        <f t="shared" si="30"/>
        <v>2150</v>
      </c>
      <c r="AB19" s="203">
        <f t="shared" si="31"/>
        <v>215</v>
      </c>
      <c r="AC19" s="203">
        <f t="shared" si="30"/>
        <v>2150</v>
      </c>
      <c r="AD19" s="203">
        <f t="shared" si="32"/>
        <v>215</v>
      </c>
      <c r="AE19" s="203">
        <f t="shared" si="11"/>
        <v>2150</v>
      </c>
      <c r="AF19" s="203">
        <f t="shared" si="33"/>
        <v>215</v>
      </c>
      <c r="AG19" s="203">
        <f t="shared" si="12"/>
        <v>2150</v>
      </c>
      <c r="AH19" s="203">
        <f t="shared" si="34"/>
        <v>215</v>
      </c>
      <c r="AI19" s="203">
        <f t="shared" si="13"/>
        <v>2150</v>
      </c>
      <c r="AJ19" s="203">
        <f t="shared" si="35"/>
        <v>215</v>
      </c>
      <c r="AK19" s="203">
        <f t="shared" si="14"/>
        <v>2150</v>
      </c>
      <c r="AL19" s="203">
        <f t="shared" si="36"/>
        <v>215</v>
      </c>
      <c r="AM19" s="203">
        <f t="shared" si="15"/>
        <v>2150</v>
      </c>
      <c r="AN19" s="35">
        <f t="shared" si="16"/>
        <v>0.7678571428571429</v>
      </c>
      <c r="AO19" s="36">
        <f t="shared" si="17"/>
        <v>15050</v>
      </c>
      <c r="AQ19" s="223">
        <f t="shared" si="37"/>
        <v>0.69139403276117495</v>
      </c>
      <c r="AR19" s="38">
        <f t="shared" si="42"/>
        <v>64278.90322580644</v>
      </c>
      <c r="AS19" s="197">
        <f t="shared" si="38"/>
        <v>0</v>
      </c>
      <c r="AT19" s="271"/>
      <c r="AU19" s="436"/>
      <c r="AV19" s="518">
        <f t="shared" si="43"/>
        <v>0.96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4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44301</v>
      </c>
      <c r="B20">
        <f>'B5'!B19</f>
        <v>208</v>
      </c>
      <c r="C20" s="203">
        <f t="shared" si="18"/>
        <v>4475.3548387096771</v>
      </c>
      <c r="D20">
        <f t="shared" si="19"/>
        <v>208</v>
      </c>
      <c r="E20" s="203">
        <f t="shared" si="18"/>
        <v>4475.3548387096771</v>
      </c>
      <c r="F20">
        <f t="shared" si="20"/>
        <v>208</v>
      </c>
      <c r="G20" s="203">
        <f t="shared" si="1"/>
        <v>4475.3548387096771</v>
      </c>
      <c r="H20" s="203">
        <f t="shared" si="21"/>
        <v>208</v>
      </c>
      <c r="I20" s="203">
        <f t="shared" si="2"/>
        <v>4475.3548387096771</v>
      </c>
      <c r="J20" s="203">
        <f t="shared" si="22"/>
        <v>208</v>
      </c>
      <c r="K20" s="203">
        <f t="shared" si="3"/>
        <v>4475.3548387096771</v>
      </c>
      <c r="L20" s="203">
        <f t="shared" si="23"/>
        <v>208</v>
      </c>
      <c r="M20" s="203">
        <f t="shared" si="4"/>
        <v>4475.3548387096771</v>
      </c>
      <c r="N20" s="203">
        <f t="shared" si="24"/>
        <v>208</v>
      </c>
      <c r="O20" s="203">
        <f t="shared" si="5"/>
        <v>4475.3548387096771</v>
      </c>
      <c r="P20" s="203">
        <f t="shared" si="25"/>
        <v>208</v>
      </c>
      <c r="Q20" s="203">
        <f t="shared" si="6"/>
        <v>4475.3548387096771</v>
      </c>
      <c r="R20" s="203">
        <f t="shared" si="26"/>
        <v>208</v>
      </c>
      <c r="S20" s="203">
        <f t="shared" si="7"/>
        <v>4475.3548387096771</v>
      </c>
      <c r="T20" s="203">
        <f t="shared" si="27"/>
        <v>208</v>
      </c>
      <c r="U20" s="203">
        <f t="shared" si="8"/>
        <v>4475.3548387096771</v>
      </c>
      <c r="V20" s="203">
        <f t="shared" si="28"/>
        <v>208</v>
      </c>
      <c r="W20" s="203">
        <f t="shared" si="9"/>
        <v>4475.3548387096771</v>
      </c>
      <c r="X20" s="35">
        <f t="shared" si="10"/>
        <v>0.6709677419354837</v>
      </c>
      <c r="Y20" s="36">
        <f t="shared" si="29"/>
        <v>49228.90322580644</v>
      </c>
      <c r="Z20" s="203">
        <f>'B5'!C19</f>
        <v>215</v>
      </c>
      <c r="AA20" s="203">
        <f t="shared" si="30"/>
        <v>2150</v>
      </c>
      <c r="AB20" s="203">
        <f t="shared" si="31"/>
        <v>215</v>
      </c>
      <c r="AC20" s="203">
        <f t="shared" si="30"/>
        <v>2150</v>
      </c>
      <c r="AD20" s="203">
        <f t="shared" si="32"/>
        <v>215</v>
      </c>
      <c r="AE20" s="203">
        <f t="shared" si="11"/>
        <v>2150</v>
      </c>
      <c r="AF20" s="203">
        <f t="shared" si="33"/>
        <v>215</v>
      </c>
      <c r="AG20" s="203">
        <f t="shared" si="12"/>
        <v>2150</v>
      </c>
      <c r="AH20" s="203">
        <f t="shared" si="34"/>
        <v>215</v>
      </c>
      <c r="AI20" s="203">
        <f t="shared" si="13"/>
        <v>2150</v>
      </c>
      <c r="AJ20" s="203">
        <f t="shared" si="35"/>
        <v>215</v>
      </c>
      <c r="AK20" s="203">
        <f t="shared" si="14"/>
        <v>2150</v>
      </c>
      <c r="AL20" s="203">
        <f t="shared" si="36"/>
        <v>215</v>
      </c>
      <c r="AM20" s="203">
        <f t="shared" si="15"/>
        <v>2150</v>
      </c>
      <c r="AN20" s="35">
        <f t="shared" si="16"/>
        <v>0.7678571428571429</v>
      </c>
      <c r="AO20" s="36">
        <f t="shared" si="17"/>
        <v>15050</v>
      </c>
      <c r="AQ20" s="223">
        <f t="shared" si="37"/>
        <v>0.69139403276117495</v>
      </c>
      <c r="AR20" s="38">
        <f t="shared" si="42"/>
        <v>64278.90322580644</v>
      </c>
      <c r="AS20" s="197">
        <f t="shared" si="38"/>
        <v>0</v>
      </c>
      <c r="AT20" s="271"/>
      <c r="AU20" s="436"/>
      <c r="AV20" s="518">
        <f t="shared" si="43"/>
        <v>0.96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4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44302</v>
      </c>
      <c r="B21">
        <f>'B5'!B20</f>
        <v>208</v>
      </c>
      <c r="C21" s="203">
        <f t="shared" si="18"/>
        <v>4475.3548387096771</v>
      </c>
      <c r="D21">
        <f t="shared" si="19"/>
        <v>208</v>
      </c>
      <c r="E21" s="203">
        <f t="shared" si="18"/>
        <v>4475.3548387096771</v>
      </c>
      <c r="F21">
        <f t="shared" si="20"/>
        <v>208</v>
      </c>
      <c r="G21" s="203">
        <f t="shared" si="1"/>
        <v>4475.3548387096771</v>
      </c>
      <c r="H21" s="203">
        <f t="shared" si="21"/>
        <v>208</v>
      </c>
      <c r="I21" s="203">
        <f t="shared" si="2"/>
        <v>4475.3548387096771</v>
      </c>
      <c r="J21" s="203">
        <f t="shared" si="22"/>
        <v>208</v>
      </c>
      <c r="K21" s="203">
        <f t="shared" si="3"/>
        <v>4475.3548387096771</v>
      </c>
      <c r="L21" s="203">
        <f t="shared" si="23"/>
        <v>208</v>
      </c>
      <c r="M21" s="203">
        <f t="shared" si="4"/>
        <v>4475.3548387096771</v>
      </c>
      <c r="N21" s="203">
        <f t="shared" si="24"/>
        <v>208</v>
      </c>
      <c r="O21" s="203">
        <f t="shared" si="5"/>
        <v>4475.3548387096771</v>
      </c>
      <c r="P21" s="203">
        <f t="shared" si="25"/>
        <v>208</v>
      </c>
      <c r="Q21" s="203">
        <f t="shared" si="6"/>
        <v>4475.3548387096771</v>
      </c>
      <c r="R21" s="203">
        <f t="shared" si="26"/>
        <v>208</v>
      </c>
      <c r="S21" s="203">
        <f t="shared" si="7"/>
        <v>4475.3548387096771</v>
      </c>
      <c r="T21" s="203">
        <f t="shared" si="27"/>
        <v>208</v>
      </c>
      <c r="U21" s="203">
        <f t="shared" si="8"/>
        <v>4475.3548387096771</v>
      </c>
      <c r="V21" s="203">
        <f t="shared" si="28"/>
        <v>208</v>
      </c>
      <c r="W21" s="203">
        <f t="shared" si="9"/>
        <v>4475.3548387096771</v>
      </c>
      <c r="X21" s="35">
        <f t="shared" si="10"/>
        <v>0.6709677419354837</v>
      </c>
      <c r="Y21" s="36">
        <f t="shared" si="29"/>
        <v>49228.90322580644</v>
      </c>
      <c r="Z21" s="203">
        <f>'B5'!C20</f>
        <v>215</v>
      </c>
      <c r="AA21" s="203">
        <f t="shared" si="30"/>
        <v>2150</v>
      </c>
      <c r="AB21" s="203">
        <f t="shared" si="31"/>
        <v>215</v>
      </c>
      <c r="AC21" s="203">
        <f t="shared" si="30"/>
        <v>2150</v>
      </c>
      <c r="AD21" s="203">
        <f t="shared" si="32"/>
        <v>215</v>
      </c>
      <c r="AE21" s="203">
        <f t="shared" si="11"/>
        <v>2150</v>
      </c>
      <c r="AF21" s="203">
        <f t="shared" si="33"/>
        <v>215</v>
      </c>
      <c r="AG21" s="203">
        <f t="shared" si="12"/>
        <v>2150</v>
      </c>
      <c r="AH21" s="203">
        <f t="shared" si="34"/>
        <v>215</v>
      </c>
      <c r="AI21" s="203">
        <f t="shared" si="13"/>
        <v>2150</v>
      </c>
      <c r="AJ21" s="203">
        <f t="shared" si="35"/>
        <v>215</v>
      </c>
      <c r="AK21" s="203">
        <f t="shared" si="14"/>
        <v>2150</v>
      </c>
      <c r="AL21" s="203">
        <f t="shared" si="36"/>
        <v>215</v>
      </c>
      <c r="AM21" s="203">
        <f t="shared" si="15"/>
        <v>2150</v>
      </c>
      <c r="AN21" s="35">
        <f t="shared" si="16"/>
        <v>0.7678571428571429</v>
      </c>
      <c r="AO21" s="36">
        <f t="shared" si="17"/>
        <v>15050</v>
      </c>
      <c r="AQ21" s="223">
        <f t="shared" si="37"/>
        <v>0.69139403276117495</v>
      </c>
      <c r="AR21" s="38">
        <f t="shared" si="42"/>
        <v>64278.90322580644</v>
      </c>
      <c r="AS21" s="197">
        <f t="shared" si="38"/>
        <v>0</v>
      </c>
      <c r="AT21" s="271"/>
      <c r="AU21" s="436"/>
      <c r="AV21" s="518">
        <f t="shared" si="43"/>
        <v>0.96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4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44303</v>
      </c>
      <c r="B22">
        <f>'B5'!B21</f>
        <v>208</v>
      </c>
      <c r="C22" s="203">
        <f t="shared" si="18"/>
        <v>4475.3548387096771</v>
      </c>
      <c r="D22">
        <f t="shared" si="19"/>
        <v>208</v>
      </c>
      <c r="E22" s="203">
        <f t="shared" si="18"/>
        <v>4475.3548387096771</v>
      </c>
      <c r="F22">
        <f t="shared" si="20"/>
        <v>208</v>
      </c>
      <c r="G22" s="203">
        <f t="shared" si="1"/>
        <v>4475.3548387096771</v>
      </c>
      <c r="H22" s="203">
        <f t="shared" si="21"/>
        <v>208</v>
      </c>
      <c r="I22" s="203">
        <f t="shared" si="2"/>
        <v>4475.3548387096771</v>
      </c>
      <c r="J22" s="203">
        <f t="shared" si="22"/>
        <v>208</v>
      </c>
      <c r="K22" s="203">
        <f t="shared" si="3"/>
        <v>4475.3548387096771</v>
      </c>
      <c r="L22" s="203">
        <f t="shared" si="23"/>
        <v>208</v>
      </c>
      <c r="M22" s="203">
        <f t="shared" si="4"/>
        <v>4475.3548387096771</v>
      </c>
      <c r="N22" s="203">
        <f t="shared" si="24"/>
        <v>208</v>
      </c>
      <c r="O22" s="203">
        <f t="shared" si="5"/>
        <v>4475.3548387096771</v>
      </c>
      <c r="P22" s="203">
        <f t="shared" si="25"/>
        <v>208</v>
      </c>
      <c r="Q22" s="203">
        <f t="shared" si="6"/>
        <v>4475.3548387096771</v>
      </c>
      <c r="R22" s="203">
        <f t="shared" si="26"/>
        <v>208</v>
      </c>
      <c r="S22" s="203">
        <f t="shared" si="7"/>
        <v>4475.3548387096771</v>
      </c>
      <c r="T22" s="203">
        <f t="shared" si="27"/>
        <v>208</v>
      </c>
      <c r="U22" s="203">
        <f t="shared" si="8"/>
        <v>4475.3548387096771</v>
      </c>
      <c r="V22" s="203">
        <f t="shared" si="28"/>
        <v>208</v>
      </c>
      <c r="W22" s="203">
        <f t="shared" si="9"/>
        <v>4475.3548387096771</v>
      </c>
      <c r="X22" s="35">
        <f t="shared" si="10"/>
        <v>0.6709677419354837</v>
      </c>
      <c r="Y22" s="36">
        <f t="shared" si="29"/>
        <v>49228.90322580644</v>
      </c>
      <c r="Z22" s="203">
        <f>'B5'!C21</f>
        <v>215</v>
      </c>
      <c r="AA22" s="203">
        <f t="shared" si="30"/>
        <v>2150</v>
      </c>
      <c r="AB22" s="203">
        <f t="shared" si="31"/>
        <v>215</v>
      </c>
      <c r="AC22" s="203">
        <f t="shared" si="30"/>
        <v>2150</v>
      </c>
      <c r="AD22" s="203">
        <f t="shared" si="32"/>
        <v>215</v>
      </c>
      <c r="AE22" s="203">
        <f t="shared" si="11"/>
        <v>2150</v>
      </c>
      <c r="AF22" s="203">
        <f t="shared" si="33"/>
        <v>215</v>
      </c>
      <c r="AG22" s="203">
        <f t="shared" si="12"/>
        <v>2150</v>
      </c>
      <c r="AH22" s="203">
        <f t="shared" si="34"/>
        <v>215</v>
      </c>
      <c r="AI22" s="203">
        <f t="shared" si="13"/>
        <v>2150</v>
      </c>
      <c r="AJ22" s="203">
        <f t="shared" si="35"/>
        <v>215</v>
      </c>
      <c r="AK22" s="203">
        <f t="shared" si="14"/>
        <v>2150</v>
      </c>
      <c r="AL22" s="203">
        <f t="shared" si="36"/>
        <v>215</v>
      </c>
      <c r="AM22" s="203">
        <f t="shared" si="15"/>
        <v>2150</v>
      </c>
      <c r="AN22" s="35">
        <f t="shared" si="16"/>
        <v>0.7678571428571429</v>
      </c>
      <c r="AO22" s="36">
        <f t="shared" si="17"/>
        <v>15050</v>
      </c>
      <c r="AQ22" s="223">
        <f t="shared" si="37"/>
        <v>0.69139403276117495</v>
      </c>
      <c r="AR22" s="38">
        <f t="shared" si="42"/>
        <v>64278.90322580644</v>
      </c>
      <c r="AS22" s="197">
        <f t="shared" si="38"/>
        <v>0</v>
      </c>
      <c r="AT22" s="271"/>
      <c r="AU22" s="436"/>
      <c r="AV22" s="518">
        <f t="shared" si="43"/>
        <v>0.96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4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44304</v>
      </c>
      <c r="B23">
        <f>'B5'!B22</f>
        <v>208</v>
      </c>
      <c r="C23" s="203">
        <f t="shared" si="18"/>
        <v>4475.3548387096771</v>
      </c>
      <c r="D23">
        <f t="shared" si="19"/>
        <v>208</v>
      </c>
      <c r="E23" s="203">
        <f t="shared" si="18"/>
        <v>4475.3548387096771</v>
      </c>
      <c r="F23">
        <f t="shared" si="20"/>
        <v>208</v>
      </c>
      <c r="G23" s="203">
        <f t="shared" si="1"/>
        <v>4475.3548387096771</v>
      </c>
      <c r="H23" s="203">
        <f t="shared" si="21"/>
        <v>208</v>
      </c>
      <c r="I23" s="203">
        <f t="shared" si="2"/>
        <v>4475.3548387096771</v>
      </c>
      <c r="J23" s="203">
        <f t="shared" si="22"/>
        <v>208</v>
      </c>
      <c r="K23" s="203">
        <f t="shared" si="3"/>
        <v>4475.3548387096771</v>
      </c>
      <c r="L23" s="203">
        <f t="shared" si="23"/>
        <v>208</v>
      </c>
      <c r="M23" s="203">
        <f t="shared" si="4"/>
        <v>4475.3548387096771</v>
      </c>
      <c r="N23" s="203">
        <f t="shared" si="24"/>
        <v>208</v>
      </c>
      <c r="O23" s="203">
        <f t="shared" si="5"/>
        <v>4475.3548387096771</v>
      </c>
      <c r="P23" s="203">
        <f t="shared" si="25"/>
        <v>208</v>
      </c>
      <c r="Q23" s="203">
        <f t="shared" si="6"/>
        <v>4475.3548387096771</v>
      </c>
      <c r="R23" s="203">
        <f t="shared" si="26"/>
        <v>208</v>
      </c>
      <c r="S23" s="203">
        <f t="shared" si="7"/>
        <v>4475.3548387096771</v>
      </c>
      <c r="T23" s="203">
        <f t="shared" si="27"/>
        <v>208</v>
      </c>
      <c r="U23" s="203">
        <f t="shared" si="8"/>
        <v>4475.3548387096771</v>
      </c>
      <c r="V23" s="203">
        <f t="shared" si="28"/>
        <v>208</v>
      </c>
      <c r="W23" s="203">
        <f t="shared" si="9"/>
        <v>4475.3548387096771</v>
      </c>
      <c r="X23" s="35">
        <f t="shared" si="10"/>
        <v>0.6709677419354837</v>
      </c>
      <c r="Y23" s="36">
        <f t="shared" si="29"/>
        <v>49228.90322580644</v>
      </c>
      <c r="Z23" s="203">
        <f>'B5'!C22</f>
        <v>215</v>
      </c>
      <c r="AA23" s="203">
        <f t="shared" si="30"/>
        <v>2150</v>
      </c>
      <c r="AB23" s="203">
        <f t="shared" si="31"/>
        <v>215</v>
      </c>
      <c r="AC23" s="203">
        <f t="shared" si="30"/>
        <v>2150</v>
      </c>
      <c r="AD23" s="203">
        <f t="shared" si="32"/>
        <v>215</v>
      </c>
      <c r="AE23" s="203">
        <f t="shared" si="11"/>
        <v>2150</v>
      </c>
      <c r="AF23" s="203">
        <f t="shared" si="33"/>
        <v>215</v>
      </c>
      <c r="AG23" s="203">
        <f t="shared" si="12"/>
        <v>2150</v>
      </c>
      <c r="AH23" s="203">
        <f t="shared" si="34"/>
        <v>215</v>
      </c>
      <c r="AI23" s="203">
        <f t="shared" si="13"/>
        <v>2150</v>
      </c>
      <c r="AJ23" s="203">
        <f t="shared" si="35"/>
        <v>215</v>
      </c>
      <c r="AK23" s="203">
        <f t="shared" si="14"/>
        <v>2150</v>
      </c>
      <c r="AL23" s="203">
        <f t="shared" si="36"/>
        <v>215</v>
      </c>
      <c r="AM23" s="203">
        <f t="shared" si="15"/>
        <v>2150</v>
      </c>
      <c r="AN23" s="35">
        <f t="shared" si="16"/>
        <v>0.7678571428571429</v>
      </c>
      <c r="AO23" s="36">
        <f t="shared" si="17"/>
        <v>15050</v>
      </c>
      <c r="AQ23" s="223">
        <f t="shared" si="37"/>
        <v>0.69139403276117495</v>
      </c>
      <c r="AR23" s="38">
        <f t="shared" si="42"/>
        <v>64278.90322580644</v>
      </c>
      <c r="AS23" s="197">
        <f t="shared" si="38"/>
        <v>0</v>
      </c>
      <c r="AT23" s="271"/>
      <c r="AU23" s="436"/>
      <c r="AV23" s="518">
        <f t="shared" si="43"/>
        <v>0.96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4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44305</v>
      </c>
      <c r="B24">
        <f>'B5'!B23</f>
        <v>208</v>
      </c>
      <c r="C24" s="203">
        <f t="shared" si="18"/>
        <v>4475.3548387096771</v>
      </c>
      <c r="D24">
        <f t="shared" si="19"/>
        <v>208</v>
      </c>
      <c r="E24" s="203">
        <f t="shared" si="18"/>
        <v>4475.3548387096771</v>
      </c>
      <c r="F24">
        <f t="shared" si="20"/>
        <v>208</v>
      </c>
      <c r="G24" s="203">
        <f t="shared" si="1"/>
        <v>4475.3548387096771</v>
      </c>
      <c r="H24" s="203">
        <f t="shared" si="21"/>
        <v>208</v>
      </c>
      <c r="I24" s="203">
        <f t="shared" si="2"/>
        <v>4475.3548387096771</v>
      </c>
      <c r="J24" s="203">
        <f t="shared" si="22"/>
        <v>208</v>
      </c>
      <c r="K24" s="203">
        <f t="shared" si="3"/>
        <v>4475.3548387096771</v>
      </c>
      <c r="L24" s="203">
        <f t="shared" si="23"/>
        <v>208</v>
      </c>
      <c r="M24" s="203">
        <f t="shared" si="4"/>
        <v>4475.3548387096771</v>
      </c>
      <c r="N24" s="203">
        <f t="shared" si="24"/>
        <v>208</v>
      </c>
      <c r="O24" s="203">
        <f t="shared" si="5"/>
        <v>4475.3548387096771</v>
      </c>
      <c r="P24" s="203">
        <f t="shared" si="25"/>
        <v>208</v>
      </c>
      <c r="Q24" s="203">
        <f t="shared" si="6"/>
        <v>4475.3548387096771</v>
      </c>
      <c r="R24" s="203">
        <f t="shared" si="26"/>
        <v>208</v>
      </c>
      <c r="S24" s="203">
        <f t="shared" si="7"/>
        <v>4475.3548387096771</v>
      </c>
      <c r="T24" s="203">
        <f t="shared" si="27"/>
        <v>208</v>
      </c>
      <c r="U24" s="203">
        <f t="shared" si="8"/>
        <v>4475.3548387096771</v>
      </c>
      <c r="V24" s="203">
        <f t="shared" si="28"/>
        <v>208</v>
      </c>
      <c r="W24" s="203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3">
        <f>'B5'!C23</f>
        <v>215</v>
      </c>
      <c r="AA24" s="203">
        <f t="shared" si="30"/>
        <v>2150</v>
      </c>
      <c r="AB24" s="203">
        <f t="shared" si="31"/>
        <v>215</v>
      </c>
      <c r="AC24" s="203">
        <f t="shared" si="30"/>
        <v>2150</v>
      </c>
      <c r="AD24" s="203">
        <f t="shared" si="32"/>
        <v>215</v>
      </c>
      <c r="AE24" s="203">
        <f t="shared" si="11"/>
        <v>2150</v>
      </c>
      <c r="AF24" s="203">
        <f t="shared" si="33"/>
        <v>215</v>
      </c>
      <c r="AG24" s="203">
        <f t="shared" si="12"/>
        <v>2150</v>
      </c>
      <c r="AH24" s="203">
        <f t="shared" si="34"/>
        <v>215</v>
      </c>
      <c r="AI24" s="203">
        <f t="shared" si="13"/>
        <v>2150</v>
      </c>
      <c r="AJ24" s="203">
        <f t="shared" si="35"/>
        <v>215</v>
      </c>
      <c r="AK24" s="203">
        <f t="shared" si="14"/>
        <v>2150</v>
      </c>
      <c r="AL24" s="203">
        <f t="shared" si="36"/>
        <v>215</v>
      </c>
      <c r="AM24" s="203">
        <f t="shared" si="15"/>
        <v>2150</v>
      </c>
      <c r="AN24" s="35">
        <f t="shared" si="16"/>
        <v>0.7678571428571429</v>
      </c>
      <c r="AO24" s="36">
        <f t="shared" si="17"/>
        <v>15050</v>
      </c>
      <c r="AQ24" s="223">
        <f t="shared" si="37"/>
        <v>0.69139403276117495</v>
      </c>
      <c r="AR24" s="38">
        <f t="shared" si="42"/>
        <v>64278.90322580644</v>
      </c>
      <c r="AS24" s="197">
        <f t="shared" si="38"/>
        <v>0</v>
      </c>
      <c r="AT24" s="271"/>
      <c r="AU24" s="436"/>
      <c r="AV24" s="518">
        <f t="shared" si="43"/>
        <v>0.96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4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44306</v>
      </c>
      <c r="B25">
        <f>'B5'!B24</f>
        <v>208</v>
      </c>
      <c r="C25" s="203">
        <f t="shared" si="18"/>
        <v>4475.3548387096771</v>
      </c>
      <c r="D25">
        <f t="shared" si="19"/>
        <v>208</v>
      </c>
      <c r="E25" s="203">
        <f t="shared" si="18"/>
        <v>4475.3548387096771</v>
      </c>
      <c r="F25">
        <f t="shared" si="20"/>
        <v>208</v>
      </c>
      <c r="G25" s="203">
        <f t="shared" si="1"/>
        <v>4475.3548387096771</v>
      </c>
      <c r="H25" s="203">
        <f t="shared" si="21"/>
        <v>208</v>
      </c>
      <c r="I25" s="203">
        <f t="shared" si="2"/>
        <v>4475.3548387096771</v>
      </c>
      <c r="J25" s="203">
        <f t="shared" si="22"/>
        <v>208</v>
      </c>
      <c r="K25" s="203">
        <f t="shared" si="3"/>
        <v>4475.3548387096771</v>
      </c>
      <c r="L25" s="203">
        <f t="shared" si="23"/>
        <v>208</v>
      </c>
      <c r="M25" s="203">
        <f t="shared" si="4"/>
        <v>4475.3548387096771</v>
      </c>
      <c r="N25" s="203">
        <f t="shared" si="24"/>
        <v>208</v>
      </c>
      <c r="O25" s="203">
        <f t="shared" si="5"/>
        <v>4475.3548387096771</v>
      </c>
      <c r="P25" s="203">
        <f t="shared" si="25"/>
        <v>208</v>
      </c>
      <c r="Q25" s="203">
        <f t="shared" si="6"/>
        <v>4475.3548387096771</v>
      </c>
      <c r="R25" s="203">
        <f t="shared" si="26"/>
        <v>208</v>
      </c>
      <c r="S25" s="203">
        <f t="shared" si="7"/>
        <v>4475.3548387096771</v>
      </c>
      <c r="T25" s="203">
        <f t="shared" si="27"/>
        <v>208</v>
      </c>
      <c r="U25" s="203">
        <f t="shared" si="8"/>
        <v>4475.3548387096771</v>
      </c>
      <c r="V25" s="203">
        <f t="shared" si="28"/>
        <v>208</v>
      </c>
      <c r="W25" s="203">
        <f t="shared" si="9"/>
        <v>4475.3548387096771</v>
      </c>
      <c r="X25" s="35">
        <f t="shared" si="10"/>
        <v>0.6709677419354837</v>
      </c>
      <c r="Y25" s="36">
        <f t="shared" si="29"/>
        <v>49228.90322580644</v>
      </c>
      <c r="Z25" s="203">
        <f>'B5'!C24</f>
        <v>215</v>
      </c>
      <c r="AA25" s="203">
        <f t="shared" si="30"/>
        <v>2150</v>
      </c>
      <c r="AB25" s="203">
        <f t="shared" si="31"/>
        <v>215</v>
      </c>
      <c r="AC25" s="203">
        <f t="shared" si="30"/>
        <v>2150</v>
      </c>
      <c r="AD25" s="203">
        <f t="shared" si="32"/>
        <v>215</v>
      </c>
      <c r="AE25" s="203">
        <f t="shared" si="11"/>
        <v>2150</v>
      </c>
      <c r="AF25" s="203">
        <f t="shared" si="33"/>
        <v>215</v>
      </c>
      <c r="AG25" s="203">
        <f t="shared" si="12"/>
        <v>2150</v>
      </c>
      <c r="AH25" s="203">
        <f t="shared" si="34"/>
        <v>215</v>
      </c>
      <c r="AI25" s="203">
        <f t="shared" si="13"/>
        <v>2150</v>
      </c>
      <c r="AJ25" s="203">
        <f t="shared" si="35"/>
        <v>215</v>
      </c>
      <c r="AK25" s="203">
        <f t="shared" si="14"/>
        <v>2150</v>
      </c>
      <c r="AL25" s="203">
        <f t="shared" si="36"/>
        <v>215</v>
      </c>
      <c r="AM25" s="203">
        <f t="shared" si="15"/>
        <v>2150</v>
      </c>
      <c r="AN25" s="35">
        <f t="shared" si="16"/>
        <v>0.7678571428571429</v>
      </c>
      <c r="AO25" s="36">
        <f t="shared" si="17"/>
        <v>15050</v>
      </c>
      <c r="AQ25" s="223">
        <f t="shared" si="37"/>
        <v>0.69139403276117495</v>
      </c>
      <c r="AR25" s="38">
        <f t="shared" si="42"/>
        <v>64278.90322580644</v>
      </c>
      <c r="AS25" s="197">
        <f t="shared" si="38"/>
        <v>0</v>
      </c>
      <c r="AT25" s="271"/>
      <c r="AU25" s="436"/>
      <c r="AV25" s="518">
        <f t="shared" si="43"/>
        <v>0.96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4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44307</v>
      </c>
      <c r="B26">
        <f>'B5'!B25</f>
        <v>208</v>
      </c>
      <c r="C26" s="203">
        <f t="shared" si="18"/>
        <v>4475.3548387096771</v>
      </c>
      <c r="D26">
        <f t="shared" si="19"/>
        <v>208</v>
      </c>
      <c r="E26" s="203">
        <f t="shared" si="18"/>
        <v>4475.3548387096771</v>
      </c>
      <c r="F26">
        <f t="shared" si="20"/>
        <v>208</v>
      </c>
      <c r="G26" s="203">
        <f t="shared" si="1"/>
        <v>4475.3548387096771</v>
      </c>
      <c r="H26" s="203">
        <f t="shared" si="21"/>
        <v>208</v>
      </c>
      <c r="I26" s="203">
        <f t="shared" si="2"/>
        <v>4475.3548387096771</v>
      </c>
      <c r="J26" s="203">
        <f t="shared" si="22"/>
        <v>208</v>
      </c>
      <c r="K26" s="203">
        <f t="shared" si="3"/>
        <v>4475.3548387096771</v>
      </c>
      <c r="L26" s="203">
        <f t="shared" si="23"/>
        <v>208</v>
      </c>
      <c r="M26" s="203">
        <f t="shared" si="4"/>
        <v>4475.3548387096771</v>
      </c>
      <c r="N26" s="203">
        <f t="shared" si="24"/>
        <v>208</v>
      </c>
      <c r="O26" s="203">
        <f t="shared" si="5"/>
        <v>4475.3548387096771</v>
      </c>
      <c r="P26" s="203">
        <f t="shared" si="25"/>
        <v>208</v>
      </c>
      <c r="Q26" s="203">
        <f t="shared" si="6"/>
        <v>4475.3548387096771</v>
      </c>
      <c r="R26" s="203">
        <f t="shared" si="26"/>
        <v>208</v>
      </c>
      <c r="S26" s="203">
        <f t="shared" si="7"/>
        <v>4475.3548387096771</v>
      </c>
      <c r="T26" s="203">
        <f t="shared" si="27"/>
        <v>208</v>
      </c>
      <c r="U26" s="203">
        <f t="shared" si="8"/>
        <v>4475.3548387096771</v>
      </c>
      <c r="V26" s="203">
        <f t="shared" si="28"/>
        <v>208</v>
      </c>
      <c r="W26" s="203">
        <f t="shared" si="9"/>
        <v>4475.3548387096771</v>
      </c>
      <c r="X26" s="35">
        <f t="shared" si="10"/>
        <v>0.6709677419354837</v>
      </c>
      <c r="Y26" s="36">
        <f t="shared" si="29"/>
        <v>49228.90322580644</v>
      </c>
      <c r="Z26" s="203">
        <f>'B5'!C25</f>
        <v>215</v>
      </c>
      <c r="AA26" s="203">
        <f t="shared" si="30"/>
        <v>2150</v>
      </c>
      <c r="AB26" s="203">
        <f t="shared" si="31"/>
        <v>215</v>
      </c>
      <c r="AC26" s="203">
        <f t="shared" si="30"/>
        <v>2150</v>
      </c>
      <c r="AD26" s="203">
        <f t="shared" si="32"/>
        <v>215</v>
      </c>
      <c r="AE26" s="203">
        <f t="shared" si="11"/>
        <v>2150</v>
      </c>
      <c r="AF26" s="203">
        <f t="shared" si="33"/>
        <v>215</v>
      </c>
      <c r="AG26" s="203">
        <f t="shared" si="12"/>
        <v>2150</v>
      </c>
      <c r="AH26" s="203">
        <f t="shared" si="34"/>
        <v>215</v>
      </c>
      <c r="AI26" s="203">
        <f t="shared" si="13"/>
        <v>2150</v>
      </c>
      <c r="AJ26" s="203">
        <f t="shared" si="35"/>
        <v>215</v>
      </c>
      <c r="AK26" s="203">
        <f t="shared" si="14"/>
        <v>2150</v>
      </c>
      <c r="AL26" s="203">
        <f t="shared" si="36"/>
        <v>215</v>
      </c>
      <c r="AM26" s="203">
        <f t="shared" si="15"/>
        <v>2150</v>
      </c>
      <c r="AN26" s="35">
        <f t="shared" si="16"/>
        <v>0.7678571428571429</v>
      </c>
      <c r="AO26" s="36">
        <f t="shared" si="17"/>
        <v>15050</v>
      </c>
      <c r="AQ26" s="223">
        <f t="shared" si="37"/>
        <v>0.69139403276117495</v>
      </c>
      <c r="AR26" s="38">
        <f t="shared" si="42"/>
        <v>64278.90322580644</v>
      </c>
      <c r="AS26" s="197">
        <f t="shared" si="38"/>
        <v>0</v>
      </c>
      <c r="AT26" s="271"/>
      <c r="AU26" s="491"/>
      <c r="AV26" s="518">
        <f t="shared" si="43"/>
        <v>0.96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4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44308</v>
      </c>
      <c r="B27">
        <f>'B5'!B26</f>
        <v>208</v>
      </c>
      <c r="C27" s="203">
        <f t="shared" si="18"/>
        <v>4475.3548387096771</v>
      </c>
      <c r="D27">
        <f t="shared" si="19"/>
        <v>208</v>
      </c>
      <c r="E27" s="203">
        <f t="shared" si="18"/>
        <v>4475.3548387096771</v>
      </c>
      <c r="F27">
        <f t="shared" si="20"/>
        <v>208</v>
      </c>
      <c r="G27" s="203">
        <f t="shared" si="1"/>
        <v>4475.3548387096771</v>
      </c>
      <c r="H27" s="203">
        <f t="shared" si="21"/>
        <v>208</v>
      </c>
      <c r="I27" s="203">
        <f t="shared" si="2"/>
        <v>4475.3548387096771</v>
      </c>
      <c r="J27" s="203">
        <f t="shared" si="22"/>
        <v>208</v>
      </c>
      <c r="K27" s="203">
        <f t="shared" si="3"/>
        <v>4475.3548387096771</v>
      </c>
      <c r="L27" s="203">
        <f t="shared" si="23"/>
        <v>208</v>
      </c>
      <c r="M27" s="203">
        <f t="shared" si="4"/>
        <v>4475.3548387096771</v>
      </c>
      <c r="N27" s="203">
        <f t="shared" si="24"/>
        <v>208</v>
      </c>
      <c r="O27" s="203">
        <f t="shared" si="5"/>
        <v>4475.3548387096771</v>
      </c>
      <c r="P27" s="203">
        <f t="shared" si="25"/>
        <v>208</v>
      </c>
      <c r="Q27" s="203">
        <f t="shared" si="6"/>
        <v>4475.3548387096771</v>
      </c>
      <c r="R27" s="203">
        <f t="shared" si="26"/>
        <v>208</v>
      </c>
      <c r="S27" s="203">
        <f t="shared" si="7"/>
        <v>4475.3548387096771</v>
      </c>
      <c r="T27" s="203">
        <f t="shared" si="27"/>
        <v>208</v>
      </c>
      <c r="U27" s="203">
        <f t="shared" si="8"/>
        <v>4475.3548387096771</v>
      </c>
      <c r="V27" s="203">
        <f t="shared" si="28"/>
        <v>208</v>
      </c>
      <c r="W27" s="203">
        <f t="shared" si="9"/>
        <v>4475.3548387096771</v>
      </c>
      <c r="X27" s="35">
        <f t="shared" si="10"/>
        <v>0.6709677419354837</v>
      </c>
      <c r="Y27" s="36">
        <f t="shared" si="29"/>
        <v>49228.90322580644</v>
      </c>
      <c r="Z27" s="203">
        <f>'B5'!C26</f>
        <v>215</v>
      </c>
      <c r="AA27" s="203">
        <f t="shared" si="30"/>
        <v>2150</v>
      </c>
      <c r="AB27" s="203">
        <f t="shared" si="31"/>
        <v>215</v>
      </c>
      <c r="AC27" s="203">
        <f t="shared" si="30"/>
        <v>2150</v>
      </c>
      <c r="AD27" s="203">
        <f t="shared" si="32"/>
        <v>215</v>
      </c>
      <c r="AE27" s="203">
        <f t="shared" si="11"/>
        <v>2150</v>
      </c>
      <c r="AF27" s="203">
        <f t="shared" si="33"/>
        <v>215</v>
      </c>
      <c r="AG27" s="203">
        <f t="shared" si="12"/>
        <v>2150</v>
      </c>
      <c r="AH27" s="203">
        <f t="shared" si="34"/>
        <v>215</v>
      </c>
      <c r="AI27" s="203">
        <f t="shared" si="13"/>
        <v>2150</v>
      </c>
      <c r="AJ27" s="203">
        <f t="shared" si="35"/>
        <v>215</v>
      </c>
      <c r="AK27" s="203">
        <f t="shared" si="14"/>
        <v>2150</v>
      </c>
      <c r="AL27" s="203">
        <f t="shared" si="36"/>
        <v>215</v>
      </c>
      <c r="AM27" s="203">
        <f t="shared" si="15"/>
        <v>2150</v>
      </c>
      <c r="AN27" s="35">
        <f t="shared" si="16"/>
        <v>0.7678571428571429</v>
      </c>
      <c r="AO27" s="36">
        <f t="shared" si="17"/>
        <v>15050</v>
      </c>
      <c r="AQ27" s="223">
        <f t="shared" si="37"/>
        <v>0.69139403276117495</v>
      </c>
      <c r="AR27" s="38">
        <f t="shared" si="42"/>
        <v>64278.90322580644</v>
      </c>
      <c r="AS27" s="197">
        <f t="shared" si="38"/>
        <v>0</v>
      </c>
      <c r="AT27" s="271"/>
      <c r="AU27" s="436"/>
      <c r="AV27" s="518">
        <f t="shared" si="43"/>
        <v>0.96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4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44309</v>
      </c>
      <c r="B28">
        <f>'B5'!B27</f>
        <v>208</v>
      </c>
      <c r="C28" s="203">
        <f t="shared" si="18"/>
        <v>4475.3548387096771</v>
      </c>
      <c r="D28">
        <f t="shared" si="19"/>
        <v>208</v>
      </c>
      <c r="E28" s="203">
        <f t="shared" si="18"/>
        <v>4475.3548387096771</v>
      </c>
      <c r="F28">
        <f t="shared" si="20"/>
        <v>208</v>
      </c>
      <c r="G28" s="203">
        <f t="shared" si="1"/>
        <v>4475.3548387096771</v>
      </c>
      <c r="H28" s="203">
        <f t="shared" si="21"/>
        <v>208</v>
      </c>
      <c r="I28" s="203">
        <f t="shared" si="2"/>
        <v>4475.3548387096771</v>
      </c>
      <c r="J28" s="203">
        <f t="shared" si="22"/>
        <v>208</v>
      </c>
      <c r="K28" s="203">
        <f t="shared" si="3"/>
        <v>4475.3548387096771</v>
      </c>
      <c r="L28" s="203">
        <f t="shared" si="23"/>
        <v>208</v>
      </c>
      <c r="M28" s="203">
        <f t="shared" si="4"/>
        <v>4475.3548387096771</v>
      </c>
      <c r="N28" s="203">
        <f t="shared" si="24"/>
        <v>208</v>
      </c>
      <c r="O28" s="203">
        <f t="shared" si="5"/>
        <v>4475.3548387096771</v>
      </c>
      <c r="P28" s="203">
        <f t="shared" si="25"/>
        <v>208</v>
      </c>
      <c r="Q28" s="203">
        <f t="shared" si="6"/>
        <v>4475.3548387096771</v>
      </c>
      <c r="R28" s="203">
        <f t="shared" si="26"/>
        <v>208</v>
      </c>
      <c r="S28" s="203">
        <f t="shared" si="7"/>
        <v>4475.3548387096771</v>
      </c>
      <c r="T28" s="203">
        <f t="shared" si="27"/>
        <v>208</v>
      </c>
      <c r="U28" s="203">
        <f t="shared" si="8"/>
        <v>4475.3548387096771</v>
      </c>
      <c r="V28" s="203">
        <f t="shared" si="28"/>
        <v>208</v>
      </c>
      <c r="W28" s="203">
        <f t="shared" si="9"/>
        <v>4475.3548387096771</v>
      </c>
      <c r="X28" s="35">
        <f t="shared" si="10"/>
        <v>0.6709677419354837</v>
      </c>
      <c r="Y28" s="36">
        <f t="shared" si="29"/>
        <v>49228.90322580644</v>
      </c>
      <c r="Z28" s="203">
        <f>'B5'!C27</f>
        <v>215</v>
      </c>
      <c r="AA28" s="203">
        <f t="shared" si="30"/>
        <v>2150</v>
      </c>
      <c r="AB28" s="203">
        <f t="shared" si="31"/>
        <v>215</v>
      </c>
      <c r="AC28" s="203">
        <f t="shared" si="30"/>
        <v>2150</v>
      </c>
      <c r="AD28" s="203">
        <f t="shared" si="32"/>
        <v>215</v>
      </c>
      <c r="AE28" s="203">
        <f t="shared" si="11"/>
        <v>2150</v>
      </c>
      <c r="AF28" s="203">
        <f t="shared" si="33"/>
        <v>215</v>
      </c>
      <c r="AG28" s="203">
        <f t="shared" si="12"/>
        <v>2150</v>
      </c>
      <c r="AH28" s="203">
        <f t="shared" si="34"/>
        <v>215</v>
      </c>
      <c r="AI28" s="203">
        <f t="shared" si="13"/>
        <v>2150</v>
      </c>
      <c r="AJ28" s="203">
        <f t="shared" si="35"/>
        <v>215</v>
      </c>
      <c r="AK28" s="203">
        <f t="shared" si="14"/>
        <v>2150</v>
      </c>
      <c r="AL28" s="203">
        <f t="shared" si="36"/>
        <v>215</v>
      </c>
      <c r="AM28" s="203">
        <f t="shared" si="15"/>
        <v>2150</v>
      </c>
      <c r="AN28" s="35">
        <f t="shared" si="16"/>
        <v>0.7678571428571429</v>
      </c>
      <c r="AO28" s="36">
        <f t="shared" si="17"/>
        <v>15050</v>
      </c>
      <c r="AQ28" s="223">
        <f t="shared" si="37"/>
        <v>0.69139403276117495</v>
      </c>
      <c r="AR28" s="38">
        <f t="shared" si="42"/>
        <v>64278.90322580644</v>
      </c>
      <c r="AS28" s="197">
        <f t="shared" si="38"/>
        <v>0</v>
      </c>
      <c r="AT28" s="355"/>
      <c r="AU28" s="436"/>
      <c r="AV28" s="518">
        <f t="shared" si="43"/>
        <v>0.96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4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44310</v>
      </c>
      <c r="B29">
        <f>'B5'!B28</f>
        <v>208</v>
      </c>
      <c r="C29" s="203">
        <f t="shared" si="18"/>
        <v>4475.3548387096771</v>
      </c>
      <c r="D29">
        <f t="shared" si="19"/>
        <v>208</v>
      </c>
      <c r="E29" s="203">
        <f t="shared" si="18"/>
        <v>4475.3548387096771</v>
      </c>
      <c r="F29">
        <f t="shared" si="20"/>
        <v>208</v>
      </c>
      <c r="G29" s="203">
        <f t="shared" si="1"/>
        <v>4475.3548387096771</v>
      </c>
      <c r="H29" s="203">
        <f t="shared" si="21"/>
        <v>208</v>
      </c>
      <c r="I29" s="203">
        <f t="shared" si="2"/>
        <v>4475.3548387096771</v>
      </c>
      <c r="J29" s="203">
        <f t="shared" si="22"/>
        <v>208</v>
      </c>
      <c r="K29" s="203">
        <f t="shared" si="3"/>
        <v>4475.3548387096771</v>
      </c>
      <c r="L29" s="203">
        <f t="shared" si="23"/>
        <v>208</v>
      </c>
      <c r="M29" s="203">
        <f t="shared" si="4"/>
        <v>4475.3548387096771</v>
      </c>
      <c r="N29" s="203">
        <f t="shared" si="24"/>
        <v>208</v>
      </c>
      <c r="O29" s="203">
        <f t="shared" si="5"/>
        <v>4475.3548387096771</v>
      </c>
      <c r="P29" s="203">
        <f t="shared" si="25"/>
        <v>208</v>
      </c>
      <c r="Q29" s="203">
        <f t="shared" si="6"/>
        <v>4475.3548387096771</v>
      </c>
      <c r="R29" s="203">
        <f t="shared" si="26"/>
        <v>208</v>
      </c>
      <c r="S29" s="203">
        <f t="shared" si="7"/>
        <v>4475.3548387096771</v>
      </c>
      <c r="T29" s="203">
        <f t="shared" si="27"/>
        <v>208</v>
      </c>
      <c r="U29" s="203">
        <f t="shared" si="8"/>
        <v>4475.3548387096771</v>
      </c>
      <c r="V29" s="203">
        <f t="shared" si="28"/>
        <v>208</v>
      </c>
      <c r="W29" s="203">
        <f t="shared" si="9"/>
        <v>4475.3548387096771</v>
      </c>
      <c r="X29" s="35">
        <f t="shared" si="10"/>
        <v>0.6709677419354837</v>
      </c>
      <c r="Y29" s="36">
        <f t="shared" si="29"/>
        <v>49228.90322580644</v>
      </c>
      <c r="Z29" s="203">
        <f>'B5'!C28</f>
        <v>215</v>
      </c>
      <c r="AA29" s="203">
        <f t="shared" si="30"/>
        <v>2150</v>
      </c>
      <c r="AB29" s="203">
        <f t="shared" si="31"/>
        <v>215</v>
      </c>
      <c r="AC29" s="203">
        <f t="shared" si="30"/>
        <v>2150</v>
      </c>
      <c r="AD29" s="203">
        <f t="shared" si="32"/>
        <v>215</v>
      </c>
      <c r="AE29" s="203">
        <f t="shared" si="11"/>
        <v>2150</v>
      </c>
      <c r="AF29" s="203">
        <f t="shared" si="33"/>
        <v>215</v>
      </c>
      <c r="AG29" s="203">
        <f t="shared" si="12"/>
        <v>2150</v>
      </c>
      <c r="AH29" s="203">
        <f t="shared" si="34"/>
        <v>215</v>
      </c>
      <c r="AI29" s="203">
        <f t="shared" si="13"/>
        <v>2150</v>
      </c>
      <c r="AJ29" s="203">
        <f t="shared" si="35"/>
        <v>215</v>
      </c>
      <c r="AK29" s="203">
        <f t="shared" si="14"/>
        <v>2150</v>
      </c>
      <c r="AL29" s="203">
        <f t="shared" si="36"/>
        <v>215</v>
      </c>
      <c r="AM29" s="203">
        <f t="shared" si="15"/>
        <v>2150</v>
      </c>
      <c r="AN29" s="35">
        <f t="shared" si="16"/>
        <v>0.7678571428571429</v>
      </c>
      <c r="AO29" s="36">
        <f t="shared" si="17"/>
        <v>15050</v>
      </c>
      <c r="AQ29" s="223">
        <f t="shared" si="37"/>
        <v>0.69139403276117495</v>
      </c>
      <c r="AR29" s="38">
        <f t="shared" si="42"/>
        <v>64278.90322580644</v>
      </c>
      <c r="AS29" s="197">
        <f t="shared" si="38"/>
        <v>0</v>
      </c>
      <c r="AT29" s="355"/>
      <c r="AU29" s="436"/>
      <c r="AV29" s="518">
        <f t="shared" si="43"/>
        <v>0.96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4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44311</v>
      </c>
      <c r="B30">
        <f>'B5'!B29</f>
        <v>208</v>
      </c>
      <c r="C30" s="203">
        <f t="shared" si="18"/>
        <v>4475.3548387096771</v>
      </c>
      <c r="D30">
        <f t="shared" ref="D30:D33" si="45">SUM(B30)</f>
        <v>208</v>
      </c>
      <c r="E30" s="203">
        <f t="shared" si="18"/>
        <v>4475.3548387096771</v>
      </c>
      <c r="F30">
        <f t="shared" ref="F30:F33" si="46">SUM(D30)</f>
        <v>208</v>
      </c>
      <c r="G30" s="203">
        <f t="shared" si="1"/>
        <v>4475.3548387096771</v>
      </c>
      <c r="H30" s="203">
        <f t="shared" ref="H30:H33" si="47">SUM(F30)</f>
        <v>208</v>
      </c>
      <c r="I30" s="203">
        <f t="shared" si="2"/>
        <v>4475.3548387096771</v>
      </c>
      <c r="J30" s="203">
        <f t="shared" ref="J30:J33" si="48">SUM(H30)</f>
        <v>208</v>
      </c>
      <c r="K30" s="203">
        <f t="shared" si="3"/>
        <v>4475.3548387096771</v>
      </c>
      <c r="L30" s="203">
        <f t="shared" ref="L30:L33" si="49">SUM(J30)</f>
        <v>208</v>
      </c>
      <c r="M30" s="203">
        <f t="shared" si="4"/>
        <v>4475.3548387096771</v>
      </c>
      <c r="N30" s="203">
        <f t="shared" ref="N30:N33" si="50">SUM(L30)</f>
        <v>208</v>
      </c>
      <c r="O30" s="203">
        <f t="shared" si="5"/>
        <v>4475.3548387096771</v>
      </c>
      <c r="P30" s="203">
        <f t="shared" ref="P30:P33" si="51">SUM(N30)</f>
        <v>208</v>
      </c>
      <c r="Q30" s="203">
        <f t="shared" si="6"/>
        <v>4475.3548387096771</v>
      </c>
      <c r="R30" s="203">
        <f t="shared" ref="R30:R33" si="52">SUM(P30)</f>
        <v>208</v>
      </c>
      <c r="S30" s="203">
        <f t="shared" si="7"/>
        <v>4475.3548387096771</v>
      </c>
      <c r="T30" s="203">
        <f t="shared" ref="T30:T33" si="53">SUM(R30)</f>
        <v>208</v>
      </c>
      <c r="U30" s="203">
        <f t="shared" si="8"/>
        <v>4475.3548387096771</v>
      </c>
      <c r="V30" s="203">
        <f t="shared" ref="V30:V33" si="54">SUM(T30)</f>
        <v>208</v>
      </c>
      <c r="W30" s="203">
        <f t="shared" si="9"/>
        <v>4475.3548387096771</v>
      </c>
      <c r="X30" s="35">
        <f t="shared" ref="X30:X33" si="55">SUM(Y30/73370)</f>
        <v>0.6709677419354837</v>
      </c>
      <c r="Y30" s="36">
        <f t="shared" ref="Y30:Y33" si="56">SUM(C30+E30+G30+I30+K30+M30+O30+Q30+S30+U30+W30)</f>
        <v>49228.90322580644</v>
      </c>
      <c r="Z30" s="203">
        <f>'B5'!C29</f>
        <v>215</v>
      </c>
      <c r="AA30" s="203">
        <f t="shared" si="30"/>
        <v>2150</v>
      </c>
      <c r="AB30" s="203">
        <f t="shared" ref="AB30:AB33" si="57">SUM(Z30)</f>
        <v>215</v>
      </c>
      <c r="AC30" s="203">
        <f t="shared" si="30"/>
        <v>2150</v>
      </c>
      <c r="AD30" s="203">
        <f t="shared" ref="AD30:AD33" si="58">SUM(AB30)</f>
        <v>215</v>
      </c>
      <c r="AE30" s="203">
        <f t="shared" si="11"/>
        <v>2150</v>
      </c>
      <c r="AF30" s="203">
        <f t="shared" ref="AF30:AF33" si="59">SUM(AD30)</f>
        <v>215</v>
      </c>
      <c r="AG30" s="203">
        <f t="shared" si="12"/>
        <v>2150</v>
      </c>
      <c r="AH30" s="203">
        <f t="shared" ref="AH30:AH33" si="60">SUM(AF30)</f>
        <v>215</v>
      </c>
      <c r="AI30" s="203">
        <f t="shared" si="13"/>
        <v>2150</v>
      </c>
      <c r="AJ30" s="203">
        <f t="shared" ref="AJ30:AJ33" si="61">SUM(AH30)</f>
        <v>215</v>
      </c>
      <c r="AK30" s="203">
        <f t="shared" si="14"/>
        <v>2150</v>
      </c>
      <c r="AL30" s="203">
        <f t="shared" ref="AL30:AL33" si="62">SUM(AJ30)</f>
        <v>215</v>
      </c>
      <c r="AM30" s="203">
        <f t="shared" si="15"/>
        <v>2150</v>
      </c>
      <c r="AN30" s="35">
        <f t="shared" ref="AN30:AN33" si="63">SUM(AO30/19600)</f>
        <v>0.7678571428571429</v>
      </c>
      <c r="AO30" s="36">
        <f t="shared" ref="AO30:AO33" si="64">SUM(AA30+AC30+AE30+AG30+AI30+AK30+AM30)</f>
        <v>15050</v>
      </c>
      <c r="AQ30" s="223">
        <f t="shared" si="37"/>
        <v>0.69139403276117495</v>
      </c>
      <c r="AR30" s="38">
        <f t="shared" si="42"/>
        <v>64278.90322580644</v>
      </c>
      <c r="AS30" s="197">
        <f t="shared" si="38"/>
        <v>0</v>
      </c>
      <c r="AT30" s="355"/>
      <c r="AU30" s="436"/>
      <c r="AV30" s="518">
        <f t="shared" si="43"/>
        <v>0.96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4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44312</v>
      </c>
      <c r="B31">
        <f>'B5'!B30</f>
        <v>208</v>
      </c>
      <c r="C31" s="203">
        <f t="shared" si="18"/>
        <v>4475.3548387096771</v>
      </c>
      <c r="D31">
        <f t="shared" si="45"/>
        <v>208</v>
      </c>
      <c r="E31" s="203">
        <f t="shared" si="18"/>
        <v>4475.3548387096771</v>
      </c>
      <c r="F31">
        <f t="shared" si="46"/>
        <v>208</v>
      </c>
      <c r="G31" s="203">
        <f t="shared" si="1"/>
        <v>4475.3548387096771</v>
      </c>
      <c r="H31" s="203">
        <f t="shared" si="47"/>
        <v>208</v>
      </c>
      <c r="I31" s="203">
        <f t="shared" si="2"/>
        <v>4475.3548387096771</v>
      </c>
      <c r="J31" s="203">
        <f t="shared" si="48"/>
        <v>208</v>
      </c>
      <c r="K31" s="203">
        <f t="shared" si="3"/>
        <v>4475.3548387096771</v>
      </c>
      <c r="L31" s="203">
        <f t="shared" si="49"/>
        <v>208</v>
      </c>
      <c r="M31" s="203">
        <f t="shared" si="4"/>
        <v>4475.3548387096771</v>
      </c>
      <c r="N31" s="203">
        <f t="shared" si="50"/>
        <v>208</v>
      </c>
      <c r="O31" s="203">
        <f t="shared" si="5"/>
        <v>4475.3548387096771</v>
      </c>
      <c r="P31" s="203">
        <f t="shared" si="51"/>
        <v>208</v>
      </c>
      <c r="Q31" s="203">
        <f t="shared" si="6"/>
        <v>4475.3548387096771</v>
      </c>
      <c r="R31" s="203">
        <f t="shared" si="52"/>
        <v>208</v>
      </c>
      <c r="S31" s="203">
        <f t="shared" si="7"/>
        <v>4475.3548387096771</v>
      </c>
      <c r="T31" s="203">
        <f t="shared" si="53"/>
        <v>208</v>
      </c>
      <c r="U31" s="203">
        <f t="shared" si="8"/>
        <v>4475.3548387096771</v>
      </c>
      <c r="V31" s="203">
        <f t="shared" si="54"/>
        <v>208</v>
      </c>
      <c r="W31" s="203">
        <f t="shared" si="9"/>
        <v>4475.3548387096771</v>
      </c>
      <c r="X31" s="35">
        <f t="shared" si="55"/>
        <v>0.6709677419354837</v>
      </c>
      <c r="Y31" s="36">
        <f t="shared" si="56"/>
        <v>49228.90322580644</v>
      </c>
      <c r="Z31" s="203">
        <f>'B5'!C30</f>
        <v>215</v>
      </c>
      <c r="AA31" s="203">
        <f t="shared" si="30"/>
        <v>2150</v>
      </c>
      <c r="AB31" s="203">
        <f t="shared" si="57"/>
        <v>215</v>
      </c>
      <c r="AC31" s="203">
        <f t="shared" si="30"/>
        <v>2150</v>
      </c>
      <c r="AD31" s="203">
        <f t="shared" si="58"/>
        <v>215</v>
      </c>
      <c r="AE31" s="203">
        <f t="shared" si="11"/>
        <v>2150</v>
      </c>
      <c r="AF31" s="203">
        <f t="shared" si="59"/>
        <v>215</v>
      </c>
      <c r="AG31" s="203">
        <f t="shared" si="12"/>
        <v>2150</v>
      </c>
      <c r="AH31" s="203">
        <f t="shared" si="60"/>
        <v>215</v>
      </c>
      <c r="AI31" s="203">
        <f t="shared" si="13"/>
        <v>2150</v>
      </c>
      <c r="AJ31" s="203">
        <f t="shared" si="61"/>
        <v>215</v>
      </c>
      <c r="AK31" s="203">
        <f t="shared" si="14"/>
        <v>2150</v>
      </c>
      <c r="AL31" s="203">
        <f t="shared" si="62"/>
        <v>215</v>
      </c>
      <c r="AM31" s="203">
        <f t="shared" si="15"/>
        <v>2150</v>
      </c>
      <c r="AN31" s="35">
        <f t="shared" si="63"/>
        <v>0.7678571428571429</v>
      </c>
      <c r="AO31" s="36">
        <f t="shared" si="64"/>
        <v>15050</v>
      </c>
      <c r="AQ31" s="223">
        <f t="shared" si="37"/>
        <v>0.69139403276117495</v>
      </c>
      <c r="AR31" s="38">
        <f t="shared" si="42"/>
        <v>64278.90322580644</v>
      </c>
      <c r="AS31" s="197">
        <f>SUM(AR31-AR30-AT31)</f>
        <v>0</v>
      </c>
      <c r="AT31" s="355"/>
      <c r="AU31" s="436"/>
      <c r="AV31" s="518">
        <f t="shared" si="43"/>
        <v>0.96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4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44313</v>
      </c>
      <c r="B32">
        <f>'B5'!B31</f>
        <v>208</v>
      </c>
      <c r="C32" s="203">
        <f t="shared" si="18"/>
        <v>4475.3548387096771</v>
      </c>
      <c r="D32">
        <f t="shared" si="45"/>
        <v>208</v>
      </c>
      <c r="E32" s="203">
        <f t="shared" si="18"/>
        <v>4475.3548387096771</v>
      </c>
      <c r="F32">
        <f t="shared" si="46"/>
        <v>208</v>
      </c>
      <c r="G32" s="203">
        <f t="shared" si="1"/>
        <v>4475.3548387096771</v>
      </c>
      <c r="H32" s="203">
        <f t="shared" si="47"/>
        <v>208</v>
      </c>
      <c r="I32" s="203">
        <f t="shared" si="2"/>
        <v>4475.3548387096771</v>
      </c>
      <c r="J32" s="203">
        <f t="shared" si="48"/>
        <v>208</v>
      </c>
      <c r="K32" s="203">
        <f t="shared" si="3"/>
        <v>4475.3548387096771</v>
      </c>
      <c r="L32" s="203">
        <f t="shared" si="49"/>
        <v>208</v>
      </c>
      <c r="M32" s="203">
        <f t="shared" si="4"/>
        <v>4475.3548387096771</v>
      </c>
      <c r="N32" s="203">
        <f t="shared" si="50"/>
        <v>208</v>
      </c>
      <c r="O32" s="203">
        <f t="shared" si="5"/>
        <v>4475.3548387096771</v>
      </c>
      <c r="P32" s="203">
        <f t="shared" si="51"/>
        <v>208</v>
      </c>
      <c r="Q32" s="203">
        <f t="shared" si="6"/>
        <v>4475.3548387096771</v>
      </c>
      <c r="R32" s="203">
        <f t="shared" si="52"/>
        <v>208</v>
      </c>
      <c r="S32" s="203">
        <f t="shared" si="7"/>
        <v>4475.3548387096771</v>
      </c>
      <c r="T32" s="203">
        <f t="shared" si="53"/>
        <v>208</v>
      </c>
      <c r="U32" s="203">
        <f t="shared" si="8"/>
        <v>4475.3548387096771</v>
      </c>
      <c r="V32" s="203">
        <f t="shared" si="54"/>
        <v>208</v>
      </c>
      <c r="W32" s="203">
        <f t="shared" si="9"/>
        <v>4475.3548387096771</v>
      </c>
      <c r="X32" s="35">
        <f t="shared" si="55"/>
        <v>0.6709677419354837</v>
      </c>
      <c r="Y32" s="36">
        <f t="shared" si="56"/>
        <v>49228.90322580644</v>
      </c>
      <c r="Z32" s="203">
        <f>'B5'!C31</f>
        <v>215</v>
      </c>
      <c r="AA32" s="203">
        <f t="shared" si="30"/>
        <v>2150</v>
      </c>
      <c r="AB32" s="203">
        <f t="shared" si="57"/>
        <v>215</v>
      </c>
      <c r="AC32" s="203">
        <f t="shared" si="30"/>
        <v>2150</v>
      </c>
      <c r="AD32" s="203">
        <f t="shared" si="58"/>
        <v>215</v>
      </c>
      <c r="AE32" s="203">
        <f t="shared" si="11"/>
        <v>2150</v>
      </c>
      <c r="AF32" s="203">
        <f t="shared" si="59"/>
        <v>215</v>
      </c>
      <c r="AG32" s="203">
        <f t="shared" si="12"/>
        <v>2150</v>
      </c>
      <c r="AH32" s="203">
        <f t="shared" si="60"/>
        <v>215</v>
      </c>
      <c r="AI32" s="203">
        <f t="shared" si="13"/>
        <v>2150</v>
      </c>
      <c r="AJ32" s="203">
        <f t="shared" si="61"/>
        <v>215</v>
      </c>
      <c r="AK32" s="203">
        <f t="shared" si="14"/>
        <v>2150</v>
      </c>
      <c r="AL32" s="203">
        <f t="shared" si="62"/>
        <v>215</v>
      </c>
      <c r="AM32" s="203">
        <f t="shared" si="15"/>
        <v>2150</v>
      </c>
      <c r="AN32" s="35">
        <f t="shared" si="63"/>
        <v>0.7678571428571429</v>
      </c>
      <c r="AO32" s="36">
        <f t="shared" si="64"/>
        <v>15050</v>
      </c>
      <c r="AQ32" s="223">
        <f t="shared" si="37"/>
        <v>0.69139403276117495</v>
      </c>
      <c r="AR32" s="38">
        <f t="shared" si="42"/>
        <v>64278.90322580644</v>
      </c>
      <c r="AS32" s="197">
        <f t="shared" si="38"/>
        <v>0</v>
      </c>
      <c r="AT32" s="355"/>
      <c r="AU32" s="436"/>
      <c r="AV32" s="518">
        <f>IF(AT32&gt;0,AU32,AV31)</f>
        <v>0.96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4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44314</v>
      </c>
      <c r="B33">
        <f>'B5'!B32</f>
        <v>208</v>
      </c>
      <c r="C33" s="203">
        <f t="shared" si="18"/>
        <v>4475.3548387096771</v>
      </c>
      <c r="D33">
        <f t="shared" si="45"/>
        <v>208</v>
      </c>
      <c r="E33" s="203">
        <f t="shared" si="18"/>
        <v>4475.3548387096771</v>
      </c>
      <c r="F33">
        <f t="shared" si="46"/>
        <v>208</v>
      </c>
      <c r="G33" s="203">
        <f t="shared" si="1"/>
        <v>4475.3548387096771</v>
      </c>
      <c r="H33" s="203">
        <f t="shared" si="47"/>
        <v>208</v>
      </c>
      <c r="I33" s="203">
        <f t="shared" si="2"/>
        <v>4475.3548387096771</v>
      </c>
      <c r="J33" s="203">
        <f t="shared" si="48"/>
        <v>208</v>
      </c>
      <c r="K33" s="203">
        <f t="shared" si="3"/>
        <v>4475.3548387096771</v>
      </c>
      <c r="L33" s="203">
        <f t="shared" si="49"/>
        <v>208</v>
      </c>
      <c r="M33" s="203">
        <f t="shared" si="4"/>
        <v>4475.3548387096771</v>
      </c>
      <c r="N33" s="203">
        <f t="shared" si="50"/>
        <v>208</v>
      </c>
      <c r="O33" s="203">
        <f t="shared" si="5"/>
        <v>4475.3548387096771</v>
      </c>
      <c r="P33" s="203">
        <f t="shared" si="51"/>
        <v>208</v>
      </c>
      <c r="Q33" s="203">
        <f t="shared" si="6"/>
        <v>4475.3548387096771</v>
      </c>
      <c r="R33" s="203">
        <f t="shared" si="52"/>
        <v>208</v>
      </c>
      <c r="S33" s="203">
        <f t="shared" si="7"/>
        <v>4475.3548387096771</v>
      </c>
      <c r="T33" s="203">
        <f t="shared" si="53"/>
        <v>208</v>
      </c>
      <c r="U33" s="203">
        <f t="shared" si="8"/>
        <v>4475.3548387096771</v>
      </c>
      <c r="V33" s="203">
        <f t="shared" si="54"/>
        <v>208</v>
      </c>
      <c r="W33" s="203">
        <f t="shared" si="9"/>
        <v>4475.3548387096771</v>
      </c>
      <c r="X33" s="35">
        <f t="shared" si="55"/>
        <v>0.6709677419354837</v>
      </c>
      <c r="Y33" s="36">
        <f t="shared" si="56"/>
        <v>49228.90322580644</v>
      </c>
      <c r="Z33" s="203">
        <f>'B5'!C32</f>
        <v>215</v>
      </c>
      <c r="AA33" s="203">
        <f t="shared" si="30"/>
        <v>2150</v>
      </c>
      <c r="AB33" s="203">
        <f t="shared" si="57"/>
        <v>215</v>
      </c>
      <c r="AC33" s="203">
        <f t="shared" si="30"/>
        <v>2150</v>
      </c>
      <c r="AD33" s="203">
        <f t="shared" si="58"/>
        <v>215</v>
      </c>
      <c r="AE33" s="203">
        <f t="shared" si="11"/>
        <v>2150</v>
      </c>
      <c r="AF33" s="203">
        <f t="shared" si="59"/>
        <v>215</v>
      </c>
      <c r="AG33" s="203">
        <f t="shared" si="12"/>
        <v>2150</v>
      </c>
      <c r="AH33" s="203">
        <f t="shared" si="60"/>
        <v>215</v>
      </c>
      <c r="AI33" s="203">
        <f t="shared" si="13"/>
        <v>2150</v>
      </c>
      <c r="AJ33" s="203">
        <f t="shared" si="61"/>
        <v>215</v>
      </c>
      <c r="AK33" s="203">
        <f t="shared" si="14"/>
        <v>2150</v>
      </c>
      <c r="AL33" s="203">
        <f t="shared" si="62"/>
        <v>215</v>
      </c>
      <c r="AM33" s="203">
        <f t="shared" si="15"/>
        <v>2150</v>
      </c>
      <c r="AN33" s="35">
        <f t="shared" si="63"/>
        <v>0.7678571428571429</v>
      </c>
      <c r="AO33" s="36">
        <f t="shared" si="64"/>
        <v>15050</v>
      </c>
      <c r="AQ33" s="223">
        <f t="shared" si="37"/>
        <v>0.69139403276117495</v>
      </c>
      <c r="AR33" s="38">
        <f t="shared" si="42"/>
        <v>64278.90322580644</v>
      </c>
      <c r="AS33" s="197">
        <f t="shared" si="38"/>
        <v>0</v>
      </c>
      <c r="AT33" s="355"/>
      <c r="AU33" s="436"/>
      <c r="AV33" s="518">
        <f>IF(AT33&gt;0,AU33,AV32)</f>
        <v>0.96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44315</v>
      </c>
      <c r="B34">
        <f>'B5'!B33</f>
        <v>208</v>
      </c>
      <c r="C34" s="203">
        <f t="shared" ref="C34:C35" si="65">B34*$B$4</f>
        <v>4475.3548387096771</v>
      </c>
      <c r="D34">
        <f t="shared" ref="D34:D35" si="66">SUM(B34)</f>
        <v>208</v>
      </c>
      <c r="E34" s="203">
        <f t="shared" ref="E34:E35" si="67">D34*$B$4</f>
        <v>4475.3548387096771</v>
      </c>
      <c r="F34">
        <f t="shared" ref="F34:F35" si="68">SUM(D34)</f>
        <v>208</v>
      </c>
      <c r="G34" s="203">
        <f t="shared" ref="G34:G35" si="69">F34*$B$4</f>
        <v>4475.3548387096771</v>
      </c>
      <c r="H34" s="203">
        <f t="shared" ref="H34:H35" si="70">SUM(F34)</f>
        <v>208</v>
      </c>
      <c r="I34" s="203">
        <f t="shared" ref="I34:I35" si="71">H34*$B$4</f>
        <v>4475.3548387096771</v>
      </c>
      <c r="J34" s="203">
        <f t="shared" ref="J34:J35" si="72">SUM(H34)</f>
        <v>208</v>
      </c>
      <c r="K34" s="203">
        <f t="shared" ref="K34:K35" si="73">J34*$B$4</f>
        <v>4475.3548387096771</v>
      </c>
      <c r="L34" s="203">
        <f t="shared" ref="L34:L35" si="74">SUM(J34)</f>
        <v>208</v>
      </c>
      <c r="M34" s="203">
        <f t="shared" ref="M34:M35" si="75">L34*$B$4</f>
        <v>4475.3548387096771</v>
      </c>
      <c r="N34" s="203">
        <f t="shared" ref="N34:N35" si="76">SUM(L34)</f>
        <v>208</v>
      </c>
      <c r="O34" s="203">
        <f t="shared" ref="O34:O35" si="77">N34*$B$4</f>
        <v>4475.3548387096771</v>
      </c>
      <c r="P34" s="203">
        <f t="shared" ref="P34:P35" si="78">SUM(N34)</f>
        <v>208</v>
      </c>
      <c r="Q34" s="203">
        <f t="shared" ref="Q34:Q35" si="79">P34*$B$4</f>
        <v>4475.3548387096771</v>
      </c>
      <c r="R34" s="203">
        <f t="shared" ref="R34:R35" si="80">SUM(P34)</f>
        <v>208</v>
      </c>
      <c r="S34" s="203">
        <f t="shared" ref="S34:S35" si="81">R34*$B$4</f>
        <v>4475.3548387096771</v>
      </c>
      <c r="T34" s="203">
        <f t="shared" ref="T34:T35" si="82">SUM(R34)</f>
        <v>208</v>
      </c>
      <c r="U34" s="203">
        <f t="shared" ref="U34:U35" si="83">T34*$B$4</f>
        <v>4475.3548387096771</v>
      </c>
      <c r="V34" s="203">
        <f t="shared" ref="V34:V35" si="84">SUM(T34)</f>
        <v>208</v>
      </c>
      <c r="W34" s="203">
        <f t="shared" ref="W34:W35" si="85">V34*$B$4</f>
        <v>4475.3548387096771</v>
      </c>
      <c r="X34" s="35">
        <f t="shared" ref="X34:X35" si="86">SUM(Y34/73370)</f>
        <v>0.6709677419354837</v>
      </c>
      <c r="Y34" s="36">
        <f t="shared" ref="Y34:Y35" si="87">SUM(C34+E34+G34+I34+K34+M34+O34+Q34+S34+U34+W34)</f>
        <v>49228.90322580644</v>
      </c>
      <c r="Z34" s="203">
        <f>'B5'!C33</f>
        <v>215</v>
      </c>
      <c r="AA34" s="203">
        <f t="shared" ref="AA34:AA35" si="88">SUM(Z34*$Z$4)</f>
        <v>2150</v>
      </c>
      <c r="AB34" s="203">
        <f t="shared" ref="AB34:AB35" si="89">SUM(Z34)</f>
        <v>215</v>
      </c>
      <c r="AC34" s="203">
        <f t="shared" ref="AC34:AC35" si="90">SUM(AB34*$Z$4)</f>
        <v>2150</v>
      </c>
      <c r="AD34" s="203">
        <f t="shared" ref="AD34:AD35" si="91">SUM(AB34)</f>
        <v>215</v>
      </c>
      <c r="AE34" s="203">
        <f t="shared" ref="AE34:AE35" si="92">SUM(AD34*$Z$4)</f>
        <v>2150</v>
      </c>
      <c r="AF34" s="203">
        <f t="shared" ref="AF34:AF35" si="93">SUM(AD34)</f>
        <v>215</v>
      </c>
      <c r="AG34" s="203">
        <f t="shared" ref="AG34:AG35" si="94">SUM(AF34*$Z$4)</f>
        <v>2150</v>
      </c>
      <c r="AH34" s="203">
        <f t="shared" ref="AH34:AH35" si="95">SUM(AF34)</f>
        <v>215</v>
      </c>
      <c r="AI34" s="203">
        <f t="shared" ref="AI34:AI35" si="96">SUM(AH34*$Z$4)</f>
        <v>2150</v>
      </c>
      <c r="AJ34" s="203">
        <f t="shared" ref="AJ34:AJ35" si="97">SUM(AH34)</f>
        <v>215</v>
      </c>
      <c r="AK34" s="203">
        <f t="shared" ref="AK34:AK35" si="98">SUM(AJ34*$Z$4)</f>
        <v>2150</v>
      </c>
      <c r="AL34" s="203">
        <f t="shared" ref="AL34:AL35" si="99">SUM(AJ34)</f>
        <v>215</v>
      </c>
      <c r="AM34" s="203">
        <f t="shared" ref="AM34:AM35" si="100">SUM(AL34*$Z$4)</f>
        <v>2150</v>
      </c>
      <c r="AN34" s="35">
        <f t="shared" ref="AN34:AN35" si="101">SUM(AO34/19600)</f>
        <v>0.7678571428571429</v>
      </c>
      <c r="AO34" s="36">
        <f t="shared" ref="AO34:AO35" si="102">SUM(AA34+AC34+AE34+AG34+AI34+AK34+AM34)</f>
        <v>15050</v>
      </c>
      <c r="AQ34" s="223">
        <f t="shared" ref="AQ34:AQ35" si="103">SUM(AR34/92970)</f>
        <v>0.69139403276117495</v>
      </c>
      <c r="AR34" s="38">
        <f t="shared" si="42"/>
        <v>64278.90322580644</v>
      </c>
      <c r="AS34" s="197">
        <f t="shared" ref="AS34:AS35" si="104">SUM(AR34-AR33-AT34)</f>
        <v>0</v>
      </c>
      <c r="AT34" s="355"/>
      <c r="AU34" s="436"/>
      <c r="AV34" s="518">
        <f t="shared" ref="AV34:AV35" si="105">IF(AT34&gt;0,AU34,AV33)</f>
        <v>0.96</v>
      </c>
      <c r="AW34" s="290">
        <f>-SUM('B5'!AI33)</f>
        <v>0</v>
      </c>
      <c r="AX34" s="290">
        <f t="shared" ref="AX34:AX35" si="106">-SUM(AW34-AS34)</f>
        <v>0</v>
      </c>
      <c r="AY34" s="37">
        <f t="shared" ref="AY34:AY35" si="107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44316</v>
      </c>
      <c r="B35">
        <f>'B5'!B34</f>
        <v>208</v>
      </c>
      <c r="C35" s="203">
        <f t="shared" si="65"/>
        <v>4475.3548387096771</v>
      </c>
      <c r="D35">
        <f t="shared" si="66"/>
        <v>208</v>
      </c>
      <c r="E35" s="203">
        <f t="shared" si="67"/>
        <v>4475.3548387096771</v>
      </c>
      <c r="F35">
        <f t="shared" si="68"/>
        <v>208</v>
      </c>
      <c r="G35" s="203">
        <f t="shared" si="69"/>
        <v>4475.3548387096771</v>
      </c>
      <c r="H35" s="203">
        <f t="shared" si="70"/>
        <v>208</v>
      </c>
      <c r="I35" s="203">
        <f t="shared" si="71"/>
        <v>4475.3548387096771</v>
      </c>
      <c r="J35" s="203">
        <f t="shared" si="72"/>
        <v>208</v>
      </c>
      <c r="K35" s="203">
        <f t="shared" si="73"/>
        <v>4475.3548387096771</v>
      </c>
      <c r="L35" s="203">
        <f t="shared" si="74"/>
        <v>208</v>
      </c>
      <c r="M35" s="203">
        <f t="shared" si="75"/>
        <v>4475.3548387096771</v>
      </c>
      <c r="N35" s="203">
        <f t="shared" si="76"/>
        <v>208</v>
      </c>
      <c r="O35" s="203">
        <f t="shared" si="77"/>
        <v>4475.3548387096771</v>
      </c>
      <c r="P35" s="203">
        <f t="shared" si="78"/>
        <v>208</v>
      </c>
      <c r="Q35" s="203">
        <f t="shared" si="79"/>
        <v>4475.3548387096771</v>
      </c>
      <c r="R35" s="203">
        <f t="shared" si="80"/>
        <v>208</v>
      </c>
      <c r="S35" s="203">
        <f t="shared" si="81"/>
        <v>4475.3548387096771</v>
      </c>
      <c r="T35" s="203">
        <f t="shared" si="82"/>
        <v>208</v>
      </c>
      <c r="U35" s="203">
        <f t="shared" si="83"/>
        <v>4475.3548387096771</v>
      </c>
      <c r="V35" s="203">
        <f t="shared" si="84"/>
        <v>208</v>
      </c>
      <c r="W35" s="203">
        <f t="shared" si="85"/>
        <v>4475.3548387096771</v>
      </c>
      <c r="X35" s="35">
        <f t="shared" si="86"/>
        <v>0.6709677419354837</v>
      </c>
      <c r="Y35" s="36">
        <f t="shared" si="87"/>
        <v>49228.90322580644</v>
      </c>
      <c r="Z35" s="203">
        <f>'B5'!C34</f>
        <v>215</v>
      </c>
      <c r="AA35" s="203">
        <f t="shared" si="88"/>
        <v>2150</v>
      </c>
      <c r="AB35" s="203">
        <f t="shared" si="89"/>
        <v>215</v>
      </c>
      <c r="AC35" s="203">
        <f t="shared" si="90"/>
        <v>2150</v>
      </c>
      <c r="AD35" s="203">
        <f t="shared" si="91"/>
        <v>215</v>
      </c>
      <c r="AE35" s="203">
        <f t="shared" si="92"/>
        <v>2150</v>
      </c>
      <c r="AF35" s="203">
        <f t="shared" si="93"/>
        <v>215</v>
      </c>
      <c r="AG35" s="203">
        <f t="shared" si="94"/>
        <v>2150</v>
      </c>
      <c r="AH35" s="203">
        <f t="shared" si="95"/>
        <v>215</v>
      </c>
      <c r="AI35" s="203">
        <f t="shared" si="96"/>
        <v>2150</v>
      </c>
      <c r="AJ35" s="203">
        <f t="shared" si="97"/>
        <v>215</v>
      </c>
      <c r="AK35" s="203">
        <f t="shared" si="98"/>
        <v>2150</v>
      </c>
      <c r="AL35" s="203">
        <f t="shared" si="99"/>
        <v>215</v>
      </c>
      <c r="AM35" s="203">
        <f t="shared" si="100"/>
        <v>2150</v>
      </c>
      <c r="AN35" s="35">
        <f t="shared" si="101"/>
        <v>0.7678571428571429</v>
      </c>
      <c r="AO35" s="36">
        <f t="shared" si="102"/>
        <v>15050</v>
      </c>
      <c r="AQ35" s="223">
        <f t="shared" si="103"/>
        <v>0.69139403276117495</v>
      </c>
      <c r="AR35" s="38">
        <f t="shared" si="42"/>
        <v>64278.90322580644</v>
      </c>
      <c r="AS35" s="197">
        <f t="shared" si="104"/>
        <v>0</v>
      </c>
      <c r="AT35" s="355"/>
      <c r="AU35" s="478"/>
      <c r="AV35" s="597">
        <f t="shared" si="105"/>
        <v>0.96</v>
      </c>
      <c r="AW35" s="290">
        <f>-SUM('B5'!AI34)</f>
        <v>0</v>
      </c>
      <c r="AX35" s="290">
        <f t="shared" si="106"/>
        <v>0</v>
      </c>
      <c r="AY35" s="37">
        <f t="shared" si="107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9" t="s">
        <v>225</v>
      </c>
      <c r="AS36" s="485">
        <f>COUNT(AT6:AT33)</f>
        <v>1</v>
      </c>
      <c r="AT36" s="203">
        <f>SUM(AT6:AT33)</f>
        <v>6145</v>
      </c>
      <c r="AU36">
        <f>SUM(AU6:AU33)/AS36</f>
        <v>0.96</v>
      </c>
      <c r="AX36" s="203">
        <f>SUM(AX6:AX33)</f>
        <v>-7654.419354838712</v>
      </c>
      <c r="AY36" s="203">
        <f>SUM(AY6:AY33)</f>
        <v>-8598.419354838712</v>
      </c>
    </row>
    <row r="37" spans="1:60">
      <c r="AS37" s="206"/>
      <c r="AT37">
        <f>+AT36*AU36</f>
        <v>5899.2</v>
      </c>
    </row>
    <row r="39" spans="1:60">
      <c r="AS39" s="165">
        <f>SUM(AS6:AS33)/'EDl log'!A34</f>
        <v>-2866.1397849462373</v>
      </c>
      <c r="AT39" s="203"/>
    </row>
    <row r="40" spans="1:60">
      <c r="AX40">
        <v>43309</v>
      </c>
    </row>
    <row r="41" spans="1:60">
      <c r="AR41" s="203"/>
      <c r="AX41">
        <f>AX36/AX40</f>
        <v>-0.17673969278530358</v>
      </c>
    </row>
  </sheetData>
  <mergeCells count="3">
    <mergeCell ref="AT3:AU3"/>
    <mergeCell ref="AS3:AS4"/>
    <mergeCell ref="AR3:AR4"/>
  </mergeCells>
  <conditionalFormatting sqref="AW6:AX35">
    <cfRule type="cellIs" dxfId="5" priority="5" stopIfTrue="1" operator="greaterThan">
      <formula>0</formula>
    </cfRule>
  </conditionalFormatting>
  <conditionalFormatting sqref="AT6:AU35">
    <cfRule type="cellIs" dxfId="4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1217</v>
      </c>
      <c r="C2" s="3">
        <f>ELEC!N3</f>
        <v>10627</v>
      </c>
      <c r="D2" s="3">
        <f>C2-E2</f>
        <v>1419.0000000012806</v>
      </c>
      <c r="E2" s="3">
        <f>ELEC!Q3</f>
        <v>9207.9999999987194</v>
      </c>
      <c r="F2" s="3">
        <f>GEN!Z2</f>
        <v>19</v>
      </c>
      <c r="G2" s="3">
        <f>WATER!C5+WATER!H5</f>
        <v>0</v>
      </c>
      <c r="H2" s="3">
        <f>WATER!L5</f>
        <v>0</v>
      </c>
      <c r="I2" s="15">
        <f>WATER!BC5+WATER!BD5+WATER!BE6-Sheet1!G2</f>
        <v>-39.600000000000023</v>
      </c>
      <c r="J2" s="9">
        <f>'B5'!A4</f>
        <v>44286</v>
      </c>
    </row>
    <row r="3" spans="1:10">
      <c r="A3" s="3">
        <f>ELEC!T4+ELEC!X2+ELEC!AB4</f>
        <v>1</v>
      </c>
      <c r="B3" s="3">
        <f>ELEC!AF4</f>
        <v>546</v>
      </c>
      <c r="C3" s="3">
        <f>ELEC!N4</f>
        <v>8566</v>
      </c>
      <c r="D3" s="3">
        <f t="shared" ref="D3:D30" si="0">C3-E3</f>
        <v>843.99999999842839</v>
      </c>
      <c r="E3" s="3">
        <f>ELEC!Q4</f>
        <v>7722.0000000015716</v>
      </c>
      <c r="F3" s="3">
        <f>GEN!Z3</f>
        <v>20</v>
      </c>
      <c r="G3" s="3">
        <f>WATER!C6+WATER!H6</f>
        <v>0</v>
      </c>
      <c r="H3" s="3">
        <f>WATER!L6</f>
        <v>0</v>
      </c>
      <c r="I3" s="15">
        <f>WATER!BC6+WATER!BD6+WATER!BE7-Sheet1!G3</f>
        <v>-53.900000000000034</v>
      </c>
      <c r="J3" s="9">
        <f>'B5'!A5</f>
        <v>44287</v>
      </c>
    </row>
    <row r="4" spans="1:10">
      <c r="A4" s="3">
        <f>ELEC!T5+ELEC!X5+ELEC!AB5</f>
        <v>8</v>
      </c>
      <c r="B4" s="3">
        <f>ELEC!AF5</f>
        <v>1234</v>
      </c>
      <c r="C4" s="3">
        <f>ELEC!N5</f>
        <v>9686</v>
      </c>
      <c r="D4" s="3">
        <f t="shared" si="0"/>
        <v>1424.0000000011933</v>
      </c>
      <c r="E4" s="3">
        <f>ELEC!Q5</f>
        <v>8261.9999999988067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47.599999999999994</v>
      </c>
      <c r="J4" s="9">
        <f>'B5'!A6</f>
        <v>44288</v>
      </c>
    </row>
    <row r="5" spans="1:10">
      <c r="A5" s="3">
        <f>ELEC!T6+ELEC!X6+ELEC!AB6</f>
        <v>0</v>
      </c>
      <c r="B5" s="3">
        <f>ELEC!AF6</f>
        <v>0</v>
      </c>
      <c r="C5" s="3">
        <f>ELEC!N6</f>
        <v>0</v>
      </c>
      <c r="D5" s="3">
        <f t="shared" si="0"/>
        <v>0</v>
      </c>
      <c r="E5" s="3">
        <f>ELEC!Q6</f>
        <v>0</v>
      </c>
      <c r="F5" s="3">
        <f>GEN!Z5</f>
        <v>15</v>
      </c>
      <c r="G5" s="3">
        <f>WATER!C8+WATER!H8</f>
        <v>0</v>
      </c>
      <c r="H5" s="3">
        <f>WATER!L8</f>
        <v>1</v>
      </c>
      <c r="I5" s="15">
        <f>WATER!BC8+WATER!BD8+WATER!BE9-Sheet1!G5</f>
        <v>-5.0999999999999659</v>
      </c>
      <c r="J5" s="9">
        <f>'B5'!A7</f>
        <v>44289</v>
      </c>
    </row>
    <row r="6" spans="1:10">
      <c r="A6" s="3">
        <f>ELEC!T7+ELEC!X7+ELEC!AB7</f>
        <v>0</v>
      </c>
      <c r="B6" s="3">
        <f>ELEC!AF7</f>
        <v>0</v>
      </c>
      <c r="C6" s="3">
        <f>ELEC!N7</f>
        <v>0</v>
      </c>
      <c r="D6" s="3">
        <f t="shared" si="0"/>
        <v>0</v>
      </c>
      <c r="E6" s="3">
        <f>ELEC!Q24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44290</v>
      </c>
    </row>
    <row r="7" spans="1:10">
      <c r="A7" s="3">
        <f>ELEC!T8+ELEC!X8+ELEC!AB8</f>
        <v>0</v>
      </c>
      <c r="B7" s="3">
        <f>ELEC!AF8</f>
        <v>0</v>
      </c>
      <c r="C7" s="3">
        <f>ELEC!N8</f>
        <v>0</v>
      </c>
      <c r="D7" s="3">
        <f t="shared" si="0"/>
        <v>0</v>
      </c>
      <c r="E7" s="3">
        <f>ELEC!Q8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44291</v>
      </c>
    </row>
    <row r="8" spans="1:10">
      <c r="A8" s="3">
        <f>ELEC!T9+ELEC!X9+ELEC!AB9</f>
        <v>0</v>
      </c>
      <c r="B8" s="3">
        <f>ELEC!AF9</f>
        <v>0</v>
      </c>
      <c r="C8" s="3">
        <f>ELEC!N9</f>
        <v>0</v>
      </c>
      <c r="D8" s="3">
        <f t="shared" si="0"/>
        <v>0</v>
      </c>
      <c r="E8" s="3">
        <f>ELEC!Q9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44292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44293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44294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44295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44296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44297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44298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44299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44300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44301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44302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44303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44304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-21</v>
      </c>
      <c r="I21" s="15">
        <f>WATER!BC24+WATER!BD24+WATER!BE25-Sheet1!G21</f>
        <v>0</v>
      </c>
      <c r="J21" s="9">
        <f>'B5'!A23</f>
        <v>44305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21</v>
      </c>
      <c r="I22" s="15">
        <f>WATER!BC25+WATER!BD25+WATER!BE26-Sheet1!G22</f>
        <v>0</v>
      </c>
      <c r="J22" s="9">
        <f>'B5'!A24</f>
        <v>44306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44307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44308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44309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44310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44311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44312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44313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44314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37"/>
      <c r="B1" s="635" t="s">
        <v>119</v>
      </c>
      <c r="C1" s="635" t="s">
        <v>118</v>
      </c>
      <c r="D1" s="639" t="s">
        <v>113</v>
      </c>
      <c r="E1" s="639" t="s">
        <v>114</v>
      </c>
      <c r="F1" s="640" t="s">
        <v>120</v>
      </c>
      <c r="G1" s="641" t="s">
        <v>75</v>
      </c>
      <c r="H1" s="632" t="s">
        <v>115</v>
      </c>
      <c r="I1" s="633" t="s">
        <v>116</v>
      </c>
      <c r="J1" s="632" t="s">
        <v>117</v>
      </c>
      <c r="K1" s="631" t="s">
        <v>121</v>
      </c>
      <c r="L1" s="631" t="s">
        <v>122</v>
      </c>
      <c r="M1" s="631" t="s">
        <v>123</v>
      </c>
      <c r="N1" s="631" t="s">
        <v>124</v>
      </c>
    </row>
    <row r="2" spans="1:14">
      <c r="A2" s="638"/>
      <c r="B2" s="636"/>
      <c r="C2" s="636"/>
      <c r="D2" s="639"/>
      <c r="E2" s="639"/>
      <c r="F2" s="640"/>
      <c r="G2" s="641"/>
      <c r="H2" s="632"/>
      <c r="I2" s="634"/>
      <c r="J2" s="632"/>
      <c r="K2" s="631"/>
      <c r="L2" s="631"/>
      <c r="M2" s="631"/>
      <c r="N2" s="63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44287</v>
      </c>
      <c r="B5" s="76">
        <f>'B5'!V5</f>
        <v>359</v>
      </c>
      <c r="C5" s="76">
        <f>'B5'!AH5</f>
        <v>0</v>
      </c>
      <c r="D5" s="76">
        <f>GEN!AI3</f>
        <v>2369.9915611811052</v>
      </c>
      <c r="E5" s="242">
        <f t="shared" ref="E5:E33" si="0">B5+C5+D5</f>
        <v>2728.9915611811052</v>
      </c>
      <c r="F5" s="75">
        <f>WATER!L5</f>
        <v>0</v>
      </c>
      <c r="G5" s="78">
        <f>WATER!BG5</f>
        <v>-15.800000000000011</v>
      </c>
      <c r="H5" s="79">
        <f>ELEC!AF3</f>
        <v>1217</v>
      </c>
      <c r="I5" s="79">
        <f>ELEC!Q3</f>
        <v>9207.9999999987194</v>
      </c>
      <c r="J5" s="79">
        <f>ELEC!R3</f>
        <v>1419.0000000012806</v>
      </c>
      <c r="K5" s="80"/>
      <c r="L5" s="3"/>
      <c r="M5" s="3"/>
      <c r="N5" s="3"/>
    </row>
    <row r="6" spans="1:14">
      <c r="A6" s="63">
        <f>'B5'!A6</f>
        <v>44288</v>
      </c>
      <c r="B6" s="76">
        <f>'B5'!V6</f>
        <v>298</v>
      </c>
      <c r="C6" s="76">
        <f>'B5'!AH6</f>
        <v>0</v>
      </c>
      <c r="D6" s="76">
        <f>GEN!AI4</f>
        <v>1987.5189873421768</v>
      </c>
      <c r="E6" s="242">
        <f t="shared" si="0"/>
        <v>2285.5189873421768</v>
      </c>
      <c r="F6" s="75">
        <f>WATER!L6</f>
        <v>0</v>
      </c>
      <c r="G6" s="78">
        <f>WATER!BG6</f>
        <v>-24.700000000000017</v>
      </c>
      <c r="H6" s="79">
        <f>ELEC!AF4</f>
        <v>546</v>
      </c>
      <c r="I6" s="79">
        <f>ELEC!Q4</f>
        <v>7722.0000000015716</v>
      </c>
      <c r="J6" s="79">
        <f>ELEC!R4</f>
        <v>843.99999999842839</v>
      </c>
      <c r="K6" s="3"/>
      <c r="L6" s="3"/>
      <c r="M6" s="3"/>
      <c r="N6" s="3"/>
    </row>
    <row r="7" spans="1:14">
      <c r="A7" s="63">
        <f>'B5'!A7</f>
        <v>44289</v>
      </c>
      <c r="B7" s="76">
        <f>'B5'!V7</f>
        <v>287</v>
      </c>
      <c r="C7" s="76">
        <f>'B5'!AH7</f>
        <v>0</v>
      </c>
      <c r="D7" s="76">
        <f>GEN!AI5</f>
        <v>2126.5063291136171</v>
      </c>
      <c r="E7" s="242">
        <f t="shared" si="0"/>
        <v>2413.5063291136171</v>
      </c>
      <c r="F7" s="75">
        <f>WATER!L7</f>
        <v>0</v>
      </c>
      <c r="G7" s="78">
        <f>WATER!BG7</f>
        <v>-27.400000000000034</v>
      </c>
      <c r="H7" s="79">
        <f>ELEC!AF5</f>
        <v>1234</v>
      </c>
      <c r="I7" s="79">
        <f>ELEC!Q5</f>
        <v>8261.9999999988067</v>
      </c>
      <c r="J7" s="79">
        <f>ELEC!R5</f>
        <v>1424.0000000011933</v>
      </c>
      <c r="K7" s="3"/>
      <c r="L7" s="3"/>
      <c r="M7" s="3"/>
      <c r="N7" s="3"/>
    </row>
    <row r="8" spans="1:14">
      <c r="A8" s="63">
        <f>'B5'!A8</f>
        <v>44290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1</v>
      </c>
      <c r="G8" s="78">
        <f>WATER!BG8</f>
        <v>-5.0999999999999659</v>
      </c>
      <c r="H8" s="79">
        <f>ELEC!AF6</f>
        <v>0</v>
      </c>
      <c r="I8" s="79">
        <f>ELEC!Q6</f>
        <v>0</v>
      </c>
      <c r="J8" s="79">
        <f>ELEC!R6</f>
        <v>0</v>
      </c>
      <c r="K8" s="3"/>
      <c r="L8" s="3"/>
      <c r="M8" s="3"/>
      <c r="N8" s="3"/>
    </row>
    <row r="9" spans="1:14">
      <c r="A9" s="63">
        <f>'B5'!A9</f>
        <v>44291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ELEC!AF7</f>
        <v>0</v>
      </c>
      <c r="I9" s="79">
        <f>ELEC!Q7</f>
        <v>0</v>
      </c>
      <c r="J9" s="79">
        <f>ELEC!R7</f>
        <v>0</v>
      </c>
      <c r="K9" s="3"/>
      <c r="L9" s="3"/>
      <c r="M9" s="3"/>
      <c r="N9" s="3"/>
    </row>
    <row r="10" spans="1:14">
      <c r="A10" s="63">
        <f>'B5'!A10</f>
        <v>44292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ELEC!AF8</f>
        <v>0</v>
      </c>
      <c r="I10" s="79">
        <f>ELEC!Q8</f>
        <v>0</v>
      </c>
      <c r="J10" s="79">
        <f>ELEC!R8</f>
        <v>0</v>
      </c>
      <c r="K10" s="3"/>
      <c r="L10" s="3"/>
      <c r="M10" s="3"/>
      <c r="N10" s="3"/>
    </row>
    <row r="11" spans="1:14">
      <c r="A11" s="63">
        <f>'B5'!A11</f>
        <v>44293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ELEC!AF9</f>
        <v>0</v>
      </c>
      <c r="I11" s="79">
        <f>ELEC!Q9</f>
        <v>0</v>
      </c>
      <c r="J11" s="79">
        <f>ELEC!R9</f>
        <v>0</v>
      </c>
      <c r="K11" s="3"/>
      <c r="L11" s="3"/>
      <c r="M11" s="3"/>
      <c r="N11" s="3"/>
    </row>
    <row r="12" spans="1:14">
      <c r="A12" s="63">
        <f>'B5'!A12</f>
        <v>44294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44295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44296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44297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44298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44299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44300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44301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44302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44303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44304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44305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44306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-21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44307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21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44308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44309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44310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44311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44312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44313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44314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2" t="s">
        <v>151</v>
      </c>
      <c r="U3" s="64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20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5</v>
      </c>
      <c r="E7">
        <f t="shared" si="0"/>
        <v>450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4"/>
  <sheetViews>
    <sheetView topLeftCell="E1" zoomScale="112" zoomScaleNormal="112" workbookViewId="0">
      <pane ySplit="1" topLeftCell="A2" activePane="bottomLeft" state="frozen"/>
      <selection pane="bottomLeft" activeCell="U5" sqref="U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44286</v>
      </c>
      <c r="B2" s="270">
        <f>[3]GEN!B33</f>
        <v>9772</v>
      </c>
      <c r="C2" s="270">
        <f>[3]GEN!C33</f>
        <v>7</v>
      </c>
      <c r="D2" s="270">
        <f>[3]GEN!D33</f>
        <v>361982</v>
      </c>
      <c r="E2" s="270">
        <f>[3]GEN!E33</f>
        <v>1767</v>
      </c>
      <c r="F2" s="270">
        <f>[3]GEN!F33</f>
        <v>252.42857142857142</v>
      </c>
      <c r="G2" s="270">
        <f>[3]GEN!G33</f>
        <v>0</v>
      </c>
      <c r="H2" s="270">
        <f>[3]GEN!H33</f>
        <v>9729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12031</v>
      </c>
      <c r="S2" s="270">
        <f>[3]GEN!S33</f>
        <v>12</v>
      </c>
      <c r="T2" s="270">
        <f>[3]GEN!T33</f>
        <v>433913</v>
      </c>
      <c r="U2" s="270">
        <f>[3]GEN!U33</f>
        <v>3000</v>
      </c>
      <c r="V2" s="270">
        <f>[3]GEN!V33</f>
        <v>250</v>
      </c>
      <c r="W2" s="270">
        <f>[3]GEN!W33</f>
        <v>0</v>
      </c>
      <c r="X2" s="270">
        <f>[3]GEN!X33</f>
        <v>11898</v>
      </c>
      <c r="Y2" s="270" t="str">
        <f>[3]GEN!Y33</f>
        <v>oil change</v>
      </c>
      <c r="Z2" s="270">
        <f>[3]GEN!Z33</f>
        <v>19</v>
      </c>
      <c r="AA2" s="270">
        <f>[3]GEN!AA33</f>
        <v>4767</v>
      </c>
      <c r="AB2" s="270">
        <f>[1]GEN!AB30</f>
        <v>250</v>
      </c>
      <c r="AC2" s="270">
        <f>[3]GEN!AC33</f>
        <v>250.89473684210526</v>
      </c>
      <c r="AD2" s="270">
        <f>[3]GEN!AD33</f>
        <v>9979.9999999995634</v>
      </c>
      <c r="AE2" s="270">
        <f>[3]GEN!AE33</f>
        <v>525.26315789471391</v>
      </c>
      <c r="AF2" s="270">
        <f>[3]GEN!AF33</f>
        <v>0.3282894736841962</v>
      </c>
      <c r="AG2" s="270">
        <f>[3]GEN!AG33</f>
        <v>105.05263157894278</v>
      </c>
      <c r="AH2" s="270">
        <f>[3]GEN!AH33</f>
        <v>145.84210526316247</v>
      </c>
      <c r="AI2" s="270">
        <f>[3]GEN!AI33</f>
        <v>2568.6919831222508</v>
      </c>
      <c r="AJ2" s="270">
        <f>[3]GEN!AJ33</f>
        <v>0.25738396624472576</v>
      </c>
      <c r="AK2" s="270">
        <f>[3]GEN!AK33</f>
        <v>135.19431490117108</v>
      </c>
    </row>
    <row r="3" spans="1:37" ht="15.75" thickBot="1">
      <c r="A3" s="4">
        <f>ELEC!C3</f>
        <v>44287</v>
      </c>
      <c r="B3" s="539">
        <v>9782</v>
      </c>
      <c r="C3" s="287">
        <f>B3-B2</f>
        <v>10</v>
      </c>
      <c r="D3" s="540">
        <v>364660</v>
      </c>
      <c r="E3" s="287">
        <f>SUM(D3-D2)</f>
        <v>2678</v>
      </c>
      <c r="F3" s="287">
        <f t="shared" ref="F3:F30" si="0">IF(C3&gt;0,E3/C3,0)</f>
        <v>267.8</v>
      </c>
      <c r="G3" s="270">
        <f>[6]GEN!G32</f>
        <v>0</v>
      </c>
      <c r="H3" s="270">
        <f>H2</f>
        <v>9729</v>
      </c>
      <c r="I3" s="287" t="str">
        <f t="shared" ref="I3:I30" si="1">IF(B3-H3&lt;=0,"ok","oil change")</f>
        <v>oil change</v>
      </c>
      <c r="J3" s="540">
        <f>J2</f>
        <v>10698</v>
      </c>
      <c r="K3" s="287">
        <f t="shared" ref="K3:K30" si="2">J3-J2</f>
        <v>0</v>
      </c>
      <c r="L3" s="540">
        <f>L2</f>
        <v>357691</v>
      </c>
      <c r="M3" s="287">
        <f>SUM(L3-L2)</f>
        <v>0</v>
      </c>
      <c r="N3" s="287">
        <f>IF(K3&gt;0,M3/K3,0)</f>
        <v>0</v>
      </c>
      <c r="O3" s="270">
        <f>[6]GEN!O32</f>
        <v>0</v>
      </c>
      <c r="P3" s="288">
        <f>P2</f>
        <v>10873</v>
      </c>
      <c r="Q3" s="287" t="str">
        <f t="shared" ref="Q3:Q17" si="3">IF(J3-P3&lt;=0,"ok","oil change")</f>
        <v>ok</v>
      </c>
      <c r="R3" s="540">
        <v>12041</v>
      </c>
      <c r="S3" s="287">
        <f t="shared" ref="S3:S30" si="4">R3-R2</f>
        <v>10</v>
      </c>
      <c r="T3" s="540">
        <v>436413</v>
      </c>
      <c r="U3" s="287">
        <f>V3*S3</f>
        <v>2500</v>
      </c>
      <c r="V3" s="287">
        <v>250</v>
      </c>
      <c r="W3" s="270">
        <f>[6]GEN!W32</f>
        <v>0</v>
      </c>
      <c r="X3" s="288">
        <f>X2</f>
        <v>11898</v>
      </c>
      <c r="Y3" s="287" t="str">
        <f t="shared" ref="Y3:Y9" si="5">IF(R3-X3&lt;=0,"ok","oil change")</f>
        <v>oil change</v>
      </c>
      <c r="Z3" s="287">
        <f t="shared" ref="Z3:Z30" si="6">C3+K3+S3</f>
        <v>20</v>
      </c>
      <c r="AA3" s="287">
        <f>U3+M3+E3</f>
        <v>5178</v>
      </c>
      <c r="AB3" s="287">
        <f>V3+N3+F3</f>
        <v>517.79999999999995</v>
      </c>
      <c r="AC3" s="287">
        <f>IF(Z3&gt;0,AA3/Z3,0)</f>
        <v>258.89999999999998</v>
      </c>
      <c r="AD3" s="73">
        <f>ELEC!Q3</f>
        <v>9207.9999999987194</v>
      </c>
      <c r="AE3" s="73">
        <f>SUM(AD3/Z3)</f>
        <v>460.39999999993597</v>
      </c>
      <c r="AF3" s="403">
        <f>SUM(AE3/1600)</f>
        <v>0.28774999999995998</v>
      </c>
      <c r="AG3" s="404">
        <f>SUM(360*AF3)</f>
        <v>103.58999999998559</v>
      </c>
      <c r="AH3" s="404">
        <f>SUM(AC3-AG3)</f>
        <v>155.31000000001438</v>
      </c>
      <c r="AI3" s="73">
        <f>AD3*AJ3</f>
        <v>2369.9915611811052</v>
      </c>
      <c r="AJ3" s="289">
        <f t="shared" ref="AJ3:AJ32" si="7">305/1185</f>
        <v>0.25738396624472576</v>
      </c>
      <c r="AK3" s="289">
        <f t="shared" ref="AK3:AK8" si="8">AI3/Z3</f>
        <v>118.49957805905527</v>
      </c>
    </row>
    <row r="4" spans="1:37" ht="15.75" thickBot="1">
      <c r="A4" s="4">
        <f>ELEC!C4</f>
        <v>44288</v>
      </c>
      <c r="B4" s="539">
        <v>9795</v>
      </c>
      <c r="C4" s="287">
        <f t="shared" ref="C4:C30" si="9">B4-B3</f>
        <v>13</v>
      </c>
      <c r="D4" s="540">
        <v>368388</v>
      </c>
      <c r="E4" s="287">
        <f t="shared" ref="E4:E30" si="10">SUM(D4-D3)</f>
        <v>3728</v>
      </c>
      <c r="F4" s="287">
        <f t="shared" si="0"/>
        <v>286.76923076923077</v>
      </c>
      <c r="G4" s="196"/>
      <c r="H4" s="270">
        <v>9934</v>
      </c>
      <c r="I4" s="287" t="str">
        <f t="shared" si="1"/>
        <v>ok</v>
      </c>
      <c r="J4" s="540">
        <f t="shared" ref="J4:L32" si="11">J3</f>
        <v>10698</v>
      </c>
      <c r="K4" s="287">
        <f t="shared" si="2"/>
        <v>0</v>
      </c>
      <c r="L4" s="540">
        <f t="shared" si="11"/>
        <v>357691</v>
      </c>
      <c r="M4" s="287">
        <f t="shared" ref="M4:M30" si="12">SUM(L4-L3)</f>
        <v>0</v>
      </c>
      <c r="N4" s="287">
        <f t="shared" ref="N4:N30" si="13">IF(K4&gt;0,M4/K4,0)</f>
        <v>0</v>
      </c>
      <c r="O4" s="196"/>
      <c r="P4" s="288">
        <f t="shared" ref="P4:P32" si="14">P3</f>
        <v>10873</v>
      </c>
      <c r="Q4" s="287" t="str">
        <f t="shared" si="3"/>
        <v>ok</v>
      </c>
      <c r="R4" s="540">
        <v>12042</v>
      </c>
      <c r="S4" s="287">
        <f t="shared" si="4"/>
        <v>1</v>
      </c>
      <c r="T4" s="540">
        <f t="shared" ref="R4:T32" si="15">T3</f>
        <v>436413</v>
      </c>
      <c r="U4" s="287">
        <f t="shared" ref="U4:U32" si="16">V4*S4</f>
        <v>250</v>
      </c>
      <c r="V4" s="287">
        <v>250</v>
      </c>
      <c r="W4" s="196"/>
      <c r="X4" s="288">
        <v>12192</v>
      </c>
      <c r="Y4" s="287" t="str">
        <f t="shared" si="5"/>
        <v>ok</v>
      </c>
      <c r="Z4" s="287">
        <f t="shared" si="6"/>
        <v>14</v>
      </c>
      <c r="AA4" s="287">
        <f t="shared" ref="AA4:AA30" si="17">U4+M4+E4</f>
        <v>3978</v>
      </c>
      <c r="AB4" s="287">
        <f t="shared" ref="AB4:AB30" si="18">V4+N4+F4</f>
        <v>536.76923076923072</v>
      </c>
      <c r="AC4" s="287">
        <f t="shared" ref="AC4:AC30" si="19">IF(Z4&gt;0,AA4/Z4,0)</f>
        <v>284.14285714285717</v>
      </c>
      <c r="AD4" s="73">
        <f>ELEC!Q4</f>
        <v>7722.0000000015716</v>
      </c>
      <c r="AE4" s="73">
        <f>SUM(AD4/Z4)</f>
        <v>551.57142857154088</v>
      </c>
      <c r="AF4" s="403">
        <f>SUM(AE4/1600)</f>
        <v>0.34473214285721304</v>
      </c>
      <c r="AG4" s="404">
        <f>SUM(360*AF4)</f>
        <v>124.10357142859669</v>
      </c>
      <c r="AH4" s="404">
        <f t="shared" ref="AH4:AH30" si="20">SUM(AC4-AG4)</f>
        <v>160.03928571426047</v>
      </c>
      <c r="AI4" s="73">
        <f>AD4*AJ4</f>
        <v>1987.5189873421768</v>
      </c>
      <c r="AJ4" s="289">
        <f t="shared" si="7"/>
        <v>0.25738396624472576</v>
      </c>
      <c r="AK4" s="289">
        <f t="shared" si="8"/>
        <v>141.96564195301264</v>
      </c>
    </row>
    <row r="5" spans="1:37" ht="15.75" thickBot="1">
      <c r="A5" s="4">
        <f>ELEC!C5</f>
        <v>44289</v>
      </c>
      <c r="B5" s="539">
        <v>9809</v>
      </c>
      <c r="C5" s="287">
        <f t="shared" si="9"/>
        <v>14</v>
      </c>
      <c r="D5" s="540">
        <v>371590</v>
      </c>
      <c r="E5" s="287">
        <f t="shared" si="10"/>
        <v>3202</v>
      </c>
      <c r="F5" s="287">
        <f t="shared" si="0"/>
        <v>228.71428571428572</v>
      </c>
      <c r="G5" s="285"/>
      <c r="H5" s="270">
        <f t="shared" ref="H4:H32" si="21">H4</f>
        <v>9934</v>
      </c>
      <c r="I5" s="287" t="str">
        <f t="shared" si="1"/>
        <v>ok</v>
      </c>
      <c r="J5" s="540">
        <f t="shared" si="11"/>
        <v>10698</v>
      </c>
      <c r="K5" s="287">
        <f t="shared" si="2"/>
        <v>0</v>
      </c>
      <c r="L5" s="540">
        <f t="shared" si="11"/>
        <v>357691</v>
      </c>
      <c r="M5" s="287">
        <f t="shared" si="12"/>
        <v>0</v>
      </c>
      <c r="N5" s="287">
        <f t="shared" si="13"/>
        <v>0</v>
      </c>
      <c r="O5" s="196"/>
      <c r="P5" s="288">
        <f t="shared" si="14"/>
        <v>10873</v>
      </c>
      <c r="Q5" s="287" t="str">
        <f t="shared" si="3"/>
        <v>ok</v>
      </c>
      <c r="R5" s="540">
        <v>12043</v>
      </c>
      <c r="S5" s="287">
        <f t="shared" si="4"/>
        <v>1</v>
      </c>
      <c r="T5" s="540">
        <v>436663</v>
      </c>
      <c r="U5" s="287">
        <f t="shared" si="16"/>
        <v>250</v>
      </c>
      <c r="V5" s="287">
        <v>250</v>
      </c>
      <c r="W5" s="196"/>
      <c r="X5" s="288">
        <f t="shared" ref="X5:X32" si="22">X4</f>
        <v>12192</v>
      </c>
      <c r="Y5" s="287" t="str">
        <f t="shared" si="5"/>
        <v>ok</v>
      </c>
      <c r="Z5" s="287">
        <f t="shared" si="6"/>
        <v>15</v>
      </c>
      <c r="AA5" s="287">
        <f t="shared" si="17"/>
        <v>3452</v>
      </c>
      <c r="AB5" s="287">
        <f t="shared" si="18"/>
        <v>478.71428571428572</v>
      </c>
      <c r="AC5" s="287">
        <f t="shared" si="19"/>
        <v>230.13333333333333</v>
      </c>
      <c r="AD5" s="73">
        <f>ELEC!Q5</f>
        <v>8261.9999999988067</v>
      </c>
      <c r="AE5" s="73">
        <f t="shared" ref="AE5:AE30" si="23">SUM(AD5/Z5)</f>
        <v>550.79999999992049</v>
      </c>
      <c r="AF5" s="403">
        <f t="shared" ref="AF5:AF30" si="24">SUM(AE5/1600)</f>
        <v>0.34424999999995032</v>
      </c>
      <c r="AG5" s="404">
        <f t="shared" ref="AG5:AG30" si="25">SUM(320*AF5)</f>
        <v>110.15999999998411</v>
      </c>
      <c r="AH5" s="404">
        <f t="shared" si="20"/>
        <v>119.97333333334922</v>
      </c>
      <c r="AI5" s="73">
        <f t="shared" ref="AI5:AI30" si="26">AD5*AJ5</f>
        <v>2126.5063291136171</v>
      </c>
      <c r="AJ5" s="289">
        <f t="shared" si="7"/>
        <v>0.25738396624472576</v>
      </c>
      <c r="AK5" s="289">
        <f t="shared" si="8"/>
        <v>141.76708860757446</v>
      </c>
    </row>
    <row r="6" spans="1:37" ht="15.75" thickBot="1">
      <c r="A6" s="4">
        <f>ELEC!C6</f>
        <v>44290</v>
      </c>
      <c r="B6" s="539">
        <f t="shared" ref="B5:B32" si="27">B5</f>
        <v>9809</v>
      </c>
      <c r="C6" s="287">
        <f t="shared" si="9"/>
        <v>0</v>
      </c>
      <c r="D6" s="540">
        <f t="shared" ref="D5:D32" si="28">D5</f>
        <v>371590</v>
      </c>
      <c r="E6" s="287">
        <f t="shared" si="10"/>
        <v>0</v>
      </c>
      <c r="F6" s="287">
        <f t="shared" si="0"/>
        <v>0</v>
      </c>
      <c r="G6" s="196"/>
      <c r="H6" s="270">
        <f t="shared" si="21"/>
        <v>9934</v>
      </c>
      <c r="I6" s="287" t="str">
        <f t="shared" si="1"/>
        <v>ok</v>
      </c>
      <c r="J6" s="540">
        <f t="shared" si="11"/>
        <v>10698</v>
      </c>
      <c r="K6" s="287">
        <f t="shared" si="2"/>
        <v>0</v>
      </c>
      <c r="L6" s="540">
        <f t="shared" si="11"/>
        <v>357691</v>
      </c>
      <c r="M6" s="287">
        <f>SUM(L6-L5)</f>
        <v>0</v>
      </c>
      <c r="N6" s="287">
        <f t="shared" si="13"/>
        <v>0</v>
      </c>
      <c r="O6" s="307"/>
      <c r="P6" s="288">
        <f t="shared" si="14"/>
        <v>10873</v>
      </c>
      <c r="Q6" s="287" t="str">
        <f t="shared" si="3"/>
        <v>ok</v>
      </c>
      <c r="R6" s="540">
        <f t="shared" si="15"/>
        <v>12043</v>
      </c>
      <c r="S6" s="287">
        <f t="shared" si="4"/>
        <v>0</v>
      </c>
      <c r="T6" s="540">
        <f t="shared" si="15"/>
        <v>436663</v>
      </c>
      <c r="U6" s="287">
        <f>V6*S6</f>
        <v>0</v>
      </c>
      <c r="V6" s="287">
        <v>250</v>
      </c>
      <c r="W6" s="307"/>
      <c r="X6" s="288">
        <f t="shared" si="22"/>
        <v>12192</v>
      </c>
      <c r="Y6" s="287" t="str">
        <f t="shared" si="5"/>
        <v>ok</v>
      </c>
      <c r="Z6" s="287">
        <f t="shared" si="6"/>
        <v>0</v>
      </c>
      <c r="AA6" s="287">
        <f t="shared" si="17"/>
        <v>0</v>
      </c>
      <c r="AB6" s="287">
        <f t="shared" si="18"/>
        <v>250</v>
      </c>
      <c r="AC6" s="287">
        <f t="shared" si="19"/>
        <v>0</v>
      </c>
      <c r="AD6" s="73">
        <f>ELEC!Q6</f>
        <v>0</v>
      </c>
      <c r="AE6" s="73" t="e">
        <f>SUM(AD6/Z6)</f>
        <v>#DIV/0!</v>
      </c>
      <c r="AF6" s="403" t="e">
        <f t="shared" si="24"/>
        <v>#DIV/0!</v>
      </c>
      <c r="AG6" s="404" t="e">
        <f>SUM(320*AF6)</f>
        <v>#DIV/0!</v>
      </c>
      <c r="AH6" s="404" t="e">
        <f t="shared" si="20"/>
        <v>#DIV/0!</v>
      </c>
      <c r="AI6" s="73">
        <f t="shared" si="26"/>
        <v>0</v>
      </c>
      <c r="AJ6" s="289">
        <f t="shared" si="7"/>
        <v>0.25738396624472576</v>
      </c>
      <c r="AK6" s="289" t="e">
        <f t="shared" si="8"/>
        <v>#DIV/0!</v>
      </c>
    </row>
    <row r="7" spans="1:37" ht="15.75" thickBot="1">
      <c r="A7" s="4">
        <f>ELEC!C7</f>
        <v>44291</v>
      </c>
      <c r="B7" s="539">
        <f t="shared" si="27"/>
        <v>9809</v>
      </c>
      <c r="C7" s="287">
        <f t="shared" si="9"/>
        <v>0</v>
      </c>
      <c r="D7" s="540">
        <f t="shared" si="28"/>
        <v>371590</v>
      </c>
      <c r="E7" s="287">
        <f t="shared" si="10"/>
        <v>0</v>
      </c>
      <c r="F7" s="287">
        <f t="shared" si="0"/>
        <v>0</v>
      </c>
      <c r="G7" s="196"/>
      <c r="H7" s="270">
        <f t="shared" si="21"/>
        <v>9934</v>
      </c>
      <c r="I7" s="287" t="str">
        <f t="shared" si="1"/>
        <v>ok</v>
      </c>
      <c r="J7" s="540">
        <f t="shared" si="11"/>
        <v>10698</v>
      </c>
      <c r="K7" s="287">
        <f t="shared" si="2"/>
        <v>0</v>
      </c>
      <c r="L7" s="540">
        <f t="shared" si="11"/>
        <v>357691</v>
      </c>
      <c r="M7" s="287">
        <f t="shared" si="12"/>
        <v>0</v>
      </c>
      <c r="N7" s="287">
        <f t="shared" si="13"/>
        <v>0</v>
      </c>
      <c r="O7" s="307"/>
      <c r="P7" s="288">
        <f t="shared" si="14"/>
        <v>10873</v>
      </c>
      <c r="Q7" s="287" t="str">
        <f t="shared" si="3"/>
        <v>ok</v>
      </c>
      <c r="R7" s="540">
        <f t="shared" si="15"/>
        <v>12043</v>
      </c>
      <c r="S7" s="287">
        <f t="shared" si="4"/>
        <v>0</v>
      </c>
      <c r="T7" s="540">
        <f t="shared" si="15"/>
        <v>436663</v>
      </c>
      <c r="U7" s="287">
        <f>V7*S7</f>
        <v>0</v>
      </c>
      <c r="V7" s="287">
        <v>250</v>
      </c>
      <c r="W7" s="196"/>
      <c r="X7" s="288">
        <f t="shared" si="22"/>
        <v>12192</v>
      </c>
      <c r="Y7" s="287" t="str">
        <f t="shared" si="5"/>
        <v>ok</v>
      </c>
      <c r="Z7" s="287">
        <f t="shared" si="6"/>
        <v>0</v>
      </c>
      <c r="AA7" s="287">
        <f>U7+M7+E7</f>
        <v>0</v>
      </c>
      <c r="AB7" s="287">
        <f t="shared" si="18"/>
        <v>250</v>
      </c>
      <c r="AC7" s="287">
        <f t="shared" si="19"/>
        <v>0</v>
      </c>
      <c r="AD7" s="73">
        <f>ELEC!Q7</f>
        <v>0</v>
      </c>
      <c r="AE7" s="73" t="e">
        <f t="shared" si="23"/>
        <v>#DIV/0!</v>
      </c>
      <c r="AF7" s="403" t="e">
        <f t="shared" si="24"/>
        <v>#DIV/0!</v>
      </c>
      <c r="AG7" s="504" t="s">
        <v>403</v>
      </c>
      <c r="AH7" s="404" t="e">
        <f t="shared" si="20"/>
        <v>#VALUE!</v>
      </c>
      <c r="AI7" s="73">
        <f t="shared" si="26"/>
        <v>0</v>
      </c>
      <c r="AJ7" s="289">
        <f t="shared" si="7"/>
        <v>0.25738396624472576</v>
      </c>
      <c r="AK7" s="289" t="e">
        <f t="shared" si="8"/>
        <v>#DIV/0!</v>
      </c>
    </row>
    <row r="8" spans="1:37" ht="15.75" thickBot="1">
      <c r="A8" s="4">
        <f>ELEC!C8</f>
        <v>44292</v>
      </c>
      <c r="B8" s="539">
        <f t="shared" si="27"/>
        <v>9809</v>
      </c>
      <c r="C8" s="287">
        <f t="shared" si="9"/>
        <v>0</v>
      </c>
      <c r="D8" s="540">
        <f t="shared" si="28"/>
        <v>371590</v>
      </c>
      <c r="E8" s="287">
        <f t="shared" si="10"/>
        <v>0</v>
      </c>
      <c r="F8" s="287">
        <f t="shared" si="0"/>
        <v>0</v>
      </c>
      <c r="G8" s="196"/>
      <c r="H8" s="270">
        <f t="shared" si="21"/>
        <v>9934</v>
      </c>
      <c r="I8" s="287" t="str">
        <f t="shared" si="1"/>
        <v>ok</v>
      </c>
      <c r="J8" s="540">
        <f t="shared" si="11"/>
        <v>10698</v>
      </c>
      <c r="K8" s="287">
        <f t="shared" si="2"/>
        <v>0</v>
      </c>
      <c r="L8" s="540">
        <f t="shared" si="11"/>
        <v>357691</v>
      </c>
      <c r="M8" s="287">
        <f t="shared" si="12"/>
        <v>0</v>
      </c>
      <c r="N8" s="287">
        <f t="shared" si="13"/>
        <v>0</v>
      </c>
      <c r="O8" s="196"/>
      <c r="P8" s="288">
        <f t="shared" si="14"/>
        <v>10873</v>
      </c>
      <c r="Q8" s="287" t="str">
        <f t="shared" si="3"/>
        <v>ok</v>
      </c>
      <c r="R8" s="540">
        <f t="shared" si="15"/>
        <v>12043</v>
      </c>
      <c r="S8" s="287">
        <f t="shared" si="4"/>
        <v>0</v>
      </c>
      <c r="T8" s="540">
        <f t="shared" si="15"/>
        <v>436663</v>
      </c>
      <c r="U8" s="287">
        <f>V8*S8</f>
        <v>0</v>
      </c>
      <c r="V8" s="287">
        <v>250</v>
      </c>
      <c r="W8" s="196"/>
      <c r="X8" s="288">
        <f t="shared" si="22"/>
        <v>12192</v>
      </c>
      <c r="Y8" s="287" t="str">
        <f t="shared" si="5"/>
        <v>ok</v>
      </c>
      <c r="Z8" s="287">
        <f t="shared" si="6"/>
        <v>0</v>
      </c>
      <c r="AA8" s="287">
        <f t="shared" si="17"/>
        <v>0</v>
      </c>
      <c r="AB8" s="287">
        <f t="shared" si="18"/>
        <v>250</v>
      </c>
      <c r="AC8" s="287">
        <f t="shared" si="19"/>
        <v>0</v>
      </c>
      <c r="AD8" s="73">
        <f>ELEC!Q8</f>
        <v>0</v>
      </c>
      <c r="AE8" s="73" t="e">
        <f t="shared" si="23"/>
        <v>#DIV/0!</v>
      </c>
      <c r="AF8" s="403" t="e">
        <f t="shared" si="24"/>
        <v>#DIV/0!</v>
      </c>
      <c r="AG8" s="404" t="e">
        <f t="shared" si="25"/>
        <v>#DIV/0!</v>
      </c>
      <c r="AH8" s="404" t="e">
        <f t="shared" si="20"/>
        <v>#DIV/0!</v>
      </c>
      <c r="AI8" s="73">
        <f t="shared" si="26"/>
        <v>0</v>
      </c>
      <c r="AJ8" s="289">
        <f t="shared" si="7"/>
        <v>0.25738396624472576</v>
      </c>
      <c r="AK8" s="289" t="e">
        <f t="shared" si="8"/>
        <v>#DIV/0!</v>
      </c>
    </row>
    <row r="9" spans="1:37" ht="15.75" thickBot="1">
      <c r="A9" s="4">
        <f>ELEC!C9</f>
        <v>44293</v>
      </c>
      <c r="B9" s="539">
        <f t="shared" si="27"/>
        <v>9809</v>
      </c>
      <c r="C9" s="287">
        <f t="shared" si="9"/>
        <v>0</v>
      </c>
      <c r="D9" s="540">
        <f t="shared" si="28"/>
        <v>371590</v>
      </c>
      <c r="E9" s="287">
        <f t="shared" si="10"/>
        <v>0</v>
      </c>
      <c r="F9" s="287">
        <f t="shared" si="0"/>
        <v>0</v>
      </c>
      <c r="G9" s="196"/>
      <c r="H9" s="270">
        <f t="shared" si="21"/>
        <v>9934</v>
      </c>
      <c r="I9" s="287" t="str">
        <f t="shared" si="1"/>
        <v>ok</v>
      </c>
      <c r="J9" s="540">
        <f t="shared" si="11"/>
        <v>10698</v>
      </c>
      <c r="K9" s="287">
        <f t="shared" si="2"/>
        <v>0</v>
      </c>
      <c r="L9" s="540">
        <f t="shared" si="11"/>
        <v>357691</v>
      </c>
      <c r="M9" s="287">
        <f t="shared" si="12"/>
        <v>0</v>
      </c>
      <c r="N9" s="287">
        <f t="shared" si="13"/>
        <v>0</v>
      </c>
      <c r="O9" s="196"/>
      <c r="P9" s="288">
        <f t="shared" si="14"/>
        <v>10873</v>
      </c>
      <c r="Q9" s="287" t="str">
        <f t="shared" si="3"/>
        <v>ok</v>
      </c>
      <c r="R9" s="540">
        <f t="shared" si="15"/>
        <v>12043</v>
      </c>
      <c r="S9" s="287">
        <f t="shared" si="4"/>
        <v>0</v>
      </c>
      <c r="T9" s="540">
        <f t="shared" si="15"/>
        <v>436663</v>
      </c>
      <c r="U9" s="287">
        <f t="shared" si="16"/>
        <v>0</v>
      </c>
      <c r="V9" s="287">
        <v>250</v>
      </c>
      <c r="W9" s="196"/>
      <c r="X9" s="288">
        <f t="shared" si="22"/>
        <v>12192</v>
      </c>
      <c r="Y9" s="287" t="str">
        <f t="shared" si="5"/>
        <v>ok</v>
      </c>
      <c r="Z9" s="287">
        <f t="shared" si="6"/>
        <v>0</v>
      </c>
      <c r="AA9" s="287">
        <f t="shared" si="17"/>
        <v>0</v>
      </c>
      <c r="AB9" s="287">
        <f t="shared" si="18"/>
        <v>250</v>
      </c>
      <c r="AC9" s="287">
        <f t="shared" si="19"/>
        <v>0</v>
      </c>
      <c r="AD9" s="73">
        <f>ELEC!Q9</f>
        <v>0</v>
      </c>
      <c r="AE9" s="73" t="e">
        <f t="shared" si="23"/>
        <v>#DIV/0!</v>
      </c>
      <c r="AF9" s="403" t="e">
        <f t="shared" si="24"/>
        <v>#DIV/0!</v>
      </c>
      <c r="AG9" s="404" t="e">
        <f t="shared" si="25"/>
        <v>#DIV/0!</v>
      </c>
      <c r="AH9" s="404" t="e">
        <f t="shared" si="20"/>
        <v>#DIV/0!</v>
      </c>
      <c r="AI9" s="73">
        <f t="shared" si="26"/>
        <v>0</v>
      </c>
      <c r="AJ9" s="289">
        <v>0.25738396624472576</v>
      </c>
      <c r="AK9" s="289">
        <f t="shared" ref="AK9:AK16" si="29">IF(Z9&gt;0,AI9/Z9,0)</f>
        <v>0</v>
      </c>
    </row>
    <row r="10" spans="1:37" ht="15.75" thickBot="1">
      <c r="A10" s="4">
        <f>ELEC!C10</f>
        <v>44294</v>
      </c>
      <c r="B10" s="539">
        <f t="shared" si="27"/>
        <v>9809</v>
      </c>
      <c r="C10" s="287">
        <f t="shared" si="9"/>
        <v>0</v>
      </c>
      <c r="D10" s="540">
        <f t="shared" si="28"/>
        <v>371590</v>
      </c>
      <c r="E10" s="287">
        <f t="shared" si="10"/>
        <v>0</v>
      </c>
      <c r="F10" s="287">
        <f t="shared" si="0"/>
        <v>0</v>
      </c>
      <c r="G10" s="196"/>
      <c r="H10" s="270">
        <f t="shared" si="21"/>
        <v>9934</v>
      </c>
      <c r="I10" s="287" t="str">
        <f t="shared" si="1"/>
        <v>ok</v>
      </c>
      <c r="J10" s="540">
        <f t="shared" si="11"/>
        <v>10698</v>
      </c>
      <c r="K10" s="287">
        <f t="shared" si="2"/>
        <v>0</v>
      </c>
      <c r="L10" s="540">
        <f t="shared" si="11"/>
        <v>357691</v>
      </c>
      <c r="M10" s="287">
        <f t="shared" si="12"/>
        <v>0</v>
      </c>
      <c r="N10" s="287">
        <f t="shared" si="13"/>
        <v>0</v>
      </c>
      <c r="O10" s="196"/>
      <c r="P10" s="288">
        <f t="shared" si="14"/>
        <v>10873</v>
      </c>
      <c r="Q10" s="287" t="str">
        <f t="shared" si="3"/>
        <v>ok</v>
      </c>
      <c r="R10" s="540">
        <f t="shared" si="15"/>
        <v>12043</v>
      </c>
      <c r="S10" s="287">
        <f t="shared" si="4"/>
        <v>0</v>
      </c>
      <c r="T10" s="540">
        <f t="shared" si="15"/>
        <v>436663</v>
      </c>
      <c r="U10" s="287">
        <f t="shared" si="16"/>
        <v>0</v>
      </c>
      <c r="V10" s="287">
        <v>250</v>
      </c>
      <c r="W10" s="338"/>
      <c r="X10" s="288">
        <f t="shared" si="22"/>
        <v>12192</v>
      </c>
      <c r="Y10" s="287" t="str">
        <f t="shared" ref="Y10:Y20" si="30">IF(R10-X10&lt;=0,"ok","oil change")</f>
        <v>ok</v>
      </c>
      <c r="Z10" s="287">
        <f t="shared" si="6"/>
        <v>0</v>
      </c>
      <c r="AA10" s="287">
        <f t="shared" si="17"/>
        <v>0</v>
      </c>
      <c r="AB10" s="287">
        <f t="shared" si="18"/>
        <v>250</v>
      </c>
      <c r="AC10" s="287">
        <f t="shared" si="19"/>
        <v>0</v>
      </c>
      <c r="AD10" s="73">
        <f>ELEC!Q10</f>
        <v>0</v>
      </c>
      <c r="AE10" s="73" t="e">
        <f t="shared" si="23"/>
        <v>#DIV/0!</v>
      </c>
      <c r="AF10" s="403" t="e">
        <f t="shared" si="24"/>
        <v>#DIV/0!</v>
      </c>
      <c r="AG10" s="404" t="e">
        <f t="shared" si="25"/>
        <v>#DIV/0!</v>
      </c>
      <c r="AH10" s="404" t="e">
        <f t="shared" si="20"/>
        <v>#DIV/0!</v>
      </c>
      <c r="AI10" s="73">
        <f t="shared" si="26"/>
        <v>0</v>
      </c>
      <c r="AJ10" s="289">
        <f t="shared" si="7"/>
        <v>0.25738396624472576</v>
      </c>
      <c r="AK10" s="289">
        <f t="shared" si="29"/>
        <v>0</v>
      </c>
    </row>
    <row r="11" spans="1:37" ht="15.75" thickBot="1">
      <c r="A11" s="4">
        <f>ELEC!C11</f>
        <v>44295</v>
      </c>
      <c r="B11" s="539">
        <f t="shared" si="27"/>
        <v>9809</v>
      </c>
      <c r="C11" s="287">
        <f t="shared" si="9"/>
        <v>0</v>
      </c>
      <c r="D11" s="540">
        <f t="shared" si="28"/>
        <v>371590</v>
      </c>
      <c r="E11" s="287">
        <f t="shared" si="10"/>
        <v>0</v>
      </c>
      <c r="F11" s="287">
        <f t="shared" si="0"/>
        <v>0</v>
      </c>
      <c r="G11" s="196"/>
      <c r="H11" s="270">
        <f t="shared" si="21"/>
        <v>9934</v>
      </c>
      <c r="I11" s="287" t="str">
        <f t="shared" si="1"/>
        <v>ok</v>
      </c>
      <c r="J11" s="540">
        <f t="shared" si="11"/>
        <v>10698</v>
      </c>
      <c r="K11" s="287">
        <f t="shared" si="2"/>
        <v>0</v>
      </c>
      <c r="L11" s="540">
        <f t="shared" si="11"/>
        <v>357691</v>
      </c>
      <c r="M11" s="287">
        <f t="shared" si="12"/>
        <v>0</v>
      </c>
      <c r="N11" s="287">
        <f t="shared" si="13"/>
        <v>0</v>
      </c>
      <c r="O11" s="196"/>
      <c r="P11" s="288">
        <f t="shared" si="14"/>
        <v>10873</v>
      </c>
      <c r="Q11" s="287" t="str">
        <f t="shared" si="3"/>
        <v>ok</v>
      </c>
      <c r="R11" s="540">
        <f t="shared" si="15"/>
        <v>12043</v>
      </c>
      <c r="S11" s="287">
        <f t="shared" si="4"/>
        <v>0</v>
      </c>
      <c r="T11" s="540">
        <f t="shared" si="15"/>
        <v>436663</v>
      </c>
      <c r="U11" s="287">
        <f t="shared" si="16"/>
        <v>0</v>
      </c>
      <c r="V11" s="287">
        <v>250</v>
      </c>
      <c r="W11" s="338"/>
      <c r="X11" s="288">
        <f t="shared" si="22"/>
        <v>12192</v>
      </c>
      <c r="Y11" s="287" t="str">
        <f t="shared" si="30"/>
        <v>ok</v>
      </c>
      <c r="Z11" s="287">
        <f t="shared" si="6"/>
        <v>0</v>
      </c>
      <c r="AA11" s="287">
        <f t="shared" si="17"/>
        <v>0</v>
      </c>
      <c r="AB11" s="287">
        <f t="shared" si="18"/>
        <v>250</v>
      </c>
      <c r="AC11" s="287">
        <f t="shared" si="19"/>
        <v>0</v>
      </c>
      <c r="AD11" s="73">
        <f>ELEC!Q11</f>
        <v>0</v>
      </c>
      <c r="AE11" s="73" t="e">
        <f t="shared" si="23"/>
        <v>#DIV/0!</v>
      </c>
      <c r="AF11" s="403" t="e">
        <f t="shared" si="24"/>
        <v>#DIV/0!</v>
      </c>
      <c r="AG11" s="404" t="e">
        <f t="shared" si="25"/>
        <v>#DIV/0!</v>
      </c>
      <c r="AH11" s="404" t="e">
        <f t="shared" si="20"/>
        <v>#DIV/0!</v>
      </c>
      <c r="AI11" s="73">
        <f t="shared" si="26"/>
        <v>0</v>
      </c>
      <c r="AJ11" s="289">
        <f t="shared" si="7"/>
        <v>0.25738396624472576</v>
      </c>
      <c r="AK11" s="289">
        <f t="shared" si="29"/>
        <v>0</v>
      </c>
    </row>
    <row r="12" spans="1:37" ht="15.75" thickBot="1">
      <c r="A12" s="4">
        <f>ELEC!C12</f>
        <v>44296</v>
      </c>
      <c r="B12" s="539">
        <f t="shared" si="27"/>
        <v>9809</v>
      </c>
      <c r="C12" s="287">
        <f t="shared" si="9"/>
        <v>0</v>
      </c>
      <c r="D12" s="540">
        <f t="shared" si="28"/>
        <v>371590</v>
      </c>
      <c r="E12" s="287">
        <f t="shared" si="10"/>
        <v>0</v>
      </c>
      <c r="F12" s="287">
        <f t="shared" si="0"/>
        <v>0</v>
      </c>
      <c r="G12" s="196"/>
      <c r="H12" s="270">
        <f t="shared" si="21"/>
        <v>9934</v>
      </c>
      <c r="I12" s="287" t="str">
        <f t="shared" si="1"/>
        <v>ok</v>
      </c>
      <c r="J12" s="540">
        <f t="shared" si="11"/>
        <v>10698</v>
      </c>
      <c r="K12" s="287">
        <f t="shared" si="2"/>
        <v>0</v>
      </c>
      <c r="L12" s="540">
        <f t="shared" si="11"/>
        <v>357691</v>
      </c>
      <c r="M12" s="287">
        <f t="shared" si="12"/>
        <v>0</v>
      </c>
      <c r="N12" s="287">
        <f t="shared" si="13"/>
        <v>0</v>
      </c>
      <c r="O12" s="196"/>
      <c r="P12" s="288">
        <f t="shared" si="14"/>
        <v>10873</v>
      </c>
      <c r="Q12" s="287" t="str">
        <f t="shared" si="3"/>
        <v>ok</v>
      </c>
      <c r="R12" s="540">
        <f t="shared" si="15"/>
        <v>12043</v>
      </c>
      <c r="S12" s="287">
        <f t="shared" si="4"/>
        <v>0</v>
      </c>
      <c r="T12" s="540">
        <f t="shared" si="15"/>
        <v>436663</v>
      </c>
      <c r="U12" s="287">
        <f t="shared" si="16"/>
        <v>0</v>
      </c>
      <c r="V12" s="287">
        <v>250</v>
      </c>
      <c r="W12" s="338"/>
      <c r="X12" s="288">
        <f t="shared" si="22"/>
        <v>12192</v>
      </c>
      <c r="Y12" s="287" t="str">
        <f t="shared" si="30"/>
        <v>ok</v>
      </c>
      <c r="Z12" s="287">
        <f t="shared" si="6"/>
        <v>0</v>
      </c>
      <c r="AA12" s="287">
        <f t="shared" si="17"/>
        <v>0</v>
      </c>
      <c r="AB12" s="287">
        <f t="shared" si="18"/>
        <v>250</v>
      </c>
      <c r="AC12" s="287">
        <f t="shared" si="19"/>
        <v>0</v>
      </c>
      <c r="AD12" s="73">
        <f>ELEC!Q12</f>
        <v>0</v>
      </c>
      <c r="AE12" s="73" t="e">
        <f t="shared" si="23"/>
        <v>#DIV/0!</v>
      </c>
      <c r="AF12" s="403" t="e">
        <f t="shared" si="24"/>
        <v>#DIV/0!</v>
      </c>
      <c r="AG12" s="404" t="e">
        <f t="shared" si="25"/>
        <v>#DIV/0!</v>
      </c>
      <c r="AH12" s="404" t="e">
        <f t="shared" si="20"/>
        <v>#DIV/0!</v>
      </c>
      <c r="AI12" s="73">
        <f t="shared" si="26"/>
        <v>0</v>
      </c>
      <c r="AJ12" s="289">
        <f t="shared" si="7"/>
        <v>0.25738396624472576</v>
      </c>
      <c r="AK12" s="289">
        <f t="shared" si="29"/>
        <v>0</v>
      </c>
    </row>
    <row r="13" spans="1:37" ht="15.75" thickBot="1">
      <c r="A13" s="4">
        <f>ELEC!C13</f>
        <v>44297</v>
      </c>
      <c r="B13" s="539">
        <f t="shared" si="27"/>
        <v>9809</v>
      </c>
      <c r="C13" s="287">
        <f t="shared" si="9"/>
        <v>0</v>
      </c>
      <c r="D13" s="540">
        <f t="shared" si="28"/>
        <v>371590</v>
      </c>
      <c r="E13" s="287">
        <f t="shared" si="10"/>
        <v>0</v>
      </c>
      <c r="F13" s="287">
        <f t="shared" si="0"/>
        <v>0</v>
      </c>
      <c r="G13" s="196"/>
      <c r="H13" s="270">
        <f t="shared" si="21"/>
        <v>9934</v>
      </c>
      <c r="I13" s="287" t="str">
        <f t="shared" si="1"/>
        <v>ok</v>
      </c>
      <c r="J13" s="540">
        <f t="shared" si="11"/>
        <v>10698</v>
      </c>
      <c r="K13" s="287">
        <f t="shared" si="2"/>
        <v>0</v>
      </c>
      <c r="L13" s="540">
        <f t="shared" si="11"/>
        <v>357691</v>
      </c>
      <c r="M13" s="287">
        <f t="shared" si="12"/>
        <v>0</v>
      </c>
      <c r="N13" s="287">
        <f t="shared" si="13"/>
        <v>0</v>
      </c>
      <c r="O13" s="196"/>
      <c r="P13" s="288">
        <f t="shared" si="14"/>
        <v>10873</v>
      </c>
      <c r="Q13" s="287" t="str">
        <f t="shared" si="3"/>
        <v>ok</v>
      </c>
      <c r="R13" s="540">
        <f t="shared" si="15"/>
        <v>12043</v>
      </c>
      <c r="S13" s="287">
        <f t="shared" si="4"/>
        <v>0</v>
      </c>
      <c r="T13" s="540">
        <f t="shared" si="15"/>
        <v>436663</v>
      </c>
      <c r="U13" s="287">
        <f t="shared" si="16"/>
        <v>0</v>
      </c>
      <c r="V13" s="287">
        <v>250</v>
      </c>
      <c r="W13" s="338"/>
      <c r="X13" s="288">
        <f t="shared" si="22"/>
        <v>12192</v>
      </c>
      <c r="Y13" s="287" t="str">
        <f t="shared" si="30"/>
        <v>ok</v>
      </c>
      <c r="Z13" s="287">
        <f t="shared" si="6"/>
        <v>0</v>
      </c>
      <c r="AA13" s="287">
        <f t="shared" si="17"/>
        <v>0</v>
      </c>
      <c r="AB13" s="287">
        <f t="shared" si="18"/>
        <v>250</v>
      </c>
      <c r="AC13" s="287">
        <f t="shared" si="19"/>
        <v>0</v>
      </c>
      <c r="AD13" s="73">
        <f>ELEC!Q13</f>
        <v>0</v>
      </c>
      <c r="AE13" s="73" t="e">
        <f t="shared" si="23"/>
        <v>#DIV/0!</v>
      </c>
      <c r="AF13" s="403" t="e">
        <f t="shared" si="24"/>
        <v>#DIV/0!</v>
      </c>
      <c r="AG13" s="404" t="e">
        <f t="shared" si="25"/>
        <v>#DIV/0!</v>
      </c>
      <c r="AH13" s="404" t="e">
        <f t="shared" si="20"/>
        <v>#DIV/0!</v>
      </c>
      <c r="AI13" s="73">
        <f t="shared" si="26"/>
        <v>0</v>
      </c>
      <c r="AJ13" s="289">
        <f t="shared" si="7"/>
        <v>0.25738396624472576</v>
      </c>
      <c r="AK13" s="289">
        <f t="shared" si="29"/>
        <v>0</v>
      </c>
    </row>
    <row r="14" spans="1:37" ht="15.75" thickBot="1">
      <c r="A14" s="4">
        <f>ELEC!C14</f>
        <v>44298</v>
      </c>
      <c r="B14" s="539">
        <f t="shared" si="27"/>
        <v>9809</v>
      </c>
      <c r="C14" s="287">
        <f t="shared" si="9"/>
        <v>0</v>
      </c>
      <c r="D14" s="540">
        <f t="shared" si="28"/>
        <v>371590</v>
      </c>
      <c r="E14" s="287">
        <f t="shared" si="10"/>
        <v>0</v>
      </c>
      <c r="F14" s="287">
        <f t="shared" si="0"/>
        <v>0</v>
      </c>
      <c r="G14" s="196"/>
      <c r="H14" s="270">
        <f t="shared" si="21"/>
        <v>9934</v>
      </c>
      <c r="I14" s="287" t="str">
        <f t="shared" si="1"/>
        <v>ok</v>
      </c>
      <c r="J14" s="540">
        <f t="shared" si="11"/>
        <v>10698</v>
      </c>
      <c r="K14" s="287">
        <f t="shared" si="2"/>
        <v>0</v>
      </c>
      <c r="L14" s="540">
        <f t="shared" si="11"/>
        <v>357691</v>
      </c>
      <c r="M14" s="287">
        <f t="shared" si="12"/>
        <v>0</v>
      </c>
      <c r="N14" s="287">
        <f t="shared" si="13"/>
        <v>0</v>
      </c>
      <c r="O14" s="196"/>
      <c r="P14" s="288">
        <f t="shared" si="14"/>
        <v>10873</v>
      </c>
      <c r="Q14" s="287" t="str">
        <f t="shared" si="3"/>
        <v>ok</v>
      </c>
      <c r="R14" s="540">
        <f t="shared" si="15"/>
        <v>12043</v>
      </c>
      <c r="S14" s="287">
        <f t="shared" si="4"/>
        <v>0</v>
      </c>
      <c r="T14" s="540">
        <f t="shared" si="15"/>
        <v>436663</v>
      </c>
      <c r="U14" s="287">
        <f t="shared" si="16"/>
        <v>0</v>
      </c>
      <c r="V14" s="287">
        <v>250</v>
      </c>
      <c r="W14" s="338"/>
      <c r="X14" s="288">
        <f t="shared" si="22"/>
        <v>12192</v>
      </c>
      <c r="Y14" s="287" t="str">
        <f t="shared" si="30"/>
        <v>ok</v>
      </c>
      <c r="Z14" s="287">
        <f t="shared" si="6"/>
        <v>0</v>
      </c>
      <c r="AA14" s="287">
        <f t="shared" si="17"/>
        <v>0</v>
      </c>
      <c r="AB14" s="287">
        <f t="shared" si="18"/>
        <v>250</v>
      </c>
      <c r="AC14" s="287">
        <f t="shared" si="19"/>
        <v>0</v>
      </c>
      <c r="AD14" s="73">
        <f>ELEC!Q14</f>
        <v>0</v>
      </c>
      <c r="AE14" s="73" t="e">
        <f t="shared" si="23"/>
        <v>#DIV/0!</v>
      </c>
      <c r="AF14" s="403" t="e">
        <f t="shared" si="24"/>
        <v>#DIV/0!</v>
      </c>
      <c r="AG14" s="404" t="e">
        <f t="shared" si="25"/>
        <v>#DIV/0!</v>
      </c>
      <c r="AH14" s="404" t="e">
        <f t="shared" si="20"/>
        <v>#DIV/0!</v>
      </c>
      <c r="AI14" s="73">
        <f t="shared" si="26"/>
        <v>0</v>
      </c>
      <c r="AJ14" s="289">
        <f t="shared" si="7"/>
        <v>0.25738396624472576</v>
      </c>
      <c r="AK14" s="289">
        <f t="shared" si="29"/>
        <v>0</v>
      </c>
    </row>
    <row r="15" spans="1:37" ht="15.75" thickBot="1">
      <c r="A15" s="4">
        <f>ELEC!C15</f>
        <v>44299</v>
      </c>
      <c r="B15" s="539">
        <f t="shared" si="27"/>
        <v>9809</v>
      </c>
      <c r="C15" s="287">
        <f t="shared" si="9"/>
        <v>0</v>
      </c>
      <c r="D15" s="540">
        <f t="shared" si="28"/>
        <v>371590</v>
      </c>
      <c r="E15" s="287">
        <f t="shared" si="10"/>
        <v>0</v>
      </c>
      <c r="F15" s="287">
        <f t="shared" si="0"/>
        <v>0</v>
      </c>
      <c r="G15" s="196"/>
      <c r="H15" s="270">
        <f t="shared" si="21"/>
        <v>9934</v>
      </c>
      <c r="I15" s="287" t="str">
        <f t="shared" si="1"/>
        <v>ok</v>
      </c>
      <c r="J15" s="540">
        <f t="shared" si="11"/>
        <v>10698</v>
      </c>
      <c r="K15" s="287">
        <f t="shared" si="2"/>
        <v>0</v>
      </c>
      <c r="L15" s="540">
        <f t="shared" si="11"/>
        <v>357691</v>
      </c>
      <c r="M15" s="287">
        <f t="shared" si="12"/>
        <v>0</v>
      </c>
      <c r="N15" s="287">
        <f t="shared" si="13"/>
        <v>0</v>
      </c>
      <c r="O15" s="196"/>
      <c r="P15" s="288">
        <f t="shared" si="14"/>
        <v>10873</v>
      </c>
      <c r="Q15" s="287" t="str">
        <f t="shared" si="3"/>
        <v>ok</v>
      </c>
      <c r="R15" s="540">
        <f t="shared" si="15"/>
        <v>12043</v>
      </c>
      <c r="S15" s="287">
        <f t="shared" si="4"/>
        <v>0</v>
      </c>
      <c r="T15" s="540">
        <f t="shared" si="15"/>
        <v>436663</v>
      </c>
      <c r="U15" s="287">
        <f t="shared" si="16"/>
        <v>0</v>
      </c>
      <c r="V15" s="287">
        <v>250</v>
      </c>
      <c r="W15" s="338"/>
      <c r="X15" s="288">
        <f t="shared" si="22"/>
        <v>12192</v>
      </c>
      <c r="Y15" s="287" t="str">
        <f t="shared" si="30"/>
        <v>ok</v>
      </c>
      <c r="Z15" s="287">
        <f t="shared" si="6"/>
        <v>0</v>
      </c>
      <c r="AA15" s="287">
        <f t="shared" si="17"/>
        <v>0</v>
      </c>
      <c r="AB15" s="287">
        <f t="shared" si="18"/>
        <v>250</v>
      </c>
      <c r="AC15" s="287">
        <f t="shared" si="19"/>
        <v>0</v>
      </c>
      <c r="AD15" s="73">
        <f>ELEC!Q15</f>
        <v>0</v>
      </c>
      <c r="AE15" s="73" t="e">
        <f t="shared" si="23"/>
        <v>#DIV/0!</v>
      </c>
      <c r="AF15" s="403" t="e">
        <f t="shared" si="24"/>
        <v>#DIV/0!</v>
      </c>
      <c r="AG15" s="404" t="e">
        <f t="shared" si="25"/>
        <v>#DIV/0!</v>
      </c>
      <c r="AH15" s="404" t="e">
        <f t="shared" si="20"/>
        <v>#DIV/0!</v>
      </c>
      <c r="AI15" s="73">
        <f t="shared" si="26"/>
        <v>0</v>
      </c>
      <c r="AJ15" s="289">
        <f t="shared" si="7"/>
        <v>0.25738396624472576</v>
      </c>
      <c r="AK15" s="289">
        <f t="shared" si="29"/>
        <v>0</v>
      </c>
    </row>
    <row r="16" spans="1:37" ht="15.75" thickBot="1">
      <c r="A16" s="4">
        <f>ELEC!C16</f>
        <v>44300</v>
      </c>
      <c r="B16" s="539">
        <f t="shared" si="27"/>
        <v>9809</v>
      </c>
      <c r="C16" s="287">
        <f t="shared" si="9"/>
        <v>0</v>
      </c>
      <c r="D16" s="540">
        <f t="shared" si="28"/>
        <v>371590</v>
      </c>
      <c r="E16" s="287">
        <f t="shared" si="10"/>
        <v>0</v>
      </c>
      <c r="F16" s="287">
        <f t="shared" si="0"/>
        <v>0</v>
      </c>
      <c r="G16" s="196"/>
      <c r="H16" s="270">
        <f t="shared" si="21"/>
        <v>9934</v>
      </c>
      <c r="I16" s="287" t="str">
        <f t="shared" si="1"/>
        <v>ok</v>
      </c>
      <c r="J16" s="540">
        <f t="shared" si="11"/>
        <v>10698</v>
      </c>
      <c r="K16" s="287">
        <f t="shared" si="2"/>
        <v>0</v>
      </c>
      <c r="L16" s="540">
        <f t="shared" si="11"/>
        <v>357691</v>
      </c>
      <c r="M16" s="287">
        <f t="shared" si="12"/>
        <v>0</v>
      </c>
      <c r="N16" s="287">
        <f t="shared" si="13"/>
        <v>0</v>
      </c>
      <c r="O16" s="196"/>
      <c r="P16" s="288">
        <f t="shared" si="14"/>
        <v>10873</v>
      </c>
      <c r="Q16" s="287" t="str">
        <f t="shared" si="3"/>
        <v>ok</v>
      </c>
      <c r="R16" s="540">
        <f t="shared" si="15"/>
        <v>12043</v>
      </c>
      <c r="S16" s="287">
        <f t="shared" si="4"/>
        <v>0</v>
      </c>
      <c r="T16" s="540">
        <f t="shared" si="15"/>
        <v>436663</v>
      </c>
      <c r="U16" s="287">
        <f t="shared" si="16"/>
        <v>0</v>
      </c>
      <c r="V16" s="287">
        <v>250</v>
      </c>
      <c r="W16" s="338"/>
      <c r="X16" s="288">
        <f t="shared" si="22"/>
        <v>12192</v>
      </c>
      <c r="Y16" s="287" t="str">
        <f t="shared" si="30"/>
        <v>ok</v>
      </c>
      <c r="Z16" s="287">
        <f t="shared" si="6"/>
        <v>0</v>
      </c>
      <c r="AA16" s="287">
        <f t="shared" si="17"/>
        <v>0</v>
      </c>
      <c r="AB16" s="287">
        <f t="shared" si="18"/>
        <v>250</v>
      </c>
      <c r="AC16" s="287">
        <f t="shared" si="19"/>
        <v>0</v>
      </c>
      <c r="AD16" s="73">
        <f>ELEC!Q16</f>
        <v>0</v>
      </c>
      <c r="AE16" s="73" t="e">
        <f t="shared" si="23"/>
        <v>#DIV/0!</v>
      </c>
      <c r="AF16" s="403" t="e">
        <f t="shared" si="24"/>
        <v>#DIV/0!</v>
      </c>
      <c r="AG16" s="404" t="e">
        <f t="shared" si="25"/>
        <v>#DIV/0!</v>
      </c>
      <c r="AH16" s="404" t="e">
        <f t="shared" si="20"/>
        <v>#DIV/0!</v>
      </c>
      <c r="AI16" s="73">
        <f t="shared" si="26"/>
        <v>0</v>
      </c>
      <c r="AJ16" s="289">
        <f t="shared" si="7"/>
        <v>0.25738396624472576</v>
      </c>
      <c r="AK16" s="289">
        <f t="shared" si="29"/>
        <v>0</v>
      </c>
    </row>
    <row r="17" spans="1:37" ht="15.75" thickBot="1">
      <c r="A17" s="4">
        <f>ELEC!C17</f>
        <v>44301</v>
      </c>
      <c r="B17" s="539">
        <f t="shared" si="27"/>
        <v>9809</v>
      </c>
      <c r="C17" s="287">
        <f t="shared" si="9"/>
        <v>0</v>
      </c>
      <c r="D17" s="540">
        <f t="shared" si="28"/>
        <v>371590</v>
      </c>
      <c r="E17" s="287">
        <f t="shared" si="10"/>
        <v>0</v>
      </c>
      <c r="F17" s="287">
        <f t="shared" si="0"/>
        <v>0</v>
      </c>
      <c r="G17" s="196"/>
      <c r="H17" s="270">
        <f t="shared" si="21"/>
        <v>9934</v>
      </c>
      <c r="I17" s="287" t="str">
        <f t="shared" si="1"/>
        <v>ok</v>
      </c>
      <c r="J17" s="540">
        <f t="shared" si="11"/>
        <v>10698</v>
      </c>
      <c r="K17" s="287">
        <f t="shared" si="2"/>
        <v>0</v>
      </c>
      <c r="L17" s="540">
        <f t="shared" si="11"/>
        <v>357691</v>
      </c>
      <c r="M17" s="287">
        <f t="shared" si="12"/>
        <v>0</v>
      </c>
      <c r="N17" s="287">
        <f t="shared" si="13"/>
        <v>0</v>
      </c>
      <c r="O17" s="196"/>
      <c r="P17" s="288">
        <f t="shared" si="14"/>
        <v>10873</v>
      </c>
      <c r="Q17" s="287" t="str">
        <f t="shared" si="3"/>
        <v>ok</v>
      </c>
      <c r="R17" s="540">
        <f t="shared" si="15"/>
        <v>12043</v>
      </c>
      <c r="S17" s="287">
        <f t="shared" si="4"/>
        <v>0</v>
      </c>
      <c r="T17" s="540">
        <f t="shared" si="15"/>
        <v>436663</v>
      </c>
      <c r="U17" s="287">
        <f t="shared" si="16"/>
        <v>0</v>
      </c>
      <c r="V17" s="287">
        <v>250</v>
      </c>
      <c r="W17" s="338"/>
      <c r="X17" s="288">
        <f t="shared" si="22"/>
        <v>12192</v>
      </c>
      <c r="Y17" s="287" t="str">
        <f t="shared" si="30"/>
        <v>ok</v>
      </c>
      <c r="Z17" s="287">
        <f t="shared" si="6"/>
        <v>0</v>
      </c>
      <c r="AA17" s="287">
        <f t="shared" si="17"/>
        <v>0</v>
      </c>
      <c r="AB17" s="287">
        <f t="shared" si="18"/>
        <v>250</v>
      </c>
      <c r="AC17" s="287">
        <f t="shared" si="19"/>
        <v>0</v>
      </c>
      <c r="AD17" s="73">
        <f>ELEC!Q17</f>
        <v>0</v>
      </c>
      <c r="AE17" s="73" t="e">
        <f t="shared" si="23"/>
        <v>#DIV/0!</v>
      </c>
      <c r="AF17" s="403" t="e">
        <f t="shared" si="24"/>
        <v>#DIV/0!</v>
      </c>
      <c r="AG17" s="404" t="e">
        <f t="shared" si="25"/>
        <v>#DIV/0!</v>
      </c>
      <c r="AH17" s="404" t="e">
        <f t="shared" si="20"/>
        <v>#DIV/0!</v>
      </c>
      <c r="AI17" s="73">
        <f t="shared" si="26"/>
        <v>0</v>
      </c>
      <c r="AJ17" s="289">
        <f t="shared" si="7"/>
        <v>0.25738396624472576</v>
      </c>
      <c r="AK17" s="289">
        <f t="shared" ref="AK17:AK30" si="31">IF(Z17&gt;0,AI17/Z17,0)</f>
        <v>0</v>
      </c>
    </row>
    <row r="18" spans="1:37" ht="15.75" thickBot="1">
      <c r="A18" s="4">
        <f>ELEC!C18</f>
        <v>44302</v>
      </c>
      <c r="B18" s="539">
        <f t="shared" si="27"/>
        <v>9809</v>
      </c>
      <c r="C18" s="287">
        <f t="shared" si="9"/>
        <v>0</v>
      </c>
      <c r="D18" s="540">
        <f t="shared" si="28"/>
        <v>371590</v>
      </c>
      <c r="E18" s="287">
        <f t="shared" si="10"/>
        <v>0</v>
      </c>
      <c r="F18" s="287">
        <f t="shared" si="0"/>
        <v>0</v>
      </c>
      <c r="G18" s="196"/>
      <c r="H18" s="270">
        <f t="shared" si="21"/>
        <v>9934</v>
      </c>
      <c r="I18" s="287" t="str">
        <f t="shared" si="1"/>
        <v>ok</v>
      </c>
      <c r="J18" s="540">
        <f t="shared" si="11"/>
        <v>10698</v>
      </c>
      <c r="K18" s="287">
        <f t="shared" si="2"/>
        <v>0</v>
      </c>
      <c r="L18" s="540">
        <f t="shared" si="11"/>
        <v>357691</v>
      </c>
      <c r="M18" s="287">
        <f t="shared" si="12"/>
        <v>0</v>
      </c>
      <c r="N18" s="287">
        <f t="shared" si="13"/>
        <v>0</v>
      </c>
      <c r="O18" s="196"/>
      <c r="P18" s="288">
        <f t="shared" si="14"/>
        <v>10873</v>
      </c>
      <c r="Q18" s="287" t="str">
        <f>IF(J18-P14&lt;=0,"ok","oil change")</f>
        <v>ok</v>
      </c>
      <c r="R18" s="540">
        <f t="shared" si="15"/>
        <v>12043</v>
      </c>
      <c r="S18" s="287">
        <f t="shared" si="4"/>
        <v>0</v>
      </c>
      <c r="T18" s="540">
        <f t="shared" si="15"/>
        <v>436663</v>
      </c>
      <c r="U18" s="287">
        <f t="shared" si="16"/>
        <v>0</v>
      </c>
      <c r="V18" s="287">
        <v>250</v>
      </c>
      <c r="W18" s="338"/>
      <c r="X18" s="288">
        <f t="shared" si="22"/>
        <v>12192</v>
      </c>
      <c r="Y18" s="287" t="str">
        <f t="shared" si="30"/>
        <v>ok</v>
      </c>
      <c r="Z18" s="287">
        <f t="shared" si="6"/>
        <v>0</v>
      </c>
      <c r="AA18" s="287">
        <f t="shared" si="17"/>
        <v>0</v>
      </c>
      <c r="AB18" s="287">
        <f t="shared" si="18"/>
        <v>250</v>
      </c>
      <c r="AC18" s="287">
        <f t="shared" si="19"/>
        <v>0</v>
      </c>
      <c r="AD18" s="73">
        <f>ELEC!Q18</f>
        <v>0</v>
      </c>
      <c r="AE18" s="73" t="e">
        <f t="shared" si="23"/>
        <v>#DIV/0!</v>
      </c>
      <c r="AF18" s="403" t="e">
        <f t="shared" si="24"/>
        <v>#DIV/0!</v>
      </c>
      <c r="AG18" s="404" t="e">
        <f t="shared" si="25"/>
        <v>#DIV/0!</v>
      </c>
      <c r="AH18" s="404" t="e">
        <f t="shared" si="20"/>
        <v>#DIV/0!</v>
      </c>
      <c r="AI18" s="73">
        <f t="shared" si="26"/>
        <v>0</v>
      </c>
      <c r="AJ18" s="289">
        <f t="shared" si="7"/>
        <v>0.25738396624472576</v>
      </c>
      <c r="AK18" s="289">
        <f t="shared" si="31"/>
        <v>0</v>
      </c>
    </row>
    <row r="19" spans="1:37" ht="15.75" thickBot="1">
      <c r="A19" s="4">
        <f>ELEC!C19</f>
        <v>44303</v>
      </c>
      <c r="B19" s="539">
        <f t="shared" si="27"/>
        <v>9809</v>
      </c>
      <c r="C19" s="287">
        <f t="shared" si="9"/>
        <v>0</v>
      </c>
      <c r="D19" s="540">
        <f t="shared" si="28"/>
        <v>371590</v>
      </c>
      <c r="E19" s="287">
        <f t="shared" si="10"/>
        <v>0</v>
      </c>
      <c r="F19" s="287">
        <f t="shared" si="0"/>
        <v>0</v>
      </c>
      <c r="G19" s="196"/>
      <c r="H19" s="270">
        <f t="shared" si="21"/>
        <v>9934</v>
      </c>
      <c r="I19" s="287" t="str">
        <f t="shared" si="1"/>
        <v>ok</v>
      </c>
      <c r="J19" s="540">
        <f t="shared" si="11"/>
        <v>10698</v>
      </c>
      <c r="K19" s="287">
        <f t="shared" si="2"/>
        <v>0</v>
      </c>
      <c r="L19" s="540">
        <f t="shared" si="11"/>
        <v>357691</v>
      </c>
      <c r="M19" s="287">
        <f t="shared" si="12"/>
        <v>0</v>
      </c>
      <c r="N19" s="287">
        <f t="shared" si="13"/>
        <v>0</v>
      </c>
      <c r="O19" s="196"/>
      <c r="P19" s="288">
        <f t="shared" si="14"/>
        <v>10873</v>
      </c>
      <c r="Q19" s="287" t="str">
        <f t="shared" ref="Q19:Q30" si="32">IF(J19-P19&lt;=0,"ok","oil change")</f>
        <v>ok</v>
      </c>
      <c r="R19" s="540">
        <f t="shared" si="15"/>
        <v>12043</v>
      </c>
      <c r="S19" s="287">
        <f t="shared" si="4"/>
        <v>0</v>
      </c>
      <c r="T19" s="540">
        <f t="shared" si="15"/>
        <v>436663</v>
      </c>
      <c r="U19" s="287">
        <f t="shared" si="16"/>
        <v>0</v>
      </c>
      <c r="V19" s="287">
        <v>250</v>
      </c>
      <c r="W19" s="338"/>
      <c r="X19" s="288">
        <f t="shared" si="22"/>
        <v>12192</v>
      </c>
      <c r="Y19" s="287" t="str">
        <f t="shared" si="30"/>
        <v>ok</v>
      </c>
      <c r="Z19" s="287">
        <f t="shared" si="6"/>
        <v>0</v>
      </c>
      <c r="AA19" s="287">
        <f t="shared" si="17"/>
        <v>0</v>
      </c>
      <c r="AB19" s="287">
        <f t="shared" si="18"/>
        <v>250</v>
      </c>
      <c r="AC19" s="287">
        <f t="shared" si="19"/>
        <v>0</v>
      </c>
      <c r="AD19" s="73">
        <f>ELEC!Q19</f>
        <v>0</v>
      </c>
      <c r="AE19" s="73" t="e">
        <f t="shared" si="23"/>
        <v>#DIV/0!</v>
      </c>
      <c r="AF19" s="403" t="e">
        <f t="shared" si="24"/>
        <v>#DIV/0!</v>
      </c>
      <c r="AG19" s="404" t="e">
        <f t="shared" si="25"/>
        <v>#DIV/0!</v>
      </c>
      <c r="AH19" s="404" t="e">
        <f t="shared" si="20"/>
        <v>#DIV/0!</v>
      </c>
      <c r="AI19" s="73">
        <f t="shared" si="26"/>
        <v>0</v>
      </c>
      <c r="AJ19" s="289">
        <f t="shared" si="7"/>
        <v>0.25738396624472576</v>
      </c>
      <c r="AK19" s="289">
        <f t="shared" si="31"/>
        <v>0</v>
      </c>
    </row>
    <row r="20" spans="1:37" ht="15.75" thickBot="1">
      <c r="A20" s="4">
        <f>ELEC!C20</f>
        <v>44304</v>
      </c>
      <c r="B20" s="539">
        <f t="shared" si="27"/>
        <v>9809</v>
      </c>
      <c r="C20" s="287">
        <f>B20-B19</f>
        <v>0</v>
      </c>
      <c r="D20" s="540">
        <f t="shared" si="28"/>
        <v>371590</v>
      </c>
      <c r="E20" s="287">
        <f t="shared" si="10"/>
        <v>0</v>
      </c>
      <c r="F20" s="287">
        <f t="shared" si="0"/>
        <v>0</v>
      </c>
      <c r="G20" s="196"/>
      <c r="H20" s="270">
        <f t="shared" si="21"/>
        <v>9934</v>
      </c>
      <c r="I20" s="287" t="str">
        <f t="shared" si="1"/>
        <v>ok</v>
      </c>
      <c r="J20" s="540">
        <f t="shared" si="11"/>
        <v>10698</v>
      </c>
      <c r="K20" s="287">
        <f t="shared" si="2"/>
        <v>0</v>
      </c>
      <c r="L20" s="540">
        <f t="shared" si="11"/>
        <v>357691</v>
      </c>
      <c r="M20" s="287">
        <f t="shared" si="12"/>
        <v>0</v>
      </c>
      <c r="N20" s="287">
        <f t="shared" si="13"/>
        <v>0</v>
      </c>
      <c r="O20" s="196"/>
      <c r="P20" s="288">
        <f t="shared" si="14"/>
        <v>10873</v>
      </c>
      <c r="Q20" s="287" t="str">
        <f t="shared" si="32"/>
        <v>ok</v>
      </c>
      <c r="R20" s="540">
        <f t="shared" si="15"/>
        <v>12043</v>
      </c>
      <c r="S20" s="287">
        <f t="shared" si="4"/>
        <v>0</v>
      </c>
      <c r="T20" s="540">
        <f t="shared" si="15"/>
        <v>436663</v>
      </c>
      <c r="U20" s="287">
        <f t="shared" si="16"/>
        <v>0</v>
      </c>
      <c r="V20" s="287">
        <v>250</v>
      </c>
      <c r="W20" s="338"/>
      <c r="X20" s="288">
        <f t="shared" si="22"/>
        <v>12192</v>
      </c>
      <c r="Y20" s="287" t="str">
        <f t="shared" si="30"/>
        <v>ok</v>
      </c>
      <c r="Z20" s="287">
        <f t="shared" si="6"/>
        <v>0</v>
      </c>
      <c r="AA20" s="287">
        <f t="shared" si="17"/>
        <v>0</v>
      </c>
      <c r="AB20" s="287">
        <f t="shared" si="18"/>
        <v>250</v>
      </c>
      <c r="AC20" s="287">
        <f t="shared" si="19"/>
        <v>0</v>
      </c>
      <c r="AD20" s="73">
        <f>ELEC!Q20</f>
        <v>0</v>
      </c>
      <c r="AE20" s="73" t="e">
        <f t="shared" si="23"/>
        <v>#DIV/0!</v>
      </c>
      <c r="AF20" s="403" t="e">
        <f t="shared" si="24"/>
        <v>#DIV/0!</v>
      </c>
      <c r="AG20" s="404" t="e">
        <f t="shared" si="25"/>
        <v>#DIV/0!</v>
      </c>
      <c r="AH20" s="404" t="e">
        <f t="shared" si="20"/>
        <v>#DIV/0!</v>
      </c>
      <c r="AI20" s="73">
        <f>AD20*AJ20</f>
        <v>0</v>
      </c>
      <c r="AJ20" s="289">
        <f t="shared" si="7"/>
        <v>0.25738396624472576</v>
      </c>
      <c r="AK20" s="289">
        <f t="shared" si="31"/>
        <v>0</v>
      </c>
    </row>
    <row r="21" spans="1:37" ht="15.75" thickBot="1">
      <c r="A21" s="4">
        <f>ELEC!C21</f>
        <v>44305</v>
      </c>
      <c r="B21" s="539">
        <f t="shared" si="27"/>
        <v>9809</v>
      </c>
      <c r="C21" s="287">
        <f t="shared" ref="C21" si="33">B21-B20</f>
        <v>0</v>
      </c>
      <c r="D21" s="540">
        <f t="shared" si="28"/>
        <v>371590</v>
      </c>
      <c r="E21" s="287">
        <f t="shared" si="10"/>
        <v>0</v>
      </c>
      <c r="F21" s="287">
        <f t="shared" si="0"/>
        <v>0</v>
      </c>
      <c r="G21" s="196"/>
      <c r="H21" s="270">
        <f t="shared" si="21"/>
        <v>9934</v>
      </c>
      <c r="I21" s="287" t="str">
        <f t="shared" si="1"/>
        <v>ok</v>
      </c>
      <c r="J21" s="540">
        <f t="shared" si="11"/>
        <v>10698</v>
      </c>
      <c r="K21" s="287">
        <f t="shared" si="2"/>
        <v>0</v>
      </c>
      <c r="L21" s="540">
        <f t="shared" si="11"/>
        <v>357691</v>
      </c>
      <c r="M21" s="287">
        <f t="shared" si="12"/>
        <v>0</v>
      </c>
      <c r="N21" s="287">
        <f t="shared" si="13"/>
        <v>0</v>
      </c>
      <c r="O21" s="196"/>
      <c r="P21" s="288">
        <f t="shared" si="14"/>
        <v>10873</v>
      </c>
      <c r="Q21" s="287" t="str">
        <f t="shared" si="32"/>
        <v>ok</v>
      </c>
      <c r="R21" s="540">
        <f t="shared" si="15"/>
        <v>12043</v>
      </c>
      <c r="S21" s="287">
        <f t="shared" si="4"/>
        <v>0</v>
      </c>
      <c r="T21" s="540">
        <f t="shared" si="15"/>
        <v>436663</v>
      </c>
      <c r="U21" s="287">
        <f t="shared" si="16"/>
        <v>0</v>
      </c>
      <c r="V21" s="287">
        <v>250</v>
      </c>
      <c r="W21" s="196"/>
      <c r="X21" s="288">
        <f t="shared" si="22"/>
        <v>12192</v>
      </c>
      <c r="Y21" s="287" t="str">
        <f>Y20</f>
        <v>ok</v>
      </c>
      <c r="Z21" s="287">
        <f t="shared" si="6"/>
        <v>0</v>
      </c>
      <c r="AA21" s="287">
        <f t="shared" si="17"/>
        <v>0</v>
      </c>
      <c r="AB21" s="287">
        <f t="shared" si="18"/>
        <v>250</v>
      </c>
      <c r="AC21" s="287">
        <f t="shared" si="19"/>
        <v>0</v>
      </c>
      <c r="AD21" s="73">
        <f>ELEC!Q21</f>
        <v>0</v>
      </c>
      <c r="AE21" s="73" t="e">
        <f t="shared" si="23"/>
        <v>#DIV/0!</v>
      </c>
      <c r="AF21" s="403" t="e">
        <f t="shared" si="24"/>
        <v>#DIV/0!</v>
      </c>
      <c r="AG21" s="404" t="e">
        <f t="shared" si="25"/>
        <v>#DIV/0!</v>
      </c>
      <c r="AH21" s="404" t="e">
        <f t="shared" si="20"/>
        <v>#DIV/0!</v>
      </c>
      <c r="AI21" s="73">
        <f t="shared" si="26"/>
        <v>0</v>
      </c>
      <c r="AJ21" s="289">
        <f t="shared" si="7"/>
        <v>0.25738396624472576</v>
      </c>
      <c r="AK21" s="289">
        <f t="shared" si="31"/>
        <v>0</v>
      </c>
    </row>
    <row r="22" spans="1:37" ht="15.75" thickBot="1">
      <c r="A22" s="4">
        <f>ELEC!C22</f>
        <v>44306</v>
      </c>
      <c r="B22" s="539">
        <f t="shared" si="27"/>
        <v>9809</v>
      </c>
      <c r="C22" s="287">
        <f t="shared" si="9"/>
        <v>0</v>
      </c>
      <c r="D22" s="540">
        <f t="shared" si="28"/>
        <v>371590</v>
      </c>
      <c r="E22" s="287">
        <f>150*C22</f>
        <v>0</v>
      </c>
      <c r="F22" s="287">
        <f t="shared" si="0"/>
        <v>0</v>
      </c>
      <c r="G22" s="196"/>
      <c r="H22" s="270">
        <f t="shared" si="21"/>
        <v>9934</v>
      </c>
      <c r="I22" s="287" t="str">
        <f t="shared" si="1"/>
        <v>ok</v>
      </c>
      <c r="J22" s="540">
        <f t="shared" si="11"/>
        <v>10698</v>
      </c>
      <c r="K22" s="287">
        <f t="shared" si="2"/>
        <v>0</v>
      </c>
      <c r="L22" s="540">
        <f t="shared" si="11"/>
        <v>357691</v>
      </c>
      <c r="M22" s="287">
        <f t="shared" si="12"/>
        <v>0</v>
      </c>
      <c r="N22" s="287">
        <f t="shared" si="13"/>
        <v>0</v>
      </c>
      <c r="O22" s="196"/>
      <c r="P22" s="288">
        <f t="shared" si="14"/>
        <v>10873</v>
      </c>
      <c r="Q22" s="287" t="str">
        <f t="shared" si="32"/>
        <v>ok</v>
      </c>
      <c r="R22" s="540">
        <f t="shared" si="15"/>
        <v>12043</v>
      </c>
      <c r="S22" s="287">
        <f t="shared" si="4"/>
        <v>0</v>
      </c>
      <c r="T22" s="540">
        <f t="shared" si="15"/>
        <v>436663</v>
      </c>
      <c r="U22" s="287">
        <f t="shared" si="16"/>
        <v>0</v>
      </c>
      <c r="V22" s="287">
        <v>250</v>
      </c>
      <c r="W22" s="196"/>
      <c r="X22" s="288">
        <f t="shared" si="22"/>
        <v>12192</v>
      </c>
      <c r="Y22" s="287" t="str">
        <f t="shared" ref="Y22:Y30" si="34">IF(R22-X22&lt;=0,"ok","oil change")</f>
        <v>ok</v>
      </c>
      <c r="Z22" s="287">
        <f t="shared" si="6"/>
        <v>0</v>
      </c>
      <c r="AA22" s="287">
        <f t="shared" si="17"/>
        <v>0</v>
      </c>
      <c r="AB22" s="287">
        <f t="shared" si="18"/>
        <v>250</v>
      </c>
      <c r="AC22" s="287">
        <f t="shared" si="19"/>
        <v>0</v>
      </c>
      <c r="AD22" s="73">
        <f>ELEC!Q22</f>
        <v>0</v>
      </c>
      <c r="AE22" s="73" t="e">
        <f t="shared" si="23"/>
        <v>#DIV/0!</v>
      </c>
      <c r="AF22" s="403" t="e">
        <f t="shared" si="24"/>
        <v>#DIV/0!</v>
      </c>
      <c r="AG22" s="404" t="e">
        <f t="shared" si="25"/>
        <v>#DIV/0!</v>
      </c>
      <c r="AH22" s="404" t="e">
        <f t="shared" si="20"/>
        <v>#DIV/0!</v>
      </c>
      <c r="AI22" s="73">
        <f t="shared" si="26"/>
        <v>0</v>
      </c>
      <c r="AJ22" s="289">
        <f t="shared" si="7"/>
        <v>0.25738396624472576</v>
      </c>
      <c r="AK22" s="289">
        <f t="shared" si="31"/>
        <v>0</v>
      </c>
    </row>
    <row r="23" spans="1:37" ht="15.75" thickBot="1">
      <c r="A23" s="4">
        <f>ELEC!C23</f>
        <v>44307</v>
      </c>
      <c r="B23" s="539">
        <f t="shared" si="27"/>
        <v>9809</v>
      </c>
      <c r="C23" s="287">
        <f t="shared" si="9"/>
        <v>0</v>
      </c>
      <c r="D23" s="540">
        <f t="shared" si="28"/>
        <v>371590</v>
      </c>
      <c r="E23" s="287">
        <f>150*C23</f>
        <v>0</v>
      </c>
      <c r="F23" s="287">
        <f t="shared" si="0"/>
        <v>0</v>
      </c>
      <c r="G23" s="196"/>
      <c r="H23" s="270">
        <f t="shared" si="21"/>
        <v>9934</v>
      </c>
      <c r="I23" s="287" t="str">
        <f t="shared" si="1"/>
        <v>ok</v>
      </c>
      <c r="J23" s="540">
        <f t="shared" si="11"/>
        <v>10698</v>
      </c>
      <c r="K23" s="287">
        <f t="shared" si="2"/>
        <v>0</v>
      </c>
      <c r="L23" s="540">
        <f t="shared" si="11"/>
        <v>357691</v>
      </c>
      <c r="M23" s="287">
        <f t="shared" si="12"/>
        <v>0</v>
      </c>
      <c r="N23" s="287">
        <f t="shared" si="13"/>
        <v>0</v>
      </c>
      <c r="O23" s="196"/>
      <c r="P23" s="288">
        <f t="shared" si="14"/>
        <v>10873</v>
      </c>
      <c r="Q23" s="287" t="str">
        <f t="shared" si="32"/>
        <v>ok</v>
      </c>
      <c r="R23" s="540">
        <f t="shared" si="15"/>
        <v>12043</v>
      </c>
      <c r="S23" s="287">
        <f>R23-R22</f>
        <v>0</v>
      </c>
      <c r="T23" s="540">
        <f t="shared" si="15"/>
        <v>436663</v>
      </c>
      <c r="U23" s="287">
        <f t="shared" si="16"/>
        <v>0</v>
      </c>
      <c r="V23" s="287">
        <v>250</v>
      </c>
      <c r="W23" s="196"/>
      <c r="X23" s="288">
        <f t="shared" si="22"/>
        <v>12192</v>
      </c>
      <c r="Y23" s="287" t="str">
        <f t="shared" si="34"/>
        <v>ok</v>
      </c>
      <c r="Z23" s="287">
        <f t="shared" si="6"/>
        <v>0</v>
      </c>
      <c r="AA23" s="287">
        <f t="shared" si="17"/>
        <v>0</v>
      </c>
      <c r="AB23" s="287">
        <f t="shared" si="18"/>
        <v>250</v>
      </c>
      <c r="AC23" s="287">
        <f t="shared" si="19"/>
        <v>0</v>
      </c>
      <c r="AD23" s="73">
        <f>ELEC!Q23</f>
        <v>0</v>
      </c>
      <c r="AE23" s="73" t="e">
        <f t="shared" si="23"/>
        <v>#DIV/0!</v>
      </c>
      <c r="AF23" s="403" t="e">
        <f t="shared" si="24"/>
        <v>#DIV/0!</v>
      </c>
      <c r="AG23" s="404" t="e">
        <f t="shared" si="25"/>
        <v>#DIV/0!</v>
      </c>
      <c r="AH23" s="404" t="e">
        <f t="shared" si="20"/>
        <v>#DIV/0!</v>
      </c>
      <c r="AI23" s="73">
        <f t="shared" si="26"/>
        <v>0</v>
      </c>
      <c r="AJ23" s="289">
        <f t="shared" si="7"/>
        <v>0.25738396624472576</v>
      </c>
      <c r="AK23" s="289">
        <f t="shared" si="31"/>
        <v>0</v>
      </c>
    </row>
    <row r="24" spans="1:37" ht="15.75" thickBot="1">
      <c r="A24" s="4">
        <f>ELEC!C24</f>
        <v>44308</v>
      </c>
      <c r="B24" s="539">
        <f t="shared" si="27"/>
        <v>9809</v>
      </c>
      <c r="C24" s="287">
        <f t="shared" si="9"/>
        <v>0</v>
      </c>
      <c r="D24" s="540">
        <f t="shared" si="28"/>
        <v>371590</v>
      </c>
      <c r="E24" s="287">
        <f t="shared" si="10"/>
        <v>0</v>
      </c>
      <c r="F24" s="287">
        <f t="shared" si="0"/>
        <v>0</v>
      </c>
      <c r="G24" s="196"/>
      <c r="H24" s="270">
        <f t="shared" si="21"/>
        <v>9934</v>
      </c>
      <c r="I24" s="287" t="str">
        <f t="shared" si="1"/>
        <v>ok</v>
      </c>
      <c r="J24" s="540">
        <f t="shared" si="11"/>
        <v>10698</v>
      </c>
      <c r="K24" s="287">
        <f t="shared" si="2"/>
        <v>0</v>
      </c>
      <c r="L24" s="540">
        <f t="shared" si="11"/>
        <v>357691</v>
      </c>
      <c r="M24" s="287">
        <f t="shared" si="12"/>
        <v>0</v>
      </c>
      <c r="N24" s="287">
        <f t="shared" si="13"/>
        <v>0</v>
      </c>
      <c r="O24" s="196"/>
      <c r="P24" s="288">
        <f t="shared" si="14"/>
        <v>10873</v>
      </c>
      <c r="Q24" s="287" t="str">
        <f t="shared" si="32"/>
        <v>ok</v>
      </c>
      <c r="R24" s="540">
        <f t="shared" si="15"/>
        <v>12043</v>
      </c>
      <c r="S24" s="287">
        <f t="shared" si="4"/>
        <v>0</v>
      </c>
      <c r="T24" s="540">
        <f t="shared" si="15"/>
        <v>436663</v>
      </c>
      <c r="U24" s="287">
        <f t="shared" si="16"/>
        <v>0</v>
      </c>
      <c r="V24" s="287">
        <v>250</v>
      </c>
      <c r="W24" s="196"/>
      <c r="X24" s="288">
        <f t="shared" si="22"/>
        <v>12192</v>
      </c>
      <c r="Y24" s="287" t="str">
        <f t="shared" si="34"/>
        <v>ok</v>
      </c>
      <c r="Z24" s="287">
        <f t="shared" si="6"/>
        <v>0</v>
      </c>
      <c r="AA24" s="287">
        <f t="shared" si="17"/>
        <v>0</v>
      </c>
      <c r="AB24" s="287">
        <f t="shared" si="18"/>
        <v>250</v>
      </c>
      <c r="AC24" s="287">
        <f t="shared" si="19"/>
        <v>0</v>
      </c>
      <c r="AD24" s="73">
        <f>ELEC!Q24</f>
        <v>0</v>
      </c>
      <c r="AE24" s="73" t="e">
        <f t="shared" si="23"/>
        <v>#DIV/0!</v>
      </c>
      <c r="AF24" s="403" t="e">
        <f t="shared" si="24"/>
        <v>#DIV/0!</v>
      </c>
      <c r="AG24" s="404" t="e">
        <f t="shared" si="25"/>
        <v>#DIV/0!</v>
      </c>
      <c r="AH24" s="404" t="e">
        <f t="shared" si="20"/>
        <v>#DIV/0!</v>
      </c>
      <c r="AI24" s="73">
        <f t="shared" si="26"/>
        <v>0</v>
      </c>
      <c r="AJ24" s="289">
        <f t="shared" si="7"/>
        <v>0.25738396624472576</v>
      </c>
      <c r="AK24" s="289">
        <f t="shared" si="31"/>
        <v>0</v>
      </c>
    </row>
    <row r="25" spans="1:37" ht="15.75" thickBot="1">
      <c r="A25" s="4">
        <f>ELEC!C25</f>
        <v>44309</v>
      </c>
      <c r="B25" s="539">
        <f t="shared" si="27"/>
        <v>9809</v>
      </c>
      <c r="C25" s="287">
        <f t="shared" si="9"/>
        <v>0</v>
      </c>
      <c r="D25" s="540">
        <f t="shared" si="28"/>
        <v>371590</v>
      </c>
      <c r="E25" s="287">
        <f t="shared" si="10"/>
        <v>0</v>
      </c>
      <c r="F25" s="287">
        <f t="shared" si="0"/>
        <v>0</v>
      </c>
      <c r="G25" s="196"/>
      <c r="H25" s="270">
        <f t="shared" si="21"/>
        <v>9934</v>
      </c>
      <c r="I25" s="287" t="str">
        <f t="shared" si="1"/>
        <v>ok</v>
      </c>
      <c r="J25" s="540">
        <f t="shared" si="11"/>
        <v>10698</v>
      </c>
      <c r="K25" s="287">
        <f t="shared" si="2"/>
        <v>0</v>
      </c>
      <c r="L25" s="540">
        <f t="shared" si="11"/>
        <v>357691</v>
      </c>
      <c r="M25" s="287">
        <f t="shared" si="12"/>
        <v>0</v>
      </c>
      <c r="N25" s="287">
        <f t="shared" si="13"/>
        <v>0</v>
      </c>
      <c r="O25" s="196"/>
      <c r="P25" s="288">
        <f t="shared" si="14"/>
        <v>10873</v>
      </c>
      <c r="Q25" s="287" t="str">
        <f t="shared" si="32"/>
        <v>ok</v>
      </c>
      <c r="R25" s="540">
        <f t="shared" si="15"/>
        <v>12043</v>
      </c>
      <c r="S25" s="287">
        <f t="shared" si="4"/>
        <v>0</v>
      </c>
      <c r="T25" s="540">
        <f t="shared" si="15"/>
        <v>436663</v>
      </c>
      <c r="U25" s="287">
        <f t="shared" si="16"/>
        <v>0</v>
      </c>
      <c r="V25" s="287">
        <v>250</v>
      </c>
      <c r="W25" s="196"/>
      <c r="X25" s="288">
        <f t="shared" si="22"/>
        <v>12192</v>
      </c>
      <c r="Y25" s="287" t="str">
        <f t="shared" si="34"/>
        <v>ok</v>
      </c>
      <c r="Z25" s="287">
        <f t="shared" si="6"/>
        <v>0</v>
      </c>
      <c r="AA25" s="287">
        <f t="shared" si="17"/>
        <v>0</v>
      </c>
      <c r="AB25" s="287">
        <f t="shared" si="18"/>
        <v>250</v>
      </c>
      <c r="AC25" s="287">
        <f t="shared" si="19"/>
        <v>0</v>
      </c>
      <c r="AD25" s="73">
        <f>ELEC!Q25</f>
        <v>0</v>
      </c>
      <c r="AE25" s="73" t="e">
        <f t="shared" si="23"/>
        <v>#DIV/0!</v>
      </c>
      <c r="AF25" s="403" t="e">
        <f t="shared" si="24"/>
        <v>#DIV/0!</v>
      </c>
      <c r="AG25" s="404" t="e">
        <f t="shared" si="25"/>
        <v>#DIV/0!</v>
      </c>
      <c r="AH25" s="404" t="e">
        <f t="shared" si="20"/>
        <v>#DIV/0!</v>
      </c>
      <c r="AI25" s="73">
        <f t="shared" si="26"/>
        <v>0</v>
      </c>
      <c r="AJ25" s="289">
        <f t="shared" si="7"/>
        <v>0.25738396624472576</v>
      </c>
      <c r="AK25" s="289">
        <f t="shared" si="31"/>
        <v>0</v>
      </c>
    </row>
    <row r="26" spans="1:37" ht="15.75" thickBot="1">
      <c r="A26" s="4">
        <f>ELEC!C26</f>
        <v>44310</v>
      </c>
      <c r="B26" s="539">
        <f t="shared" si="27"/>
        <v>9809</v>
      </c>
      <c r="C26" s="287">
        <f t="shared" si="9"/>
        <v>0</v>
      </c>
      <c r="D26" s="540">
        <f t="shared" si="28"/>
        <v>371590</v>
      </c>
      <c r="E26" s="287">
        <f t="shared" si="10"/>
        <v>0</v>
      </c>
      <c r="F26" s="287">
        <f t="shared" si="0"/>
        <v>0</v>
      </c>
      <c r="G26" s="196"/>
      <c r="H26" s="270">
        <f t="shared" si="21"/>
        <v>9934</v>
      </c>
      <c r="I26" s="287" t="str">
        <f t="shared" si="1"/>
        <v>ok</v>
      </c>
      <c r="J26" s="540">
        <f t="shared" si="11"/>
        <v>10698</v>
      </c>
      <c r="K26" s="287">
        <f t="shared" si="2"/>
        <v>0</v>
      </c>
      <c r="L26" s="540">
        <f t="shared" si="11"/>
        <v>357691</v>
      </c>
      <c r="M26" s="287">
        <f t="shared" si="12"/>
        <v>0</v>
      </c>
      <c r="N26" s="287">
        <f t="shared" si="13"/>
        <v>0</v>
      </c>
      <c r="O26" s="196"/>
      <c r="P26" s="288">
        <f t="shared" si="14"/>
        <v>10873</v>
      </c>
      <c r="Q26" s="287" t="str">
        <f t="shared" si="32"/>
        <v>ok</v>
      </c>
      <c r="R26" s="540">
        <f t="shared" si="15"/>
        <v>12043</v>
      </c>
      <c r="S26" s="287">
        <f t="shared" si="4"/>
        <v>0</v>
      </c>
      <c r="T26" s="540">
        <f t="shared" si="15"/>
        <v>436663</v>
      </c>
      <c r="U26" s="287">
        <f t="shared" si="16"/>
        <v>0</v>
      </c>
      <c r="V26" s="287">
        <v>250</v>
      </c>
      <c r="W26" s="196"/>
      <c r="X26" s="288">
        <f t="shared" si="22"/>
        <v>12192</v>
      </c>
      <c r="Y26" s="287" t="str">
        <f t="shared" si="34"/>
        <v>ok</v>
      </c>
      <c r="Z26" s="287">
        <f t="shared" si="6"/>
        <v>0</v>
      </c>
      <c r="AA26" s="287">
        <f t="shared" si="17"/>
        <v>0</v>
      </c>
      <c r="AB26" s="287">
        <f t="shared" si="18"/>
        <v>250</v>
      </c>
      <c r="AC26" s="287">
        <f t="shared" si="19"/>
        <v>0</v>
      </c>
      <c r="AD26" s="73">
        <f>ELEC!Q26</f>
        <v>0</v>
      </c>
      <c r="AE26" s="73" t="e">
        <f t="shared" si="23"/>
        <v>#DIV/0!</v>
      </c>
      <c r="AF26" s="403" t="e">
        <f t="shared" si="24"/>
        <v>#DIV/0!</v>
      </c>
      <c r="AG26" s="404" t="e">
        <f t="shared" si="25"/>
        <v>#DIV/0!</v>
      </c>
      <c r="AH26" s="404" t="e">
        <f t="shared" si="20"/>
        <v>#DIV/0!</v>
      </c>
      <c r="AI26" s="73">
        <f t="shared" si="26"/>
        <v>0</v>
      </c>
      <c r="AJ26" s="289">
        <f t="shared" si="7"/>
        <v>0.25738396624472576</v>
      </c>
      <c r="AK26" s="289">
        <f t="shared" si="31"/>
        <v>0</v>
      </c>
    </row>
    <row r="27" spans="1:37" ht="15.75" thickBot="1">
      <c r="A27" s="4">
        <f>ELEC!C27</f>
        <v>44311</v>
      </c>
      <c r="B27" s="539">
        <f t="shared" si="27"/>
        <v>9809</v>
      </c>
      <c r="C27" s="287">
        <f t="shared" si="9"/>
        <v>0</v>
      </c>
      <c r="D27" s="540">
        <f t="shared" si="28"/>
        <v>371590</v>
      </c>
      <c r="E27" s="287">
        <f t="shared" si="10"/>
        <v>0</v>
      </c>
      <c r="F27" s="287">
        <f t="shared" si="0"/>
        <v>0</v>
      </c>
      <c r="G27" s="196"/>
      <c r="H27" s="270">
        <f t="shared" si="21"/>
        <v>9934</v>
      </c>
      <c r="I27" s="287" t="str">
        <f>IF(B27-H27&lt;=0,"ok","oil change")</f>
        <v>ok</v>
      </c>
      <c r="J27" s="540">
        <f t="shared" si="11"/>
        <v>10698</v>
      </c>
      <c r="K27" s="287">
        <f t="shared" si="2"/>
        <v>0</v>
      </c>
      <c r="L27" s="540">
        <f t="shared" si="11"/>
        <v>357691</v>
      </c>
      <c r="M27" s="287">
        <f t="shared" si="12"/>
        <v>0</v>
      </c>
      <c r="N27" s="287">
        <f t="shared" si="13"/>
        <v>0</v>
      </c>
      <c r="O27" s="196"/>
      <c r="P27" s="288">
        <f t="shared" si="14"/>
        <v>10873</v>
      </c>
      <c r="Q27" s="287" t="str">
        <f t="shared" si="32"/>
        <v>ok</v>
      </c>
      <c r="R27" s="540">
        <f t="shared" si="15"/>
        <v>12043</v>
      </c>
      <c r="S27" s="287">
        <f t="shared" si="4"/>
        <v>0</v>
      </c>
      <c r="T27" s="540">
        <f t="shared" si="15"/>
        <v>436663</v>
      </c>
      <c r="U27" s="287">
        <f t="shared" si="16"/>
        <v>0</v>
      </c>
      <c r="V27" s="287">
        <v>250</v>
      </c>
      <c r="W27" s="196"/>
      <c r="X27" s="288">
        <f t="shared" si="22"/>
        <v>12192</v>
      </c>
      <c r="Y27" s="287" t="str">
        <f t="shared" si="34"/>
        <v>ok</v>
      </c>
      <c r="Z27" s="287">
        <f t="shared" si="6"/>
        <v>0</v>
      </c>
      <c r="AA27" s="287">
        <f t="shared" si="17"/>
        <v>0</v>
      </c>
      <c r="AB27" s="287">
        <f t="shared" si="18"/>
        <v>250</v>
      </c>
      <c r="AC27" s="287">
        <f t="shared" si="19"/>
        <v>0</v>
      </c>
      <c r="AD27" s="73">
        <f>ELEC!Q27</f>
        <v>0</v>
      </c>
      <c r="AE27" s="73" t="e">
        <f t="shared" si="23"/>
        <v>#DIV/0!</v>
      </c>
      <c r="AF27" s="403" t="e">
        <f t="shared" si="24"/>
        <v>#DIV/0!</v>
      </c>
      <c r="AG27" s="404" t="e">
        <f t="shared" si="25"/>
        <v>#DIV/0!</v>
      </c>
      <c r="AH27" s="404" t="e">
        <f t="shared" si="20"/>
        <v>#DIV/0!</v>
      </c>
      <c r="AI27" s="73">
        <f t="shared" si="26"/>
        <v>0</v>
      </c>
      <c r="AJ27" s="289">
        <f t="shared" si="7"/>
        <v>0.25738396624472576</v>
      </c>
      <c r="AK27" s="289">
        <f t="shared" si="31"/>
        <v>0</v>
      </c>
    </row>
    <row r="28" spans="1:37" ht="15.75" thickBot="1">
      <c r="A28" s="4">
        <f>ELEC!C28</f>
        <v>44312</v>
      </c>
      <c r="B28" s="539">
        <f t="shared" si="27"/>
        <v>9809</v>
      </c>
      <c r="C28" s="287">
        <f t="shared" si="9"/>
        <v>0</v>
      </c>
      <c r="D28" s="540">
        <f t="shared" si="28"/>
        <v>371590</v>
      </c>
      <c r="E28" s="287">
        <f t="shared" si="10"/>
        <v>0</v>
      </c>
      <c r="F28" s="287">
        <f t="shared" si="0"/>
        <v>0</v>
      </c>
      <c r="G28" s="285"/>
      <c r="H28" s="270">
        <f t="shared" si="21"/>
        <v>9934</v>
      </c>
      <c r="I28" s="287" t="str">
        <f t="shared" si="1"/>
        <v>ok</v>
      </c>
      <c r="J28" s="540">
        <f t="shared" si="11"/>
        <v>10698</v>
      </c>
      <c r="K28" s="287">
        <f t="shared" si="2"/>
        <v>0</v>
      </c>
      <c r="L28" s="540">
        <f t="shared" si="11"/>
        <v>357691</v>
      </c>
      <c r="M28" s="287">
        <f t="shared" si="12"/>
        <v>0</v>
      </c>
      <c r="N28" s="287">
        <f t="shared" si="13"/>
        <v>0</v>
      </c>
      <c r="O28" s="196"/>
      <c r="P28" s="288">
        <f t="shared" si="14"/>
        <v>10873</v>
      </c>
      <c r="Q28" s="287" t="str">
        <f t="shared" si="32"/>
        <v>ok</v>
      </c>
      <c r="R28" s="540">
        <f t="shared" si="15"/>
        <v>12043</v>
      </c>
      <c r="S28" s="287">
        <f t="shared" si="4"/>
        <v>0</v>
      </c>
      <c r="T28" s="540">
        <f t="shared" si="15"/>
        <v>436663</v>
      </c>
      <c r="U28" s="287">
        <f t="shared" si="16"/>
        <v>0</v>
      </c>
      <c r="V28" s="287">
        <v>250</v>
      </c>
      <c r="W28" s="196"/>
      <c r="X28" s="288">
        <f t="shared" si="22"/>
        <v>12192</v>
      </c>
      <c r="Y28" s="287" t="str">
        <f t="shared" si="34"/>
        <v>ok</v>
      </c>
      <c r="Z28" s="287">
        <f t="shared" si="6"/>
        <v>0</v>
      </c>
      <c r="AA28" s="287">
        <f t="shared" si="17"/>
        <v>0</v>
      </c>
      <c r="AB28" s="287">
        <f t="shared" si="18"/>
        <v>250</v>
      </c>
      <c r="AC28" s="287">
        <f t="shared" si="19"/>
        <v>0</v>
      </c>
      <c r="AD28" s="73">
        <f>ELEC!Q28</f>
        <v>0</v>
      </c>
      <c r="AE28" s="73" t="e">
        <f t="shared" si="23"/>
        <v>#DIV/0!</v>
      </c>
      <c r="AF28" s="403" t="e">
        <f t="shared" si="24"/>
        <v>#DIV/0!</v>
      </c>
      <c r="AG28" s="404" t="e">
        <f t="shared" si="25"/>
        <v>#DIV/0!</v>
      </c>
      <c r="AH28" s="404" t="e">
        <f t="shared" si="20"/>
        <v>#DIV/0!</v>
      </c>
      <c r="AI28" s="73">
        <f t="shared" si="26"/>
        <v>0</v>
      </c>
      <c r="AJ28" s="289">
        <f t="shared" si="7"/>
        <v>0.25738396624472576</v>
      </c>
      <c r="AK28" s="289">
        <f t="shared" si="31"/>
        <v>0</v>
      </c>
    </row>
    <row r="29" spans="1:37" ht="15.75" thickBot="1">
      <c r="A29" s="4">
        <f>ELEC!C29</f>
        <v>44313</v>
      </c>
      <c r="B29" s="539">
        <f t="shared" si="27"/>
        <v>9809</v>
      </c>
      <c r="C29" s="287">
        <f t="shared" si="9"/>
        <v>0</v>
      </c>
      <c r="D29" s="540">
        <f t="shared" si="28"/>
        <v>371590</v>
      </c>
      <c r="E29" s="287">
        <f>SUM(D29-D28)</f>
        <v>0</v>
      </c>
      <c r="F29" s="287">
        <f t="shared" si="0"/>
        <v>0</v>
      </c>
      <c r="G29" s="196"/>
      <c r="H29" s="270">
        <f t="shared" si="21"/>
        <v>9934</v>
      </c>
      <c r="I29" s="287" t="str">
        <f t="shared" si="1"/>
        <v>ok</v>
      </c>
      <c r="J29" s="540">
        <f t="shared" si="11"/>
        <v>10698</v>
      </c>
      <c r="K29" s="287">
        <f t="shared" si="2"/>
        <v>0</v>
      </c>
      <c r="L29" s="540">
        <f t="shared" si="11"/>
        <v>357691</v>
      </c>
      <c r="M29" s="287">
        <f t="shared" si="12"/>
        <v>0</v>
      </c>
      <c r="N29" s="287">
        <f t="shared" si="13"/>
        <v>0</v>
      </c>
      <c r="O29" s="196"/>
      <c r="P29" s="288">
        <f t="shared" si="14"/>
        <v>10873</v>
      </c>
      <c r="Q29" s="287" t="str">
        <f t="shared" si="32"/>
        <v>ok</v>
      </c>
      <c r="R29" s="540">
        <f t="shared" si="15"/>
        <v>12043</v>
      </c>
      <c r="S29" s="287">
        <f t="shared" si="4"/>
        <v>0</v>
      </c>
      <c r="T29" s="540">
        <f t="shared" si="15"/>
        <v>436663</v>
      </c>
      <c r="U29" s="287">
        <f t="shared" si="16"/>
        <v>0</v>
      </c>
      <c r="V29" s="287">
        <v>250</v>
      </c>
      <c r="W29" s="196"/>
      <c r="X29" s="288">
        <f t="shared" si="22"/>
        <v>12192</v>
      </c>
      <c r="Y29" s="287" t="str">
        <f t="shared" si="34"/>
        <v>ok</v>
      </c>
      <c r="Z29" s="287">
        <f t="shared" si="6"/>
        <v>0</v>
      </c>
      <c r="AA29" s="287">
        <f t="shared" si="17"/>
        <v>0</v>
      </c>
      <c r="AB29" s="287">
        <f t="shared" si="18"/>
        <v>250</v>
      </c>
      <c r="AC29" s="287">
        <f t="shared" si="19"/>
        <v>0</v>
      </c>
      <c r="AD29" s="73">
        <f>ELEC!Q29</f>
        <v>0</v>
      </c>
      <c r="AE29" s="73" t="e">
        <f t="shared" si="23"/>
        <v>#DIV/0!</v>
      </c>
      <c r="AF29" s="403" t="e">
        <f t="shared" si="24"/>
        <v>#DIV/0!</v>
      </c>
      <c r="AG29" s="404" t="e">
        <f t="shared" si="25"/>
        <v>#DIV/0!</v>
      </c>
      <c r="AH29" s="404" t="e">
        <f t="shared" si="20"/>
        <v>#DIV/0!</v>
      </c>
      <c r="AI29" s="73">
        <f t="shared" si="26"/>
        <v>0</v>
      </c>
      <c r="AJ29" s="289">
        <f t="shared" si="7"/>
        <v>0.25738396624472576</v>
      </c>
      <c r="AK29" s="289">
        <f t="shared" si="31"/>
        <v>0</v>
      </c>
    </row>
    <row r="30" spans="1:37" ht="15.75" thickBot="1">
      <c r="A30" s="4">
        <f>ELEC!C30</f>
        <v>44314</v>
      </c>
      <c r="B30" s="539">
        <f t="shared" si="27"/>
        <v>9809</v>
      </c>
      <c r="C30" s="287">
        <f t="shared" si="9"/>
        <v>0</v>
      </c>
      <c r="D30" s="540">
        <f t="shared" si="28"/>
        <v>371590</v>
      </c>
      <c r="E30" s="287">
        <f t="shared" si="10"/>
        <v>0</v>
      </c>
      <c r="F30" s="287">
        <f t="shared" si="0"/>
        <v>0</v>
      </c>
      <c r="G30" s="196"/>
      <c r="H30" s="270">
        <f t="shared" si="21"/>
        <v>9934</v>
      </c>
      <c r="I30" s="287" t="str">
        <f t="shared" si="1"/>
        <v>ok</v>
      </c>
      <c r="J30" s="540">
        <f t="shared" si="11"/>
        <v>10698</v>
      </c>
      <c r="K30" s="287">
        <f t="shared" si="2"/>
        <v>0</v>
      </c>
      <c r="L30" s="540">
        <f t="shared" si="11"/>
        <v>357691</v>
      </c>
      <c r="M30" s="287">
        <f t="shared" si="12"/>
        <v>0</v>
      </c>
      <c r="N30" s="287">
        <f t="shared" si="13"/>
        <v>0</v>
      </c>
      <c r="O30" s="196"/>
      <c r="P30" s="288">
        <f t="shared" si="14"/>
        <v>10873</v>
      </c>
      <c r="Q30" s="287" t="str">
        <f t="shared" si="32"/>
        <v>ok</v>
      </c>
      <c r="R30" s="540">
        <f t="shared" si="15"/>
        <v>12043</v>
      </c>
      <c r="S30" s="287">
        <f t="shared" si="4"/>
        <v>0</v>
      </c>
      <c r="T30" s="540">
        <f t="shared" si="15"/>
        <v>436663</v>
      </c>
      <c r="U30" s="287">
        <f t="shared" si="16"/>
        <v>0</v>
      </c>
      <c r="V30" s="287">
        <v>250</v>
      </c>
      <c r="W30" s="285"/>
      <c r="X30" s="288">
        <f t="shared" si="22"/>
        <v>12192</v>
      </c>
      <c r="Y30" s="287" t="str">
        <f t="shared" si="34"/>
        <v>ok</v>
      </c>
      <c r="Z30" s="287">
        <f t="shared" si="6"/>
        <v>0</v>
      </c>
      <c r="AA30" s="287">
        <f t="shared" si="17"/>
        <v>0</v>
      </c>
      <c r="AB30" s="287">
        <f t="shared" si="18"/>
        <v>250</v>
      </c>
      <c r="AC30" s="287">
        <f t="shared" si="19"/>
        <v>0</v>
      </c>
      <c r="AD30" s="73">
        <f>ELEC!Q30</f>
        <v>0</v>
      </c>
      <c r="AE30" s="73" t="e">
        <f t="shared" si="23"/>
        <v>#DIV/0!</v>
      </c>
      <c r="AF30" s="403" t="e">
        <f t="shared" si="24"/>
        <v>#DIV/0!</v>
      </c>
      <c r="AG30" s="404" t="e">
        <f t="shared" si="25"/>
        <v>#DIV/0!</v>
      </c>
      <c r="AH30" s="404" t="e">
        <f t="shared" si="20"/>
        <v>#DIV/0!</v>
      </c>
      <c r="AI30" s="73">
        <f t="shared" si="26"/>
        <v>0</v>
      </c>
      <c r="AJ30" s="289">
        <f t="shared" si="7"/>
        <v>0.25738396624472576</v>
      </c>
      <c r="AK30" s="289">
        <f t="shared" si="31"/>
        <v>0</v>
      </c>
    </row>
    <row r="31" spans="1:37" ht="15.75" thickBot="1">
      <c r="A31" s="4">
        <f>ELEC!C31</f>
        <v>44315</v>
      </c>
      <c r="B31" s="539">
        <f t="shared" si="27"/>
        <v>9809</v>
      </c>
      <c r="C31" s="287">
        <f t="shared" ref="C31:C32" si="35">B31-B30</f>
        <v>0</v>
      </c>
      <c r="D31" s="540">
        <f t="shared" si="28"/>
        <v>371590</v>
      </c>
      <c r="E31" s="287">
        <f t="shared" ref="E31:E32" si="36">SUM(D31-D30)</f>
        <v>0</v>
      </c>
      <c r="F31" s="287">
        <f t="shared" ref="F31:F32" si="37">IF(C31&gt;0,E31/C31,0)</f>
        <v>0</v>
      </c>
      <c r="G31" s="338"/>
      <c r="H31" s="270">
        <f t="shared" si="21"/>
        <v>9934</v>
      </c>
      <c r="I31" s="287" t="str">
        <f t="shared" ref="I31:I32" si="38">IF(B31-H31&lt;=0,"ok","oil change")</f>
        <v>ok</v>
      </c>
      <c r="J31" s="540">
        <f t="shared" si="11"/>
        <v>10698</v>
      </c>
      <c r="K31" s="287">
        <f t="shared" ref="K31:K32" si="39">J31-J30</f>
        <v>0</v>
      </c>
      <c r="L31" s="540">
        <f t="shared" si="11"/>
        <v>357691</v>
      </c>
      <c r="M31" s="287">
        <f t="shared" ref="M31:M32" si="40">SUM(L31-L30)</f>
        <v>0</v>
      </c>
      <c r="N31" s="287">
        <f t="shared" ref="N31:N32" si="41">IF(K31&gt;0,M31/K31,0)</f>
        <v>0</v>
      </c>
      <c r="O31" s="338"/>
      <c r="P31" s="288">
        <f t="shared" si="14"/>
        <v>10873</v>
      </c>
      <c r="Q31" s="287" t="str">
        <f t="shared" ref="Q31:Q32" si="42">IF(J31-P31&lt;=0,"ok","oil change")</f>
        <v>ok</v>
      </c>
      <c r="R31" s="540">
        <f t="shared" si="15"/>
        <v>12043</v>
      </c>
      <c r="S31" s="287">
        <f t="shared" ref="S31:S32" si="43">R31-R30</f>
        <v>0</v>
      </c>
      <c r="T31" s="540">
        <f t="shared" si="15"/>
        <v>436663</v>
      </c>
      <c r="U31" s="287">
        <f t="shared" si="16"/>
        <v>0</v>
      </c>
      <c r="V31" s="287">
        <v>250</v>
      </c>
      <c r="W31" s="338"/>
      <c r="X31" s="288">
        <f t="shared" si="22"/>
        <v>12192</v>
      </c>
      <c r="Y31" s="287" t="str">
        <f t="shared" ref="Y31:Y32" si="44">IF(R31-X31&lt;=0,"ok","oil change")</f>
        <v>ok</v>
      </c>
      <c r="Z31" s="287">
        <f t="shared" ref="Z31:Z32" si="45">C31+K31+S31</f>
        <v>0</v>
      </c>
      <c r="AA31" s="287">
        <f t="shared" ref="AA31:AA32" si="46">U31+M31+E31</f>
        <v>0</v>
      </c>
      <c r="AB31" s="287">
        <f t="shared" ref="AB31:AB32" si="47">V31+N31+F31</f>
        <v>250</v>
      </c>
      <c r="AC31" s="287">
        <f t="shared" ref="AC31:AC32" si="48">IF(Z31&gt;0,AA31/Z31,0)</f>
        <v>0</v>
      </c>
      <c r="AD31" s="73">
        <f>ELEC!Q31</f>
        <v>0</v>
      </c>
      <c r="AE31" s="73" t="e">
        <f t="shared" ref="AE31:AE32" si="49">SUM(AD31/Z31)</f>
        <v>#DIV/0!</v>
      </c>
      <c r="AF31" s="403" t="e">
        <f t="shared" ref="AF31:AF32" si="50">SUM(AE31/1600)</f>
        <v>#DIV/0!</v>
      </c>
      <c r="AG31" s="504" t="e">
        <f t="shared" ref="AG31:AG32" si="51">SUM(320*AF31)</f>
        <v>#DIV/0!</v>
      </c>
      <c r="AH31" s="504" t="e">
        <f t="shared" ref="AH31:AH32" si="52">SUM(AC31-AG31)</f>
        <v>#DIV/0!</v>
      </c>
      <c r="AI31" s="73">
        <f t="shared" ref="AI31:AI32" si="53">AD31*AJ31</f>
        <v>0</v>
      </c>
      <c r="AJ31" s="289">
        <f t="shared" si="7"/>
        <v>0.25738396624472576</v>
      </c>
      <c r="AK31" s="289">
        <f t="shared" ref="AK31:AK32" si="54">IF(Z31&gt;0,AI31/Z31,0)</f>
        <v>0</v>
      </c>
    </row>
    <row r="32" spans="1:37">
      <c r="A32" s="4">
        <f>ELEC!C32</f>
        <v>44316</v>
      </c>
      <c r="B32" s="539">
        <f t="shared" si="27"/>
        <v>9809</v>
      </c>
      <c r="C32" s="287">
        <f t="shared" si="35"/>
        <v>0</v>
      </c>
      <c r="D32" s="540">
        <f t="shared" si="28"/>
        <v>371590</v>
      </c>
      <c r="E32" s="287">
        <f t="shared" si="36"/>
        <v>0</v>
      </c>
      <c r="F32" s="287">
        <f t="shared" si="37"/>
        <v>0</v>
      </c>
      <c r="G32" s="338"/>
      <c r="H32" s="270">
        <f t="shared" si="21"/>
        <v>9934</v>
      </c>
      <c r="I32" s="287" t="str">
        <f t="shared" si="38"/>
        <v>ok</v>
      </c>
      <c r="J32" s="540">
        <f t="shared" si="11"/>
        <v>10698</v>
      </c>
      <c r="K32" s="287">
        <f t="shared" si="39"/>
        <v>0</v>
      </c>
      <c r="L32" s="540">
        <f t="shared" si="11"/>
        <v>357691</v>
      </c>
      <c r="M32" s="287">
        <f t="shared" si="40"/>
        <v>0</v>
      </c>
      <c r="N32" s="287">
        <f t="shared" si="41"/>
        <v>0</v>
      </c>
      <c r="O32" s="338"/>
      <c r="P32" s="288">
        <f t="shared" si="14"/>
        <v>10873</v>
      </c>
      <c r="Q32" s="287" t="str">
        <f t="shared" si="42"/>
        <v>ok</v>
      </c>
      <c r="R32" s="540">
        <f t="shared" si="15"/>
        <v>12043</v>
      </c>
      <c r="S32" s="287">
        <f t="shared" si="43"/>
        <v>0</v>
      </c>
      <c r="T32" s="540">
        <f t="shared" si="15"/>
        <v>436663</v>
      </c>
      <c r="U32" s="287">
        <f t="shared" si="16"/>
        <v>0</v>
      </c>
      <c r="V32" s="287">
        <v>250</v>
      </c>
      <c r="W32" s="338"/>
      <c r="X32" s="288">
        <f t="shared" si="22"/>
        <v>12192</v>
      </c>
      <c r="Y32" s="287" t="str">
        <f t="shared" si="44"/>
        <v>ok</v>
      </c>
      <c r="Z32" s="287">
        <f t="shared" si="45"/>
        <v>0</v>
      </c>
      <c r="AA32" s="287">
        <f t="shared" si="46"/>
        <v>0</v>
      </c>
      <c r="AB32" s="287">
        <f t="shared" si="47"/>
        <v>250</v>
      </c>
      <c r="AC32" s="287">
        <f t="shared" si="48"/>
        <v>0</v>
      </c>
      <c r="AD32" s="73">
        <f>ELEC!Q32</f>
        <v>0</v>
      </c>
      <c r="AE32" s="73" t="e">
        <f t="shared" si="49"/>
        <v>#DIV/0!</v>
      </c>
      <c r="AF32" s="403" t="e">
        <f t="shared" si="50"/>
        <v>#DIV/0!</v>
      </c>
      <c r="AG32" s="504" t="e">
        <f t="shared" si="51"/>
        <v>#DIV/0!</v>
      </c>
      <c r="AH32" s="504" t="e">
        <f t="shared" si="52"/>
        <v>#DIV/0!</v>
      </c>
      <c r="AI32" s="73">
        <f t="shared" si="53"/>
        <v>0</v>
      </c>
      <c r="AJ32" s="289">
        <f t="shared" si="7"/>
        <v>0.25738396624472576</v>
      </c>
      <c r="AK32" s="289">
        <f t="shared" si="54"/>
        <v>0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49</v>
      </c>
      <c r="V33" s="40"/>
      <c r="X33">
        <v>341</v>
      </c>
      <c r="Z33" s="421">
        <f>SUM(Z3:Z30)</f>
        <v>49</v>
      </c>
    </row>
    <row r="34" spans="3:26">
      <c r="C34" s="40">
        <f>SUM(C3:C30)</f>
        <v>37</v>
      </c>
      <c r="K34" s="40">
        <f>SUM(K3:K30)</f>
        <v>0</v>
      </c>
      <c r="S34" s="40">
        <f>SUM(S3:S30)</f>
        <v>12</v>
      </c>
      <c r="U34" s="40"/>
      <c r="V34" s="40"/>
      <c r="X34" s="40"/>
    </row>
  </sheetData>
  <conditionalFormatting sqref="K3:K32 S3:S32 Z3:Z32 C3:C32">
    <cfRule type="cellIs" dxfId="3" priority="11" stopIfTrue="1" operator="equal">
      <formula>0</formula>
    </cfRule>
  </conditionalFormatting>
  <conditionalFormatting sqref="AA3:AB32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9"/>
  <sheetViews>
    <sheetView tabSelected="1" zoomScale="70" zoomScaleNormal="70" workbookViewId="0">
      <selection activeCell="C14" sqref="C1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20.100000000000001" customHeight="1" thickBot="1">
      <c r="A3" s="163">
        <f>ELEC!C2</f>
        <v>44286</v>
      </c>
      <c r="B3" s="264">
        <f>'[3]EDl log'!B34</f>
        <v>956656</v>
      </c>
      <c r="C3" s="264">
        <f>'[3]EDl log'!C34</f>
        <v>587</v>
      </c>
      <c r="D3" s="264">
        <f>'[3]EDl log'!D34</f>
        <v>587</v>
      </c>
      <c r="E3" s="264">
        <f>'[3]EDl log'!E34</f>
        <v>956656</v>
      </c>
      <c r="F3" s="264">
        <f>'[3]EDl log'!F34</f>
        <v>143963</v>
      </c>
      <c r="G3" s="264">
        <f>'[3]EDl log'!G34</f>
        <v>0</v>
      </c>
      <c r="H3" s="264">
        <f>'[3]EDl log'!H34</f>
        <v>468436</v>
      </c>
      <c r="I3" s="264">
        <f>'[3]EDl log'!I34</f>
        <v>487</v>
      </c>
      <c r="J3" s="264">
        <f>'[3]EDl log'!J34</f>
        <v>344256</v>
      </c>
      <c r="K3" s="264">
        <f>'[3]EDl log'!K34</f>
        <v>100</v>
      </c>
      <c r="L3" s="264">
        <f>'[3]EDl log'!L34</f>
        <v>0</v>
      </c>
      <c r="M3" s="264">
        <f>'[3]EDl log'!M34</f>
        <v>36.181757877280262</v>
      </c>
      <c r="N3" s="264">
        <f>'[3]EDl log'!N34</f>
        <v>5.3067993366500827</v>
      </c>
      <c r="O3" s="264">
        <f>'[3]EDl log'!O34</f>
        <v>154.80303857058792</v>
      </c>
      <c r="P3" s="264">
        <f>'[3]EDl log'!P34</f>
        <v>196.29159578451825</v>
      </c>
      <c r="Q3" s="264">
        <f>'[3]EDl log'!Q34</f>
        <v>3042.0626236559315</v>
      </c>
      <c r="R3" s="264">
        <f>'[3]EDl log'!R34</f>
        <v>3238.3542194404499</v>
      </c>
      <c r="S3" s="264">
        <f>'[3]EDl log'!S34</f>
        <v>10928</v>
      </c>
      <c r="T3" s="264">
        <f>'[3]EDl log'!T34</f>
        <v>0.29633548860179815</v>
      </c>
      <c r="Z3" t="s">
        <v>214</v>
      </c>
      <c r="AA3">
        <v>0.1</v>
      </c>
    </row>
    <row r="4" spans="1:32" ht="20.100000000000001" customHeight="1">
      <c r="A4" s="163">
        <f>ELEC!C3</f>
        <v>44287</v>
      </c>
      <c r="B4" s="590">
        <v>957511</v>
      </c>
      <c r="C4" s="264">
        <f t="shared" ref="C4:C30" si="0">SUM(B4-B3)</f>
        <v>855</v>
      </c>
      <c r="D4" s="308">
        <f>SUM(G4+I4+K4)</f>
        <v>855</v>
      </c>
      <c r="E4" s="308">
        <f>B3+D4</f>
        <v>957511</v>
      </c>
      <c r="F4" s="598">
        <v>144003</v>
      </c>
      <c r="G4" s="160">
        <f t="shared" ref="G4:G30" si="1">F4-F3</f>
        <v>40</v>
      </c>
      <c r="H4" s="598">
        <v>468754</v>
      </c>
      <c r="I4" s="161">
        <f t="shared" ref="I4:I30" si="2">H4-H3</f>
        <v>318</v>
      </c>
      <c r="J4" s="598">
        <v>344753</v>
      </c>
      <c r="K4" s="162">
        <f t="shared" ref="K4:K30" si="3">J4-J3</f>
        <v>497</v>
      </c>
      <c r="L4" s="296">
        <f t="shared" ref="L4:L13" si="4">SUM(G4*$Y$28)/1507.5</f>
        <v>8.4908789386401331</v>
      </c>
      <c r="M4" s="296">
        <f t="shared" ref="M4:M13" si="5">SUM(I4*$Y$27)/1507.5</f>
        <v>23.62587064676617</v>
      </c>
      <c r="N4" s="296">
        <f t="shared" ref="N4:N13" si="6">SUM(K4*$Y$26)/1507.5</f>
        <v>26.374792703150913</v>
      </c>
      <c r="O4" s="296">
        <f>($AC$29/$A$36)/1507.5</f>
        <v>159.96313985627418</v>
      </c>
      <c r="P4" s="297">
        <f>SUM(L4:O4)</f>
        <v>218.45468214483139</v>
      </c>
      <c r="Q4" s="297">
        <f>SUM(-tanks!AX6*tanks!$AU$36)</f>
        <v>1432.8154838709534</v>
      </c>
      <c r="R4" s="297">
        <f>SUM(P4:Q4)</f>
        <v>1651.2701660157848</v>
      </c>
      <c r="S4" s="299">
        <f>SUM(ELEC!N3)</f>
        <v>10627</v>
      </c>
      <c r="T4" s="336">
        <f>IF(S4&gt;0,R4/S4,0)</f>
        <v>0.15538441385299565</v>
      </c>
      <c r="U4" s="250"/>
      <c r="V4" s="251" t="str">
        <f>'[7]EDl log'!V21</f>
        <v xml:space="preserve">EDL </v>
      </c>
      <c r="W4" s="167">
        <v>44256</v>
      </c>
      <c r="X4" s="169"/>
      <c r="Y4" s="169"/>
      <c r="Z4" s="169" t="s">
        <v>202</v>
      </c>
      <c r="AA4" s="169"/>
      <c r="AB4" s="653"/>
      <c r="AC4" s="654"/>
    </row>
    <row r="5" spans="1:32" ht="20.100000000000001" customHeight="1">
      <c r="A5" s="163">
        <f>ELEC!C4</f>
        <v>44288</v>
      </c>
      <c r="B5" s="598">
        <v>958123</v>
      </c>
      <c r="C5" s="264">
        <f t="shared" si="0"/>
        <v>612</v>
      </c>
      <c r="D5" s="308">
        <f t="shared" ref="D5:D30" si="7">SUM(G5+I5+K5)</f>
        <v>611</v>
      </c>
      <c r="E5" s="308">
        <f>B4+D5</f>
        <v>958122</v>
      </c>
      <c r="F5" s="598">
        <v>144003</v>
      </c>
      <c r="G5" s="160">
        <f t="shared" si="1"/>
        <v>0</v>
      </c>
      <c r="H5" s="598">
        <v>469130</v>
      </c>
      <c r="I5" s="161">
        <f t="shared" si="2"/>
        <v>376</v>
      </c>
      <c r="J5" s="598">
        <v>344988</v>
      </c>
      <c r="K5" s="162">
        <f t="shared" si="3"/>
        <v>235</v>
      </c>
      <c r="L5" s="296">
        <f t="shared" si="4"/>
        <v>0</v>
      </c>
      <c r="M5" s="296">
        <f t="shared" si="5"/>
        <v>27.934991708126038</v>
      </c>
      <c r="N5" s="296">
        <f t="shared" si="6"/>
        <v>12.470978441127695</v>
      </c>
      <c r="O5" s="296">
        <f t="shared" ref="O5:O33" si="8">($AC$29/$A$36)/1507.5</f>
        <v>159.96313985627418</v>
      </c>
      <c r="P5" s="297">
        <f t="shared" ref="P5:P30" si="9">SUM(L5:O5)</f>
        <v>200.36911000552792</v>
      </c>
      <c r="Q5" s="297">
        <f>SUM(-tanks!AX7*tanks!$AU$36)</f>
        <v>2952.4335483871118</v>
      </c>
      <c r="R5" s="297">
        <f t="shared" ref="R5:R30" si="10">SUM(P5:Q5)</f>
        <v>3152.8026583926398</v>
      </c>
      <c r="S5" s="299">
        <f>SUM(ELEC!N4)</f>
        <v>8566</v>
      </c>
      <c r="T5" s="336">
        <f>IF(S5&gt;0,R5/S5,0)</f>
        <v>0.36806008153077746</v>
      </c>
      <c r="U5" s="250"/>
      <c r="V5" s="647"/>
      <c r="W5" s="648"/>
      <c r="X5" s="648"/>
      <c r="Y5" s="649"/>
      <c r="Z5" s="26" t="s">
        <v>203</v>
      </c>
      <c r="AA5" s="264">
        <f>'[8]EDl log'!AA22</f>
        <v>5000</v>
      </c>
      <c r="AB5" s="655"/>
      <c r="AC5" s="656"/>
    </row>
    <row r="6" spans="1:32" ht="20.100000000000001" customHeight="1">
      <c r="A6" s="163">
        <f>ELEC!C5</f>
        <v>44289</v>
      </c>
      <c r="B6" s="598">
        <v>958969</v>
      </c>
      <c r="C6" s="264">
        <f t="shared" si="0"/>
        <v>846</v>
      </c>
      <c r="D6" s="308">
        <f t="shared" si="7"/>
        <v>847</v>
      </c>
      <c r="E6" s="308">
        <f t="shared" ref="E6:E30" si="11">B5+D6</f>
        <v>958970</v>
      </c>
      <c r="F6" s="598">
        <v>144225</v>
      </c>
      <c r="G6" s="160">
        <f t="shared" si="1"/>
        <v>222</v>
      </c>
      <c r="H6" s="598">
        <v>469522</v>
      </c>
      <c r="I6" s="161">
        <f t="shared" si="2"/>
        <v>392</v>
      </c>
      <c r="J6" s="598">
        <v>345221</v>
      </c>
      <c r="K6" s="162">
        <f t="shared" si="3"/>
        <v>233</v>
      </c>
      <c r="L6" s="296">
        <f t="shared" si="4"/>
        <v>47.124378109452735</v>
      </c>
      <c r="M6" s="296">
        <f t="shared" si="5"/>
        <v>29.123714759535655</v>
      </c>
      <c r="N6" s="296">
        <f t="shared" si="6"/>
        <v>12.364842454394694</v>
      </c>
      <c r="O6" s="296">
        <f t="shared" si="8"/>
        <v>159.96313985627418</v>
      </c>
      <c r="P6" s="297">
        <f t="shared" si="9"/>
        <v>248.57607517965727</v>
      </c>
      <c r="Q6" s="297">
        <f>SUM(-tanks!AX8*tanks!$AU$36)</f>
        <v>2962.9935483870981</v>
      </c>
      <c r="R6" s="297">
        <f t="shared" si="10"/>
        <v>3211.5696235667556</v>
      </c>
      <c r="S6" s="299">
        <f>SUM(ELEC!N5)</f>
        <v>9686</v>
      </c>
      <c r="T6" s="336">
        <f t="shared" ref="T6:T30" si="12">IF(S6&gt;0,R6/S6,0)</f>
        <v>0.33156820396105263</v>
      </c>
      <c r="V6" s="650"/>
      <c r="W6" s="651"/>
      <c r="X6" s="651"/>
      <c r="Y6" s="652"/>
      <c r="Z6" s="3"/>
      <c r="AA6" s="3"/>
      <c r="AB6" s="655"/>
      <c r="AC6" s="656"/>
    </row>
    <row r="7" spans="1:32" ht="20.100000000000001" customHeight="1">
      <c r="A7" s="163">
        <f>ELEC!C6</f>
        <v>44290</v>
      </c>
      <c r="B7" s="598">
        <f t="shared" ref="B6:B33" si="13">B6</f>
        <v>958969</v>
      </c>
      <c r="C7" s="264">
        <f t="shared" si="0"/>
        <v>0</v>
      </c>
      <c r="D7" s="308">
        <f t="shared" si="7"/>
        <v>0</v>
      </c>
      <c r="E7" s="308">
        <f t="shared" si="11"/>
        <v>958969</v>
      </c>
      <c r="F7" s="598">
        <f t="shared" ref="F6:J33" si="14">F6</f>
        <v>144225</v>
      </c>
      <c r="G7" s="160">
        <f t="shared" si="1"/>
        <v>0</v>
      </c>
      <c r="H7" s="598">
        <f t="shared" si="14"/>
        <v>469522</v>
      </c>
      <c r="I7" s="161">
        <f t="shared" si="2"/>
        <v>0</v>
      </c>
      <c r="J7" s="598">
        <f t="shared" si="14"/>
        <v>345221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8"/>
        <v>159.96313985627418</v>
      </c>
      <c r="P7" s="297">
        <f t="shared" si="9"/>
        <v>159.96313985627418</v>
      </c>
      <c r="Q7" s="297">
        <f>SUM(-tanks!AX9*tanks!$AU$36)</f>
        <v>0</v>
      </c>
      <c r="R7" s="297">
        <f t="shared" si="10"/>
        <v>159.96313985627418</v>
      </c>
      <c r="S7" s="299">
        <f>SUM(ELEC!N6)</f>
        <v>0</v>
      </c>
      <c r="T7" s="336">
        <f t="shared" si="12"/>
        <v>0</v>
      </c>
      <c r="V7" s="643" t="s">
        <v>204</v>
      </c>
      <c r="W7" s="644"/>
      <c r="X7" s="645" t="s">
        <v>205</v>
      </c>
      <c r="Y7" s="646"/>
      <c r="Z7" s="644"/>
      <c r="AA7" s="26"/>
      <c r="AB7" s="657"/>
      <c r="AC7" s="658"/>
    </row>
    <row r="8" spans="1:32" ht="20.100000000000001" customHeight="1">
      <c r="A8" s="163">
        <f>ELEC!C7</f>
        <v>44291</v>
      </c>
      <c r="B8" s="598">
        <f t="shared" si="13"/>
        <v>958969</v>
      </c>
      <c r="C8" s="264">
        <f t="shared" si="0"/>
        <v>0</v>
      </c>
      <c r="D8" s="308">
        <f t="shared" si="7"/>
        <v>0</v>
      </c>
      <c r="E8" s="308">
        <f t="shared" si="11"/>
        <v>958969</v>
      </c>
      <c r="F8" s="598">
        <f t="shared" si="14"/>
        <v>144225</v>
      </c>
      <c r="G8" s="160">
        <f t="shared" si="1"/>
        <v>0</v>
      </c>
      <c r="H8" s="598">
        <f t="shared" si="14"/>
        <v>469522</v>
      </c>
      <c r="I8" s="161">
        <f t="shared" si="2"/>
        <v>0</v>
      </c>
      <c r="J8" s="598">
        <f t="shared" si="14"/>
        <v>345221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8"/>
        <v>159.96313985627418</v>
      </c>
      <c r="P8" s="297">
        <f t="shared" si="9"/>
        <v>159.96313985627418</v>
      </c>
      <c r="Q8" s="297">
        <f>SUM(-tanks!AX10*tanks!$AU$36)</f>
        <v>0</v>
      </c>
      <c r="R8" s="297">
        <f t="shared" si="10"/>
        <v>159.96313985627418</v>
      </c>
      <c r="S8" s="299">
        <f>SUM(ELEC!N7)</f>
        <v>0</v>
      </c>
      <c r="T8" s="336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'[9]EDl log'!AB25</f>
        <v>Total cost LL</v>
      </c>
      <c r="AC8" s="252" t="s">
        <v>212</v>
      </c>
    </row>
    <row r="9" spans="1:32" ht="20.100000000000001" customHeight="1">
      <c r="A9" s="163">
        <f>ELEC!C8</f>
        <v>44292</v>
      </c>
      <c r="B9" s="598">
        <f t="shared" si="13"/>
        <v>958969</v>
      </c>
      <c r="C9" s="264">
        <f t="shared" si="0"/>
        <v>0</v>
      </c>
      <c r="D9" s="308">
        <f t="shared" si="7"/>
        <v>0</v>
      </c>
      <c r="E9" s="308">
        <f t="shared" si="11"/>
        <v>958969</v>
      </c>
      <c r="F9" s="598">
        <f t="shared" si="14"/>
        <v>144225</v>
      </c>
      <c r="G9" s="160">
        <f t="shared" si="1"/>
        <v>0</v>
      </c>
      <c r="H9" s="598">
        <f t="shared" si="14"/>
        <v>469522</v>
      </c>
      <c r="I9" s="161">
        <f t="shared" si="2"/>
        <v>0</v>
      </c>
      <c r="J9" s="598">
        <f t="shared" si="14"/>
        <v>345221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8"/>
        <v>159.96313985627418</v>
      </c>
      <c r="P9" s="297">
        <f t="shared" si="9"/>
        <v>159.96313985627418</v>
      </c>
      <c r="Q9" s="297">
        <f>SUM(-tanks!AX11*tanks!$AU$36)</f>
        <v>0</v>
      </c>
      <c r="R9" s="297">
        <f>SUM(P9:Q9)</f>
        <v>159.96313985627418</v>
      </c>
      <c r="S9" s="299">
        <f>SUM(ELEC!N8)</f>
        <v>0</v>
      </c>
      <c r="T9" s="336">
        <f t="shared" si="12"/>
        <v>0</v>
      </c>
      <c r="V9" s="254">
        <f>'[3]EDl log'!V26</f>
        <v>321050</v>
      </c>
      <c r="W9" s="254">
        <f>'[3]EDl log'!W26</f>
        <v>344256</v>
      </c>
      <c r="X9" s="254" t="str">
        <f>'[3]EDl log'!X26</f>
        <v>Night</v>
      </c>
      <c r="Y9" s="254">
        <f>'[3]EDl log'!Y26</f>
        <v>80</v>
      </c>
      <c r="Z9" s="254">
        <f>'[3]EDl log'!Z26</f>
        <v>1</v>
      </c>
      <c r="AA9" s="254">
        <f>'[3]EDl log'!AA26</f>
        <v>23206</v>
      </c>
      <c r="AB9" s="254">
        <f>'[3]EDl log'!AB26</f>
        <v>1856480</v>
      </c>
      <c r="AC9" s="254">
        <f>'[3]EDl log'!AC26</f>
        <v>1033333</v>
      </c>
      <c r="AD9" s="599">
        <f>'[3]EDl log'!AD26</f>
        <v>0.44904988583149508</v>
      </c>
    </row>
    <row r="10" spans="1:32" ht="20.100000000000001" customHeight="1">
      <c r="A10" s="163">
        <f>ELEC!C9</f>
        <v>44293</v>
      </c>
      <c r="B10" s="598">
        <f t="shared" si="13"/>
        <v>958969</v>
      </c>
      <c r="C10" s="264">
        <f t="shared" si="0"/>
        <v>0</v>
      </c>
      <c r="D10" s="308">
        <f t="shared" si="7"/>
        <v>0</v>
      </c>
      <c r="E10" s="308">
        <f t="shared" si="11"/>
        <v>958969</v>
      </c>
      <c r="F10" s="598">
        <f t="shared" si="14"/>
        <v>144225</v>
      </c>
      <c r="G10" s="160">
        <f t="shared" si="1"/>
        <v>0</v>
      </c>
      <c r="H10" s="598">
        <f t="shared" si="14"/>
        <v>469522</v>
      </c>
      <c r="I10" s="161">
        <f t="shared" si="2"/>
        <v>0</v>
      </c>
      <c r="J10" s="598">
        <f t="shared" si="14"/>
        <v>345221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8"/>
        <v>159.96313985627418</v>
      </c>
      <c r="P10" s="297">
        <f t="shared" si="9"/>
        <v>159.96313985627418</v>
      </c>
      <c r="Q10" s="297">
        <f>SUM(-tanks!AX12*tanks!$AU$36)</f>
        <v>0</v>
      </c>
      <c r="R10" s="297">
        <f t="shared" si="10"/>
        <v>159.96313985627418</v>
      </c>
      <c r="S10" s="299">
        <f>SUM(ELEC!N9)</f>
        <v>0</v>
      </c>
      <c r="T10" s="336">
        <f t="shared" si="12"/>
        <v>0</v>
      </c>
      <c r="V10" s="254">
        <f>'[3]EDl log'!V27</f>
        <v>446820</v>
      </c>
      <c r="W10" s="254">
        <f>'[3]EDl log'!W27</f>
        <v>468436</v>
      </c>
      <c r="X10" s="254" t="str">
        <f>'[3]EDl log'!X27</f>
        <v>day</v>
      </c>
      <c r="Y10" s="254">
        <f>'[3]EDl log'!Y27</f>
        <v>112</v>
      </c>
      <c r="Z10" s="254">
        <f>'[3]EDl log'!Z27</f>
        <v>1</v>
      </c>
      <c r="AA10" s="254">
        <f>'[3]EDl log'!AA27</f>
        <v>21616</v>
      </c>
      <c r="AB10" s="254">
        <f>'[3]EDl log'!AB27</f>
        <v>2420992</v>
      </c>
      <c r="AC10" s="254">
        <f>'[3]EDl log'!AC27</f>
        <v>6200000</v>
      </c>
      <c r="AD10" s="599">
        <f>'[3]EDl log'!AD27</f>
        <v>0.41828244127094699</v>
      </c>
    </row>
    <row r="11" spans="1:32" ht="20.100000000000001" customHeight="1">
      <c r="A11" s="163">
        <f>ELEC!C10</f>
        <v>44294</v>
      </c>
      <c r="B11" s="598">
        <f t="shared" si="13"/>
        <v>958969</v>
      </c>
      <c r="C11" s="264">
        <f t="shared" si="0"/>
        <v>0</v>
      </c>
      <c r="D11" s="308">
        <f>SUM(G11+I11+K11)</f>
        <v>0</v>
      </c>
      <c r="E11" s="308">
        <f t="shared" si="11"/>
        <v>958969</v>
      </c>
      <c r="F11" s="598">
        <f t="shared" si="14"/>
        <v>144225</v>
      </c>
      <c r="G11" s="160">
        <f t="shared" si="1"/>
        <v>0</v>
      </c>
      <c r="H11" s="598">
        <f t="shared" si="14"/>
        <v>469522</v>
      </c>
      <c r="I11" s="161">
        <f t="shared" si="2"/>
        <v>0</v>
      </c>
      <c r="J11" s="598">
        <f t="shared" si="14"/>
        <v>345221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8"/>
        <v>159.96313985627418</v>
      </c>
      <c r="P11" s="297">
        <f t="shared" si="9"/>
        <v>159.96313985627418</v>
      </c>
      <c r="Q11" s="297">
        <f>SUM(-tanks!AX13*tanks!$AU$36)</f>
        <v>0</v>
      </c>
      <c r="R11" s="297">
        <f t="shared" si="10"/>
        <v>159.96313985627418</v>
      </c>
      <c r="S11" s="299">
        <f>SUM(ELEC!N10)</f>
        <v>0</v>
      </c>
      <c r="T11" s="336">
        <f t="shared" si="12"/>
        <v>0</v>
      </c>
      <c r="V11" s="254">
        <f>'[3]EDl log'!V28</f>
        <v>137108</v>
      </c>
      <c r="W11" s="254">
        <f>'[3]EDl log'!W28</f>
        <v>143963</v>
      </c>
      <c r="X11" s="254" t="str">
        <f>'[3]EDl log'!X28</f>
        <v>Peak</v>
      </c>
      <c r="Y11" s="254">
        <f>'[3]EDl log'!Y28</f>
        <v>320</v>
      </c>
      <c r="Z11" s="254">
        <f>'[3]EDl log'!Z28</f>
        <v>1</v>
      </c>
      <c r="AA11" s="254">
        <f>'[3]EDl log'!AA28</f>
        <v>6855</v>
      </c>
      <c r="AB11" s="254">
        <f>'[3]EDl log'!AB28</f>
        <v>2193600</v>
      </c>
      <c r="AC11" s="254">
        <f>'[3]EDl log'!AC28</f>
        <v>1000</v>
      </c>
      <c r="AD11" s="599">
        <f>'[3]EDl log'!AD28</f>
        <v>0.13264832230349471</v>
      </c>
      <c r="AE11" s="40">
        <f>SUM(AB11*5%)</f>
        <v>109680</v>
      </c>
      <c r="AF11" s="82">
        <f>SUM(AE11/7)*31</f>
        <v>485725.71428571432</v>
      </c>
    </row>
    <row r="12" spans="1:32" ht="20.100000000000001" customHeight="1">
      <c r="A12" s="163">
        <f>ELEC!C11</f>
        <v>44295</v>
      </c>
      <c r="B12" s="598">
        <f t="shared" si="13"/>
        <v>958969</v>
      </c>
      <c r="C12" s="264">
        <f t="shared" si="0"/>
        <v>0</v>
      </c>
      <c r="D12" s="308">
        <f t="shared" si="7"/>
        <v>0</v>
      </c>
      <c r="E12" s="308">
        <f t="shared" si="11"/>
        <v>958969</v>
      </c>
      <c r="F12" s="598">
        <f t="shared" si="14"/>
        <v>144225</v>
      </c>
      <c r="G12" s="160">
        <f t="shared" si="1"/>
        <v>0</v>
      </c>
      <c r="H12" s="598">
        <f t="shared" si="14"/>
        <v>469522</v>
      </c>
      <c r="I12" s="161">
        <f t="shared" si="2"/>
        <v>0</v>
      </c>
      <c r="J12" s="598">
        <f t="shared" si="14"/>
        <v>345221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8"/>
        <v>159.96313985627418</v>
      </c>
      <c r="P12" s="297">
        <f t="shared" si="9"/>
        <v>159.96313985627418</v>
      </c>
      <c r="Q12" s="297">
        <f>SUM(-tanks!AX14*tanks!$AU$36)</f>
        <v>0</v>
      </c>
      <c r="R12" s="297">
        <f t="shared" si="10"/>
        <v>159.96313985627418</v>
      </c>
      <c r="S12" s="299">
        <f>SUM(ELEC!N11)</f>
        <v>0</v>
      </c>
      <c r="T12" s="336">
        <f t="shared" si="12"/>
        <v>0</v>
      </c>
      <c r="V12" s="567"/>
      <c r="W12" s="264"/>
      <c r="X12" s="3"/>
      <c r="Y12" s="264"/>
      <c r="Z12" s="565">
        <f>'[10]EDl log'!Z29</f>
        <v>0</v>
      </c>
      <c r="AA12" s="586">
        <f>'[1]EDl log'!$AA$29</f>
        <v>53698</v>
      </c>
      <c r="AB12" s="565">
        <f>'[2]EDl log'!AB29</f>
        <v>0</v>
      </c>
      <c r="AC12" s="565">
        <f>'[2]EDl log'!AC29</f>
        <v>0</v>
      </c>
      <c r="AD12" s="589"/>
    </row>
    <row r="13" spans="1:32" ht="20.100000000000001" customHeight="1">
      <c r="A13" s="163">
        <f>ELEC!C12</f>
        <v>44296</v>
      </c>
      <c r="B13" s="598">
        <f t="shared" si="13"/>
        <v>958969</v>
      </c>
      <c r="C13" s="264">
        <f t="shared" si="0"/>
        <v>0</v>
      </c>
      <c r="D13" s="308">
        <f t="shared" si="7"/>
        <v>0</v>
      </c>
      <c r="E13" s="308">
        <f t="shared" si="11"/>
        <v>958969</v>
      </c>
      <c r="F13" s="598">
        <f t="shared" si="14"/>
        <v>144225</v>
      </c>
      <c r="G13" s="160">
        <f t="shared" si="1"/>
        <v>0</v>
      </c>
      <c r="H13" s="598">
        <f t="shared" si="14"/>
        <v>469522</v>
      </c>
      <c r="I13" s="161">
        <f t="shared" si="2"/>
        <v>0</v>
      </c>
      <c r="J13" s="598">
        <f t="shared" si="14"/>
        <v>345221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8"/>
        <v>159.96313985627418</v>
      </c>
      <c r="P13" s="297">
        <f t="shared" si="9"/>
        <v>159.96313985627418</v>
      </c>
      <c r="Q13" s="297">
        <f>SUM(-tanks!AX15*tanks!$AU$36)</f>
        <v>0</v>
      </c>
      <c r="R13" s="297">
        <f t="shared" si="10"/>
        <v>159.96313985627418</v>
      </c>
      <c r="S13" s="299">
        <f>SUM(ELEC!N12)</f>
        <v>0</v>
      </c>
      <c r="T13" s="336">
        <f>IF(S13&gt;0,R13/S13,0)</f>
        <v>0</v>
      </c>
      <c r="V13" s="567" t="str">
        <f>'[8]EDl log'!V30</f>
        <v>Occ %</v>
      </c>
      <c r="W13" s="599">
        <f>'[3]EDl log'!W30</f>
        <v>0</v>
      </c>
      <c r="X13" s="506"/>
      <c r="Y13" s="264" t="str">
        <f>'[5]EDl log'!Y30</f>
        <v>Per G</v>
      </c>
      <c r="Z13" s="3"/>
      <c r="AA13" s="3"/>
      <c r="AB13" s="254">
        <f>'[3]EDl log'!AB30</f>
        <v>6471072</v>
      </c>
      <c r="AC13" s="254">
        <f>'[3]EDl log'!AC30</f>
        <v>7234333</v>
      </c>
    </row>
    <row r="14" spans="1:32" ht="20.100000000000001" customHeight="1">
      <c r="A14" s="163">
        <f>ELEC!C13</f>
        <v>44297</v>
      </c>
      <c r="B14" s="598">
        <f t="shared" si="13"/>
        <v>958969</v>
      </c>
      <c r="C14" s="264">
        <f t="shared" si="0"/>
        <v>0</v>
      </c>
      <c r="D14" s="308">
        <f t="shared" si="7"/>
        <v>0</v>
      </c>
      <c r="E14" s="308">
        <f t="shared" si="11"/>
        <v>958969</v>
      </c>
      <c r="F14" s="598">
        <f t="shared" si="14"/>
        <v>144225</v>
      </c>
      <c r="G14" s="160">
        <f t="shared" si="1"/>
        <v>0</v>
      </c>
      <c r="H14" s="598">
        <f t="shared" si="14"/>
        <v>469522</v>
      </c>
      <c r="I14" s="161">
        <f t="shared" si="2"/>
        <v>0</v>
      </c>
      <c r="J14" s="598">
        <f t="shared" si="14"/>
        <v>345221</v>
      </c>
      <c r="K14" s="162">
        <f t="shared" ref="K14:K17" si="15">J14-J13</f>
        <v>0</v>
      </c>
      <c r="L14" s="296">
        <f t="shared" ref="L14:L17" si="16">SUM(G14*$Y$28)/1507.5</f>
        <v>0</v>
      </c>
      <c r="M14" s="296">
        <f t="shared" ref="M14:M17" si="17">SUM(I14*$Y$27)/1507.5</f>
        <v>0</v>
      </c>
      <c r="N14" s="296">
        <f t="shared" ref="N14:N17" si="18">SUM(K14*$Y$26)/1507.5</f>
        <v>0</v>
      </c>
      <c r="O14" s="296">
        <f t="shared" si="8"/>
        <v>159.96313985627418</v>
      </c>
      <c r="P14" s="297">
        <f t="shared" ref="P14:P17" si="19">SUM(L14:O14)</f>
        <v>159.96313985627418</v>
      </c>
      <c r="Q14" s="297">
        <f>SUM(-tanks!AX16*tanks!$AU$36)</f>
        <v>0</v>
      </c>
      <c r="R14" s="297">
        <f t="shared" ref="R14:R17" si="20">SUM(P14:Q14)</f>
        <v>159.96313985627418</v>
      </c>
      <c r="S14" s="299">
        <f>SUM(ELEC!N13)</f>
        <v>0</v>
      </c>
      <c r="T14" s="336">
        <f t="shared" ref="T14:T17" si="21">IF(S14&gt;0,R14/S14,0)</f>
        <v>0</v>
      </c>
      <c r="V14" s="567" t="str">
        <f>'[8]EDl log'!V31</f>
        <v>Gen RH</v>
      </c>
      <c r="W14" s="254">
        <f>'[3]EDl log'!W31</f>
        <v>0</v>
      </c>
      <c r="X14" s="254">
        <f>'[3]EDl log'!X31</f>
        <v>0</v>
      </c>
      <c r="Y14" s="254">
        <f>'[3]EDl log'!Y31</f>
        <v>0</v>
      </c>
      <c r="Z14" s="264"/>
      <c r="AA14" s="3"/>
      <c r="AB14" s="254">
        <f>'[3]EDl log'!AB31</f>
        <v>0</v>
      </c>
      <c r="AC14" s="254">
        <f>'[3]EDl log'!AC31</f>
        <v>0</v>
      </c>
    </row>
    <row r="15" spans="1:32" ht="20.100000000000001" customHeight="1">
      <c r="A15" s="163">
        <f>ELEC!C14</f>
        <v>44298</v>
      </c>
      <c r="B15" s="598">
        <f t="shared" si="13"/>
        <v>958969</v>
      </c>
      <c r="C15" s="264">
        <f t="shared" si="0"/>
        <v>0</v>
      </c>
      <c r="D15" s="308">
        <f t="shared" si="7"/>
        <v>0</v>
      </c>
      <c r="E15" s="308">
        <f t="shared" si="11"/>
        <v>958969</v>
      </c>
      <c r="F15" s="598">
        <f t="shared" si="14"/>
        <v>144225</v>
      </c>
      <c r="G15" s="160">
        <f t="shared" si="1"/>
        <v>0</v>
      </c>
      <c r="H15" s="598">
        <f t="shared" si="14"/>
        <v>469522</v>
      </c>
      <c r="I15" s="161">
        <f t="shared" si="2"/>
        <v>0</v>
      </c>
      <c r="J15" s="598">
        <f t="shared" si="14"/>
        <v>345221</v>
      </c>
      <c r="K15" s="162">
        <f t="shared" si="15"/>
        <v>0</v>
      </c>
      <c r="L15" s="296">
        <f t="shared" si="16"/>
        <v>0</v>
      </c>
      <c r="M15" s="296">
        <f t="shared" si="17"/>
        <v>0</v>
      </c>
      <c r="N15" s="296">
        <f t="shared" si="18"/>
        <v>0</v>
      </c>
      <c r="O15" s="296">
        <f t="shared" si="8"/>
        <v>159.96313985627418</v>
      </c>
      <c r="P15" s="297">
        <f t="shared" si="19"/>
        <v>159.96313985627418</v>
      </c>
      <c r="Q15" s="297">
        <f>SUM(-tanks!AX17*tanks!$AU$36)</f>
        <v>0</v>
      </c>
      <c r="R15" s="297">
        <f t="shared" si="20"/>
        <v>159.96313985627418</v>
      </c>
      <c r="S15" s="299">
        <f>SUM(ELEC!N14)</f>
        <v>0</v>
      </c>
      <c r="T15" s="336">
        <f t="shared" si="21"/>
        <v>0</v>
      </c>
      <c r="V15" s="567" t="str">
        <f>'[8]EDl log'!V32</f>
        <v>H Deg</v>
      </c>
      <c r="W15" s="254">
        <f>'[3]EDl log'!W32</f>
        <v>0</v>
      </c>
      <c r="X15" s="254">
        <f>'[3]EDl log'!X32</f>
        <v>0</v>
      </c>
      <c r="Y15" s="264"/>
      <c r="Z15" s="264"/>
      <c r="AA15" s="3"/>
      <c r="AB15" s="291"/>
      <c r="AC15" s="587"/>
    </row>
    <row r="16" spans="1:32" ht="20.100000000000001" customHeight="1" thickBot="1">
      <c r="A16" s="163">
        <f>ELEC!C15</f>
        <v>44299</v>
      </c>
      <c r="B16" s="598">
        <f t="shared" si="13"/>
        <v>958969</v>
      </c>
      <c r="C16" s="264">
        <f t="shared" si="0"/>
        <v>0</v>
      </c>
      <c r="D16" s="308">
        <f t="shared" si="7"/>
        <v>0</v>
      </c>
      <c r="E16" s="308">
        <f t="shared" si="11"/>
        <v>958969</v>
      </c>
      <c r="F16" s="598">
        <f t="shared" si="14"/>
        <v>144225</v>
      </c>
      <c r="G16" s="160">
        <f t="shared" si="1"/>
        <v>0</v>
      </c>
      <c r="H16" s="598">
        <f t="shared" si="14"/>
        <v>469522</v>
      </c>
      <c r="I16" s="161">
        <f t="shared" si="2"/>
        <v>0</v>
      </c>
      <c r="J16" s="598">
        <f t="shared" si="14"/>
        <v>345221</v>
      </c>
      <c r="K16" s="162">
        <f t="shared" si="15"/>
        <v>0</v>
      </c>
      <c r="L16" s="296">
        <f t="shared" si="16"/>
        <v>0</v>
      </c>
      <c r="M16" s="296">
        <f t="shared" si="17"/>
        <v>0</v>
      </c>
      <c r="N16" s="296">
        <f t="shared" si="18"/>
        <v>0</v>
      </c>
      <c r="O16" s="296">
        <f t="shared" si="8"/>
        <v>159.96313985627418</v>
      </c>
      <c r="P16" s="297">
        <f t="shared" si="19"/>
        <v>159.96313985627418</v>
      </c>
      <c r="Q16" s="297">
        <f>SUM(-tanks!AX18*tanks!$AU$36)</f>
        <v>0</v>
      </c>
      <c r="R16" s="297">
        <f t="shared" si="20"/>
        <v>159.96313985627418</v>
      </c>
      <c r="S16" s="299">
        <f>SUM(ELEC!N15)</f>
        <v>0</v>
      </c>
      <c r="T16" s="336">
        <f t="shared" si="21"/>
        <v>0</v>
      </c>
      <c r="V16" s="567" t="str">
        <f>'[8]EDl log'!V33</f>
        <v>C Deg</v>
      </c>
      <c r="W16" s="254">
        <f>'[3]EDl log'!W33</f>
        <v>3000</v>
      </c>
      <c r="X16" s="254">
        <f>'[3]EDl log'!X33</f>
        <v>6.7741498441945533E-2</v>
      </c>
      <c r="Y16" s="254">
        <f>'[3]EDl log'!Y33</f>
        <v>3.3870749220972766E-2</v>
      </c>
      <c r="Z16" s="3"/>
      <c r="AA16" s="3"/>
      <c r="AB16" s="573">
        <f>SUM(AB14/1507.5)</f>
        <v>0</v>
      </c>
      <c r="AC16" s="588"/>
    </row>
    <row r="17" spans="1:32" ht="20.100000000000001" customHeight="1">
      <c r="A17" s="163">
        <f>ELEC!C16</f>
        <v>44300</v>
      </c>
      <c r="B17" s="598">
        <f t="shared" si="13"/>
        <v>958969</v>
      </c>
      <c r="C17" s="264">
        <f t="shared" si="0"/>
        <v>0</v>
      </c>
      <c r="D17" s="308">
        <f t="shared" si="7"/>
        <v>0</v>
      </c>
      <c r="E17" s="308">
        <f t="shared" si="11"/>
        <v>958969</v>
      </c>
      <c r="F17" s="598">
        <f t="shared" si="14"/>
        <v>144225</v>
      </c>
      <c r="G17" s="160">
        <f t="shared" si="1"/>
        <v>0</v>
      </c>
      <c r="H17" s="598">
        <f t="shared" si="14"/>
        <v>469522</v>
      </c>
      <c r="I17" s="161">
        <f t="shared" si="2"/>
        <v>0</v>
      </c>
      <c r="J17" s="598">
        <f t="shared" si="14"/>
        <v>345221</v>
      </c>
      <c r="K17" s="162">
        <f t="shared" si="15"/>
        <v>0</v>
      </c>
      <c r="L17" s="296">
        <f t="shared" si="16"/>
        <v>0</v>
      </c>
      <c r="M17" s="296">
        <f t="shared" si="17"/>
        <v>0</v>
      </c>
      <c r="N17" s="296">
        <f t="shared" si="18"/>
        <v>0</v>
      </c>
      <c r="O17" s="296">
        <f t="shared" si="8"/>
        <v>159.96313985627418</v>
      </c>
      <c r="P17" s="297">
        <f t="shared" si="19"/>
        <v>159.96313985627418</v>
      </c>
      <c r="Q17" s="297">
        <f>SUM(-tanks!AX19*tanks!$AU$36)</f>
        <v>0</v>
      </c>
      <c r="R17" s="297">
        <f t="shared" si="20"/>
        <v>159.96313985627418</v>
      </c>
      <c r="S17" s="299">
        <f>SUM(ELEC!N16)</f>
        <v>0</v>
      </c>
      <c r="T17" s="336">
        <f t="shared" si="21"/>
        <v>0</v>
      </c>
      <c r="V17" s="253"/>
      <c r="W17" s="506"/>
      <c r="X17" s="17"/>
      <c r="Y17" s="430"/>
      <c r="Z17" s="506" t="s">
        <v>416</v>
      </c>
      <c r="AA17" s="585">
        <f>'[11]EDl log'!AA34</f>
        <v>0.11</v>
      </c>
      <c r="AB17" s="584"/>
      <c r="AC17" s="565">
        <f>'[2]EDl log'!AC34</f>
        <v>0</v>
      </c>
    </row>
    <row r="18" spans="1:32" ht="20.100000000000001" customHeight="1" thickBot="1">
      <c r="A18" s="163">
        <f>ELEC!C17</f>
        <v>44301</v>
      </c>
      <c r="B18" s="598">
        <f t="shared" si="13"/>
        <v>958969</v>
      </c>
      <c r="C18" s="264">
        <f t="shared" si="0"/>
        <v>0</v>
      </c>
      <c r="D18" s="308">
        <f t="shared" si="7"/>
        <v>0</v>
      </c>
      <c r="E18" s="308">
        <f t="shared" si="11"/>
        <v>958969</v>
      </c>
      <c r="F18" s="598">
        <f t="shared" si="14"/>
        <v>144225</v>
      </c>
      <c r="G18" s="160">
        <f t="shared" si="1"/>
        <v>0</v>
      </c>
      <c r="H18" s="598">
        <f t="shared" si="14"/>
        <v>469522</v>
      </c>
      <c r="I18" s="161">
        <f t="shared" si="2"/>
        <v>0</v>
      </c>
      <c r="J18" s="598">
        <f t="shared" si="14"/>
        <v>345221</v>
      </c>
      <c r="K18" s="162">
        <f t="shared" si="3"/>
        <v>0</v>
      </c>
      <c r="L18" s="296">
        <f t="shared" ref="L18:L30" si="22">SUM(G18*$Y$28)/1507.5</f>
        <v>0</v>
      </c>
      <c r="M18" s="296">
        <f t="shared" ref="M18:M30" si="23">SUM(I18*$Y$27)/1507.5</f>
        <v>0</v>
      </c>
      <c r="N18" s="296">
        <f t="shared" ref="N18:N30" si="24">SUM(K18*$Y$26)/1507.5</f>
        <v>0</v>
      </c>
      <c r="O18" s="296">
        <f t="shared" si="8"/>
        <v>159.96313985627418</v>
      </c>
      <c r="P18" s="297">
        <f t="shared" si="9"/>
        <v>159.96313985627418</v>
      </c>
      <c r="Q18" s="297">
        <f>SUM(-tanks!AX20*tanks!$AU$36)</f>
        <v>0</v>
      </c>
      <c r="R18" s="297">
        <f t="shared" si="10"/>
        <v>159.96313985627418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85"/>
      <c r="AB18" s="584"/>
      <c r="AC18" s="565">
        <f>'[2]EDl log'!AC35</f>
        <v>0</v>
      </c>
    </row>
    <row r="19" spans="1:32" ht="20.100000000000001" customHeight="1" thickBot="1">
      <c r="A19" s="163">
        <f>ELEC!C18</f>
        <v>44302</v>
      </c>
      <c r="B19" s="598">
        <f t="shared" si="13"/>
        <v>958969</v>
      </c>
      <c r="C19" s="264">
        <f t="shared" si="0"/>
        <v>0</v>
      </c>
      <c r="D19" s="308">
        <f t="shared" si="7"/>
        <v>0</v>
      </c>
      <c r="E19" s="308">
        <f t="shared" si="11"/>
        <v>958969</v>
      </c>
      <c r="F19" s="598">
        <f t="shared" si="14"/>
        <v>144225</v>
      </c>
      <c r="G19" s="160">
        <f t="shared" si="1"/>
        <v>0</v>
      </c>
      <c r="H19" s="598">
        <f t="shared" si="14"/>
        <v>469522</v>
      </c>
      <c r="I19" s="161">
        <f t="shared" si="2"/>
        <v>0</v>
      </c>
      <c r="J19" s="598">
        <f t="shared" si="14"/>
        <v>345221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68"/>
      <c r="Z19" s="568"/>
      <c r="AA19" s="585"/>
      <c r="AB19" s="584"/>
      <c r="AC19" s="565">
        <f>'[2]EDl log'!AC36</f>
        <v>0</v>
      </c>
    </row>
    <row r="20" spans="1:32" ht="20.100000000000001" customHeight="1" thickBot="1">
      <c r="A20" s="163">
        <f>ELEC!C19</f>
        <v>44303</v>
      </c>
      <c r="B20" s="598">
        <f t="shared" si="13"/>
        <v>958969</v>
      </c>
      <c r="C20" s="264">
        <f t="shared" si="0"/>
        <v>0</v>
      </c>
      <c r="D20" s="308">
        <f t="shared" si="7"/>
        <v>0</v>
      </c>
      <c r="E20" s="308">
        <f t="shared" si="11"/>
        <v>958969</v>
      </c>
      <c r="F20" s="598">
        <f t="shared" si="14"/>
        <v>144225</v>
      </c>
      <c r="G20" s="160">
        <f t="shared" si="1"/>
        <v>0</v>
      </c>
      <c r="H20" s="598">
        <f t="shared" si="14"/>
        <v>469522</v>
      </c>
      <c r="I20" s="161">
        <f t="shared" si="2"/>
        <v>0</v>
      </c>
      <c r="J20" s="598">
        <f t="shared" si="14"/>
        <v>345221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SUM(ELEC!N19)</f>
        <v>0</v>
      </c>
      <c r="T20" s="336">
        <f t="shared" si="12"/>
        <v>0</v>
      </c>
      <c r="V20" t="s">
        <v>412</v>
      </c>
      <c r="AB20" s="566"/>
    </row>
    <row r="21" spans="1:32" ht="20.100000000000001" customHeight="1">
      <c r="A21" s="163">
        <f>ELEC!C20</f>
        <v>44304</v>
      </c>
      <c r="B21" s="598">
        <f t="shared" si="13"/>
        <v>958969</v>
      </c>
      <c r="C21" s="264">
        <f t="shared" si="0"/>
        <v>0</v>
      </c>
      <c r="D21" s="308">
        <f t="shared" si="7"/>
        <v>0</v>
      </c>
      <c r="E21" s="308">
        <f t="shared" si="11"/>
        <v>958969</v>
      </c>
      <c r="F21" s="598">
        <f t="shared" si="14"/>
        <v>144225</v>
      </c>
      <c r="G21" s="160">
        <f t="shared" si="1"/>
        <v>0</v>
      </c>
      <c r="H21" s="598">
        <f t="shared" si="14"/>
        <v>469522</v>
      </c>
      <c r="I21" s="161">
        <f t="shared" si="2"/>
        <v>0</v>
      </c>
      <c r="J21" s="598">
        <f t="shared" si="14"/>
        <v>345221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44287</v>
      </c>
      <c r="X21" s="168"/>
      <c r="Y21" s="168"/>
      <c r="Z21" s="169" t="s">
        <v>202</v>
      </c>
      <c r="AA21" s="168"/>
      <c r="AB21" s="653"/>
      <c r="AC21" s="654"/>
    </row>
    <row r="22" spans="1:32" ht="20.100000000000001" customHeight="1">
      <c r="A22" s="163">
        <f>ELEC!C21</f>
        <v>44305</v>
      </c>
      <c r="B22" s="598">
        <f t="shared" si="13"/>
        <v>958969</v>
      </c>
      <c r="C22" s="264">
        <f t="shared" si="0"/>
        <v>0</v>
      </c>
      <c r="D22" s="308">
        <f t="shared" si="7"/>
        <v>0</v>
      </c>
      <c r="E22" s="308">
        <f t="shared" si="11"/>
        <v>958969</v>
      </c>
      <c r="F22" s="598">
        <f t="shared" si="14"/>
        <v>144225</v>
      </c>
      <c r="G22" s="160">
        <f t="shared" si="1"/>
        <v>0</v>
      </c>
      <c r="H22" s="598">
        <f t="shared" si="14"/>
        <v>469522</v>
      </c>
      <c r="I22" s="161">
        <f t="shared" si="2"/>
        <v>0</v>
      </c>
      <c r="J22" s="598">
        <f t="shared" si="14"/>
        <v>345221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SUM(ELEC!N21)</f>
        <v>0</v>
      </c>
      <c r="T22" s="336">
        <f t="shared" si="12"/>
        <v>0</v>
      </c>
      <c r="V22" s="659"/>
      <c r="W22" s="660"/>
      <c r="X22" s="660"/>
      <c r="Y22" s="661"/>
      <c r="Z22" s="26" t="s">
        <v>203</v>
      </c>
      <c r="AA22" s="26">
        <v>5000</v>
      </c>
      <c r="AB22" s="655"/>
      <c r="AC22" s="656"/>
    </row>
    <row r="23" spans="1:32" ht="20.100000000000001" customHeight="1">
      <c r="A23" s="163">
        <f>ELEC!C22</f>
        <v>44306</v>
      </c>
      <c r="B23" s="598">
        <f t="shared" si="13"/>
        <v>958969</v>
      </c>
      <c r="C23" s="264">
        <f t="shared" si="0"/>
        <v>0</v>
      </c>
      <c r="D23" s="308">
        <f t="shared" si="7"/>
        <v>0</v>
      </c>
      <c r="E23" s="308">
        <f t="shared" si="11"/>
        <v>958969</v>
      </c>
      <c r="F23" s="598">
        <f t="shared" si="14"/>
        <v>144225</v>
      </c>
      <c r="G23" s="160">
        <f t="shared" si="1"/>
        <v>0</v>
      </c>
      <c r="H23" s="598">
        <f t="shared" si="14"/>
        <v>469522</v>
      </c>
      <c r="I23" s="161">
        <f t="shared" si="2"/>
        <v>0</v>
      </c>
      <c r="J23" s="598">
        <f t="shared" si="14"/>
        <v>345221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SUM(ELEC!N22)</f>
        <v>0</v>
      </c>
      <c r="T23" s="336">
        <f t="shared" si="12"/>
        <v>0</v>
      </c>
      <c r="V23" s="662"/>
      <c r="W23" s="663"/>
      <c r="X23" s="663"/>
      <c r="Y23" s="664"/>
      <c r="Z23" s="665"/>
      <c r="AA23" s="666"/>
      <c r="AB23" s="655"/>
      <c r="AC23" s="656"/>
    </row>
    <row r="24" spans="1:32" ht="20.100000000000001" customHeight="1">
      <c r="A24" s="163">
        <f>ELEC!C23</f>
        <v>44307</v>
      </c>
      <c r="B24" s="598">
        <f t="shared" si="13"/>
        <v>958969</v>
      </c>
      <c r="C24" s="264">
        <f t="shared" si="0"/>
        <v>0</v>
      </c>
      <c r="D24" s="308">
        <f t="shared" si="7"/>
        <v>0</v>
      </c>
      <c r="E24" s="308">
        <f t="shared" si="11"/>
        <v>958969</v>
      </c>
      <c r="F24" s="598">
        <f t="shared" si="14"/>
        <v>144225</v>
      </c>
      <c r="G24" s="160">
        <f t="shared" si="1"/>
        <v>0</v>
      </c>
      <c r="H24" s="598">
        <f t="shared" si="14"/>
        <v>469522</v>
      </c>
      <c r="I24" s="161">
        <f t="shared" si="2"/>
        <v>0</v>
      </c>
      <c r="J24" s="598">
        <f t="shared" si="14"/>
        <v>345221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SUM(ELEC!N23)</f>
        <v>0</v>
      </c>
      <c r="T24" s="336">
        <f t="shared" si="12"/>
        <v>0</v>
      </c>
      <c r="V24" s="667" t="s">
        <v>204</v>
      </c>
      <c r="W24" s="668"/>
      <c r="X24" s="669" t="s">
        <v>205</v>
      </c>
      <c r="Y24" s="670"/>
      <c r="Z24" s="671"/>
      <c r="AA24" s="170"/>
      <c r="AB24" s="657"/>
      <c r="AC24" s="658"/>
    </row>
    <row r="25" spans="1:32" ht="20.100000000000001" customHeight="1">
      <c r="A25" s="163">
        <f>ELEC!C24</f>
        <v>44308</v>
      </c>
      <c r="B25" s="598">
        <f t="shared" si="13"/>
        <v>958969</v>
      </c>
      <c r="C25" s="264">
        <f t="shared" si="0"/>
        <v>0</v>
      </c>
      <c r="D25" s="308">
        <f t="shared" si="7"/>
        <v>0</v>
      </c>
      <c r="E25" s="308">
        <f t="shared" si="11"/>
        <v>958969</v>
      </c>
      <c r="F25" s="598">
        <f t="shared" si="14"/>
        <v>144225</v>
      </c>
      <c r="G25" s="160">
        <f t="shared" si="1"/>
        <v>0</v>
      </c>
      <c r="H25" s="598">
        <f t="shared" si="14"/>
        <v>469522</v>
      </c>
      <c r="I25" s="161">
        <f t="shared" si="2"/>
        <v>0</v>
      </c>
      <c r="J25" s="598">
        <f t="shared" si="14"/>
        <v>345221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ELEC!C25</f>
        <v>44309</v>
      </c>
      <c r="B26" s="598">
        <f t="shared" si="13"/>
        <v>958969</v>
      </c>
      <c r="C26" s="264">
        <f t="shared" si="0"/>
        <v>0</v>
      </c>
      <c r="D26" s="308">
        <f t="shared" si="7"/>
        <v>0</v>
      </c>
      <c r="E26" s="308">
        <f t="shared" si="11"/>
        <v>958969</v>
      </c>
      <c r="F26" s="598">
        <f t="shared" si="14"/>
        <v>144225</v>
      </c>
      <c r="G26" s="160">
        <f t="shared" si="1"/>
        <v>0</v>
      </c>
      <c r="H26" s="598">
        <f t="shared" si="14"/>
        <v>469522</v>
      </c>
      <c r="I26" s="161">
        <f t="shared" si="2"/>
        <v>0</v>
      </c>
      <c r="J26" s="598">
        <f t="shared" si="14"/>
        <v>345221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SUM(ELEC!N25)</f>
        <v>0</v>
      </c>
      <c r="T26" s="336">
        <f t="shared" si="12"/>
        <v>0</v>
      </c>
      <c r="V26" s="254">
        <f>W9</f>
        <v>344256</v>
      </c>
      <c r="W26" s="170">
        <f>J33</f>
        <v>345221</v>
      </c>
      <c r="X26" s="172" t="s">
        <v>199</v>
      </c>
      <c r="Y26" s="172">
        <v>80</v>
      </c>
      <c r="Z26" s="172">
        <v>1</v>
      </c>
      <c r="AA26" s="338">
        <f>(W26-V26)*Z26</f>
        <v>965</v>
      </c>
      <c r="AB26" s="338">
        <f>AA26*Y26</f>
        <v>77200</v>
      </c>
      <c r="AC26" s="249">
        <f>AC9</f>
        <v>1033333</v>
      </c>
      <c r="AD26" s="212">
        <f>SUM(K35)</f>
        <v>0.41720709035884135</v>
      </c>
    </row>
    <row r="27" spans="1:32" ht="20.100000000000001" customHeight="1">
      <c r="A27" s="163">
        <f>ELEC!C26</f>
        <v>44310</v>
      </c>
      <c r="B27" s="598">
        <f t="shared" si="13"/>
        <v>958969</v>
      </c>
      <c r="C27" s="264">
        <f t="shared" si="0"/>
        <v>0</v>
      </c>
      <c r="D27" s="308">
        <f t="shared" si="7"/>
        <v>0</v>
      </c>
      <c r="E27" s="308">
        <f t="shared" si="11"/>
        <v>958969</v>
      </c>
      <c r="F27" s="598">
        <f t="shared" si="14"/>
        <v>144225</v>
      </c>
      <c r="G27" s="160">
        <f t="shared" si="1"/>
        <v>0</v>
      </c>
      <c r="H27" s="598">
        <f t="shared" si="14"/>
        <v>469522</v>
      </c>
      <c r="I27" s="161">
        <f t="shared" si="2"/>
        <v>0</v>
      </c>
      <c r="J27" s="598">
        <f t="shared" si="14"/>
        <v>345221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SUM(ELEC!N26)</f>
        <v>0</v>
      </c>
      <c r="T27" s="336">
        <f t="shared" si="12"/>
        <v>0</v>
      </c>
      <c r="V27" s="254">
        <f t="shared" ref="V27:V28" si="25">W10</f>
        <v>468436</v>
      </c>
      <c r="W27" s="170">
        <f>H33</f>
        <v>469522</v>
      </c>
      <c r="X27" s="172" t="s">
        <v>213</v>
      </c>
      <c r="Y27" s="172">
        <v>112</v>
      </c>
      <c r="Z27" s="172">
        <v>1</v>
      </c>
      <c r="AA27" s="338">
        <f>(W27-V27)*Z27</f>
        <v>1086</v>
      </c>
      <c r="AB27" s="338">
        <f>SUM(AA27*Y27)</f>
        <v>121632</v>
      </c>
      <c r="AC27" s="249">
        <f>AC10</f>
        <v>6200000</v>
      </c>
      <c r="AD27" s="212">
        <f>SUM(I35)</f>
        <v>0.46952010376134889</v>
      </c>
    </row>
    <row r="28" spans="1:32" ht="20.100000000000001" customHeight="1">
      <c r="A28" s="163">
        <f>ELEC!C27</f>
        <v>44311</v>
      </c>
      <c r="B28" s="598">
        <f t="shared" si="13"/>
        <v>958969</v>
      </c>
      <c r="C28" s="264">
        <f t="shared" si="0"/>
        <v>0</v>
      </c>
      <c r="D28" s="308">
        <f t="shared" si="7"/>
        <v>0</v>
      </c>
      <c r="E28" s="308">
        <f t="shared" si="11"/>
        <v>958969</v>
      </c>
      <c r="F28" s="598">
        <f t="shared" si="14"/>
        <v>144225</v>
      </c>
      <c r="G28" s="160">
        <f t="shared" si="1"/>
        <v>0</v>
      </c>
      <c r="H28" s="598">
        <f t="shared" si="14"/>
        <v>469522</v>
      </c>
      <c r="I28" s="161">
        <f t="shared" si="2"/>
        <v>0</v>
      </c>
      <c r="J28" s="598">
        <f t="shared" si="14"/>
        <v>345221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SUM(ELEC!N27)</f>
        <v>0</v>
      </c>
      <c r="T28" s="336">
        <f t="shared" si="12"/>
        <v>0</v>
      </c>
      <c r="V28" s="254">
        <f t="shared" si="25"/>
        <v>143963</v>
      </c>
      <c r="W28" s="170">
        <f>F33</f>
        <v>144225</v>
      </c>
      <c r="X28" s="172" t="s">
        <v>197</v>
      </c>
      <c r="Y28" s="172">
        <v>320</v>
      </c>
      <c r="Z28" s="172">
        <v>1</v>
      </c>
      <c r="AA28" s="338">
        <f>(W28-V28)*Z28</f>
        <v>262</v>
      </c>
      <c r="AB28" s="338">
        <f>SUM(AA28*Y28)</f>
        <v>83840</v>
      </c>
      <c r="AC28" s="249">
        <f>AC11</f>
        <v>1000</v>
      </c>
      <c r="AD28" s="212">
        <f>SUM(G35)</f>
        <v>0.11327280587980977</v>
      </c>
      <c r="AE28" s="40">
        <f>SUM(AB28*5%)</f>
        <v>4192</v>
      </c>
      <c r="AF28" s="82">
        <f>SUM(AE28/7)*31</f>
        <v>18564.571428571431</v>
      </c>
    </row>
    <row r="29" spans="1:32" ht="20.100000000000001" customHeight="1">
      <c r="A29" s="163">
        <f>ELEC!C28</f>
        <v>44312</v>
      </c>
      <c r="B29" s="598">
        <f t="shared" si="13"/>
        <v>958969</v>
      </c>
      <c r="C29" s="264">
        <f t="shared" si="0"/>
        <v>0</v>
      </c>
      <c r="D29" s="308">
        <f t="shared" si="7"/>
        <v>0</v>
      </c>
      <c r="E29" s="308">
        <f t="shared" si="11"/>
        <v>958969</v>
      </c>
      <c r="F29" s="598">
        <f t="shared" si="14"/>
        <v>144225</v>
      </c>
      <c r="G29" s="160">
        <f t="shared" si="1"/>
        <v>0</v>
      </c>
      <c r="H29" s="598">
        <f t="shared" si="14"/>
        <v>469522</v>
      </c>
      <c r="I29" s="161">
        <f t="shared" si="2"/>
        <v>0</v>
      </c>
      <c r="J29" s="598">
        <f t="shared" si="14"/>
        <v>345221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2313</v>
      </c>
      <c r="AB29" s="338"/>
      <c r="AC29" s="249">
        <f>SUM(AC26:AC28)</f>
        <v>7234333</v>
      </c>
    </row>
    <row r="30" spans="1:32" ht="20.100000000000001" customHeight="1">
      <c r="A30" s="163">
        <f>ELEC!C29</f>
        <v>44313</v>
      </c>
      <c r="B30" s="598">
        <f t="shared" si="13"/>
        <v>958969</v>
      </c>
      <c r="C30" s="264">
        <f t="shared" si="0"/>
        <v>0</v>
      </c>
      <c r="D30" s="308">
        <f t="shared" si="7"/>
        <v>0</v>
      </c>
      <c r="E30" s="308">
        <f t="shared" si="11"/>
        <v>958969</v>
      </c>
      <c r="F30" s="598">
        <f t="shared" si="14"/>
        <v>144225</v>
      </c>
      <c r="G30" s="160">
        <f t="shared" si="1"/>
        <v>0</v>
      </c>
      <c r="H30" s="598">
        <f t="shared" si="14"/>
        <v>469522</v>
      </c>
      <c r="I30" s="161">
        <f t="shared" si="2"/>
        <v>0</v>
      </c>
      <c r="J30" s="598">
        <f t="shared" si="14"/>
        <v>345221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'!F36</f>
        <v>0</v>
      </c>
      <c r="X30" s="217"/>
      <c r="Y30" s="218" t="s">
        <v>330</v>
      </c>
      <c r="Z30" s="3"/>
      <c r="AA30" s="338"/>
      <c r="AB30" s="338">
        <f>SUM(AB26:AB29)</f>
        <v>282672</v>
      </c>
      <c r="AC30" s="249"/>
    </row>
    <row r="31" spans="1:32" ht="20.100000000000001" customHeight="1">
      <c r="A31" s="163">
        <f>ELEC!C30</f>
        <v>44314</v>
      </c>
      <c r="B31" s="598">
        <f t="shared" si="13"/>
        <v>958969</v>
      </c>
      <c r="C31" s="264">
        <f t="shared" ref="C31:C33" si="26">SUM(B31-B30)</f>
        <v>0</v>
      </c>
      <c r="D31" s="308">
        <f t="shared" ref="D31:D33" si="27">SUM(G31+I31+K31)</f>
        <v>0</v>
      </c>
      <c r="E31" s="308">
        <f t="shared" ref="E31:E33" si="28">B30+D31</f>
        <v>958969</v>
      </c>
      <c r="F31" s="598">
        <f t="shared" si="14"/>
        <v>144225</v>
      </c>
      <c r="G31" s="160">
        <f t="shared" ref="G31:G33" si="29">F31-F30</f>
        <v>0</v>
      </c>
      <c r="H31" s="598">
        <f t="shared" si="14"/>
        <v>469522</v>
      </c>
      <c r="I31" s="161">
        <f t="shared" ref="I31:I33" si="30">H31-H30</f>
        <v>0</v>
      </c>
      <c r="J31" s="598">
        <f t="shared" si="14"/>
        <v>345221</v>
      </c>
      <c r="K31" s="162">
        <f t="shared" ref="K31:K33" si="31">J31-J30</f>
        <v>0</v>
      </c>
      <c r="L31" s="296">
        <f t="shared" ref="L31:L33" si="32">SUM(G31*$Y$28)/1507.5</f>
        <v>0</v>
      </c>
      <c r="M31" s="296">
        <f t="shared" ref="M31:M33" si="33">SUM(I31*$Y$27)/1507.5</f>
        <v>0</v>
      </c>
      <c r="N31" s="296">
        <f t="shared" ref="N31:N33" si="34">SUM(K31*$Y$26)/1507.5</f>
        <v>0</v>
      </c>
      <c r="O31" s="296">
        <f t="shared" si="8"/>
        <v>159.96313985627418</v>
      </c>
      <c r="P31" s="297">
        <f t="shared" ref="P31:P33" si="35">SUM(L31:O31)</f>
        <v>159.96313985627418</v>
      </c>
      <c r="Q31" s="297">
        <f>SUM(-tanks!AX33*tanks!$AU$36)</f>
        <v>0</v>
      </c>
      <c r="R31" s="297">
        <f t="shared" ref="R31:R33" si="36">SUM(P31:Q31)</f>
        <v>159.96313985627418</v>
      </c>
      <c r="S31" s="299">
        <f>SUM(ELEC!N30)</f>
        <v>0</v>
      </c>
      <c r="T31" s="336">
        <f t="shared" ref="T31:T33" si="37">IF(S31&gt;0,R31/S31,0)</f>
        <v>0</v>
      </c>
      <c r="V31" s="216"/>
      <c r="W31" s="552"/>
      <c r="X31" s="217"/>
      <c r="Y31" s="218"/>
      <c r="Z31" s="3"/>
      <c r="AA31" s="338"/>
      <c r="AB31" s="338"/>
      <c r="AC31" s="249"/>
    </row>
    <row r="32" spans="1:32" ht="20.100000000000001" customHeight="1">
      <c r="A32" s="163">
        <f>ELEC!C31</f>
        <v>44315</v>
      </c>
      <c r="B32" s="598">
        <f t="shared" si="13"/>
        <v>958969</v>
      </c>
      <c r="C32" s="264">
        <f t="shared" si="26"/>
        <v>0</v>
      </c>
      <c r="D32" s="308">
        <f t="shared" si="27"/>
        <v>0</v>
      </c>
      <c r="E32" s="308">
        <f t="shared" si="28"/>
        <v>958969</v>
      </c>
      <c r="F32" s="598">
        <f t="shared" si="14"/>
        <v>144225</v>
      </c>
      <c r="G32" s="160">
        <f t="shared" si="29"/>
        <v>0</v>
      </c>
      <c r="H32" s="598">
        <f t="shared" si="14"/>
        <v>469522</v>
      </c>
      <c r="I32" s="161">
        <f t="shared" si="30"/>
        <v>0</v>
      </c>
      <c r="J32" s="598">
        <f t="shared" si="14"/>
        <v>345221</v>
      </c>
      <c r="K32" s="162">
        <f t="shared" si="31"/>
        <v>0</v>
      </c>
      <c r="L32" s="296">
        <f t="shared" si="32"/>
        <v>0</v>
      </c>
      <c r="M32" s="296">
        <f t="shared" si="33"/>
        <v>0</v>
      </c>
      <c r="N32" s="296">
        <f t="shared" si="34"/>
        <v>0</v>
      </c>
      <c r="O32" s="296">
        <f t="shared" si="8"/>
        <v>159.96313985627418</v>
      </c>
      <c r="P32" s="297">
        <f t="shared" si="35"/>
        <v>159.96313985627418</v>
      </c>
      <c r="Q32" s="297">
        <f>SUM(-tanks!AX34*tanks!$AU$36)</f>
        <v>0</v>
      </c>
      <c r="R32" s="297">
        <f t="shared" si="36"/>
        <v>159.96313985627418</v>
      </c>
      <c r="S32" s="299">
        <f>SUM(ELEC!N31)</f>
        <v>0</v>
      </c>
      <c r="T32" s="336">
        <f t="shared" si="37"/>
        <v>0</v>
      </c>
      <c r="V32" s="216"/>
      <c r="W32" s="552"/>
      <c r="X32" s="217"/>
      <c r="Y32" s="218"/>
      <c r="Z32" s="3"/>
      <c r="AA32" s="338"/>
      <c r="AB32" s="338"/>
      <c r="AC32" s="249"/>
    </row>
    <row r="33" spans="1:32" ht="20.100000000000001" customHeight="1">
      <c r="A33" s="163">
        <f>ELEC!C32</f>
        <v>44316</v>
      </c>
      <c r="B33" s="598">
        <f t="shared" si="13"/>
        <v>958969</v>
      </c>
      <c r="C33" s="264">
        <f t="shared" si="26"/>
        <v>0</v>
      </c>
      <c r="D33" s="308">
        <f t="shared" si="27"/>
        <v>0</v>
      </c>
      <c r="E33" s="308">
        <f t="shared" si="28"/>
        <v>958969</v>
      </c>
      <c r="F33" s="598">
        <f t="shared" si="14"/>
        <v>144225</v>
      </c>
      <c r="G33" s="160">
        <f t="shared" si="29"/>
        <v>0</v>
      </c>
      <c r="H33" s="598">
        <f t="shared" si="14"/>
        <v>469522</v>
      </c>
      <c r="I33" s="161">
        <f t="shared" si="30"/>
        <v>0</v>
      </c>
      <c r="J33" s="598">
        <f t="shared" si="14"/>
        <v>345221</v>
      </c>
      <c r="K33" s="162">
        <f t="shared" si="31"/>
        <v>0</v>
      </c>
      <c r="L33" s="296">
        <f t="shared" si="32"/>
        <v>0</v>
      </c>
      <c r="M33" s="296">
        <f t="shared" si="33"/>
        <v>0</v>
      </c>
      <c r="N33" s="296">
        <f t="shared" si="34"/>
        <v>0</v>
      </c>
      <c r="O33" s="296">
        <f t="shared" si="8"/>
        <v>159.96313985627418</v>
      </c>
      <c r="P33" s="297">
        <f t="shared" si="35"/>
        <v>159.96313985627418</v>
      </c>
      <c r="Q33" s="297">
        <f>SUM(-tanks!AX35*tanks!$AU$36)</f>
        <v>0</v>
      </c>
      <c r="R33" s="297">
        <f t="shared" si="36"/>
        <v>159.96313985627418</v>
      </c>
      <c r="S33" s="299">
        <f>SUM(ELEC!N32)</f>
        <v>0</v>
      </c>
      <c r="T33" s="336">
        <f t="shared" si="37"/>
        <v>0</v>
      </c>
      <c r="V33" s="216" t="s">
        <v>317</v>
      </c>
      <c r="W33" s="600">
        <f>'Utility Cost '!B18</f>
        <v>49</v>
      </c>
      <c r="X33" s="222"/>
      <c r="Y33" s="260"/>
      <c r="Z33" s="3"/>
      <c r="AA33" s="3"/>
      <c r="AB33" s="541">
        <f>SUM(AB30+AC33)</f>
        <v>7517005</v>
      </c>
      <c r="AC33" s="249">
        <f>SUM(AC29)</f>
        <v>7234333</v>
      </c>
    </row>
    <row r="34" spans="1:32" ht="15.75" thickBot="1">
      <c r="A34" s="538">
        <f>A36-COUNTIF(C4:C33,0)</f>
        <v>3</v>
      </c>
      <c r="C34" s="173">
        <f>SUM(C4:C33)/A34</f>
        <v>771</v>
      </c>
      <c r="D34" s="173"/>
      <c r="E34" s="173"/>
      <c r="G34" s="173">
        <f>SUM(G4:G33)/A34</f>
        <v>87.333333333333329</v>
      </c>
      <c r="I34" s="173">
        <f>SUM(I4:I33)/A34</f>
        <v>362</v>
      </c>
      <c r="K34" s="173">
        <f>SUM(K4:K33)/A34</f>
        <v>321.66666666666669</v>
      </c>
      <c r="L34" s="173">
        <f>SUM(L33*1507.5)</f>
        <v>0</v>
      </c>
      <c r="M34" s="173">
        <f>SUM(M33*1507.5)</f>
        <v>0</v>
      </c>
      <c r="N34" s="173">
        <f>SUM(N33*1507.5)</f>
        <v>0</v>
      </c>
      <c r="O34" s="173">
        <f>SUM(O33*1507.5)</f>
        <v>241144.43333333332</v>
      </c>
      <c r="P34" s="173"/>
      <c r="Q34" s="173"/>
      <c r="R34" s="173"/>
      <c r="S34" s="300"/>
      <c r="V34" s="228"/>
      <c r="W34" s="229"/>
      <c r="X34" s="229"/>
      <c r="Y34" s="229"/>
      <c r="Z34" s="3"/>
      <c r="AA34" s="45"/>
      <c r="AB34" s="291"/>
      <c r="AC34" s="572"/>
      <c r="AD34" s="82">
        <f>AC33/1507</f>
        <v>4800.4863968148638</v>
      </c>
    </row>
    <row r="35" spans="1:32" ht="15.75" thickBot="1">
      <c r="A35" s="210"/>
      <c r="C35" s="212">
        <f>SUM(G35:K35)</f>
        <v>1</v>
      </c>
      <c r="G35" s="225">
        <f>IF(C34&gt;0,G34/C34,0)</f>
        <v>0.11327280587980977</v>
      </c>
      <c r="H35" s="212"/>
      <c r="I35" s="225">
        <f>SUM(I34/C34)</f>
        <v>0.46952010376134889</v>
      </c>
      <c r="J35" s="212"/>
      <c r="K35" s="225">
        <f>SUM(K34/C34)</f>
        <v>0.41720709035884135</v>
      </c>
      <c r="L35" s="225"/>
      <c r="M35" s="225"/>
      <c r="N35" s="225"/>
      <c r="O35" s="225"/>
      <c r="P35" s="225"/>
      <c r="Q35" s="225"/>
      <c r="R35" s="225"/>
      <c r="S35" s="301"/>
      <c r="V35" s="228"/>
      <c r="W35" s="229"/>
      <c r="X35" s="229"/>
      <c r="Y35" s="229"/>
      <c r="Z35" s="229"/>
      <c r="AA35" s="229" t="s">
        <v>215</v>
      </c>
      <c r="AB35" s="573">
        <f>SUM(AB33/1507.5)</f>
        <v>4986.4046434494194</v>
      </c>
      <c r="AC35" s="574"/>
    </row>
    <row r="36" spans="1:32" ht="15.75" thickBot="1">
      <c r="A36">
        <v>30</v>
      </c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V36" s="275"/>
      <c r="W36" s="219"/>
      <c r="X36" s="219"/>
      <c r="Y36" s="220"/>
      <c r="Z36" s="569"/>
      <c r="AA36" s="569"/>
      <c r="AB36" s="570"/>
      <c r="AC36" s="571"/>
    </row>
    <row r="37" spans="1:32">
      <c r="V37" s="217"/>
      <c r="W37" s="82"/>
      <c r="Z37" s="40"/>
      <c r="AA37" s="292"/>
      <c r="AB37" s="294">
        <f>SUM(AB35)</f>
        <v>4986.4046434494194</v>
      </c>
    </row>
    <row r="38" spans="1:32">
      <c r="V38" s="217"/>
      <c r="W38" s="82"/>
      <c r="X38" s="542"/>
      <c r="Z38" s="294"/>
      <c r="AA38" s="293"/>
      <c r="AB38" s="293"/>
    </row>
    <row r="39" spans="1:32">
      <c r="V39" s="17"/>
      <c r="W39" s="82"/>
      <c r="X39" s="542"/>
      <c r="Y39" s="82"/>
      <c r="Z39" s="294"/>
      <c r="AA39" s="101"/>
      <c r="AB39" s="348"/>
    </row>
    <row r="40" spans="1:32" ht="18.75">
      <c r="W40" s="82"/>
      <c r="Z40" s="276"/>
      <c r="AA40" s="293"/>
      <c r="AB40" s="347"/>
    </row>
    <row r="41" spans="1:32">
      <c r="D41" s="519"/>
      <c r="E41" s="519"/>
      <c r="F41" s="519"/>
      <c r="W41" s="82"/>
      <c r="Z41" s="295"/>
    </row>
    <row r="42" spans="1:32">
      <c r="Z42" s="293"/>
    </row>
    <row r="43" spans="1:32"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spans="1:32">
      <c r="V44" s="543"/>
      <c r="W44" s="544"/>
      <c r="X44" s="17"/>
      <c r="Y44" s="17"/>
      <c r="Z44" s="545"/>
      <c r="AA44" s="17"/>
      <c r="AB44" s="672"/>
      <c r="AC44" s="672"/>
      <c r="AD44" s="17"/>
      <c r="AE44" s="17"/>
      <c r="AF44" s="17"/>
    </row>
    <row r="45" spans="1:32">
      <c r="V45" s="672"/>
      <c r="W45" s="672"/>
      <c r="X45" s="672"/>
      <c r="Y45" s="672"/>
      <c r="Z45" s="545"/>
      <c r="AA45" s="545"/>
      <c r="AB45" s="672"/>
      <c r="AC45" s="672"/>
      <c r="AD45" s="17"/>
      <c r="AE45" s="17"/>
      <c r="AF45" s="17"/>
    </row>
    <row r="46" spans="1:32">
      <c r="V46" s="672"/>
      <c r="W46" s="672"/>
      <c r="X46" s="672"/>
      <c r="Y46" s="672"/>
      <c r="Z46" s="672"/>
      <c r="AA46" s="672"/>
      <c r="AB46" s="672"/>
      <c r="AC46" s="672"/>
      <c r="AD46" s="17"/>
      <c r="AE46" s="17"/>
      <c r="AF46" s="17"/>
    </row>
    <row r="47" spans="1:32">
      <c r="V47" s="673"/>
      <c r="W47" s="673"/>
      <c r="X47" s="674"/>
      <c r="Y47" s="674"/>
      <c r="Z47" s="674"/>
      <c r="AA47" s="546"/>
      <c r="AB47" s="672"/>
      <c r="AC47" s="672"/>
      <c r="AD47" s="17"/>
      <c r="AE47" s="17"/>
      <c r="AF47" s="17"/>
    </row>
    <row r="48" spans="1:32">
      <c r="V48" s="543"/>
      <c r="W48" s="543"/>
      <c r="X48" s="543"/>
      <c r="Y48" s="543"/>
      <c r="Z48" s="543"/>
      <c r="AA48" s="543"/>
      <c r="AB48" s="543"/>
      <c r="AC48" s="547"/>
      <c r="AD48" s="17"/>
      <c r="AE48" s="17"/>
      <c r="AF48" s="17"/>
    </row>
    <row r="49" spans="22:32">
      <c r="V49" s="546"/>
      <c r="W49" s="546"/>
      <c r="X49" s="548"/>
      <c r="Y49" s="548"/>
      <c r="Z49" s="548"/>
      <c r="AA49" s="73"/>
      <c r="AB49" s="73"/>
      <c r="AC49" s="73"/>
      <c r="AD49" s="549"/>
      <c r="AE49" s="17"/>
      <c r="AF49" s="17"/>
    </row>
    <row r="50" spans="22:32">
      <c r="V50" s="546"/>
      <c r="W50" s="546"/>
      <c r="X50" s="548"/>
      <c r="Y50" s="548"/>
      <c r="Z50" s="548"/>
      <c r="AA50" s="73"/>
      <c r="AB50" s="73"/>
      <c r="AC50" s="73"/>
      <c r="AD50" s="549"/>
      <c r="AE50" s="17"/>
      <c r="AF50" s="17"/>
    </row>
    <row r="51" spans="22:32">
      <c r="V51" s="546"/>
      <c r="W51" s="546"/>
      <c r="X51" s="548"/>
      <c r="Y51" s="548"/>
      <c r="Z51" s="548"/>
      <c r="AA51" s="73"/>
      <c r="AB51" s="73"/>
      <c r="AC51" s="73"/>
      <c r="AD51" s="549"/>
      <c r="AE51" s="550"/>
      <c r="AF51" s="551"/>
    </row>
    <row r="52" spans="22:32">
      <c r="V52" s="217"/>
      <c r="W52" s="217"/>
      <c r="X52" s="217"/>
      <c r="Y52" s="217"/>
      <c r="Z52" s="17"/>
      <c r="AA52" s="73"/>
      <c r="AB52" s="73"/>
      <c r="AC52" s="73"/>
      <c r="AD52" s="17"/>
      <c r="AE52" s="17"/>
      <c r="AF52" s="17"/>
    </row>
    <row r="53" spans="22:32">
      <c r="V53" s="217"/>
      <c r="W53" s="552"/>
      <c r="X53" s="217"/>
      <c r="Y53" s="217"/>
      <c r="Z53" s="17"/>
      <c r="AA53" s="73"/>
      <c r="AB53" s="267"/>
      <c r="AC53" s="73"/>
      <c r="AD53" s="17"/>
      <c r="AE53" s="17"/>
      <c r="AF53" s="17"/>
    </row>
    <row r="54" spans="22:32">
      <c r="V54" s="217"/>
      <c r="W54" s="217"/>
      <c r="X54" s="222"/>
      <c r="Y54" s="553"/>
      <c r="Z54" s="17"/>
      <c r="AA54" s="17"/>
      <c r="AB54" s="73"/>
      <c r="AC54" s="73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17"/>
      <c r="W58" s="17"/>
      <c r="X58" s="17"/>
      <c r="Y58" s="17"/>
      <c r="Z58" s="17"/>
      <c r="AA58" s="554"/>
      <c r="AB58" s="555"/>
      <c r="AC58" s="556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7"/>
      <c r="AB59" s="555"/>
      <c r="AC59" s="556"/>
      <c r="AD59" s="17"/>
      <c r="AE59" s="17"/>
      <c r="AF59" s="17"/>
    </row>
    <row r="60" spans="22:32">
      <c r="V60" s="17"/>
      <c r="W60" s="17"/>
      <c r="X60" s="17"/>
      <c r="Y60" s="17"/>
      <c r="Z60" s="17"/>
      <c r="AA60" s="17"/>
      <c r="AB60" s="555"/>
      <c r="AC60" s="556"/>
      <c r="AD60" s="17"/>
      <c r="AE60" s="17"/>
      <c r="AF60" s="17"/>
    </row>
    <row r="61" spans="22:32">
      <c r="V61" s="217"/>
      <c r="W61" s="217"/>
      <c r="X61" s="217"/>
      <c r="Y61" s="217"/>
      <c r="Z61" s="17"/>
      <c r="AA61" s="17"/>
      <c r="AB61" s="558"/>
      <c r="AC61" s="17"/>
      <c r="AD61" s="17"/>
      <c r="AE61" s="17"/>
      <c r="AF61" s="17"/>
    </row>
    <row r="62" spans="22:32">
      <c r="V62" s="217"/>
      <c r="W62" s="551"/>
      <c r="X62" s="17"/>
      <c r="Y62" s="17"/>
      <c r="Z62" s="550"/>
      <c r="AA62" s="559"/>
      <c r="AB62" s="548"/>
      <c r="AC62" s="17"/>
      <c r="AD62" s="17"/>
      <c r="AE62" s="17"/>
      <c r="AF62" s="17"/>
    </row>
    <row r="63" spans="22:32">
      <c r="V63" s="217"/>
      <c r="W63" s="551"/>
      <c r="X63" s="17"/>
      <c r="Y63" s="17"/>
      <c r="Z63" s="422"/>
      <c r="AA63" s="548"/>
      <c r="AB63" s="548"/>
      <c r="AC63" s="17"/>
      <c r="AD63" s="17"/>
      <c r="AE63" s="17"/>
      <c r="AF63" s="17"/>
    </row>
    <row r="64" spans="22:32">
      <c r="V64" s="17"/>
      <c r="W64" s="551"/>
      <c r="X64" s="17"/>
      <c r="Y64" s="551"/>
      <c r="Z64" s="422"/>
      <c r="AA64" s="548"/>
      <c r="AB64" s="560"/>
      <c r="AC64" s="17"/>
      <c r="AD64" s="17"/>
      <c r="AE64" s="17"/>
      <c r="AF64" s="17"/>
    </row>
    <row r="65" spans="22:32" ht="18.75">
      <c r="V65" s="17"/>
      <c r="W65" s="551"/>
      <c r="X65" s="17"/>
      <c r="Y65" s="17"/>
      <c r="Z65" s="561"/>
      <c r="AA65" s="548"/>
      <c r="AB65" s="562"/>
      <c r="AC65" s="17"/>
      <c r="AD65" s="17"/>
      <c r="AE65" s="17"/>
      <c r="AF65" s="17"/>
    </row>
    <row r="66" spans="22:32">
      <c r="V66" s="17"/>
      <c r="W66" s="551"/>
      <c r="X66" s="17"/>
      <c r="Y66" s="17"/>
      <c r="Z66" s="73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548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</sheetData>
  <mergeCells count="14">
    <mergeCell ref="AB44:AC47"/>
    <mergeCell ref="V45:Y46"/>
    <mergeCell ref="Z46:AA46"/>
    <mergeCell ref="V47:W47"/>
    <mergeCell ref="X47:Z47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5"/>
  <sheetViews>
    <sheetView zoomScale="70" zoomScaleNormal="70" workbookViewId="0">
      <pane ySplit="1" topLeftCell="A3" activePane="bottomLeft" state="frozen"/>
      <selection pane="bottomLeft" activeCell="I8" sqref="I8"/>
    </sheetView>
  </sheetViews>
  <sheetFormatPr defaultRowHeight="15"/>
  <cols>
    <col min="1" max="1" width="13.5703125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75" t="s">
        <v>51</v>
      </c>
      <c r="B1" s="687" t="s">
        <v>318</v>
      </c>
      <c r="C1" s="688"/>
      <c r="D1" s="690"/>
      <c r="E1" s="687" t="s">
        <v>319</v>
      </c>
      <c r="F1" s="688"/>
      <c r="G1" s="689"/>
      <c r="H1" s="684" t="s">
        <v>324</v>
      </c>
      <c r="I1" s="681" t="s">
        <v>325</v>
      </c>
      <c r="J1" s="678" t="s">
        <v>43</v>
      </c>
    </row>
    <row r="2" spans="1:18" ht="38.25" thickBot="1">
      <c r="A2" s="676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5"/>
      <c r="I2" s="682"/>
      <c r="J2" s="679"/>
    </row>
    <row r="3" spans="1:18" ht="24" customHeight="1" thickBot="1">
      <c r="A3" s="677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6"/>
      <c r="I3" s="683"/>
      <c r="J3" s="680"/>
    </row>
    <row r="4" spans="1:18" ht="19.5" thickBot="1">
      <c r="A4" s="243"/>
      <c r="B4" s="508"/>
      <c r="C4" s="508"/>
      <c r="D4" s="508"/>
      <c r="E4" s="508"/>
      <c r="F4" s="508"/>
      <c r="G4" s="508"/>
      <c r="H4" s="579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44286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v>6730</v>
      </c>
      <c r="I5" s="45">
        <f>'[11]Swimming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44286</v>
      </c>
      <c r="M5" s="509">
        <v>6541</v>
      </c>
      <c r="N5" s="509">
        <f>'[8]Swimming Pool quality check '!N36</f>
        <v>642</v>
      </c>
      <c r="O5" s="509">
        <f>'[8]Swimming Pool quality check '!O36</f>
        <v>6836</v>
      </c>
    </row>
    <row r="6" spans="1:18" ht="15.75" customHeight="1" thickBot="1">
      <c r="A6" s="240">
        <f>ELEC!C3</f>
        <v>44287</v>
      </c>
      <c r="B6" s="254">
        <v>1.4</v>
      </c>
      <c r="C6" s="591">
        <v>7.4</v>
      </c>
      <c r="D6" s="170"/>
      <c r="E6" s="170">
        <v>1</v>
      </c>
      <c r="F6" s="170">
        <v>7.8</v>
      </c>
      <c r="G6" s="582"/>
      <c r="H6" s="583">
        <v>6733</v>
      </c>
      <c r="I6" s="509">
        <f>H6-H5</f>
        <v>3</v>
      </c>
      <c r="J6" s="487">
        <v>0.29166666666666669</v>
      </c>
      <c r="L6" s="99">
        <f t="shared" ref="L6:L33" si="0">A6</f>
        <v>44287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44288</v>
      </c>
      <c r="B7" s="254">
        <v>1.5</v>
      </c>
      <c r="C7" s="591">
        <v>7.8</v>
      </c>
      <c r="D7" s="170"/>
      <c r="E7" s="170">
        <v>1</v>
      </c>
      <c r="F7" s="170">
        <v>7.4</v>
      </c>
      <c r="G7" s="170"/>
      <c r="H7" s="583">
        <f t="shared" ref="H7:H35" si="2">H6</f>
        <v>6733</v>
      </c>
      <c r="I7" s="509">
        <f>H7-H6</f>
        <v>0</v>
      </c>
      <c r="J7" s="488">
        <v>0.29166666666666669</v>
      </c>
      <c r="L7" s="99">
        <f t="shared" si="0"/>
        <v>44288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44289</v>
      </c>
      <c r="B8" s="537">
        <v>1.5</v>
      </c>
      <c r="C8" s="591">
        <v>7.8</v>
      </c>
      <c r="D8" s="591"/>
      <c r="E8" s="591">
        <v>1</v>
      </c>
      <c r="F8" s="591">
        <v>8</v>
      </c>
      <c r="G8" s="583"/>
      <c r="H8" s="583">
        <v>6734</v>
      </c>
      <c r="I8" s="509">
        <f t="shared" ref="I8:I33" si="3">H8-H7</f>
        <v>1</v>
      </c>
      <c r="J8" s="488">
        <v>0.29166666666666669</v>
      </c>
      <c r="L8" s="99">
        <f t="shared" si="0"/>
        <v>44289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44290</v>
      </c>
      <c r="B9" s="254"/>
      <c r="C9" s="591"/>
      <c r="D9" s="170"/>
      <c r="E9" s="170"/>
      <c r="F9" s="170"/>
      <c r="G9" s="45"/>
      <c r="H9" s="583">
        <f t="shared" si="2"/>
        <v>6734</v>
      </c>
      <c r="I9" s="509">
        <f t="shared" si="3"/>
        <v>0</v>
      </c>
      <c r="J9" s="488">
        <v>0.25</v>
      </c>
      <c r="L9" s="99">
        <f t="shared" si="0"/>
        <v>44290</v>
      </c>
      <c r="M9" s="3">
        <f t="shared" ref="M9:M35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44291</v>
      </c>
      <c r="B10" s="254"/>
      <c r="C10" s="592"/>
      <c r="D10" s="170"/>
      <c r="E10" s="170"/>
      <c r="F10" s="170"/>
      <c r="G10" s="578"/>
      <c r="H10" s="583">
        <f t="shared" si="2"/>
        <v>6734</v>
      </c>
      <c r="I10" s="509">
        <f t="shared" si="3"/>
        <v>0</v>
      </c>
      <c r="J10" s="488">
        <v>0.29166666666666669</v>
      </c>
      <c r="L10" s="99">
        <f t="shared" si="0"/>
        <v>44291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44292</v>
      </c>
      <c r="B11" s="537"/>
      <c r="C11" s="537"/>
      <c r="D11" s="537"/>
      <c r="E11" s="537"/>
      <c r="F11" s="537"/>
      <c r="G11" s="537"/>
      <c r="H11" s="583">
        <f t="shared" si="2"/>
        <v>6734</v>
      </c>
      <c r="I11" s="509">
        <f t="shared" si="3"/>
        <v>0</v>
      </c>
      <c r="J11" s="488">
        <v>0.29166666666666669</v>
      </c>
      <c r="L11" s="99">
        <f t="shared" si="0"/>
        <v>44292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44293</v>
      </c>
      <c r="B12" s="537"/>
      <c r="C12" s="537"/>
      <c r="D12" s="537"/>
      <c r="E12" s="537"/>
      <c r="F12" s="537"/>
      <c r="G12" s="537"/>
      <c r="H12" s="583">
        <f t="shared" si="2"/>
        <v>6734</v>
      </c>
      <c r="I12" s="509">
        <f t="shared" si="3"/>
        <v>0</v>
      </c>
      <c r="J12" s="488">
        <v>0.29166666666666669</v>
      </c>
      <c r="L12" s="99">
        <f t="shared" si="0"/>
        <v>44293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44294</v>
      </c>
      <c r="B13" s="537"/>
      <c r="C13" s="537"/>
      <c r="D13" s="537"/>
      <c r="E13" s="537"/>
      <c r="F13" s="537"/>
      <c r="G13" s="537"/>
      <c r="H13" s="583">
        <f t="shared" si="2"/>
        <v>6734</v>
      </c>
      <c r="I13" s="509">
        <f t="shared" si="3"/>
        <v>0</v>
      </c>
      <c r="J13" s="488">
        <v>0.29166666666666669</v>
      </c>
      <c r="L13" s="99">
        <f t="shared" si="0"/>
        <v>44294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44295</v>
      </c>
      <c r="B14" s="537"/>
      <c r="C14" s="591"/>
      <c r="D14" s="170"/>
      <c r="E14" s="170"/>
      <c r="F14" s="170"/>
      <c r="G14" s="170"/>
      <c r="H14" s="583">
        <f t="shared" si="2"/>
        <v>6734</v>
      </c>
      <c r="I14" s="509">
        <f t="shared" si="3"/>
        <v>0</v>
      </c>
      <c r="J14" s="488">
        <v>0.29166666666666669</v>
      </c>
      <c r="L14" s="99">
        <f t="shared" si="0"/>
        <v>44295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44296</v>
      </c>
      <c r="B15" s="537"/>
      <c r="C15" s="591"/>
      <c r="D15" s="591"/>
      <c r="E15" s="591"/>
      <c r="F15" s="591"/>
      <c r="G15" s="581"/>
      <c r="H15" s="583">
        <f t="shared" si="2"/>
        <v>6734</v>
      </c>
      <c r="I15" s="509">
        <f t="shared" si="3"/>
        <v>0</v>
      </c>
      <c r="J15" s="488">
        <v>0.29166666666666669</v>
      </c>
      <c r="L15" s="99">
        <f t="shared" si="0"/>
        <v>44296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44297</v>
      </c>
      <c r="B16" s="537"/>
      <c r="C16" s="591"/>
      <c r="D16" s="591"/>
      <c r="E16" s="591"/>
      <c r="F16" s="591"/>
      <c r="G16" s="581"/>
      <c r="H16" s="583">
        <f t="shared" si="2"/>
        <v>6734</v>
      </c>
      <c r="I16" s="509">
        <f t="shared" si="3"/>
        <v>0</v>
      </c>
      <c r="J16" s="488">
        <v>0.29166666666666669</v>
      </c>
      <c r="L16" s="99">
        <f t="shared" si="0"/>
        <v>44297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44298</v>
      </c>
      <c r="B17" s="537"/>
      <c r="C17" s="537"/>
      <c r="D17" s="537"/>
      <c r="E17" s="537"/>
      <c r="F17" s="537"/>
      <c r="G17" s="537"/>
      <c r="H17" s="583">
        <f t="shared" si="2"/>
        <v>6734</v>
      </c>
      <c r="I17" s="509">
        <f t="shared" si="3"/>
        <v>0</v>
      </c>
      <c r="J17" s="488">
        <v>0.29166666666666669</v>
      </c>
      <c r="L17" s="99">
        <f t="shared" si="0"/>
        <v>44298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44299</v>
      </c>
      <c r="B18" s="537"/>
      <c r="C18" s="591"/>
      <c r="D18" s="170"/>
      <c r="E18" s="170"/>
      <c r="F18" s="170"/>
      <c r="G18" s="537"/>
      <c r="H18" s="583">
        <f t="shared" si="2"/>
        <v>6734</v>
      </c>
      <c r="I18" s="509">
        <f t="shared" si="3"/>
        <v>0</v>
      </c>
      <c r="J18" s="488">
        <v>0.29166666666666669</v>
      </c>
      <c r="L18" s="99">
        <f t="shared" si="0"/>
        <v>44299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44300</v>
      </c>
      <c r="B19" s="537"/>
      <c r="C19" s="591"/>
      <c r="D19" s="170"/>
      <c r="E19" s="170"/>
      <c r="F19" s="170"/>
      <c r="G19" s="537"/>
      <c r="H19" s="583">
        <f t="shared" si="2"/>
        <v>6734</v>
      </c>
      <c r="I19" s="509">
        <f t="shared" si="3"/>
        <v>0</v>
      </c>
      <c r="J19" s="488">
        <v>0.29166666666666669</v>
      </c>
      <c r="L19" s="99">
        <f t="shared" si="0"/>
        <v>44300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44301</v>
      </c>
      <c r="B20" s="537"/>
      <c r="C20" s="537"/>
      <c r="D20" s="537"/>
      <c r="E20" s="537"/>
      <c r="F20" s="537"/>
      <c r="G20" s="537"/>
      <c r="H20" s="583">
        <f t="shared" si="2"/>
        <v>6734</v>
      </c>
      <c r="I20" s="509">
        <f t="shared" si="3"/>
        <v>0</v>
      </c>
      <c r="J20" s="488">
        <v>0.29166666666666669</v>
      </c>
      <c r="L20" s="99">
        <f t="shared" si="0"/>
        <v>44301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44302</v>
      </c>
      <c r="B21" s="537"/>
      <c r="C21" s="591"/>
      <c r="D21" s="170"/>
      <c r="E21" s="170"/>
      <c r="F21" s="170"/>
      <c r="G21" s="537"/>
      <c r="H21" s="583">
        <f t="shared" si="2"/>
        <v>6734</v>
      </c>
      <c r="I21" s="509">
        <f t="shared" si="3"/>
        <v>0</v>
      </c>
      <c r="J21" s="576" t="s">
        <v>415</v>
      </c>
      <c r="L21" s="99">
        <f t="shared" si="0"/>
        <v>44302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44303</v>
      </c>
      <c r="B22" s="537"/>
      <c r="C22" s="537"/>
      <c r="D22" s="537"/>
      <c r="E22" s="537"/>
      <c r="F22" s="537"/>
      <c r="G22" s="537"/>
      <c r="H22" s="583">
        <f t="shared" si="2"/>
        <v>6734</v>
      </c>
      <c r="I22" s="509">
        <f t="shared" si="3"/>
        <v>0</v>
      </c>
      <c r="J22" s="488">
        <v>0.29166666666666669</v>
      </c>
      <c r="L22" s="99">
        <f t="shared" si="0"/>
        <v>44303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44304</v>
      </c>
      <c r="B23" s="537"/>
      <c r="C23" s="537"/>
      <c r="D23" s="537"/>
      <c r="E23" s="537"/>
      <c r="F23" s="537"/>
      <c r="G23" s="537"/>
      <c r="H23" s="583">
        <f t="shared" si="2"/>
        <v>6734</v>
      </c>
      <c r="I23" s="509">
        <f t="shared" si="3"/>
        <v>0</v>
      </c>
      <c r="J23" s="488">
        <v>0.29166666666666669</v>
      </c>
      <c r="L23" s="99">
        <f t="shared" si="0"/>
        <v>44304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44305</v>
      </c>
      <c r="B24" s="537"/>
      <c r="C24" s="591"/>
      <c r="D24" s="170"/>
      <c r="E24" s="170"/>
      <c r="F24" s="170"/>
      <c r="G24" s="170"/>
      <c r="H24" s="583">
        <f t="shared" si="2"/>
        <v>6734</v>
      </c>
      <c r="I24" s="509">
        <f t="shared" si="3"/>
        <v>0</v>
      </c>
      <c r="J24" s="488">
        <v>0.29166666666666702</v>
      </c>
      <c r="L24" s="99">
        <f t="shared" si="0"/>
        <v>44305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44306</v>
      </c>
      <c r="B25" s="577"/>
      <c r="C25" s="591"/>
      <c r="D25" s="170"/>
      <c r="E25" s="170"/>
      <c r="F25" s="170"/>
      <c r="G25" s="170"/>
      <c r="H25" s="583">
        <f t="shared" si="2"/>
        <v>6734</v>
      </c>
      <c r="I25" s="509">
        <f t="shared" si="3"/>
        <v>0</v>
      </c>
      <c r="J25" s="488">
        <v>0.29166666666666702</v>
      </c>
      <c r="L25" s="99">
        <f t="shared" si="0"/>
        <v>44306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44307</v>
      </c>
      <c r="B26" s="254"/>
      <c r="C26" s="595"/>
      <c r="D26" s="170"/>
      <c r="E26" s="537"/>
      <c r="F26" s="595"/>
      <c r="G26" s="170"/>
      <c r="H26" s="583">
        <f t="shared" si="2"/>
        <v>6734</v>
      </c>
      <c r="I26" s="509">
        <f t="shared" si="3"/>
        <v>0</v>
      </c>
      <c r="J26" s="488">
        <v>0.29166666666666702</v>
      </c>
      <c r="L26" s="99">
        <f t="shared" si="0"/>
        <v>44307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44308</v>
      </c>
      <c r="B27" s="170"/>
      <c r="C27" s="170"/>
      <c r="D27" s="170"/>
      <c r="E27" s="170"/>
      <c r="F27" s="170"/>
      <c r="G27" s="170"/>
      <c r="H27" s="583">
        <f t="shared" si="2"/>
        <v>6734</v>
      </c>
      <c r="I27" s="509">
        <f t="shared" si="3"/>
        <v>0</v>
      </c>
      <c r="J27" s="488">
        <v>0.29166666666666702</v>
      </c>
      <c r="L27" s="99">
        <f t="shared" si="0"/>
        <v>44308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44309</v>
      </c>
      <c r="B28" s="254"/>
      <c r="C28" s="596"/>
      <c r="D28" s="170"/>
      <c r="E28" s="537"/>
      <c r="F28" s="596"/>
      <c r="G28" s="170"/>
      <c r="H28" s="583">
        <f t="shared" si="2"/>
        <v>6734</v>
      </c>
      <c r="I28" s="509">
        <f t="shared" si="3"/>
        <v>0</v>
      </c>
      <c r="J28" s="489">
        <v>0.29166666666666702</v>
      </c>
      <c r="L28" s="99">
        <f t="shared" si="0"/>
        <v>44309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44310</v>
      </c>
      <c r="B29" s="537"/>
      <c r="C29" s="537"/>
      <c r="D29" s="537"/>
      <c r="E29" s="170"/>
      <c r="F29" s="170"/>
      <c r="G29" s="537"/>
      <c r="H29" s="583">
        <f t="shared" si="2"/>
        <v>6734</v>
      </c>
      <c r="I29" s="509">
        <f t="shared" si="3"/>
        <v>0</v>
      </c>
      <c r="J29" s="488">
        <v>0.29166666666666702</v>
      </c>
      <c r="L29" s="99">
        <f t="shared" si="0"/>
        <v>44310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44311</v>
      </c>
      <c r="B30" s="170"/>
      <c r="C30" s="170"/>
      <c r="D30" s="170"/>
      <c r="E30" s="170"/>
      <c r="F30" s="170"/>
      <c r="G30" s="170"/>
      <c r="H30" s="583">
        <f t="shared" si="2"/>
        <v>6734</v>
      </c>
      <c r="I30" s="509">
        <f t="shared" si="3"/>
        <v>0</v>
      </c>
      <c r="J30" s="488">
        <v>0.29166666666666702</v>
      </c>
      <c r="L30" s="99">
        <f t="shared" si="0"/>
        <v>44311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44312</v>
      </c>
      <c r="B31" s="254"/>
      <c r="C31" s="591"/>
      <c r="D31" s="170"/>
      <c r="E31" s="170"/>
      <c r="F31" s="170"/>
      <c r="G31" s="170"/>
      <c r="H31" s="583">
        <f t="shared" si="2"/>
        <v>6734</v>
      </c>
      <c r="I31" s="509">
        <f t="shared" si="3"/>
        <v>0</v>
      </c>
      <c r="J31" s="488">
        <v>0.29166666666666702</v>
      </c>
      <c r="L31" s="99">
        <f t="shared" si="0"/>
        <v>44312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44313</v>
      </c>
      <c r="B32" s="170"/>
      <c r="C32" s="170"/>
      <c r="D32" s="170"/>
      <c r="E32" s="170"/>
      <c r="F32" s="170"/>
      <c r="G32" s="509"/>
      <c r="H32" s="583">
        <f t="shared" si="2"/>
        <v>6734</v>
      </c>
      <c r="I32" s="509">
        <f t="shared" si="3"/>
        <v>0</v>
      </c>
      <c r="J32" s="488">
        <v>0.29166666666666702</v>
      </c>
      <c r="L32" s="99">
        <f t="shared" si="0"/>
        <v>44313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44314</v>
      </c>
      <c r="B33" s="170"/>
      <c r="C33" s="170"/>
      <c r="D33" s="170"/>
      <c r="E33" s="170"/>
      <c r="F33" s="170"/>
      <c r="G33" s="509"/>
      <c r="H33" s="583">
        <f t="shared" si="2"/>
        <v>6734</v>
      </c>
      <c r="I33" s="509">
        <f t="shared" si="3"/>
        <v>0</v>
      </c>
      <c r="J33" s="488">
        <v>0.29166666666666702</v>
      </c>
      <c r="L33" s="99">
        <f t="shared" si="0"/>
        <v>44314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44315</v>
      </c>
      <c r="B34" s="170"/>
      <c r="C34" s="170"/>
      <c r="D34" s="170"/>
      <c r="E34" s="170"/>
      <c r="F34" s="170"/>
      <c r="G34" s="509"/>
      <c r="H34" s="583">
        <f t="shared" si="2"/>
        <v>6734</v>
      </c>
      <c r="I34" s="509">
        <f t="shared" ref="I34:I35" si="5">H34-H33</f>
        <v>0</v>
      </c>
      <c r="J34" s="488">
        <v>0.33333333333333398</v>
      </c>
      <c r="L34" s="99">
        <f t="shared" ref="L34:L35" si="6">A34</f>
        <v>44315</v>
      </c>
      <c r="M34" s="3">
        <f t="shared" si="4"/>
        <v>6555</v>
      </c>
      <c r="N34" s="509">
        <v>646</v>
      </c>
      <c r="O34" s="509">
        <f t="shared" ref="O34:O35" si="7">M34+N34</f>
        <v>7201</v>
      </c>
    </row>
    <row r="35" spans="1:15">
      <c r="A35" s="240">
        <f>ELEC!C32</f>
        <v>44316</v>
      </c>
      <c r="B35" s="170"/>
      <c r="C35" s="170"/>
      <c r="D35" s="170"/>
      <c r="E35" s="170"/>
      <c r="F35" s="170"/>
      <c r="G35" s="509"/>
      <c r="H35" s="583">
        <f t="shared" si="2"/>
        <v>6734</v>
      </c>
      <c r="I35" s="509">
        <f t="shared" si="5"/>
        <v>0</v>
      </c>
      <c r="J35" s="488">
        <v>0.375</v>
      </c>
      <c r="L35" s="99">
        <f t="shared" si="6"/>
        <v>44316</v>
      </c>
      <c r="M35" s="3">
        <f t="shared" si="4"/>
        <v>6555</v>
      </c>
      <c r="N35" s="509">
        <v>647</v>
      </c>
      <c r="O35" s="509">
        <f t="shared" si="7"/>
        <v>7202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7" zoomScale="80" zoomScaleNormal="80" workbookViewId="0">
      <selection activeCell="R25" sqref="R25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2" t="s">
        <v>161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2"/>
      <c r="T1" s="702"/>
      <c r="U1" s="702"/>
      <c r="V1" s="702"/>
      <c r="W1" s="702"/>
      <c r="X1" s="702"/>
    </row>
    <row r="2" spans="1:28" ht="19.5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  <c r="R2" s="703"/>
      <c r="S2" s="703"/>
      <c r="T2" s="703"/>
      <c r="U2" s="703"/>
      <c r="V2" s="703"/>
      <c r="W2" s="703"/>
      <c r="X2" s="703"/>
    </row>
    <row r="3" spans="1:28" ht="19.5">
      <c r="A3" s="703" t="s">
        <v>162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3" t="s">
        <v>409</v>
      </c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</row>
    <row r="6" spans="1:28" ht="15.75" thickBot="1">
      <c r="A6" s="704"/>
      <c r="B6" s="704"/>
      <c r="C6" s="704"/>
      <c r="D6" s="704"/>
      <c r="E6" s="704"/>
      <c r="F6" s="704"/>
      <c r="G6" s="704"/>
      <c r="H6" s="704"/>
      <c r="I6" s="704"/>
      <c r="J6" s="704"/>
      <c r="K6" s="704"/>
      <c r="L6" s="704"/>
      <c r="M6" s="704"/>
      <c r="N6" s="704"/>
      <c r="O6" s="704"/>
      <c r="P6" s="704"/>
      <c r="Q6" s="704"/>
      <c r="R6" s="704"/>
      <c r="S6" s="704"/>
      <c r="T6" s="704"/>
      <c r="U6" s="704"/>
      <c r="V6" s="704"/>
      <c r="W6" s="704"/>
      <c r="X6" s="704"/>
    </row>
    <row r="7" spans="1:28" ht="15.75" thickBot="1">
      <c r="A7" s="692" t="s">
        <v>163</v>
      </c>
      <c r="B7" s="693"/>
      <c r="C7" s="694" t="s">
        <v>164</v>
      </c>
      <c r="D7" s="695"/>
      <c r="E7" s="695"/>
      <c r="F7" s="695"/>
      <c r="G7" s="695"/>
      <c r="H7" s="695"/>
      <c r="I7" s="695"/>
      <c r="J7" s="695"/>
      <c r="K7" s="69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'[3]Degree Days 2020'!B10</f>
        <v>20</v>
      </c>
      <c r="C10" s="272">
        <f>'[3]Degree Days 2020'!C10</f>
        <v>15</v>
      </c>
      <c r="D10" s="272">
        <f>'[3]Degree Days 2020'!D10</f>
        <v>-0.80000000000000071</v>
      </c>
      <c r="E10" s="272">
        <f>'[3]Degree Days 2020'!E10</f>
        <v>1</v>
      </c>
      <c r="F10" s="272">
        <f>'[3]Degree Days 2020'!F10</f>
        <v>21</v>
      </c>
      <c r="G10" s="272">
        <f>'[3]Degree Days 2020'!G10</f>
        <v>16</v>
      </c>
      <c r="H10" s="272">
        <f>'[3]Degree Days 2020'!H10</f>
        <v>0.19999999999999929</v>
      </c>
      <c r="I10" s="272">
        <f>'[3]Degree Days 2020'!I10</f>
        <v>1</v>
      </c>
      <c r="J10" s="272">
        <f>'[3]Degree Days 2020'!J10</f>
        <v>18</v>
      </c>
      <c r="K10" s="272">
        <f>'[3]Degree Days 2020'!K10</f>
        <v>14</v>
      </c>
      <c r="L10" s="272">
        <f>'[3]Degree Days 2020'!L10</f>
        <v>-2.3000000000000007</v>
      </c>
      <c r="M10" s="272">
        <f>'[13]Degree Days 2020'!M10</f>
        <v>1</v>
      </c>
      <c r="N10" s="272">
        <f>'General information '!B6</f>
        <v>17</v>
      </c>
      <c r="O10" s="272">
        <f>'General information '!C6</f>
        <v>12</v>
      </c>
      <c r="P10" s="272">
        <f>(N10+O10)/2-18.3</f>
        <v>-3.8000000000000007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'[3]Degree Days 2020'!AA10</f>
        <v>-92.59999999999998</v>
      </c>
      <c r="AB10" s="272">
        <f>'[3]Degree Days 2020'!AB10</f>
        <v>2.7999999999999936</v>
      </c>
    </row>
    <row r="11" spans="1:28">
      <c r="A11" s="117">
        <v>2</v>
      </c>
      <c r="B11" s="272">
        <f>'[3]Degree Days 2020'!B11</f>
        <v>21</v>
      </c>
      <c r="C11" s="272">
        <f>'[3]Degree Days 2020'!C11</f>
        <v>15</v>
      </c>
      <c r="D11" s="272">
        <f>'[3]Degree Days 2020'!D11</f>
        <v>-0.30000000000000071</v>
      </c>
      <c r="E11" s="272">
        <f>'[3]Degree Days 2020'!E11</f>
        <v>2</v>
      </c>
      <c r="F11" s="272">
        <f>'[3]Degree Days 2020'!F11</f>
        <v>23</v>
      </c>
      <c r="G11" s="272">
        <f>'[3]Degree Days 2020'!G11</f>
        <v>17</v>
      </c>
      <c r="H11" s="272">
        <f>'[3]Degree Days 2020'!H11</f>
        <v>1.6999999999999993</v>
      </c>
      <c r="I11" s="272">
        <f>'[3]Degree Days 2020'!I11</f>
        <v>2</v>
      </c>
      <c r="J11" s="272">
        <f>'[3]Degree Days 2020'!J11</f>
        <v>18</v>
      </c>
      <c r="K11" s="272">
        <f>'[3]Degree Days 2020'!K11</f>
        <v>13</v>
      </c>
      <c r="L11" s="272">
        <f>'[3]Degree Days 2020'!L11</f>
        <v>-2.8000000000000007</v>
      </c>
      <c r="M11" s="272">
        <f>'[13]Degree Days 2020'!M11</f>
        <v>2</v>
      </c>
      <c r="N11" s="272">
        <f>'General information '!B7</f>
        <v>15</v>
      </c>
      <c r="O11" s="272">
        <f>'General information '!C7</f>
        <v>12</v>
      </c>
      <c r="P11" s="272">
        <f t="shared" ref="P11:P39" si="0">(N11+O11)/2-18.3</f>
        <v>-4.8000000000000007</v>
      </c>
      <c r="Q11" s="531">
        <v>2</v>
      </c>
      <c r="R11" s="272"/>
      <c r="S11" s="272"/>
      <c r="T11" s="272">
        <f t="shared" ref="T11:T40" si="1">(R11+S11)/2-18.3</f>
        <v>-18.3</v>
      </c>
      <c r="U11" s="531">
        <v>2</v>
      </c>
      <c r="V11" s="272"/>
      <c r="W11" s="272"/>
      <c r="X11" s="272">
        <f t="shared" ref="X11:X39" si="2">(V11+W11)/2-18.3</f>
        <v>-18.3</v>
      </c>
      <c r="Z11" t="s">
        <v>169</v>
      </c>
      <c r="AA11" s="272">
        <f>'[3]Degree Days 2020'!AA11</f>
        <v>-75.899999999999977</v>
      </c>
      <c r="AB11" s="272">
        <f>'[3]Degree Days 2020'!AB11</f>
        <v>6.4999999999999964</v>
      </c>
    </row>
    <row r="12" spans="1:28">
      <c r="A12" s="117">
        <v>3</v>
      </c>
      <c r="B12" s="272">
        <f>'[3]Degree Days 2020'!B12</f>
        <v>21</v>
      </c>
      <c r="C12" s="272">
        <f>'[3]Degree Days 2020'!C12</f>
        <v>16</v>
      </c>
      <c r="D12" s="272">
        <f>'[3]Degree Days 2020'!D12</f>
        <v>0.19999999999999929</v>
      </c>
      <c r="E12" s="272">
        <f>'[3]Degree Days 2020'!E12</f>
        <v>3</v>
      </c>
      <c r="F12" s="272">
        <f>'[3]Degree Days 2020'!F12</f>
        <v>20</v>
      </c>
      <c r="G12" s="272">
        <f>'[3]Degree Days 2020'!G12</f>
        <v>15</v>
      </c>
      <c r="H12" s="272">
        <f>'[3]Degree Days 2020'!H12</f>
        <v>-0.80000000000000071</v>
      </c>
      <c r="I12" s="272">
        <f>'[3]Degree Days 2020'!I12</f>
        <v>3</v>
      </c>
      <c r="J12" s="272">
        <f>'[3]Degree Days 2020'!J12</f>
        <v>18</v>
      </c>
      <c r="K12" s="272">
        <f>'[3]Degree Days 2020'!K12</f>
        <v>13</v>
      </c>
      <c r="L12" s="272">
        <f>'[3]Degree Days 2020'!L12</f>
        <v>-2.8000000000000007</v>
      </c>
      <c r="M12" s="272">
        <f>'[13]Degree Days 2020'!M12</f>
        <v>3</v>
      </c>
      <c r="N12" s="272">
        <f>'General information '!B8</f>
        <v>19</v>
      </c>
      <c r="O12" s="272">
        <f>'General information '!C8</f>
        <v>15</v>
      </c>
      <c r="P12" s="272">
        <f t="shared" si="0"/>
        <v>-1.3000000000000007</v>
      </c>
      <c r="Q12" s="531">
        <v>3</v>
      </c>
      <c r="R12" s="272"/>
      <c r="S12" s="272"/>
      <c r="T12" s="272">
        <f t="shared" si="1"/>
        <v>-18.3</v>
      </c>
      <c r="U12" s="531">
        <v>3</v>
      </c>
      <c r="V12" s="272"/>
      <c r="W12" s="272"/>
      <c r="X12" s="272">
        <f t="shared" si="2"/>
        <v>-18.3</v>
      </c>
      <c r="Z12" t="s">
        <v>170</v>
      </c>
      <c r="AA12" s="272">
        <f>'[3]Degree Days 2020'!AA12</f>
        <v>-56.899999999999991</v>
      </c>
      <c r="AB12" s="272">
        <f>'[3]Degree Days 2020'!AB12</f>
        <v>11.499999999999996</v>
      </c>
    </row>
    <row r="13" spans="1:28">
      <c r="A13" s="117">
        <v>4</v>
      </c>
      <c r="B13" s="272">
        <f>'[3]Degree Days 2020'!B13</f>
        <v>22</v>
      </c>
      <c r="C13" s="272">
        <f>'[3]Degree Days 2020'!C13</f>
        <v>15</v>
      </c>
      <c r="D13" s="272">
        <f>'[3]Degree Days 2020'!D13</f>
        <v>0.19999999999999929</v>
      </c>
      <c r="E13" s="272">
        <f>'[3]Degree Days 2020'!E13</f>
        <v>4</v>
      </c>
      <c r="F13" s="272">
        <f>'[3]Degree Days 2020'!F13</f>
        <v>20</v>
      </c>
      <c r="G13" s="272">
        <f>'[3]Degree Days 2020'!G13</f>
        <v>15</v>
      </c>
      <c r="H13" s="272">
        <f>'[3]Degree Days 2020'!H13</f>
        <v>-0.80000000000000071</v>
      </c>
      <c r="I13" s="272">
        <f>'[3]Degree Days 2020'!I13</f>
        <v>4</v>
      </c>
      <c r="J13" s="272">
        <f>'[3]Degree Days 2020'!J13</f>
        <v>18</v>
      </c>
      <c r="K13" s="272">
        <f>'[3]Degree Days 2020'!K13</f>
        <v>13</v>
      </c>
      <c r="L13" s="272">
        <f>'[3]Degree Days 2020'!L13</f>
        <v>-2.8000000000000007</v>
      </c>
      <c r="M13" s="272">
        <f>'[13]Degree Days 2020'!M13</f>
        <v>4</v>
      </c>
      <c r="N13" s="272">
        <f>'General information '!B9</f>
        <v>0</v>
      </c>
      <c r="O13" s="272">
        <f>'General information '!C9</f>
        <v>0</v>
      </c>
      <c r="P13" s="272">
        <f t="shared" si="0"/>
        <v>-18.3</v>
      </c>
      <c r="Q13" s="531">
        <v>4</v>
      </c>
      <c r="R13" s="272"/>
      <c r="S13" s="272"/>
      <c r="T13" s="272">
        <f t="shared" si="1"/>
        <v>-18.3</v>
      </c>
      <c r="U13" s="531">
        <v>4</v>
      </c>
      <c r="V13" s="272"/>
      <c r="W13" s="272"/>
      <c r="X13" s="272">
        <f t="shared" si="2"/>
        <v>-18.3</v>
      </c>
      <c r="Z13" t="s">
        <v>171</v>
      </c>
      <c r="AA13" s="272">
        <f>N43</f>
        <v>-467.4000000000002</v>
      </c>
      <c r="AB13" s="272">
        <f>O43</f>
        <v>0</v>
      </c>
    </row>
    <row r="14" spans="1:28">
      <c r="A14" s="117">
        <v>5</v>
      </c>
      <c r="B14" s="272">
        <f>'[3]Degree Days 2020'!B14</f>
        <v>22</v>
      </c>
      <c r="C14" s="272">
        <f>'[3]Degree Days 2020'!C14</f>
        <v>16</v>
      </c>
      <c r="D14" s="272">
        <f>'[3]Degree Days 2020'!D14</f>
        <v>0.69999999999999929</v>
      </c>
      <c r="E14" s="272">
        <f>'[3]Degree Days 2020'!E14</f>
        <v>5</v>
      </c>
      <c r="F14" s="272">
        <f>'[3]Degree Days 2020'!F14</f>
        <v>20</v>
      </c>
      <c r="G14" s="272">
        <f>'[3]Degree Days 2020'!G14</f>
        <v>15</v>
      </c>
      <c r="H14" s="272">
        <f>'[3]Degree Days 2020'!H14</f>
        <v>-0.80000000000000071</v>
      </c>
      <c r="I14" s="272">
        <f>'[3]Degree Days 2020'!I14</f>
        <v>5</v>
      </c>
      <c r="J14" s="272">
        <f>'[3]Degree Days 2020'!J14</f>
        <v>19</v>
      </c>
      <c r="K14" s="272">
        <f>'[3]Degree Days 2020'!K14</f>
        <v>12</v>
      </c>
      <c r="L14" s="272">
        <f>'[3]Degree Days 2020'!L14</f>
        <v>-2.8000000000000007</v>
      </c>
      <c r="M14" s="272">
        <f>'[13]Degree Days 2020'!M14</f>
        <v>5</v>
      </c>
      <c r="N14" s="272">
        <f>'General information '!B10</f>
        <v>0</v>
      </c>
      <c r="O14" s="272">
        <f>'General information '!C10</f>
        <v>0</v>
      </c>
      <c r="P14" s="272">
        <f t="shared" si="0"/>
        <v>-18.3</v>
      </c>
      <c r="Q14" s="531">
        <v>5</v>
      </c>
      <c r="R14" s="272"/>
      <c r="S14" s="272"/>
      <c r="T14" s="272">
        <f t="shared" si="1"/>
        <v>-18.3</v>
      </c>
      <c r="U14" s="531">
        <v>5</v>
      </c>
      <c r="V14" s="272"/>
      <c r="W14" s="272"/>
      <c r="X14" s="272">
        <f t="shared" si="2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'[3]Degree Days 2020'!B15</f>
        <v>22</v>
      </c>
      <c r="C15" s="272">
        <f>'[3]Degree Days 2020'!C15</f>
        <v>15</v>
      </c>
      <c r="D15" s="272">
        <f>'[3]Degree Days 2020'!D15</f>
        <v>0.19999999999999929</v>
      </c>
      <c r="E15" s="272">
        <f>'[3]Degree Days 2020'!E15</f>
        <v>6</v>
      </c>
      <c r="F15" s="272">
        <f>'[3]Degree Days 2020'!F15</f>
        <v>19</v>
      </c>
      <c r="G15" s="272">
        <f>'[3]Degree Days 2020'!G15</f>
        <v>15</v>
      </c>
      <c r="H15" s="272">
        <f>'[3]Degree Days 2020'!H15</f>
        <v>-1.3000000000000007</v>
      </c>
      <c r="I15" s="272">
        <f>'[3]Degree Days 2020'!I15</f>
        <v>6</v>
      </c>
      <c r="J15" s="272">
        <f>'[3]Degree Days 2020'!J15</f>
        <v>18</v>
      </c>
      <c r="K15" s="272">
        <f>'[3]Degree Days 2020'!K15</f>
        <v>14</v>
      </c>
      <c r="L15" s="272">
        <f>'[3]Degree Days 2020'!L15</f>
        <v>-2.3000000000000007</v>
      </c>
      <c r="M15" s="272">
        <f>'[13]Degree Days 2020'!M15</f>
        <v>6</v>
      </c>
      <c r="N15" s="272">
        <f>'General information '!B11</f>
        <v>0</v>
      </c>
      <c r="O15" s="272">
        <f>'General information '!C11</f>
        <v>0</v>
      </c>
      <c r="P15" s="272">
        <f t="shared" si="0"/>
        <v>-18.3</v>
      </c>
      <c r="Q15" s="531">
        <v>6</v>
      </c>
      <c r="R15" s="272"/>
      <c r="S15" s="272"/>
      <c r="T15" s="272">
        <f t="shared" si="1"/>
        <v>-18.3</v>
      </c>
      <c r="U15" s="531">
        <v>6</v>
      </c>
      <c r="V15" s="272"/>
      <c r="W15" s="272"/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'[3]Degree Days 2020'!B16</f>
        <v>20</v>
      </c>
      <c r="C16" s="272">
        <f>'[3]Degree Days 2020'!C16</f>
        <v>14</v>
      </c>
      <c r="D16" s="272">
        <f>'[3]Degree Days 2020'!D16</f>
        <v>-1.3000000000000007</v>
      </c>
      <c r="E16" s="272">
        <f>'[3]Degree Days 2020'!E16</f>
        <v>7</v>
      </c>
      <c r="F16" s="272">
        <f>'[3]Degree Days 2020'!F16</f>
        <v>21</v>
      </c>
      <c r="G16" s="272">
        <f>'[3]Degree Days 2020'!G16</f>
        <v>17</v>
      </c>
      <c r="H16" s="272">
        <f>'[3]Degree Days 2020'!H16</f>
        <v>0.69999999999999929</v>
      </c>
      <c r="I16" s="272">
        <f>'[3]Degree Days 2020'!I16</f>
        <v>7</v>
      </c>
      <c r="J16" s="272">
        <f>'[3]Degree Days 2020'!J16</f>
        <v>19</v>
      </c>
      <c r="K16" s="272">
        <f>'[3]Degree Days 2020'!K16</f>
        <v>14</v>
      </c>
      <c r="L16" s="272">
        <f>'[3]Degree Days 2020'!L16</f>
        <v>-1.8000000000000007</v>
      </c>
      <c r="M16" s="272">
        <f>'[13]Degree Days 2020'!M16</f>
        <v>7</v>
      </c>
      <c r="N16" s="272">
        <f>'General information '!B12</f>
        <v>0</v>
      </c>
      <c r="O16" s="272">
        <f>'General information '!C12</f>
        <v>0</v>
      </c>
      <c r="P16" s="272">
        <f t="shared" si="0"/>
        <v>-18.3</v>
      </c>
      <c r="Q16" s="531">
        <v>7</v>
      </c>
      <c r="R16" s="272"/>
      <c r="S16" s="272"/>
      <c r="T16" s="272">
        <f t="shared" si="1"/>
        <v>-18.3</v>
      </c>
      <c r="U16" s="531">
        <v>7</v>
      </c>
      <c r="V16" s="272"/>
      <c r="W16" s="272"/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'[3]Degree Days 2020'!B17</f>
        <v>21</v>
      </c>
      <c r="C17" s="272">
        <f>'[3]Degree Days 2020'!C17</f>
        <v>14</v>
      </c>
      <c r="D17" s="272">
        <f>'[3]Degree Days 2020'!D17</f>
        <v>-0.80000000000000071</v>
      </c>
      <c r="E17" s="272">
        <f>'[3]Degree Days 2020'!E17</f>
        <v>8</v>
      </c>
      <c r="F17" s="272">
        <f>'[3]Degree Days 2020'!F17</f>
        <v>23</v>
      </c>
      <c r="G17" s="272">
        <f>'[3]Degree Days 2020'!G17</f>
        <v>19</v>
      </c>
      <c r="H17" s="272">
        <f>'[3]Degree Days 2020'!H17</f>
        <v>2.6999999999999993</v>
      </c>
      <c r="I17" s="272">
        <f>'[3]Degree Days 2020'!I17</f>
        <v>8</v>
      </c>
      <c r="J17" s="272">
        <f>'[3]Degree Days 2020'!J17</f>
        <v>20</v>
      </c>
      <c r="K17" s="272">
        <f>'[3]Degree Days 2020'!K17</f>
        <v>16</v>
      </c>
      <c r="L17" s="272">
        <f>'[3]Degree Days 2020'!L17</f>
        <v>-0.30000000000000071</v>
      </c>
      <c r="M17" s="272">
        <f>'[13]Degree Days 2020'!M17</f>
        <v>8</v>
      </c>
      <c r="N17" s="272">
        <f>'General information '!B13</f>
        <v>0</v>
      </c>
      <c r="O17" s="272">
        <f>'General information '!C13</f>
        <v>0</v>
      </c>
      <c r="P17" s="272">
        <f t="shared" si="0"/>
        <v>-18.3</v>
      </c>
      <c r="Q17" s="531">
        <v>8</v>
      </c>
      <c r="R17" s="272"/>
      <c r="S17" s="272"/>
      <c r="T17" s="272">
        <f t="shared" si="1"/>
        <v>-18.3</v>
      </c>
      <c r="U17" s="531">
        <v>8</v>
      </c>
      <c r="V17" s="272"/>
      <c r="W17" s="272"/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'[3]Degree Days 2020'!B18</f>
        <v>22</v>
      </c>
      <c r="C18" s="272">
        <f>'[3]Degree Days 2020'!C18</f>
        <v>15</v>
      </c>
      <c r="D18" s="272">
        <f>'[3]Degree Days 2020'!D18</f>
        <v>0.19999999999999929</v>
      </c>
      <c r="E18" s="272">
        <f>'[3]Degree Days 2020'!E18</f>
        <v>9</v>
      </c>
      <c r="F18" s="272">
        <f>'[3]Degree Days 2020'!F18</f>
        <v>21</v>
      </c>
      <c r="G18" s="272">
        <f>'[3]Degree Days 2020'!G18</f>
        <v>18</v>
      </c>
      <c r="H18" s="272">
        <f>'[3]Degree Days 2020'!H18</f>
        <v>1.1999999999999993</v>
      </c>
      <c r="I18" s="272">
        <f>'[3]Degree Days 2020'!I18</f>
        <v>9</v>
      </c>
      <c r="J18" s="272">
        <f>'[3]Degree Days 2020'!J18</f>
        <v>23</v>
      </c>
      <c r="K18" s="272">
        <f>'[3]Degree Days 2020'!K18</f>
        <v>17</v>
      </c>
      <c r="L18" s="272">
        <f>'[3]Degree Days 2020'!L18</f>
        <v>1.6999999999999993</v>
      </c>
      <c r="M18" s="272">
        <f>'[13]Degree Days 2020'!M18</f>
        <v>9</v>
      </c>
      <c r="N18" s="272">
        <f>'General information '!B14</f>
        <v>0</v>
      </c>
      <c r="O18" s="272">
        <f>'General information '!C14</f>
        <v>0</v>
      </c>
      <c r="P18" s="272">
        <f t="shared" si="0"/>
        <v>-18.3</v>
      </c>
      <c r="Q18" s="531">
        <v>9</v>
      </c>
      <c r="R18" s="272"/>
      <c r="S18" s="272"/>
      <c r="T18" s="272">
        <f t="shared" si="1"/>
        <v>-18.3</v>
      </c>
      <c r="U18" s="531">
        <v>9</v>
      </c>
      <c r="V18" s="272"/>
      <c r="W18" s="272"/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'[3]Degree Days 2020'!B19</f>
        <v>22</v>
      </c>
      <c r="C19" s="272">
        <f>'[3]Degree Days 2020'!C19</f>
        <v>15</v>
      </c>
      <c r="D19" s="272">
        <f>'[3]Degree Days 2020'!D19</f>
        <v>0.19999999999999929</v>
      </c>
      <c r="E19" s="272">
        <f>'[3]Degree Days 2020'!E19</f>
        <v>10</v>
      </c>
      <c r="F19" s="272">
        <f>'[3]Degree Days 2020'!F19</f>
        <v>19</v>
      </c>
      <c r="G19" s="272">
        <f>'[3]Degree Days 2020'!G19</f>
        <v>14</v>
      </c>
      <c r="H19" s="272">
        <f>'[3]Degree Days 2020'!H19</f>
        <v>-1.8000000000000007</v>
      </c>
      <c r="I19" s="272">
        <f>'[3]Degree Days 2020'!I19</f>
        <v>10</v>
      </c>
      <c r="J19" s="272">
        <f>'[3]Degree Days 2020'!J19</f>
        <v>19</v>
      </c>
      <c r="K19" s="272">
        <f>'[3]Degree Days 2020'!K19</f>
        <v>13</v>
      </c>
      <c r="L19" s="272">
        <f>'[3]Degree Days 2020'!L19</f>
        <v>-2.3000000000000007</v>
      </c>
      <c r="M19" s="272">
        <f>'[13]Degree Days 2020'!M19</f>
        <v>10</v>
      </c>
      <c r="N19" s="272">
        <f>'General information '!B15</f>
        <v>0</v>
      </c>
      <c r="O19" s="272">
        <f>'General information '!C15</f>
        <v>0</v>
      </c>
      <c r="P19" s="272">
        <f t="shared" si="0"/>
        <v>-18.3</v>
      </c>
      <c r="Q19" s="531">
        <v>10</v>
      </c>
      <c r="R19" s="272"/>
      <c r="S19" s="272"/>
      <c r="T19" s="272">
        <f t="shared" si="1"/>
        <v>-18.3</v>
      </c>
      <c r="U19" s="531">
        <v>10</v>
      </c>
      <c r="V19" s="272"/>
      <c r="W19" s="272"/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'[3]Degree Days 2020'!B20</f>
        <v>22</v>
      </c>
      <c r="C20" s="272">
        <f>'[3]Degree Days 2020'!C20</f>
        <v>16</v>
      </c>
      <c r="D20" s="272">
        <f>'[3]Degree Days 2020'!D20</f>
        <v>0.69999999999999929</v>
      </c>
      <c r="E20" s="272">
        <f>'[3]Degree Days 2020'!E20</f>
        <v>11</v>
      </c>
      <c r="F20" s="272">
        <f>'[3]Degree Days 2020'!F20</f>
        <v>18</v>
      </c>
      <c r="G20" s="272">
        <f>'[3]Degree Days 2020'!G20</f>
        <v>13</v>
      </c>
      <c r="H20" s="272">
        <f>'[3]Degree Days 2020'!H20</f>
        <v>-2.8000000000000007</v>
      </c>
      <c r="I20" s="272">
        <f>'[3]Degree Days 2020'!I20</f>
        <v>11</v>
      </c>
      <c r="J20" s="272">
        <f>'[3]Degree Days 2020'!J20</f>
        <v>17</v>
      </c>
      <c r="K20" s="272">
        <f>'[3]Degree Days 2020'!K20</f>
        <v>12</v>
      </c>
      <c r="L20" s="272">
        <f>'[3]Degree Days 2020'!L20</f>
        <v>-3.8000000000000007</v>
      </c>
      <c r="M20" s="272">
        <f>'[13]Degree Days 2020'!M20</f>
        <v>11</v>
      </c>
      <c r="N20" s="272">
        <f>'General information '!B16</f>
        <v>0</v>
      </c>
      <c r="O20" s="272">
        <f>'General information '!C16</f>
        <v>0</v>
      </c>
      <c r="P20" s="272">
        <f t="shared" si="0"/>
        <v>-18.3</v>
      </c>
      <c r="Q20" s="531">
        <v>11</v>
      </c>
      <c r="R20" s="272"/>
      <c r="S20" s="272"/>
      <c r="T20" s="272">
        <f t="shared" si="1"/>
        <v>-18.3</v>
      </c>
      <c r="U20" s="531">
        <v>11</v>
      </c>
      <c r="V20" s="272"/>
      <c r="W20" s="272"/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'[3]Degree Days 2020'!B21</f>
        <v>24</v>
      </c>
      <c r="C21" s="272">
        <f>'[3]Degree Days 2020'!C21</f>
        <v>13</v>
      </c>
      <c r="D21" s="272">
        <f>'[3]Degree Days 2020'!D21</f>
        <v>0.19999999999999929</v>
      </c>
      <c r="E21" s="272">
        <f>'[3]Degree Days 2020'!E21</f>
        <v>12</v>
      </c>
      <c r="F21" s="272">
        <f>'[3]Degree Days 2020'!F21</f>
        <v>18</v>
      </c>
      <c r="G21" s="272">
        <f>'[3]Degree Days 2020'!G21</f>
        <v>13</v>
      </c>
      <c r="H21" s="272">
        <f>'[3]Degree Days 2020'!H21</f>
        <v>-2.8000000000000007</v>
      </c>
      <c r="I21" s="272">
        <f>'[3]Degree Days 2020'!I21</f>
        <v>12</v>
      </c>
      <c r="J21" s="272">
        <f>'[3]Degree Days 2020'!J21</f>
        <v>18</v>
      </c>
      <c r="K21" s="272">
        <f>'[3]Degree Days 2020'!K21</f>
        <v>13</v>
      </c>
      <c r="L21" s="272">
        <f>'[3]Degree Days 2020'!L21</f>
        <v>-2.8000000000000007</v>
      </c>
      <c r="M21" s="272">
        <f>'[13]Degree Days 2020'!M21</f>
        <v>12</v>
      </c>
      <c r="N21" s="272">
        <f>'General information '!B17</f>
        <v>0</v>
      </c>
      <c r="O21" s="272">
        <f>'General information '!C17</f>
        <v>0</v>
      </c>
      <c r="P21" s="272">
        <f t="shared" si="0"/>
        <v>-18.3</v>
      </c>
      <c r="Q21" s="531">
        <v>12</v>
      </c>
      <c r="R21" s="272"/>
      <c r="S21" s="272"/>
      <c r="T21" s="272">
        <f t="shared" si="1"/>
        <v>-18.3</v>
      </c>
      <c r="U21" s="531">
        <v>12</v>
      </c>
      <c r="V21" s="272"/>
      <c r="W21" s="272"/>
      <c r="X21" s="272">
        <f t="shared" si="2"/>
        <v>-18.3</v>
      </c>
      <c r="Z21" t="s">
        <v>181</v>
      </c>
      <c r="AA21" s="134">
        <f t="shared" ref="AA21" si="3">SUM(B54)</f>
        <v>0</v>
      </c>
      <c r="AB21" s="134">
        <f t="shared" ref="AB21" si="4">SUM(C54)</f>
        <v>0</v>
      </c>
    </row>
    <row r="22" spans="1:28">
      <c r="A22" s="117">
        <v>13</v>
      </c>
      <c r="B22" s="272">
        <f>'[3]Degree Days 2020'!B22</f>
        <v>18</v>
      </c>
      <c r="C22" s="272">
        <f>'[3]Degree Days 2020'!C22</f>
        <v>12</v>
      </c>
      <c r="D22" s="272">
        <f>'[3]Degree Days 2020'!D22</f>
        <v>-3.3000000000000007</v>
      </c>
      <c r="E22" s="272">
        <f>'[3]Degree Days 2020'!E22</f>
        <v>13</v>
      </c>
      <c r="F22" s="272">
        <f>'[3]Degree Days 2020'!F22</f>
        <v>19</v>
      </c>
      <c r="G22" s="272">
        <f>'[3]Degree Days 2020'!G22</f>
        <v>14</v>
      </c>
      <c r="H22" s="272">
        <f>'[3]Degree Days 2020'!H22</f>
        <v>-1.8000000000000007</v>
      </c>
      <c r="I22" s="272">
        <f>'[3]Degree Days 2020'!I22</f>
        <v>13</v>
      </c>
      <c r="J22" s="272">
        <f>'[3]Degree Days 2020'!J22</f>
        <v>18</v>
      </c>
      <c r="K22" s="272">
        <f>'[3]Degree Days 2020'!K22</f>
        <v>16</v>
      </c>
      <c r="L22" s="272">
        <f>'[3]Degree Days 2020'!L22</f>
        <v>-1.3000000000000007</v>
      </c>
      <c r="M22" s="272">
        <f>'[13]Degree Days 2020'!M22</f>
        <v>13</v>
      </c>
      <c r="N22" s="272">
        <f>'General information '!B18</f>
        <v>0</v>
      </c>
      <c r="O22" s="272">
        <f>'General information '!C18</f>
        <v>0</v>
      </c>
      <c r="P22" s="272">
        <f t="shared" si="0"/>
        <v>-18.3</v>
      </c>
      <c r="Q22" s="531">
        <v>13</v>
      </c>
      <c r="R22" s="272"/>
      <c r="S22" s="272"/>
      <c r="T22" s="272">
        <f t="shared" si="1"/>
        <v>-18.3</v>
      </c>
      <c r="U22" s="531">
        <v>13</v>
      </c>
      <c r="V22" s="272"/>
      <c r="W22" s="272"/>
      <c r="X22" s="272">
        <f t="shared" si="2"/>
        <v>-18.3</v>
      </c>
    </row>
    <row r="23" spans="1:28">
      <c r="A23" s="117">
        <v>14</v>
      </c>
      <c r="B23" s="272">
        <f>'[3]Degree Days 2020'!B23</f>
        <v>17</v>
      </c>
      <c r="C23" s="272">
        <f>'[3]Degree Days 2020'!C23</f>
        <v>12</v>
      </c>
      <c r="D23" s="272">
        <f>'[3]Degree Days 2020'!D23</f>
        <v>-3.8000000000000007</v>
      </c>
      <c r="E23" s="272">
        <f>'[3]Degree Days 2020'!E23</f>
        <v>14</v>
      </c>
      <c r="F23" s="272">
        <f>'[3]Degree Days 2020'!F23</f>
        <v>18</v>
      </c>
      <c r="G23" s="272">
        <f>'[3]Degree Days 2020'!G23</f>
        <v>13</v>
      </c>
      <c r="H23" s="272">
        <f>'[3]Degree Days 2020'!H23</f>
        <v>-2.8000000000000007</v>
      </c>
      <c r="I23" s="272">
        <f>'[3]Degree Days 2020'!I23</f>
        <v>14</v>
      </c>
      <c r="J23" s="272">
        <f>'[3]Degree Days 2020'!J23</f>
        <v>19</v>
      </c>
      <c r="K23" s="272">
        <f>'[3]Degree Days 2020'!K23</f>
        <v>15</v>
      </c>
      <c r="L23" s="272">
        <f>'[3]Degree Days 2020'!L23</f>
        <v>-1.3000000000000007</v>
      </c>
      <c r="M23" s="272">
        <f>'[13]Degree Days 2020'!M23</f>
        <v>14</v>
      </c>
      <c r="N23" s="272">
        <f>'General information '!B19</f>
        <v>0</v>
      </c>
      <c r="O23" s="272">
        <f>'General information '!C19</f>
        <v>0</v>
      </c>
      <c r="P23" s="272">
        <f t="shared" si="0"/>
        <v>-18.3</v>
      </c>
      <c r="Q23" s="531">
        <v>14</v>
      </c>
      <c r="R23" s="272"/>
      <c r="S23" s="272"/>
      <c r="T23" s="272">
        <f t="shared" si="1"/>
        <v>-18.3</v>
      </c>
      <c r="U23" s="531">
        <v>14</v>
      </c>
      <c r="V23" s="272"/>
      <c r="W23" s="272"/>
      <c r="X23" s="272">
        <f t="shared" si="2"/>
        <v>-18.3</v>
      </c>
      <c r="AA23" s="134">
        <f>SUM(AA10:AA22)</f>
        <v>-692.80000000000018</v>
      </c>
      <c r="AB23" s="134">
        <f>SUM(AB10:AB22)</f>
        <v>20.799999999999986</v>
      </c>
    </row>
    <row r="24" spans="1:28">
      <c r="A24" s="117">
        <v>15</v>
      </c>
      <c r="B24" s="272">
        <f>'[3]Degree Days 2020'!B24</f>
        <v>19</v>
      </c>
      <c r="C24" s="272">
        <f>'[3]Degree Days 2020'!C24</f>
        <v>13</v>
      </c>
      <c r="D24" s="272">
        <f>'[3]Degree Days 2020'!D24</f>
        <v>-2.3000000000000007</v>
      </c>
      <c r="E24" s="272">
        <f>'[3]Degree Days 2020'!E24</f>
        <v>15</v>
      </c>
      <c r="F24" s="272">
        <f>'[3]Degree Days 2020'!F24</f>
        <v>18</v>
      </c>
      <c r="G24" s="272">
        <f>'[3]Degree Days 2020'!G24</f>
        <v>12</v>
      </c>
      <c r="H24" s="272">
        <f>'[3]Degree Days 2020'!H24</f>
        <v>-3.3000000000000007</v>
      </c>
      <c r="I24" s="272">
        <f>'[3]Degree Days 2020'!I24</f>
        <v>15</v>
      </c>
      <c r="J24" s="272">
        <f>'[3]Degree Days 2020'!J24</f>
        <v>19</v>
      </c>
      <c r="K24" s="272">
        <f>'[3]Degree Days 2020'!K24</f>
        <v>15</v>
      </c>
      <c r="L24" s="272">
        <f>'[3]Degree Days 2020'!L24</f>
        <v>-1.3000000000000007</v>
      </c>
      <c r="M24" s="272">
        <f>'[13]Degree Days 2020'!M24</f>
        <v>15</v>
      </c>
      <c r="N24" s="272">
        <f>'General information '!B20</f>
        <v>0</v>
      </c>
      <c r="O24" s="272">
        <f>'General information '!C20</f>
        <v>0</v>
      </c>
      <c r="P24" s="272">
        <f t="shared" si="0"/>
        <v>-18.3</v>
      </c>
      <c r="Q24" s="531">
        <v>15</v>
      </c>
      <c r="R24" s="272"/>
      <c r="S24" s="272"/>
      <c r="T24" s="272">
        <f t="shared" si="1"/>
        <v>-18.3</v>
      </c>
      <c r="U24" s="531">
        <v>15</v>
      </c>
      <c r="V24" s="272"/>
      <c r="W24" s="272"/>
      <c r="X24" s="272">
        <f t="shared" si="2"/>
        <v>-18.3</v>
      </c>
    </row>
    <row r="25" spans="1:28">
      <c r="A25" s="117">
        <v>16</v>
      </c>
      <c r="B25" s="272">
        <f>'[3]Degree Days 2020'!B25</f>
        <v>15</v>
      </c>
      <c r="C25" s="272">
        <f>'[3]Degree Days 2020'!C25</f>
        <v>9</v>
      </c>
      <c r="D25" s="272">
        <f>'[3]Degree Days 2020'!D25</f>
        <v>-6.3000000000000007</v>
      </c>
      <c r="E25" s="272">
        <f>'[3]Degree Days 2020'!E25</f>
        <v>16</v>
      </c>
      <c r="F25" s="272">
        <f>'[3]Degree Days 2020'!F25</f>
        <v>11</v>
      </c>
      <c r="G25" s="272">
        <f>'[3]Degree Days 2020'!G25</f>
        <v>7</v>
      </c>
      <c r="H25" s="272">
        <f>'[3]Degree Days 2020'!H25</f>
        <v>-9.3000000000000007</v>
      </c>
      <c r="I25" s="272">
        <f>'[3]Degree Days 2020'!I25</f>
        <v>16</v>
      </c>
      <c r="J25" s="272">
        <f>'[3]Degree Days 2020'!J25</f>
        <v>19</v>
      </c>
      <c r="K25" s="272">
        <f>'[3]Degree Days 2020'!K25</f>
        <v>14</v>
      </c>
      <c r="L25" s="272">
        <f>'[3]Degree Days 2020'!L25</f>
        <v>-1.8000000000000007</v>
      </c>
      <c r="M25" s="272">
        <f>'[13]Degree Days 2020'!M25</f>
        <v>16</v>
      </c>
      <c r="N25" s="272">
        <f>'General information '!B21</f>
        <v>0</v>
      </c>
      <c r="O25" s="272">
        <f>'General information '!C21</f>
        <v>0</v>
      </c>
      <c r="P25" s="272">
        <f t="shared" si="0"/>
        <v>-18.3</v>
      </c>
      <c r="Q25" s="531">
        <v>16</v>
      </c>
      <c r="R25" s="272"/>
      <c r="S25" s="272"/>
      <c r="T25" s="272">
        <f t="shared" si="1"/>
        <v>-18.3</v>
      </c>
      <c r="U25" s="531">
        <v>16</v>
      </c>
      <c r="V25" s="272"/>
      <c r="W25" s="272"/>
      <c r="X25" s="272">
        <f t="shared" si="2"/>
        <v>-18.3</v>
      </c>
    </row>
    <row r="26" spans="1:28">
      <c r="A26" s="117">
        <v>17</v>
      </c>
      <c r="B26" s="272">
        <f>'[3]Degree Days 2020'!B26</f>
        <v>15</v>
      </c>
      <c r="C26" s="272">
        <f>'[3]Degree Days 2020'!C26</f>
        <v>12</v>
      </c>
      <c r="D26" s="272">
        <f>'[3]Degree Days 2020'!D26</f>
        <v>-4.8000000000000007</v>
      </c>
      <c r="E26" s="272">
        <f>'[3]Degree Days 2020'!E26</f>
        <v>17</v>
      </c>
      <c r="F26" s="272">
        <f>'[3]Degree Days 2020'!F26</f>
        <v>13</v>
      </c>
      <c r="G26" s="272">
        <f>'[3]Degree Days 2020'!G26</f>
        <v>7</v>
      </c>
      <c r="H26" s="272">
        <f>'[3]Degree Days 2020'!H26</f>
        <v>-8.3000000000000007</v>
      </c>
      <c r="I26" s="272">
        <f>'[3]Degree Days 2020'!I26</f>
        <v>17</v>
      </c>
      <c r="J26" s="272">
        <f>'[3]Degree Days 2020'!J26</f>
        <v>20</v>
      </c>
      <c r="K26" s="272">
        <f>'[3]Degree Days 2020'!K26</f>
        <v>15</v>
      </c>
      <c r="L26" s="272">
        <f>'[3]Degree Days 2020'!L26</f>
        <v>-0.80000000000000071</v>
      </c>
      <c r="M26" s="272">
        <f>'[13]Degree Days 2020'!M26</f>
        <v>17</v>
      </c>
      <c r="N26" s="272">
        <f>'General information '!B22</f>
        <v>0</v>
      </c>
      <c r="O26" s="272">
        <f>'General information '!C22</f>
        <v>0</v>
      </c>
      <c r="P26" s="272">
        <f t="shared" si="0"/>
        <v>-18.3</v>
      </c>
      <c r="Q26" s="531">
        <v>17</v>
      </c>
      <c r="R26" s="272"/>
      <c r="S26" s="272"/>
      <c r="T26" s="272">
        <f t="shared" si="1"/>
        <v>-18.3</v>
      </c>
      <c r="U26" s="531">
        <v>17</v>
      </c>
      <c r="V26" s="272"/>
      <c r="W26" s="272"/>
      <c r="X26" s="272">
        <f t="shared" si="2"/>
        <v>-18.3</v>
      </c>
    </row>
    <row r="27" spans="1:28">
      <c r="A27" s="117">
        <v>18</v>
      </c>
      <c r="B27" s="272">
        <f>'[3]Degree Days 2020'!B27</f>
        <v>14</v>
      </c>
      <c r="C27" s="272">
        <f>'[3]Degree Days 2020'!C27</f>
        <v>8</v>
      </c>
      <c r="D27" s="272">
        <f>'[3]Degree Days 2020'!D27</f>
        <v>-7.3000000000000007</v>
      </c>
      <c r="E27" s="272">
        <f>'[3]Degree Days 2020'!E27</f>
        <v>18</v>
      </c>
      <c r="F27" s="272">
        <f>'[3]Degree Days 2020'!F27</f>
        <v>13</v>
      </c>
      <c r="G27" s="272">
        <f>'[3]Degree Days 2020'!G27</f>
        <v>7</v>
      </c>
      <c r="H27" s="272">
        <f>'[3]Degree Days 2020'!H27</f>
        <v>-8.3000000000000007</v>
      </c>
      <c r="I27" s="272">
        <f>'[3]Degree Days 2020'!I27</f>
        <v>18</v>
      </c>
      <c r="J27" s="272">
        <f>'[3]Degree Days 2020'!J27</f>
        <v>20</v>
      </c>
      <c r="K27" s="272">
        <f>'[3]Degree Days 2020'!K27</f>
        <v>15</v>
      </c>
      <c r="L27" s="272">
        <f>'[3]Degree Days 2020'!L27</f>
        <v>-0.80000000000000071</v>
      </c>
      <c r="M27" s="272">
        <f>'[13]Degree Days 2020'!M27</f>
        <v>18</v>
      </c>
      <c r="N27" s="272">
        <f>'General information '!B23</f>
        <v>0</v>
      </c>
      <c r="O27" s="272">
        <f>'General information '!C23</f>
        <v>0</v>
      </c>
      <c r="P27" s="272">
        <f t="shared" si="0"/>
        <v>-18.3</v>
      </c>
      <c r="Q27" s="531">
        <v>18</v>
      </c>
      <c r="R27" s="272"/>
      <c r="S27" s="272"/>
      <c r="T27" s="272">
        <f t="shared" si="1"/>
        <v>-18.3</v>
      </c>
      <c r="U27" s="531">
        <v>18</v>
      </c>
      <c r="V27" s="272"/>
      <c r="W27" s="272"/>
      <c r="X27" s="272">
        <f t="shared" si="2"/>
        <v>-18.3</v>
      </c>
    </row>
    <row r="28" spans="1:28">
      <c r="A28" s="117">
        <v>19</v>
      </c>
      <c r="B28" s="272">
        <f>'[3]Degree Days 2020'!B28</f>
        <v>17</v>
      </c>
      <c r="C28" s="272">
        <f>'[3]Degree Days 2020'!C28</f>
        <v>10</v>
      </c>
      <c r="D28" s="272">
        <f>'[3]Degree Days 2020'!D28</f>
        <v>-4.8000000000000007</v>
      </c>
      <c r="E28" s="272">
        <f>'[3]Degree Days 2020'!E28</f>
        <v>19</v>
      </c>
      <c r="F28" s="272">
        <f>'[3]Degree Days 2020'!F28</f>
        <v>14</v>
      </c>
      <c r="G28" s="272">
        <f>'[3]Degree Days 2020'!G28</f>
        <v>7</v>
      </c>
      <c r="H28" s="272">
        <f>'[3]Degree Days 2020'!H28</f>
        <v>-7.8000000000000007</v>
      </c>
      <c r="I28" s="272">
        <f>'[3]Degree Days 2020'!I28</f>
        <v>19</v>
      </c>
      <c r="J28" s="272">
        <f>'[3]Degree Days 2020'!J28</f>
        <v>19</v>
      </c>
      <c r="K28" s="272">
        <f>'[3]Degree Days 2020'!K28</f>
        <v>17</v>
      </c>
      <c r="L28" s="272">
        <f>'[3]Degree Days 2020'!L28</f>
        <v>-0.30000000000000071</v>
      </c>
      <c r="M28" s="272">
        <f>'[13]Degree Days 2020'!M28</f>
        <v>19</v>
      </c>
      <c r="N28" s="272">
        <f>'General information '!B24</f>
        <v>0</v>
      </c>
      <c r="O28" s="272">
        <f>'General information '!C24</f>
        <v>0</v>
      </c>
      <c r="P28" s="272">
        <f t="shared" si="0"/>
        <v>-18.3</v>
      </c>
      <c r="Q28" s="531">
        <v>19</v>
      </c>
      <c r="R28" s="272"/>
      <c r="S28" s="272"/>
      <c r="T28" s="272">
        <f t="shared" si="1"/>
        <v>-18.3</v>
      </c>
      <c r="U28" s="531">
        <v>19</v>
      </c>
      <c r="V28" s="272"/>
      <c r="W28" s="272"/>
      <c r="X28" s="272">
        <f t="shared" si="2"/>
        <v>-18.3</v>
      </c>
    </row>
    <row r="29" spans="1:28">
      <c r="A29" s="117">
        <v>20</v>
      </c>
      <c r="B29" s="272">
        <f>'[3]Degree Days 2020'!B29</f>
        <v>17</v>
      </c>
      <c r="C29" s="272">
        <f>'[3]Degree Days 2020'!C29</f>
        <v>10</v>
      </c>
      <c r="D29" s="272">
        <f>'[3]Degree Days 2020'!D29</f>
        <v>-4.8000000000000007</v>
      </c>
      <c r="E29" s="272">
        <f>'[3]Degree Days 2020'!E29</f>
        <v>20</v>
      </c>
      <c r="F29" s="272">
        <f>'[3]Degree Days 2020'!F29</f>
        <v>19</v>
      </c>
      <c r="G29" s="272">
        <f>'[3]Degree Days 2020'!G29</f>
        <v>14</v>
      </c>
      <c r="H29" s="272">
        <f>'[3]Degree Days 2020'!H29</f>
        <v>-1.8000000000000007</v>
      </c>
      <c r="I29" s="272">
        <f>'[3]Degree Days 2020'!I29</f>
        <v>20</v>
      </c>
      <c r="J29" s="272">
        <f>'[3]Degree Days 2020'!J29</f>
        <v>21</v>
      </c>
      <c r="K29" s="272">
        <f>'[3]Degree Days 2020'!K29</f>
        <v>18</v>
      </c>
      <c r="L29" s="272">
        <f>'[3]Degree Days 2020'!L29</f>
        <v>1.1999999999999993</v>
      </c>
      <c r="M29" s="272">
        <f>'[13]Degree Days 2020'!M29</f>
        <v>20</v>
      </c>
      <c r="N29" s="272">
        <f>'General information '!B25</f>
        <v>0</v>
      </c>
      <c r="O29" s="272">
        <f>'General information '!C25</f>
        <v>0</v>
      </c>
      <c r="P29" s="272">
        <f t="shared" si="0"/>
        <v>-18.3</v>
      </c>
      <c r="Q29" s="531">
        <v>20</v>
      </c>
      <c r="R29" s="272"/>
      <c r="S29" s="272"/>
      <c r="T29" s="272">
        <f t="shared" si="1"/>
        <v>-18.3</v>
      </c>
      <c r="U29" s="531">
        <v>20</v>
      </c>
      <c r="V29" s="272"/>
      <c r="W29" s="272"/>
      <c r="X29" s="272">
        <f t="shared" si="2"/>
        <v>-18.3</v>
      </c>
    </row>
    <row r="30" spans="1:28">
      <c r="A30" s="117">
        <v>21</v>
      </c>
      <c r="B30" s="272">
        <f>'[3]Degree Days 2020'!B30</f>
        <v>16</v>
      </c>
      <c r="C30" s="272">
        <f>'[3]Degree Days 2020'!C30</f>
        <v>9</v>
      </c>
      <c r="D30" s="272">
        <f>'[3]Degree Days 2020'!D30</f>
        <v>-5.8000000000000007</v>
      </c>
      <c r="E30" s="272">
        <f>'[3]Degree Days 2020'!E30</f>
        <v>21</v>
      </c>
      <c r="F30" s="272">
        <f>'[3]Degree Days 2020'!F30</f>
        <v>18</v>
      </c>
      <c r="G30" s="272">
        <f>'[3]Degree Days 2020'!G30</f>
        <v>13</v>
      </c>
      <c r="H30" s="272">
        <f>'[3]Degree Days 2020'!H30</f>
        <v>-2.8000000000000007</v>
      </c>
      <c r="I30" s="272">
        <f>'[3]Degree Days 2020'!I30</f>
        <v>21</v>
      </c>
      <c r="J30" s="272">
        <f>'[3]Degree Days 2020'!J30</f>
        <v>23</v>
      </c>
      <c r="K30" s="272">
        <f>'[3]Degree Days 2020'!K30</f>
        <v>14</v>
      </c>
      <c r="L30" s="272">
        <f>'[3]Degree Days 2020'!L30</f>
        <v>0.19999999999999929</v>
      </c>
      <c r="M30" s="272">
        <f>'[13]Degree Days 2020'!M30</f>
        <v>21</v>
      </c>
      <c r="N30" s="272">
        <f>'General information '!B26</f>
        <v>0</v>
      </c>
      <c r="O30" s="272">
        <f>'General information '!C26</f>
        <v>0</v>
      </c>
      <c r="P30" s="272">
        <f t="shared" si="0"/>
        <v>-18.3</v>
      </c>
      <c r="Q30" s="531">
        <v>21</v>
      </c>
      <c r="R30" s="272"/>
      <c r="S30" s="272"/>
      <c r="T30" s="272">
        <f t="shared" si="1"/>
        <v>-18.3</v>
      </c>
      <c r="U30" s="531">
        <v>21</v>
      </c>
      <c r="V30" s="272"/>
      <c r="W30" s="272"/>
      <c r="X30" s="272">
        <f t="shared" si="2"/>
        <v>-18.3</v>
      </c>
    </row>
    <row r="31" spans="1:28">
      <c r="A31" s="117">
        <v>22</v>
      </c>
      <c r="B31" s="272">
        <f>'[3]Degree Days 2020'!B31</f>
        <v>17</v>
      </c>
      <c r="C31" s="272">
        <f>'[3]Degree Days 2020'!C31</f>
        <v>10</v>
      </c>
      <c r="D31" s="272">
        <f>'[3]Degree Days 2020'!D31</f>
        <v>-4.8000000000000007</v>
      </c>
      <c r="E31" s="272">
        <f>'[3]Degree Days 2020'!E31</f>
        <v>22</v>
      </c>
      <c r="F31" s="272">
        <f>'[3]Degree Days 2020'!F31</f>
        <v>21</v>
      </c>
      <c r="G31" s="272">
        <f>'[3]Degree Days 2020'!G31</f>
        <v>12</v>
      </c>
      <c r="H31" s="272">
        <f>'[3]Degree Days 2020'!H31</f>
        <v>-1.8000000000000007</v>
      </c>
      <c r="I31" s="272">
        <f>'[3]Degree Days 2020'!I31</f>
        <v>22</v>
      </c>
      <c r="J31" s="272">
        <f>'[3]Degree Days 2020'!J31</f>
        <v>26</v>
      </c>
      <c r="K31" s="272">
        <f>'[3]Degree Days 2020'!K31</f>
        <v>14</v>
      </c>
      <c r="L31" s="272">
        <f>'[3]Degree Days 2020'!L31</f>
        <v>1.6999999999999993</v>
      </c>
      <c r="M31" s="272">
        <f>'[13]Degree Days 2020'!M31</f>
        <v>22</v>
      </c>
      <c r="N31" s="272">
        <f>'General information '!B27</f>
        <v>0</v>
      </c>
      <c r="O31" s="272">
        <f>'General information '!C27</f>
        <v>0</v>
      </c>
      <c r="P31" s="272">
        <f t="shared" si="0"/>
        <v>-18.3</v>
      </c>
      <c r="Q31" s="531">
        <v>22</v>
      </c>
      <c r="R31" s="272"/>
      <c r="S31" s="272"/>
      <c r="T31" s="272">
        <f t="shared" si="1"/>
        <v>-18.3</v>
      </c>
      <c r="U31" s="531">
        <v>22</v>
      </c>
      <c r="V31" s="272"/>
      <c r="W31" s="272"/>
      <c r="X31" s="272">
        <f t="shared" si="2"/>
        <v>-18.3</v>
      </c>
    </row>
    <row r="32" spans="1:28">
      <c r="A32" s="117">
        <v>23</v>
      </c>
      <c r="B32" s="272">
        <f>'[3]Degree Days 2020'!B32</f>
        <v>18</v>
      </c>
      <c r="C32" s="272">
        <f>'[3]Degree Days 2020'!C32</f>
        <v>12</v>
      </c>
      <c r="D32" s="272">
        <f>'[3]Degree Days 2020'!D32</f>
        <v>-3.3000000000000007</v>
      </c>
      <c r="E32" s="272">
        <f>'[3]Degree Days 2020'!E32</f>
        <v>23</v>
      </c>
      <c r="F32" s="272">
        <f>'[3]Degree Days 2020'!F32</f>
        <v>19</v>
      </c>
      <c r="G32" s="272">
        <f>'[3]Degree Days 2020'!G32</f>
        <v>13</v>
      </c>
      <c r="H32" s="272">
        <f>'[3]Degree Days 2020'!H32</f>
        <v>-2.3000000000000007</v>
      </c>
      <c r="I32" s="272">
        <f>'[3]Degree Days 2020'!I32</f>
        <v>23</v>
      </c>
      <c r="J32" s="272">
        <f>'[3]Degree Days 2020'!J32</f>
        <v>33</v>
      </c>
      <c r="K32" s="272">
        <f>'[3]Degree Days 2020'!K32</f>
        <v>17</v>
      </c>
      <c r="L32" s="272">
        <f>'[3]Degree Days 2020'!L32</f>
        <v>6.6999999999999993</v>
      </c>
      <c r="M32" s="272">
        <f>'[13]Degree Days 2020'!M32</f>
        <v>23</v>
      </c>
      <c r="N32" s="272">
        <f>'General information '!B28</f>
        <v>0</v>
      </c>
      <c r="O32" s="272">
        <f>'General information '!C28</f>
        <v>0</v>
      </c>
      <c r="P32" s="272">
        <f t="shared" si="0"/>
        <v>-18.3</v>
      </c>
      <c r="Q32" s="531">
        <v>23</v>
      </c>
      <c r="R32" s="272"/>
      <c r="S32" s="272"/>
      <c r="T32" s="272">
        <f t="shared" si="1"/>
        <v>-18.3</v>
      </c>
      <c r="U32" s="531">
        <v>23</v>
      </c>
      <c r="V32" s="272"/>
      <c r="W32" s="272"/>
      <c r="X32" s="272">
        <f t="shared" si="2"/>
        <v>-18.3</v>
      </c>
    </row>
    <row r="33" spans="1:24">
      <c r="A33" s="117">
        <v>24</v>
      </c>
      <c r="B33" s="272">
        <f>'[3]Degree Days 2020'!B33</f>
        <v>17</v>
      </c>
      <c r="C33" s="272">
        <f>'[3]Degree Days 2020'!C33</f>
        <v>11</v>
      </c>
      <c r="D33" s="272">
        <f>'[3]Degree Days 2020'!D33</f>
        <v>-4.3000000000000007</v>
      </c>
      <c r="E33" s="272">
        <f>'[3]Degree Days 2020'!E33</f>
        <v>24</v>
      </c>
      <c r="F33" s="272">
        <f>'[3]Degree Days 2020'!F33</f>
        <v>19</v>
      </c>
      <c r="G33" s="272">
        <f>'[3]Degree Days 2020'!G33</f>
        <v>12</v>
      </c>
      <c r="H33" s="272">
        <f>'[3]Degree Days 2020'!H33</f>
        <v>-2.8000000000000007</v>
      </c>
      <c r="I33" s="272">
        <f>'[3]Degree Days 2020'!I33</f>
        <v>24</v>
      </c>
      <c r="J33" s="272">
        <f>'[3]Degree Days 2020'!J33</f>
        <v>15</v>
      </c>
      <c r="K33" s="272">
        <f>'[3]Degree Days 2020'!K33</f>
        <v>12</v>
      </c>
      <c r="L33" s="272">
        <f>'[3]Degree Days 2020'!L33</f>
        <v>-4.8000000000000007</v>
      </c>
      <c r="M33" s="272">
        <f>'[13]Degree Days 2020'!M33</f>
        <v>24</v>
      </c>
      <c r="N33" s="272">
        <f>'General information '!B29</f>
        <v>0</v>
      </c>
      <c r="O33" s="272">
        <f>'General information '!C29</f>
        <v>0</v>
      </c>
      <c r="P33" s="272">
        <f t="shared" si="0"/>
        <v>-18.3</v>
      </c>
      <c r="Q33" s="531">
        <v>24</v>
      </c>
      <c r="R33" s="272"/>
      <c r="S33" s="272"/>
      <c r="T33" s="272">
        <f t="shared" si="1"/>
        <v>-18.3</v>
      </c>
      <c r="U33" s="531">
        <v>24</v>
      </c>
      <c r="V33" s="272"/>
      <c r="W33" s="272"/>
      <c r="X33" s="272">
        <f t="shared" si="2"/>
        <v>-18.3</v>
      </c>
    </row>
    <row r="34" spans="1:24">
      <c r="A34" s="117">
        <v>25</v>
      </c>
      <c r="B34" s="272">
        <f>'[3]Degree Days 2020'!B34</f>
        <v>21</v>
      </c>
      <c r="C34" s="272">
        <f>'[3]Degree Days 2020'!C34</f>
        <v>12</v>
      </c>
      <c r="D34" s="272">
        <f>'[3]Degree Days 2020'!D34</f>
        <v>-1.8000000000000007</v>
      </c>
      <c r="E34" s="272">
        <f>'[3]Degree Days 2020'!E34</f>
        <v>25</v>
      </c>
      <c r="F34" s="272">
        <f>'[3]Degree Days 2020'!F34</f>
        <v>18</v>
      </c>
      <c r="G34" s="272">
        <f>'[3]Degree Days 2020'!G34</f>
        <v>13</v>
      </c>
      <c r="H34" s="272">
        <f>'[3]Degree Days 2020'!H34</f>
        <v>-2.8000000000000007</v>
      </c>
      <c r="I34" s="272">
        <f>'[3]Degree Days 2020'!I34</f>
        <v>25</v>
      </c>
      <c r="J34" s="272">
        <f>'[3]Degree Days 2020'!J34</f>
        <v>15</v>
      </c>
      <c r="K34" s="272">
        <f>'[3]Degree Days 2020'!K34</f>
        <v>12</v>
      </c>
      <c r="L34" s="272">
        <f>'[3]Degree Days 2020'!L34</f>
        <v>-4.8000000000000007</v>
      </c>
      <c r="M34" s="272">
        <f>'[13]Degree Days 2020'!M34</f>
        <v>25</v>
      </c>
      <c r="N34" s="272">
        <f>'General information '!B30</f>
        <v>0</v>
      </c>
      <c r="O34" s="272">
        <f>'General information '!C30</f>
        <v>0</v>
      </c>
      <c r="P34" s="272">
        <f t="shared" si="0"/>
        <v>-18.3</v>
      </c>
      <c r="Q34" s="531">
        <v>25</v>
      </c>
      <c r="R34" s="272"/>
      <c r="S34" s="272"/>
      <c r="T34" s="272">
        <f t="shared" si="1"/>
        <v>-18.3</v>
      </c>
      <c r="U34" s="531">
        <v>25</v>
      </c>
      <c r="V34" s="272"/>
      <c r="W34" s="272"/>
      <c r="X34" s="272">
        <f t="shared" si="2"/>
        <v>-18.3</v>
      </c>
    </row>
    <row r="35" spans="1:24">
      <c r="A35" s="117">
        <v>26</v>
      </c>
      <c r="B35" s="272">
        <f>'[3]Degree Days 2020'!B35</f>
        <v>18</v>
      </c>
      <c r="C35" s="272">
        <f>'[3]Degree Days 2020'!C35</f>
        <v>11</v>
      </c>
      <c r="D35" s="272">
        <f>'[3]Degree Days 2020'!D35</f>
        <v>-3.8000000000000007</v>
      </c>
      <c r="E35" s="272">
        <f>'[3]Degree Days 2020'!E35</f>
        <v>26</v>
      </c>
      <c r="F35" s="272">
        <f>'[3]Degree Days 2020'!F35</f>
        <v>18</v>
      </c>
      <c r="G35" s="272">
        <f>'[3]Degree Days 2020'!G35</f>
        <v>13</v>
      </c>
      <c r="H35" s="272">
        <f>'[3]Degree Days 2020'!H35</f>
        <v>-2.8000000000000007</v>
      </c>
      <c r="I35" s="272">
        <f>'[3]Degree Days 2020'!I35</f>
        <v>26</v>
      </c>
      <c r="J35" s="272">
        <f>'[3]Degree Days 2020'!J35</f>
        <v>16</v>
      </c>
      <c r="K35" s="272">
        <f>'[3]Degree Days 2020'!K35</f>
        <v>10</v>
      </c>
      <c r="L35" s="272">
        <f>'[3]Degree Days 2020'!L35</f>
        <v>-5.3000000000000007</v>
      </c>
      <c r="M35" s="272">
        <f>'[13]Degree Days 2020'!M35</f>
        <v>26</v>
      </c>
      <c r="N35" s="272">
        <f>'General information '!B31</f>
        <v>0</v>
      </c>
      <c r="O35" s="272">
        <f>'General information '!C31</f>
        <v>0</v>
      </c>
      <c r="P35" s="272">
        <f t="shared" si="0"/>
        <v>-18.3</v>
      </c>
      <c r="Q35" s="531">
        <v>26</v>
      </c>
      <c r="R35" s="272"/>
      <c r="S35" s="272"/>
      <c r="T35" s="272">
        <f t="shared" si="1"/>
        <v>-18.3</v>
      </c>
      <c r="U35" s="531">
        <v>26</v>
      </c>
      <c r="V35" s="272"/>
      <c r="W35" s="272"/>
      <c r="X35" s="272">
        <f t="shared" si="2"/>
        <v>-18.3</v>
      </c>
    </row>
    <row r="36" spans="1:24">
      <c r="A36" s="117">
        <v>27</v>
      </c>
      <c r="B36" s="272">
        <f>'[3]Degree Days 2020'!B36</f>
        <v>14</v>
      </c>
      <c r="C36" s="272">
        <f>'[3]Degree Days 2020'!C36</f>
        <v>10</v>
      </c>
      <c r="D36" s="272">
        <f>'[3]Degree Days 2020'!D36</f>
        <v>-6.3000000000000007</v>
      </c>
      <c r="E36" s="272">
        <f>'[3]Degree Days 2020'!E36</f>
        <v>27</v>
      </c>
      <c r="F36" s="272">
        <f>'[3]Degree Days 2020'!F36</f>
        <v>18</v>
      </c>
      <c r="G36" s="272">
        <f>'[3]Degree Days 2020'!G36</f>
        <v>13</v>
      </c>
      <c r="H36" s="272">
        <f>'[3]Degree Days 2020'!H36</f>
        <v>-2.8000000000000007</v>
      </c>
      <c r="I36" s="272">
        <f>'[3]Degree Days 2020'!I36</f>
        <v>27</v>
      </c>
      <c r="J36" s="272">
        <f>'[3]Degree Days 2020'!J36</f>
        <v>17</v>
      </c>
      <c r="K36" s="272">
        <f>'[3]Degree Days 2020'!K36</f>
        <v>11</v>
      </c>
      <c r="L36" s="272">
        <f>'[3]Degree Days 2020'!L36</f>
        <v>-4.3000000000000007</v>
      </c>
      <c r="M36" s="272">
        <f>'[13]Degree Days 2020'!M36</f>
        <v>27</v>
      </c>
      <c r="N36" s="272">
        <f>'General information '!B32</f>
        <v>0</v>
      </c>
      <c r="O36" s="272">
        <f>'General information '!C32</f>
        <v>0</v>
      </c>
      <c r="P36" s="272">
        <f t="shared" si="0"/>
        <v>-18.3</v>
      </c>
      <c r="Q36" s="531">
        <v>27</v>
      </c>
      <c r="R36" s="272"/>
      <c r="S36" s="272"/>
      <c r="T36" s="272">
        <f t="shared" si="1"/>
        <v>-18.3</v>
      </c>
      <c r="U36" s="531">
        <v>27</v>
      </c>
      <c r="V36" s="272"/>
      <c r="W36" s="272"/>
      <c r="X36" s="272">
        <f t="shared" si="2"/>
        <v>-18.3</v>
      </c>
    </row>
    <row r="37" spans="1:24">
      <c r="A37" s="117">
        <v>28</v>
      </c>
      <c r="B37" s="272">
        <f>'[3]Degree Days 2020'!B37</f>
        <v>14</v>
      </c>
      <c r="C37" s="272">
        <f>'[3]Degree Days 2020'!C37</f>
        <v>10</v>
      </c>
      <c r="D37" s="272">
        <f>'[3]Degree Days 2020'!D37</f>
        <v>-6.3000000000000007</v>
      </c>
      <c r="E37" s="272">
        <f>'[3]Degree Days 2020'!E37</f>
        <v>28</v>
      </c>
      <c r="F37" s="272">
        <f>'[3]Degree Days 2020'!F37</f>
        <v>17</v>
      </c>
      <c r="G37" s="272">
        <f>'[3]Degree Days 2020'!G37</f>
        <v>13</v>
      </c>
      <c r="H37" s="272">
        <f>'[3]Degree Days 2020'!H37</f>
        <v>-3.3000000000000007</v>
      </c>
      <c r="I37" s="272">
        <f>'[3]Degree Days 2020'!I37</f>
        <v>28</v>
      </c>
      <c r="J37" s="272">
        <f>'[3]Degree Days 2020'!J37</f>
        <v>17</v>
      </c>
      <c r="K37" s="272">
        <f>'[3]Degree Days 2020'!K37</f>
        <v>13</v>
      </c>
      <c r="L37" s="272">
        <f>'[3]Degree Days 2020'!L37</f>
        <v>-3.3000000000000007</v>
      </c>
      <c r="M37" s="272">
        <f>'[13]Degree Days 2020'!M37</f>
        <v>28</v>
      </c>
      <c r="N37" s="272">
        <f>'General information '!B33</f>
        <v>0</v>
      </c>
      <c r="O37" s="272">
        <f>'General information '!C33</f>
        <v>0</v>
      </c>
      <c r="P37" s="272">
        <f t="shared" si="0"/>
        <v>-18.3</v>
      </c>
      <c r="Q37" s="531">
        <v>28</v>
      </c>
      <c r="R37" s="272"/>
      <c r="S37" s="272"/>
      <c r="T37" s="272">
        <f t="shared" si="1"/>
        <v>-18.3</v>
      </c>
      <c r="U37" s="531">
        <v>28</v>
      </c>
      <c r="V37" s="272"/>
      <c r="W37" s="272"/>
      <c r="X37" s="272">
        <f t="shared" si="2"/>
        <v>-18.3</v>
      </c>
    </row>
    <row r="38" spans="1:24">
      <c r="A38" s="117">
        <v>29</v>
      </c>
      <c r="B38" s="272">
        <f>'[3]Degree Days 2020'!B38</f>
        <v>16</v>
      </c>
      <c r="C38" s="272">
        <f>'[3]Degree Days 2020'!C38</f>
        <v>12</v>
      </c>
      <c r="D38" s="272">
        <f>'[3]Degree Days 2020'!D38</f>
        <v>-4.3000000000000007</v>
      </c>
      <c r="E38" s="272">
        <f>'[3]Degree Days 2020'!E38</f>
        <v>0</v>
      </c>
      <c r="F38" s="272">
        <f>'[3]Degree Days 2020'!F38</f>
        <v>0</v>
      </c>
      <c r="G38" s="272">
        <f>'[3]Degree Days 2020'!G38</f>
        <v>0</v>
      </c>
      <c r="H38" s="272">
        <f>'[3]Degree Days 2020'!H38</f>
        <v>0</v>
      </c>
      <c r="I38" s="272">
        <f>'[3]Degree Days 2020'!I38</f>
        <v>29</v>
      </c>
      <c r="J38" s="272">
        <f>'[3]Degree Days 2020'!J38</f>
        <v>17</v>
      </c>
      <c r="K38" s="272">
        <f>'[3]Degree Days 2020'!K38</f>
        <v>14</v>
      </c>
      <c r="L38" s="272">
        <f>'[3]Degree Days 2020'!L38</f>
        <v>-2.8000000000000007</v>
      </c>
      <c r="M38" s="272">
        <f>'[13]Degree Days 2020'!M38</f>
        <v>29</v>
      </c>
      <c r="N38" s="272">
        <f>'General information '!B34</f>
        <v>0</v>
      </c>
      <c r="O38" s="272">
        <f>'General information '!C34</f>
        <v>0</v>
      </c>
      <c r="P38" s="272">
        <f t="shared" si="0"/>
        <v>-18.3</v>
      </c>
      <c r="Q38" s="531">
        <v>29</v>
      </c>
      <c r="R38" s="272"/>
      <c r="S38" s="272"/>
      <c r="T38" s="272">
        <f t="shared" si="1"/>
        <v>-18.3</v>
      </c>
      <c r="U38" s="531">
        <v>29</v>
      </c>
      <c r="V38" s="272"/>
      <c r="W38" s="272"/>
      <c r="X38" s="272">
        <f t="shared" si="2"/>
        <v>-18.3</v>
      </c>
    </row>
    <row r="39" spans="1:24">
      <c r="A39" s="117">
        <v>30</v>
      </c>
      <c r="B39" s="272">
        <f>'[3]Degree Days 2020'!B39</f>
        <v>10</v>
      </c>
      <c r="C39" s="272">
        <f>'[3]Degree Days 2020'!C39</f>
        <v>4</v>
      </c>
      <c r="D39" s="272">
        <f>'[3]Degree Days 2020'!D39</f>
        <v>-11.3</v>
      </c>
      <c r="E39" s="272">
        <f>'[3]Degree Days 2020'!E39</f>
        <v>0</v>
      </c>
      <c r="F39" s="272">
        <f>'[3]Degree Days 2020'!F39</f>
        <v>0</v>
      </c>
      <c r="G39" s="272">
        <f>'[3]Degree Days 2020'!G39</f>
        <v>0</v>
      </c>
      <c r="H39" s="272">
        <f>'[3]Degree Days 2020'!H39</f>
        <v>0</v>
      </c>
      <c r="I39" s="272">
        <f>'[3]Degree Days 2020'!I39</f>
        <v>30</v>
      </c>
      <c r="J39" s="272">
        <f>'[3]Degree Days 2020'!J39</f>
        <v>19</v>
      </c>
      <c r="K39" s="272">
        <f>'[3]Degree Days 2020'!K39</f>
        <v>13</v>
      </c>
      <c r="L39" s="272">
        <f>'[3]Degree Days 2020'!L39</f>
        <v>-2.3000000000000007</v>
      </c>
      <c r="M39" s="272">
        <f>'[13]Degree Days 2020'!M39</f>
        <v>30</v>
      </c>
      <c r="N39" s="272">
        <f>'General information '!B35</f>
        <v>0</v>
      </c>
      <c r="O39" s="272">
        <f>'General information '!C35</f>
        <v>0</v>
      </c>
      <c r="P39" s="272">
        <f t="shared" si="0"/>
        <v>-18.3</v>
      </c>
      <c r="Q39" s="531">
        <v>30</v>
      </c>
      <c r="R39" s="272"/>
      <c r="S39" s="272"/>
      <c r="T39" s="272">
        <f t="shared" si="1"/>
        <v>-18.3</v>
      </c>
      <c r="U39" s="531">
        <v>30</v>
      </c>
      <c r="V39" s="272"/>
      <c r="W39" s="272"/>
      <c r="X39" s="272">
        <f t="shared" si="2"/>
        <v>-18.3</v>
      </c>
    </row>
    <row r="40" spans="1:24">
      <c r="A40" s="117">
        <v>31</v>
      </c>
      <c r="B40" s="272">
        <f>'[3]Degree Days 2020'!B40</f>
        <v>21</v>
      </c>
      <c r="C40" s="272">
        <f>'[3]Degree Days 2020'!C40</f>
        <v>16</v>
      </c>
      <c r="D40" s="272">
        <f>'[3]Degree Days 2020'!D40</f>
        <v>0.19999999999999929</v>
      </c>
      <c r="E40" s="272">
        <f>'[3]Degree Days 2020'!E40</f>
        <v>0</v>
      </c>
      <c r="F40" s="272">
        <f>'[3]Degree Days 2020'!F40</f>
        <v>0</v>
      </c>
      <c r="G40" s="272">
        <f>'[3]Degree Days 2020'!G40</f>
        <v>0</v>
      </c>
      <c r="H40" s="272">
        <f>'[3]Degree Days 2020'!H40</f>
        <v>0</v>
      </c>
      <c r="I40" s="272">
        <f>'[3]Degree Days 2020'!I40</f>
        <v>31</v>
      </c>
      <c r="J40" s="272">
        <f>'[3]Degree Days 2020'!J40</f>
        <v>18</v>
      </c>
      <c r="K40" s="272">
        <f>'[3]Degree Days 2020'!K40</f>
        <v>13</v>
      </c>
      <c r="L40" s="272">
        <f>'[3]Degree Days 2020'!L40</f>
        <v>-2.8000000000000007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1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'[11]Degree Days 2020'!B43</f>
        <v>-92.59999999999998</v>
      </c>
      <c r="C43" s="119">
        <f>'[11]Degree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-467.4000000000002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5">(B48+C48)/2-18.3</f>
        <v>-18.3</v>
      </c>
      <c r="E48" s="117">
        <v>1</v>
      </c>
      <c r="F48" s="272"/>
      <c r="G48" s="272"/>
      <c r="H48" s="119">
        <f t="shared" ref="H48:H78" si="6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7">(V48+W48)/2-18.3</f>
        <v>-18.3</v>
      </c>
    </row>
    <row r="49" spans="1:24">
      <c r="A49" s="117">
        <v>2</v>
      </c>
      <c r="B49" s="272"/>
      <c r="C49" s="272"/>
      <c r="D49" s="119">
        <f t="shared" si="5"/>
        <v>-18.3</v>
      </c>
      <c r="E49" s="117">
        <v>2</v>
      </c>
      <c r="F49" s="272"/>
      <c r="G49" s="272"/>
      <c r="H49" s="119">
        <f t="shared" si="6"/>
        <v>-18.3</v>
      </c>
      <c r="I49" s="117">
        <v>2</v>
      </c>
      <c r="J49" s="272"/>
      <c r="K49" s="272"/>
      <c r="L49" s="119">
        <f t="shared" ref="L49:L77" si="8">(J49+K49)/2-18.3</f>
        <v>-18.3</v>
      </c>
      <c r="M49" s="117">
        <v>2</v>
      </c>
      <c r="N49" s="272"/>
      <c r="O49" s="272"/>
      <c r="P49" s="119">
        <f t="shared" ref="P49:P78" si="9">(N49+O49)/2-18.3</f>
        <v>-18.3</v>
      </c>
      <c r="Q49" s="117">
        <v>2</v>
      </c>
      <c r="R49" s="272"/>
      <c r="S49" s="272"/>
      <c r="T49" s="119">
        <f t="shared" ref="T49:T77" si="10">(R49+S49)/2-18.3</f>
        <v>-18.3</v>
      </c>
      <c r="U49" s="117">
        <v>2</v>
      </c>
      <c r="V49" s="272"/>
      <c r="W49" s="272"/>
      <c r="X49" s="119">
        <f t="shared" si="7"/>
        <v>-18.3</v>
      </c>
    </row>
    <row r="50" spans="1:24">
      <c r="A50" s="117">
        <v>3</v>
      </c>
      <c r="B50" s="272"/>
      <c r="C50" s="272"/>
      <c r="D50" s="119">
        <f t="shared" si="5"/>
        <v>-18.3</v>
      </c>
      <c r="E50" s="117">
        <v>3</v>
      </c>
      <c r="F50" s="272"/>
      <c r="G50" s="272"/>
      <c r="H50" s="119">
        <f t="shared" si="6"/>
        <v>-18.3</v>
      </c>
      <c r="I50" s="117">
        <v>3</v>
      </c>
      <c r="J50" s="272"/>
      <c r="K50" s="272"/>
      <c r="L50" s="119">
        <f t="shared" si="8"/>
        <v>-18.3</v>
      </c>
      <c r="M50" s="117">
        <v>3</v>
      </c>
      <c r="N50" s="272"/>
      <c r="O50" s="272"/>
      <c r="P50" s="119">
        <f t="shared" si="9"/>
        <v>-18.3</v>
      </c>
      <c r="Q50" s="117">
        <v>3</v>
      </c>
      <c r="R50" s="272"/>
      <c r="S50" s="272"/>
      <c r="T50" s="119">
        <f t="shared" si="10"/>
        <v>-18.3</v>
      </c>
      <c r="U50" s="117">
        <v>3</v>
      </c>
      <c r="V50" s="272"/>
      <c r="W50" s="272"/>
      <c r="X50" s="119">
        <f t="shared" si="7"/>
        <v>-18.3</v>
      </c>
    </row>
    <row r="51" spans="1:24">
      <c r="A51" s="117">
        <v>4</v>
      </c>
      <c r="B51" s="272"/>
      <c r="C51" s="272"/>
      <c r="D51" s="119">
        <f t="shared" si="5"/>
        <v>-18.3</v>
      </c>
      <c r="E51" s="117">
        <v>4</v>
      </c>
      <c r="F51" s="272"/>
      <c r="G51" s="272"/>
      <c r="H51" s="119">
        <f t="shared" si="6"/>
        <v>-18.3</v>
      </c>
      <c r="I51" s="117">
        <v>4</v>
      </c>
      <c r="J51" s="272"/>
      <c r="K51" s="272"/>
      <c r="L51" s="119">
        <f t="shared" si="8"/>
        <v>-18.3</v>
      </c>
      <c r="M51" s="117">
        <v>4</v>
      </c>
      <c r="N51" s="272"/>
      <c r="O51" s="272"/>
      <c r="P51" s="119">
        <f t="shared" si="9"/>
        <v>-18.3</v>
      </c>
      <c r="Q51" s="117">
        <v>4</v>
      </c>
      <c r="R51" s="272"/>
      <c r="S51" s="272"/>
      <c r="T51" s="119">
        <f t="shared" si="10"/>
        <v>-18.3</v>
      </c>
      <c r="U51" s="117">
        <v>4</v>
      </c>
      <c r="V51" s="272"/>
      <c r="W51" s="272"/>
      <c r="X51" s="119">
        <f t="shared" si="7"/>
        <v>-18.3</v>
      </c>
    </row>
    <row r="52" spans="1:24">
      <c r="A52" s="117">
        <v>5</v>
      </c>
      <c r="B52" s="272"/>
      <c r="C52" s="272"/>
      <c r="D52" s="119">
        <f t="shared" si="5"/>
        <v>-18.3</v>
      </c>
      <c r="E52" s="117">
        <v>5</v>
      </c>
      <c r="F52" s="272"/>
      <c r="G52" s="272"/>
      <c r="H52" s="119">
        <f t="shared" si="6"/>
        <v>-18.3</v>
      </c>
      <c r="I52" s="117">
        <v>5</v>
      </c>
      <c r="J52" s="272"/>
      <c r="K52" s="272"/>
      <c r="L52" s="119">
        <f t="shared" si="8"/>
        <v>-18.3</v>
      </c>
      <c r="M52" s="117">
        <v>5</v>
      </c>
      <c r="N52" s="272"/>
      <c r="O52" s="272"/>
      <c r="P52" s="119">
        <f t="shared" si="9"/>
        <v>-18.3</v>
      </c>
      <c r="Q52" s="117">
        <v>5</v>
      </c>
      <c r="R52" s="272"/>
      <c r="S52" s="272"/>
      <c r="T52" s="119">
        <f t="shared" si="10"/>
        <v>-18.3</v>
      </c>
      <c r="U52" s="117">
        <v>5</v>
      </c>
      <c r="V52" s="272"/>
      <c r="W52" s="272"/>
      <c r="X52" s="119">
        <f t="shared" si="7"/>
        <v>-18.3</v>
      </c>
    </row>
    <row r="53" spans="1:24">
      <c r="A53" s="117">
        <v>6</v>
      </c>
      <c r="B53" s="272"/>
      <c r="C53" s="272"/>
      <c r="D53" s="119">
        <f t="shared" si="5"/>
        <v>-18.3</v>
      </c>
      <c r="E53" s="117">
        <v>6</v>
      </c>
      <c r="F53" s="272"/>
      <c r="G53" s="272"/>
      <c r="H53" s="119">
        <f t="shared" si="6"/>
        <v>-18.3</v>
      </c>
      <c r="I53" s="117">
        <v>6</v>
      </c>
      <c r="J53" s="272"/>
      <c r="K53" s="272"/>
      <c r="L53" s="119">
        <f t="shared" si="8"/>
        <v>-18.3</v>
      </c>
      <c r="M53" s="117">
        <v>6</v>
      </c>
      <c r="N53" s="272"/>
      <c r="O53" s="272"/>
      <c r="P53" s="119">
        <f t="shared" si="9"/>
        <v>-18.3</v>
      </c>
      <c r="Q53" s="117">
        <v>6</v>
      </c>
      <c r="R53" s="272"/>
      <c r="S53" s="272"/>
      <c r="T53" s="119">
        <f t="shared" si="10"/>
        <v>-18.3</v>
      </c>
      <c r="U53" s="117">
        <v>6</v>
      </c>
      <c r="V53" s="272"/>
      <c r="W53" s="272"/>
      <c r="X53" s="119">
        <f t="shared" si="7"/>
        <v>-18.3</v>
      </c>
    </row>
    <row r="54" spans="1:24">
      <c r="A54" s="117">
        <v>7</v>
      </c>
      <c r="B54" s="272"/>
      <c r="C54" s="272"/>
      <c r="D54" s="119">
        <f t="shared" si="5"/>
        <v>-18.3</v>
      </c>
      <c r="E54" s="117">
        <v>7</v>
      </c>
      <c r="F54" s="272"/>
      <c r="G54" s="272"/>
      <c r="H54" s="119">
        <f t="shared" si="6"/>
        <v>-18.3</v>
      </c>
      <c r="I54" s="117">
        <v>7</v>
      </c>
      <c r="J54" s="272"/>
      <c r="K54" s="272"/>
      <c r="L54" s="119">
        <f t="shared" si="8"/>
        <v>-18.3</v>
      </c>
      <c r="M54" s="117">
        <v>7</v>
      </c>
      <c r="N54" s="272"/>
      <c r="O54" s="272"/>
      <c r="P54" s="119">
        <f t="shared" si="9"/>
        <v>-18.3</v>
      </c>
      <c r="Q54" s="117">
        <v>7</v>
      </c>
      <c r="R54" s="272"/>
      <c r="S54" s="272"/>
      <c r="T54" s="119">
        <f t="shared" si="10"/>
        <v>-18.3</v>
      </c>
      <c r="U54" s="117">
        <v>7</v>
      </c>
      <c r="V54" s="272"/>
      <c r="W54" s="272"/>
      <c r="X54" s="119">
        <f t="shared" si="7"/>
        <v>-18.3</v>
      </c>
    </row>
    <row r="55" spans="1:24">
      <c r="A55" s="117">
        <v>8</v>
      </c>
      <c r="B55" s="272"/>
      <c r="C55" s="272"/>
      <c r="D55" s="119">
        <f t="shared" si="5"/>
        <v>-18.3</v>
      </c>
      <c r="E55" s="117">
        <v>8</v>
      </c>
      <c r="F55" s="272"/>
      <c r="G55" s="272"/>
      <c r="H55" s="119">
        <f t="shared" si="6"/>
        <v>-18.3</v>
      </c>
      <c r="I55" s="117">
        <v>8</v>
      </c>
      <c r="J55" s="272"/>
      <c r="K55" s="272"/>
      <c r="L55" s="119">
        <f t="shared" si="8"/>
        <v>-18.3</v>
      </c>
      <c r="M55" s="117">
        <v>8</v>
      </c>
      <c r="N55" s="272"/>
      <c r="O55" s="272"/>
      <c r="P55" s="119">
        <f t="shared" si="9"/>
        <v>-18.3</v>
      </c>
      <c r="Q55" s="117">
        <v>8</v>
      </c>
      <c r="R55" s="272"/>
      <c r="S55" s="272"/>
      <c r="T55" s="119">
        <f t="shared" si="10"/>
        <v>-18.3</v>
      </c>
      <c r="U55" s="117">
        <v>8</v>
      </c>
      <c r="V55" s="272"/>
      <c r="W55" s="272"/>
      <c r="X55" s="119">
        <f t="shared" si="7"/>
        <v>-18.3</v>
      </c>
    </row>
    <row r="56" spans="1:24">
      <c r="A56" s="117">
        <v>9</v>
      </c>
      <c r="B56" s="272"/>
      <c r="C56" s="272"/>
      <c r="D56" s="119">
        <f t="shared" si="5"/>
        <v>-18.3</v>
      </c>
      <c r="E56" s="117">
        <v>9</v>
      </c>
      <c r="F56" s="272"/>
      <c r="G56" s="272"/>
      <c r="H56" s="119">
        <f t="shared" si="6"/>
        <v>-18.3</v>
      </c>
      <c r="I56" s="117">
        <v>9</v>
      </c>
      <c r="J56" s="272"/>
      <c r="K56" s="272"/>
      <c r="L56" s="119">
        <f t="shared" si="8"/>
        <v>-18.3</v>
      </c>
      <c r="M56" s="117">
        <v>9</v>
      </c>
      <c r="N56" s="272"/>
      <c r="O56" s="272"/>
      <c r="P56" s="119">
        <f t="shared" si="9"/>
        <v>-18.3</v>
      </c>
      <c r="Q56" s="117">
        <v>9</v>
      </c>
      <c r="R56" s="272"/>
      <c r="S56" s="272"/>
      <c r="T56" s="119">
        <f t="shared" si="10"/>
        <v>-18.3</v>
      </c>
      <c r="U56" s="117">
        <v>9</v>
      </c>
      <c r="V56" s="272"/>
      <c r="W56" s="272"/>
      <c r="X56" s="119">
        <f t="shared" si="7"/>
        <v>-18.3</v>
      </c>
    </row>
    <row r="57" spans="1:24">
      <c r="A57" s="117">
        <v>10</v>
      </c>
      <c r="B57" s="272"/>
      <c r="C57" s="272"/>
      <c r="D57" s="119">
        <f t="shared" ref="D57:D78" si="11">(B57+C57)/2-18.3</f>
        <v>-18.3</v>
      </c>
      <c r="E57" s="117">
        <v>10</v>
      </c>
      <c r="F57" s="272"/>
      <c r="G57" s="272"/>
      <c r="H57" s="119">
        <f t="shared" si="6"/>
        <v>-18.3</v>
      </c>
      <c r="I57" s="117">
        <v>10</v>
      </c>
      <c r="J57" s="272"/>
      <c r="K57" s="272"/>
      <c r="L57" s="119">
        <f t="shared" si="8"/>
        <v>-18.3</v>
      </c>
      <c r="M57" s="117">
        <v>10</v>
      </c>
      <c r="N57" s="272"/>
      <c r="O57" s="272"/>
      <c r="P57" s="119">
        <f t="shared" si="9"/>
        <v>-18.3</v>
      </c>
      <c r="Q57" s="117">
        <v>10</v>
      </c>
      <c r="R57" s="272"/>
      <c r="S57" s="272"/>
      <c r="T57" s="119">
        <f t="shared" si="10"/>
        <v>-18.3</v>
      </c>
      <c r="U57" s="117">
        <v>10</v>
      </c>
      <c r="V57" s="272"/>
      <c r="W57" s="272"/>
      <c r="X57" s="119">
        <f t="shared" si="7"/>
        <v>-18.3</v>
      </c>
    </row>
    <row r="58" spans="1:24">
      <c r="A58" s="117">
        <v>11</v>
      </c>
      <c r="B58" s="272"/>
      <c r="C58" s="272"/>
      <c r="D58" s="119">
        <f t="shared" si="11"/>
        <v>-18.3</v>
      </c>
      <c r="E58" s="117">
        <v>11</v>
      </c>
      <c r="F58" s="272"/>
      <c r="G58" s="272"/>
      <c r="H58" s="119">
        <f t="shared" si="6"/>
        <v>-18.3</v>
      </c>
      <c r="I58" s="117">
        <v>11</v>
      </c>
      <c r="J58" s="272"/>
      <c r="K58" s="272"/>
      <c r="L58" s="119">
        <f t="shared" si="8"/>
        <v>-18.3</v>
      </c>
      <c r="M58" s="117">
        <v>11</v>
      </c>
      <c r="N58" s="272"/>
      <c r="O58" s="272"/>
      <c r="P58" s="119">
        <f t="shared" si="9"/>
        <v>-18.3</v>
      </c>
      <c r="Q58" s="117">
        <v>11</v>
      </c>
      <c r="R58" s="272"/>
      <c r="S58" s="272"/>
      <c r="T58" s="119">
        <f t="shared" si="10"/>
        <v>-18.3</v>
      </c>
      <c r="U58" s="117">
        <v>11</v>
      </c>
      <c r="V58" s="272"/>
      <c r="W58" s="272"/>
      <c r="X58" s="119">
        <f t="shared" si="7"/>
        <v>-18.3</v>
      </c>
    </row>
    <row r="59" spans="1:24">
      <c r="A59" s="117">
        <v>12</v>
      </c>
      <c r="B59" s="272"/>
      <c r="C59" s="272"/>
      <c r="D59" s="119">
        <f t="shared" si="11"/>
        <v>-18.3</v>
      </c>
      <c r="E59" s="117">
        <v>12</v>
      </c>
      <c r="F59" s="272"/>
      <c r="G59" s="272"/>
      <c r="H59" s="119">
        <f t="shared" si="6"/>
        <v>-18.3</v>
      </c>
      <c r="I59" s="117">
        <v>12</v>
      </c>
      <c r="J59" s="272"/>
      <c r="K59" s="272"/>
      <c r="L59" s="119">
        <f t="shared" si="8"/>
        <v>-18.3</v>
      </c>
      <c r="M59" s="117">
        <v>12</v>
      </c>
      <c r="N59" s="272"/>
      <c r="O59" s="272"/>
      <c r="P59" s="119">
        <f t="shared" si="9"/>
        <v>-18.3</v>
      </c>
      <c r="Q59" s="117">
        <v>12</v>
      </c>
      <c r="R59" s="272"/>
      <c r="S59" s="272"/>
      <c r="T59" s="119">
        <f t="shared" si="10"/>
        <v>-18.3</v>
      </c>
      <c r="U59" s="117">
        <v>12</v>
      </c>
      <c r="V59" s="272"/>
      <c r="W59" s="272"/>
      <c r="X59" s="119">
        <f t="shared" si="7"/>
        <v>-18.3</v>
      </c>
    </row>
    <row r="60" spans="1:24">
      <c r="A60" s="117">
        <v>13</v>
      </c>
      <c r="B60" s="272"/>
      <c r="C60" s="272"/>
      <c r="D60" s="119">
        <f t="shared" si="11"/>
        <v>-18.3</v>
      </c>
      <c r="E60" s="117">
        <v>13</v>
      </c>
      <c r="F60" s="272"/>
      <c r="G60" s="272"/>
      <c r="H60" s="119">
        <f t="shared" si="6"/>
        <v>-18.3</v>
      </c>
      <c r="I60" s="117">
        <v>13</v>
      </c>
      <c r="J60" s="272"/>
      <c r="K60" s="272"/>
      <c r="L60" s="119">
        <f t="shared" si="8"/>
        <v>-18.3</v>
      </c>
      <c r="M60" s="117">
        <v>13</v>
      </c>
      <c r="N60" s="272"/>
      <c r="O60" s="272"/>
      <c r="P60" s="119">
        <f t="shared" si="9"/>
        <v>-18.3</v>
      </c>
      <c r="Q60" s="117">
        <v>13</v>
      </c>
      <c r="R60" s="272"/>
      <c r="S60" s="272"/>
      <c r="T60" s="119">
        <f t="shared" si="10"/>
        <v>-18.3</v>
      </c>
      <c r="U60" s="117">
        <v>13</v>
      </c>
      <c r="V60" s="272"/>
      <c r="W60" s="272"/>
      <c r="X60" s="119">
        <f t="shared" si="7"/>
        <v>-18.3</v>
      </c>
    </row>
    <row r="61" spans="1:24">
      <c r="A61" s="117">
        <v>14</v>
      </c>
      <c r="B61" s="272"/>
      <c r="C61" s="272"/>
      <c r="D61" s="119">
        <f t="shared" si="11"/>
        <v>-18.3</v>
      </c>
      <c r="E61" s="117">
        <v>14</v>
      </c>
      <c r="F61" s="272"/>
      <c r="G61" s="272"/>
      <c r="H61" s="119">
        <f t="shared" si="6"/>
        <v>-18.3</v>
      </c>
      <c r="I61" s="117">
        <v>14</v>
      </c>
      <c r="J61" s="272"/>
      <c r="K61" s="272"/>
      <c r="L61" s="119">
        <f t="shared" si="8"/>
        <v>-18.3</v>
      </c>
      <c r="M61" s="117">
        <v>14</v>
      </c>
      <c r="N61" s="272"/>
      <c r="O61" s="272"/>
      <c r="P61" s="119">
        <f t="shared" si="9"/>
        <v>-18.3</v>
      </c>
      <c r="Q61" s="117">
        <v>14</v>
      </c>
      <c r="R61" s="272"/>
      <c r="S61" s="272"/>
      <c r="T61" s="119">
        <f t="shared" si="10"/>
        <v>-18.3</v>
      </c>
      <c r="U61" s="117">
        <v>14</v>
      </c>
      <c r="V61" s="272"/>
      <c r="W61" s="272"/>
      <c r="X61" s="119">
        <f t="shared" si="7"/>
        <v>-18.3</v>
      </c>
    </row>
    <row r="62" spans="1:24">
      <c r="A62" s="117">
        <v>15</v>
      </c>
      <c r="B62" s="272"/>
      <c r="C62" s="272"/>
      <c r="D62" s="119">
        <f t="shared" si="11"/>
        <v>-18.3</v>
      </c>
      <c r="E62" s="117">
        <v>15</v>
      </c>
      <c r="F62" s="272"/>
      <c r="G62" s="272"/>
      <c r="H62" s="119">
        <f t="shared" si="6"/>
        <v>-18.3</v>
      </c>
      <c r="I62" s="117">
        <v>15</v>
      </c>
      <c r="J62" s="272"/>
      <c r="K62" s="272"/>
      <c r="L62" s="119">
        <f t="shared" si="8"/>
        <v>-18.3</v>
      </c>
      <c r="M62" s="117">
        <v>15</v>
      </c>
      <c r="N62" s="272"/>
      <c r="O62" s="272"/>
      <c r="P62" s="119">
        <f t="shared" si="9"/>
        <v>-18.3</v>
      </c>
      <c r="Q62" s="117">
        <v>15</v>
      </c>
      <c r="R62" s="272"/>
      <c r="S62" s="272"/>
      <c r="T62" s="119">
        <f t="shared" si="10"/>
        <v>-18.3</v>
      </c>
      <c r="U62" s="117">
        <v>15</v>
      </c>
      <c r="V62" s="272"/>
      <c r="W62" s="272"/>
      <c r="X62" s="119">
        <f t="shared" si="7"/>
        <v>-18.3</v>
      </c>
    </row>
    <row r="63" spans="1:24">
      <c r="A63" s="117">
        <v>16</v>
      </c>
      <c r="B63" s="272"/>
      <c r="C63" s="272"/>
      <c r="D63" s="119">
        <f t="shared" si="11"/>
        <v>-18.3</v>
      </c>
      <c r="E63" s="117">
        <v>16</v>
      </c>
      <c r="F63" s="272"/>
      <c r="G63" s="272"/>
      <c r="H63" s="119">
        <f t="shared" si="6"/>
        <v>-18.3</v>
      </c>
      <c r="I63" s="117">
        <v>16</v>
      </c>
      <c r="J63" s="272"/>
      <c r="K63" s="272"/>
      <c r="L63" s="119">
        <f t="shared" si="8"/>
        <v>-18.3</v>
      </c>
      <c r="M63" s="117">
        <v>16</v>
      </c>
      <c r="N63" s="272"/>
      <c r="O63" s="272"/>
      <c r="P63" s="119">
        <f t="shared" si="9"/>
        <v>-18.3</v>
      </c>
      <c r="Q63" s="117">
        <v>16</v>
      </c>
      <c r="R63" s="272"/>
      <c r="S63" s="272"/>
      <c r="T63" s="119">
        <f t="shared" si="10"/>
        <v>-18.3</v>
      </c>
      <c r="U63" s="117">
        <v>16</v>
      </c>
      <c r="V63" s="272"/>
      <c r="W63" s="272"/>
      <c r="X63" s="119">
        <f t="shared" si="7"/>
        <v>-18.3</v>
      </c>
    </row>
    <row r="64" spans="1:24">
      <c r="A64" s="117">
        <v>17</v>
      </c>
      <c r="B64" s="272"/>
      <c r="C64" s="272"/>
      <c r="D64" s="119">
        <f t="shared" si="11"/>
        <v>-18.3</v>
      </c>
      <c r="E64" s="117">
        <v>17</v>
      </c>
      <c r="F64" s="272"/>
      <c r="G64" s="272"/>
      <c r="H64" s="119">
        <f t="shared" si="6"/>
        <v>-18.3</v>
      </c>
      <c r="I64" s="117">
        <v>17</v>
      </c>
      <c r="J64" s="272"/>
      <c r="K64" s="272"/>
      <c r="L64" s="119">
        <f t="shared" si="8"/>
        <v>-18.3</v>
      </c>
      <c r="M64" s="117">
        <v>17</v>
      </c>
      <c r="N64" s="272"/>
      <c r="O64" s="272"/>
      <c r="P64" s="119">
        <f t="shared" si="9"/>
        <v>-18.3</v>
      </c>
      <c r="Q64" s="117">
        <v>17</v>
      </c>
      <c r="R64" s="272"/>
      <c r="S64" s="272"/>
      <c r="T64" s="119">
        <f t="shared" si="10"/>
        <v>-18.3</v>
      </c>
      <c r="U64" s="117">
        <v>17</v>
      </c>
      <c r="V64" s="272"/>
      <c r="W64" s="272"/>
      <c r="X64" s="119">
        <f t="shared" si="7"/>
        <v>-18.3</v>
      </c>
    </row>
    <row r="65" spans="1:24">
      <c r="A65" s="117">
        <v>18</v>
      </c>
      <c r="B65" s="272"/>
      <c r="C65" s="272"/>
      <c r="D65" s="119">
        <f t="shared" si="11"/>
        <v>-18.3</v>
      </c>
      <c r="E65" s="117">
        <v>18</v>
      </c>
      <c r="F65" s="272"/>
      <c r="G65" s="272"/>
      <c r="H65" s="119">
        <f t="shared" si="6"/>
        <v>-18.3</v>
      </c>
      <c r="I65" s="117">
        <v>18</v>
      </c>
      <c r="J65" s="272"/>
      <c r="K65" s="272"/>
      <c r="L65" s="119">
        <f t="shared" si="8"/>
        <v>-18.3</v>
      </c>
      <c r="M65" s="117">
        <v>18</v>
      </c>
      <c r="N65" s="272"/>
      <c r="O65" s="272"/>
      <c r="P65" s="119">
        <f t="shared" si="9"/>
        <v>-18.3</v>
      </c>
      <c r="Q65" s="117">
        <v>18</v>
      </c>
      <c r="R65" s="272"/>
      <c r="S65" s="272"/>
      <c r="T65" s="119">
        <f t="shared" si="10"/>
        <v>-18.3</v>
      </c>
      <c r="U65" s="117">
        <v>18</v>
      </c>
      <c r="V65" s="272"/>
      <c r="W65" s="272"/>
      <c r="X65" s="119">
        <f t="shared" si="7"/>
        <v>-18.3</v>
      </c>
    </row>
    <row r="66" spans="1:24">
      <c r="A66" s="117">
        <v>19</v>
      </c>
      <c r="B66" s="272"/>
      <c r="C66" s="272"/>
      <c r="D66" s="119">
        <f t="shared" si="11"/>
        <v>-18.3</v>
      </c>
      <c r="E66" s="117">
        <v>19</v>
      </c>
      <c r="F66" s="272"/>
      <c r="G66" s="272"/>
      <c r="H66" s="119">
        <f t="shared" si="6"/>
        <v>-18.3</v>
      </c>
      <c r="I66" s="117">
        <v>19</v>
      </c>
      <c r="J66" s="272"/>
      <c r="K66" s="272"/>
      <c r="L66" s="119">
        <f t="shared" si="8"/>
        <v>-18.3</v>
      </c>
      <c r="M66" s="117">
        <v>19</v>
      </c>
      <c r="N66" s="272"/>
      <c r="O66" s="272"/>
      <c r="P66" s="119">
        <f t="shared" si="9"/>
        <v>-18.3</v>
      </c>
      <c r="Q66" s="117">
        <v>19</v>
      </c>
      <c r="R66" s="272"/>
      <c r="S66" s="272"/>
      <c r="T66" s="119">
        <f t="shared" si="10"/>
        <v>-18.3</v>
      </c>
      <c r="U66" s="117">
        <v>19</v>
      </c>
      <c r="V66" s="272"/>
      <c r="W66" s="272"/>
      <c r="X66" s="119">
        <f t="shared" si="7"/>
        <v>-18.3</v>
      </c>
    </row>
    <row r="67" spans="1:24">
      <c r="A67" s="117">
        <v>20</v>
      </c>
      <c r="B67" s="272"/>
      <c r="C67" s="272"/>
      <c r="D67" s="119">
        <f t="shared" si="11"/>
        <v>-18.3</v>
      </c>
      <c r="E67" s="117">
        <v>20</v>
      </c>
      <c r="F67" s="272"/>
      <c r="G67" s="272"/>
      <c r="H67" s="119">
        <f t="shared" si="6"/>
        <v>-18.3</v>
      </c>
      <c r="I67" s="117">
        <v>20</v>
      </c>
      <c r="J67" s="272"/>
      <c r="K67" s="272"/>
      <c r="L67" s="119">
        <f t="shared" si="8"/>
        <v>-18.3</v>
      </c>
      <c r="M67" s="117">
        <v>20</v>
      </c>
      <c r="N67" s="272"/>
      <c r="O67" s="272"/>
      <c r="P67" s="119">
        <f t="shared" si="9"/>
        <v>-18.3</v>
      </c>
      <c r="Q67" s="117">
        <v>20</v>
      </c>
      <c r="R67" s="272"/>
      <c r="S67" s="272"/>
      <c r="T67" s="119">
        <f t="shared" si="10"/>
        <v>-18.3</v>
      </c>
      <c r="U67" s="117">
        <v>20</v>
      </c>
      <c r="V67" s="272"/>
      <c r="W67" s="272"/>
      <c r="X67" s="119">
        <f t="shared" si="7"/>
        <v>-18.3</v>
      </c>
    </row>
    <row r="68" spans="1:24">
      <c r="A68" s="117">
        <v>21</v>
      </c>
      <c r="B68" s="272"/>
      <c r="C68" s="272"/>
      <c r="D68" s="119">
        <f t="shared" si="11"/>
        <v>-18.3</v>
      </c>
      <c r="E68" s="117">
        <v>21</v>
      </c>
      <c r="F68" s="272"/>
      <c r="G68" s="272"/>
      <c r="H68" s="119">
        <f t="shared" si="6"/>
        <v>-18.3</v>
      </c>
      <c r="I68" s="117">
        <v>21</v>
      </c>
      <c r="J68" s="272"/>
      <c r="K68" s="272"/>
      <c r="L68" s="119">
        <f t="shared" si="8"/>
        <v>-18.3</v>
      </c>
      <c r="M68" s="117">
        <v>21</v>
      </c>
      <c r="N68" s="272"/>
      <c r="O68" s="272"/>
      <c r="P68" s="119">
        <f t="shared" si="9"/>
        <v>-18.3</v>
      </c>
      <c r="Q68" s="117">
        <v>21</v>
      </c>
      <c r="R68" s="272"/>
      <c r="S68" s="272"/>
      <c r="T68" s="119">
        <f t="shared" si="10"/>
        <v>-18.3</v>
      </c>
      <c r="U68" s="117">
        <v>21</v>
      </c>
      <c r="V68" s="272"/>
      <c r="W68" s="272"/>
      <c r="X68" s="119">
        <f t="shared" si="7"/>
        <v>-18.3</v>
      </c>
    </row>
    <row r="69" spans="1:24">
      <c r="A69" s="117">
        <v>22</v>
      </c>
      <c r="B69" s="272"/>
      <c r="C69" s="272"/>
      <c r="D69" s="119">
        <f t="shared" si="11"/>
        <v>-18.3</v>
      </c>
      <c r="E69" s="117">
        <v>22</v>
      </c>
      <c r="F69" s="272"/>
      <c r="G69" s="272"/>
      <c r="H69" s="119">
        <f t="shared" si="6"/>
        <v>-18.3</v>
      </c>
      <c r="I69" s="117">
        <v>22</v>
      </c>
      <c r="J69" s="272"/>
      <c r="K69" s="272"/>
      <c r="L69" s="119">
        <f t="shared" si="8"/>
        <v>-18.3</v>
      </c>
      <c r="M69" s="117">
        <v>22</v>
      </c>
      <c r="N69" s="272"/>
      <c r="O69" s="272"/>
      <c r="P69" s="119">
        <f t="shared" si="9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7"/>
        <v>-18.3</v>
      </c>
    </row>
    <row r="70" spans="1:24">
      <c r="A70" s="117">
        <v>23</v>
      </c>
      <c r="B70" s="272"/>
      <c r="C70" s="272"/>
      <c r="D70" s="119">
        <f t="shared" si="11"/>
        <v>-18.3</v>
      </c>
      <c r="E70" s="117">
        <v>23</v>
      </c>
      <c r="F70" s="272"/>
      <c r="G70" s="272"/>
      <c r="H70" s="119">
        <f t="shared" si="6"/>
        <v>-18.3</v>
      </c>
      <c r="I70" s="117">
        <v>23</v>
      </c>
      <c r="J70" s="272"/>
      <c r="K70" s="272"/>
      <c r="L70" s="119">
        <f t="shared" si="8"/>
        <v>-18.3</v>
      </c>
      <c r="M70" s="117">
        <v>23</v>
      </c>
      <c r="N70" s="272"/>
      <c r="O70" s="272"/>
      <c r="P70" s="119">
        <f t="shared" si="9"/>
        <v>-18.3</v>
      </c>
      <c r="Q70" s="117">
        <v>23</v>
      </c>
      <c r="R70" s="272"/>
      <c r="S70" s="272"/>
      <c r="T70" s="119">
        <f t="shared" si="10"/>
        <v>-18.3</v>
      </c>
      <c r="U70" s="117">
        <v>23</v>
      </c>
      <c r="V70" s="272"/>
      <c r="W70" s="272"/>
      <c r="X70" s="119">
        <f t="shared" si="7"/>
        <v>-18.3</v>
      </c>
    </row>
    <row r="71" spans="1:24">
      <c r="A71" s="117">
        <v>24</v>
      </c>
      <c r="B71" s="272"/>
      <c r="C71" s="272"/>
      <c r="D71" s="119">
        <f t="shared" si="11"/>
        <v>-18.3</v>
      </c>
      <c r="E71" s="117">
        <v>24</v>
      </c>
      <c r="F71" s="272"/>
      <c r="G71" s="272"/>
      <c r="H71" s="119">
        <f t="shared" si="6"/>
        <v>-18.3</v>
      </c>
      <c r="I71" s="117">
        <v>24</v>
      </c>
      <c r="J71" s="272"/>
      <c r="K71" s="272"/>
      <c r="L71" s="119">
        <f t="shared" si="8"/>
        <v>-18.3</v>
      </c>
      <c r="M71" s="117">
        <v>24</v>
      </c>
      <c r="N71" s="272"/>
      <c r="O71" s="272"/>
      <c r="P71" s="119">
        <f t="shared" si="9"/>
        <v>-18.3</v>
      </c>
      <c r="Q71" s="117">
        <v>24</v>
      </c>
      <c r="R71" s="272"/>
      <c r="S71" s="272"/>
      <c r="T71" s="119">
        <f t="shared" si="10"/>
        <v>-18.3</v>
      </c>
      <c r="U71" s="117">
        <v>24</v>
      </c>
      <c r="V71" s="272"/>
      <c r="W71" s="272"/>
      <c r="X71" s="119">
        <f t="shared" si="7"/>
        <v>-18.3</v>
      </c>
    </row>
    <row r="72" spans="1:24">
      <c r="A72" s="117">
        <v>25</v>
      </c>
      <c r="B72" s="272"/>
      <c r="C72" s="272"/>
      <c r="D72" s="119">
        <f t="shared" si="11"/>
        <v>-18.3</v>
      </c>
      <c r="E72" s="117">
        <v>25</v>
      </c>
      <c r="F72" s="272"/>
      <c r="G72" s="272"/>
      <c r="H72" s="119">
        <f t="shared" si="6"/>
        <v>-18.3</v>
      </c>
      <c r="I72" s="117">
        <v>25</v>
      </c>
      <c r="J72" s="272"/>
      <c r="K72" s="272"/>
      <c r="L72" s="119">
        <f t="shared" si="8"/>
        <v>-18.3</v>
      </c>
      <c r="M72" s="117">
        <v>25</v>
      </c>
      <c r="N72" s="272"/>
      <c r="O72" s="272"/>
      <c r="P72" s="119">
        <f t="shared" si="9"/>
        <v>-18.3</v>
      </c>
      <c r="Q72" s="117">
        <v>25</v>
      </c>
      <c r="R72" s="272"/>
      <c r="S72" s="272"/>
      <c r="T72" s="119">
        <f t="shared" si="10"/>
        <v>-18.3</v>
      </c>
      <c r="U72" s="117">
        <v>25</v>
      </c>
      <c r="V72" s="272"/>
      <c r="W72" s="272"/>
      <c r="X72" s="119">
        <f t="shared" si="7"/>
        <v>-18.3</v>
      </c>
    </row>
    <row r="73" spans="1:24">
      <c r="A73" s="117">
        <v>26</v>
      </c>
      <c r="B73" s="272"/>
      <c r="C73" s="272"/>
      <c r="D73" s="119">
        <f t="shared" si="11"/>
        <v>-18.3</v>
      </c>
      <c r="E73" s="117">
        <v>26</v>
      </c>
      <c r="F73" s="272"/>
      <c r="G73" s="272"/>
      <c r="H73" s="119">
        <f t="shared" si="6"/>
        <v>-18.3</v>
      </c>
      <c r="I73" s="117">
        <v>26</v>
      </c>
      <c r="J73" s="272"/>
      <c r="K73" s="272"/>
      <c r="L73" s="119">
        <f t="shared" si="8"/>
        <v>-18.3</v>
      </c>
      <c r="M73" s="117">
        <v>26</v>
      </c>
      <c r="N73" s="272"/>
      <c r="O73" s="272"/>
      <c r="P73" s="119">
        <f t="shared" si="9"/>
        <v>-18.3</v>
      </c>
      <c r="Q73" s="117">
        <v>26</v>
      </c>
      <c r="R73" s="272"/>
      <c r="S73" s="272"/>
      <c r="T73" s="119">
        <f t="shared" si="10"/>
        <v>-18.3</v>
      </c>
      <c r="U73" s="117">
        <v>26</v>
      </c>
      <c r="V73" s="272"/>
      <c r="W73" s="272"/>
      <c r="X73" s="119">
        <f t="shared" si="7"/>
        <v>-18.3</v>
      </c>
    </row>
    <row r="74" spans="1:24">
      <c r="A74" s="117">
        <v>27</v>
      </c>
      <c r="B74" s="272"/>
      <c r="C74" s="272"/>
      <c r="D74" s="119">
        <f t="shared" si="11"/>
        <v>-18.3</v>
      </c>
      <c r="E74" s="117">
        <v>27</v>
      </c>
      <c r="F74" s="272"/>
      <c r="G74" s="272"/>
      <c r="H74" s="119">
        <f t="shared" si="6"/>
        <v>-18.3</v>
      </c>
      <c r="I74" s="117">
        <v>27</v>
      </c>
      <c r="J74" s="272"/>
      <c r="K74" s="272"/>
      <c r="L74" s="119">
        <f t="shared" si="8"/>
        <v>-18.3</v>
      </c>
      <c r="M74" s="117">
        <v>27</v>
      </c>
      <c r="N74" s="272"/>
      <c r="O74" s="272"/>
      <c r="P74" s="119">
        <f t="shared" si="9"/>
        <v>-18.3</v>
      </c>
      <c r="Q74" s="117">
        <v>27</v>
      </c>
      <c r="R74" s="272"/>
      <c r="S74" s="272"/>
      <c r="T74" s="119">
        <f t="shared" si="10"/>
        <v>-18.3</v>
      </c>
      <c r="U74" s="117">
        <v>27</v>
      </c>
      <c r="V74" s="272"/>
      <c r="W74" s="272"/>
      <c r="X74" s="119">
        <f t="shared" si="7"/>
        <v>-18.3</v>
      </c>
    </row>
    <row r="75" spans="1:24">
      <c r="A75" s="117">
        <v>28</v>
      </c>
      <c r="B75" s="272"/>
      <c r="C75" s="272"/>
      <c r="D75" s="119">
        <f t="shared" si="11"/>
        <v>-18.3</v>
      </c>
      <c r="E75" s="117">
        <v>28</v>
      </c>
      <c r="F75" s="272"/>
      <c r="G75" s="272"/>
      <c r="H75" s="119">
        <f t="shared" si="6"/>
        <v>-18.3</v>
      </c>
      <c r="I75" s="117">
        <v>28</v>
      </c>
      <c r="J75" s="272"/>
      <c r="K75" s="272"/>
      <c r="L75" s="119">
        <f t="shared" si="8"/>
        <v>-18.3</v>
      </c>
      <c r="M75" s="117">
        <v>28</v>
      </c>
      <c r="N75" s="272"/>
      <c r="O75" s="272"/>
      <c r="P75" s="119">
        <f t="shared" si="9"/>
        <v>-18.3</v>
      </c>
      <c r="Q75" s="117">
        <v>28</v>
      </c>
      <c r="R75" s="272"/>
      <c r="S75" s="272"/>
      <c r="T75" s="119">
        <f t="shared" si="10"/>
        <v>-18.3</v>
      </c>
      <c r="U75" s="117">
        <v>28</v>
      </c>
      <c r="V75" s="272"/>
      <c r="W75" s="272"/>
      <c r="X75" s="119">
        <f t="shared" si="7"/>
        <v>-18.3</v>
      </c>
    </row>
    <row r="76" spans="1:24">
      <c r="A76" s="117">
        <v>29</v>
      </c>
      <c r="B76" s="272"/>
      <c r="C76" s="272"/>
      <c r="D76" s="119">
        <f t="shared" si="11"/>
        <v>-18.3</v>
      </c>
      <c r="E76" s="117">
        <v>29</v>
      </c>
      <c r="F76" s="272"/>
      <c r="G76" s="272"/>
      <c r="H76" s="119">
        <f t="shared" si="6"/>
        <v>-18.3</v>
      </c>
      <c r="I76" s="117">
        <v>29</v>
      </c>
      <c r="J76" s="272"/>
      <c r="K76" s="272"/>
      <c r="L76" s="119">
        <f t="shared" si="8"/>
        <v>-18.3</v>
      </c>
      <c r="M76" s="117">
        <v>29</v>
      </c>
      <c r="N76" s="272"/>
      <c r="O76" s="272"/>
      <c r="P76" s="119">
        <f t="shared" si="9"/>
        <v>-18.3</v>
      </c>
      <c r="Q76" s="117">
        <v>29</v>
      </c>
      <c r="R76" s="272"/>
      <c r="S76" s="272"/>
      <c r="T76" s="119">
        <f t="shared" si="10"/>
        <v>-18.3</v>
      </c>
      <c r="U76" s="117">
        <v>29</v>
      </c>
      <c r="V76" s="272"/>
      <c r="W76" s="272"/>
      <c r="X76" s="119">
        <f t="shared" si="7"/>
        <v>-18.3</v>
      </c>
    </row>
    <row r="77" spans="1:24">
      <c r="A77" s="117">
        <v>30</v>
      </c>
      <c r="B77" s="272"/>
      <c r="C77" s="272"/>
      <c r="D77" s="119">
        <f t="shared" si="11"/>
        <v>-18.3</v>
      </c>
      <c r="E77" s="117">
        <v>30</v>
      </c>
      <c r="F77" s="272"/>
      <c r="G77" s="272"/>
      <c r="H77" s="119">
        <f t="shared" si="6"/>
        <v>-18.3</v>
      </c>
      <c r="I77" s="117">
        <v>30</v>
      </c>
      <c r="J77" s="272"/>
      <c r="K77" s="272"/>
      <c r="L77" s="119">
        <f t="shared" si="8"/>
        <v>-18.3</v>
      </c>
      <c r="M77" s="117">
        <v>30</v>
      </c>
      <c r="N77" s="272"/>
      <c r="O77" s="272"/>
      <c r="P77" s="119">
        <f t="shared" si="9"/>
        <v>-18.3</v>
      </c>
      <c r="Q77" s="117">
        <v>30</v>
      </c>
      <c r="R77" s="272"/>
      <c r="S77" s="272"/>
      <c r="T77" s="119">
        <f t="shared" si="10"/>
        <v>-18.3</v>
      </c>
      <c r="U77" s="117">
        <v>30</v>
      </c>
      <c r="V77" s="272"/>
      <c r="W77" s="272"/>
      <c r="X77" s="119">
        <f t="shared" si="7"/>
        <v>-18.3</v>
      </c>
    </row>
    <row r="78" spans="1:24">
      <c r="A78" s="120">
        <v>31</v>
      </c>
      <c r="B78" s="272"/>
      <c r="C78" s="272"/>
      <c r="D78" s="119">
        <f t="shared" si="11"/>
        <v>-18.3</v>
      </c>
      <c r="E78" s="120">
        <v>31</v>
      </c>
      <c r="F78" s="272"/>
      <c r="G78" s="272"/>
      <c r="H78" s="119">
        <f t="shared" si="6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9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7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697" t="s">
        <v>174</v>
      </c>
      <c r="O84" s="697" t="s">
        <v>175</v>
      </c>
      <c r="P84" s="134"/>
      <c r="T84" s="134"/>
      <c r="X84" s="134"/>
    </row>
    <row r="85" spans="1:24" ht="20.25" thickBot="1">
      <c r="D85" s="134"/>
      <c r="I85" s="699" t="s">
        <v>182</v>
      </c>
      <c r="J85" s="700"/>
      <c r="K85" s="700"/>
      <c r="L85" s="700"/>
      <c r="N85" s="698"/>
      <c r="O85" s="698"/>
      <c r="P85" s="134"/>
      <c r="R85" s="17"/>
      <c r="S85" s="17"/>
      <c r="T85" s="140"/>
      <c r="U85" s="141"/>
      <c r="X85" s="134"/>
    </row>
    <row r="86" spans="1:24" ht="18.75" thickBot="1">
      <c r="D86" s="134"/>
      <c r="I86" s="701" t="s">
        <v>183</v>
      </c>
      <c r="J86" s="701"/>
      <c r="K86" s="701"/>
      <c r="L86" s="701"/>
      <c r="N86" s="142">
        <f>B43+F43+J43+N43+R43+V43+B81+F81+J81+N81+R81+V81</f>
        <v>-5084.8000000000011</v>
      </c>
      <c r="O86" s="142">
        <f>C43+G43+K43+O43+S43+W43+C81+G81+K81+O81+S81+W81</f>
        <v>20.799999999999986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1"/>
      <c r="C88" s="691"/>
      <c r="D88" s="691"/>
      <c r="E88" s="691"/>
      <c r="F88" s="691"/>
      <c r="G88" s="691"/>
      <c r="H88" s="691"/>
      <c r="I88" s="691"/>
      <c r="J88" s="691"/>
      <c r="K88" s="691"/>
      <c r="L88" s="691"/>
      <c r="M88" s="691"/>
      <c r="N88" s="691"/>
      <c r="O88" s="691"/>
      <c r="P88" s="691"/>
      <c r="Q88" s="691"/>
      <c r="R88" s="691"/>
      <c r="S88" s="691"/>
      <c r="T88" s="691"/>
      <c r="U88" s="691"/>
      <c r="V88" s="691"/>
      <c r="W88" s="69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5" t="s">
        <v>216</v>
      </c>
      <c r="B2" s="705"/>
      <c r="C2" s="705"/>
      <c r="D2" s="705"/>
      <c r="E2" s="705"/>
      <c r="F2" s="705"/>
      <c r="G2" s="705"/>
      <c r="H2" s="705"/>
      <c r="I2" s="705"/>
    </row>
    <row r="3" spans="1:11">
      <c r="A3" s="193">
        <v>44290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log'!A34</f>
        <v>3</v>
      </c>
      <c r="G4" s="195">
        <v>30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WATER!C36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5">
        <v>0</v>
      </c>
      <c r="J6" s="276"/>
    </row>
    <row r="7" spans="1:11">
      <c r="A7" s="184" t="s">
        <v>218</v>
      </c>
      <c r="B7" s="350">
        <f>WATER!H36</f>
        <v>0</v>
      </c>
      <c r="C7" s="184">
        <v>8200</v>
      </c>
      <c r="D7" s="187">
        <f>SUM(C7)*D4</f>
        <v>12361500</v>
      </c>
      <c r="E7" s="185">
        <f>SUM(I7/G4)</f>
        <v>273.33333333333331</v>
      </c>
      <c r="F7" s="185">
        <f>SUM(E7*F4)</f>
        <v>820</v>
      </c>
      <c r="G7" s="510">
        <v>8200</v>
      </c>
      <c r="H7" s="189">
        <f>'[14]Budget 2021'!$C$15</f>
        <v>8200</v>
      </c>
      <c r="I7" s="185">
        <f>'[14]Budget 2021'!$C$15</f>
        <v>8200</v>
      </c>
      <c r="J7" s="276"/>
    </row>
    <row r="8" spans="1:11">
      <c r="A8" s="190" t="s">
        <v>219</v>
      </c>
      <c r="B8" s="351">
        <f>tanks!AT36</f>
        <v>6145</v>
      </c>
      <c r="C8" s="493">
        <f>SUM(tanks!AU36)</f>
        <v>0.96</v>
      </c>
      <c r="D8" s="191">
        <f>SUM(B8*C8)*D4</f>
        <v>8893044</v>
      </c>
      <c r="E8" s="192">
        <f>SUM(D8/D4/F4)</f>
        <v>1966.3999999999999</v>
      </c>
      <c r="F8" s="192">
        <f>SUM(E8*F4)</f>
        <v>5899.2</v>
      </c>
      <c r="G8" s="510">
        <f>E8*$F$4</f>
        <v>5899.2</v>
      </c>
      <c r="H8" s="189">
        <v>18139</v>
      </c>
      <c r="I8" s="192">
        <v>18139</v>
      </c>
      <c r="J8" s="276"/>
    </row>
    <row r="9" spans="1:11">
      <c r="A9" s="2" t="s">
        <v>414</v>
      </c>
      <c r="B9" s="352">
        <f>'B5'!AV36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3"/>
      <c r="C10" s="181"/>
      <c r="D10" s="183">
        <f>'EDl log'!AB33</f>
        <v>7517005</v>
      </c>
      <c r="E10" s="182">
        <f>SUM(D10/D4/F4)</f>
        <v>1662.1348811498065</v>
      </c>
      <c r="F10" s="182">
        <f>SUM(E10*F4)</f>
        <v>4986.4046434494194</v>
      </c>
      <c r="G10" s="510">
        <f>(E10-'EDl log'!AD34)*$G$4</f>
        <v>-94150.545469951729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3901.8682144831396</v>
      </c>
      <c r="F12" s="180">
        <f>SUM(F6:F10)</f>
        <v>11705.60464344942</v>
      </c>
      <c r="G12" s="179">
        <f>SUM(G6:G10)</f>
        <v>-80051.345469951732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-56.899999999999991</v>
      </c>
      <c r="C14" s="433">
        <f>'[15]Utility Cost '!C14</f>
        <v>0</v>
      </c>
      <c r="D14" s="170"/>
      <c r="E14" s="170">
        <f t="shared" ref="E14:E18" si="0">B14-C14</f>
        <v>-56.899999999999991</v>
      </c>
      <c r="F14" s="509">
        <v>0</v>
      </c>
      <c r="G14" s="422"/>
      <c r="H14" s="423">
        <f>SUM(G12-H12)</f>
        <v>-125390.34546995173</v>
      </c>
      <c r="I14" s="423">
        <f>SUM(G12-I12)</f>
        <v>-125390.34546995173</v>
      </c>
    </row>
    <row r="15" spans="1:11">
      <c r="A15" s="449" t="s">
        <v>303</v>
      </c>
      <c r="B15" s="97">
        <f>'Degree Days 2020'!AA19</f>
        <v>0</v>
      </c>
      <c r="C15" s="433">
        <f>'[15]Utility Cost '!C15</f>
        <v>-87.799999999999955</v>
      </c>
      <c r="D15" s="170"/>
      <c r="E15" s="170">
        <f t="shared" si="0"/>
        <v>87.799999999999955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4">
        <f>'General information '!D37</f>
        <v>15</v>
      </c>
      <c r="C16" s="433">
        <f>'[15]Utility Cost '!C16</f>
        <v>18.116666666666667</v>
      </c>
      <c r="D16" s="432"/>
      <c r="E16" s="433">
        <f t="shared" si="0"/>
        <v>-3.1166666666666671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'!F36</f>
        <v>0</v>
      </c>
      <c r="C17" s="433">
        <f>'[15]Utility Cost '!C17</f>
        <v>0.81745666666666661</v>
      </c>
      <c r="D17" s="477">
        <v>0</v>
      </c>
      <c r="E17" s="523">
        <f t="shared" si="0"/>
        <v>-0.81745666666666661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GEN!Z33</f>
        <v>49</v>
      </c>
      <c r="C18" s="433">
        <f>'[15]Utility Cost '!C18</f>
        <v>100</v>
      </c>
      <c r="D18" s="430">
        <f>'[14]Other Fuel Calculation 2021'!$C$117</f>
        <v>172.73885330486587</v>
      </c>
      <c r="E18" s="525">
        <f t="shared" si="0"/>
        <v>-51</v>
      </c>
      <c r="F18" s="528">
        <f>B18-D18</f>
        <v>-123.73885330486587</v>
      </c>
    </row>
    <row r="19" spans="1:10">
      <c r="A19" s="522" t="s">
        <v>411</v>
      </c>
      <c r="B19" s="520">
        <f>SUM(B18/$F$4)</f>
        <v>16.333333333333332</v>
      </c>
      <c r="C19" s="433">
        <f>'[15]Utility Cost '!C19</f>
        <v>3.3333333333333335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3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2021-04-04T08:43:16Z</dcterms:modified>
</cp:coreProperties>
</file>