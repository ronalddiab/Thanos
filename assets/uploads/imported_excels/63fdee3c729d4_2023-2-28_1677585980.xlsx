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112" documentId="11_DC81A93F666FDC05A12A2552F63581A5A6980FBF" xr6:coauthVersionLast="47" xr6:coauthVersionMax="47" xr10:uidLastSave="{57CF7F21-994B-4727-A21E-9EC108163DAA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Feb 2020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30" i="11" l="1"/>
  <c r="BC3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4" i="11"/>
  <c r="BB25" i="11"/>
  <c r="BB26" i="11"/>
  <c r="BB27" i="11"/>
  <c r="BB28" i="11"/>
  <c r="BB29" i="11"/>
  <c r="BB30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F31" i="11"/>
  <c r="G31" i="11"/>
  <c r="H31" i="11"/>
  <c r="I31" i="11"/>
  <c r="J31" i="11"/>
  <c r="L31" i="11"/>
  <c r="M31" i="11"/>
  <c r="N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BA31" i="11"/>
  <c r="BB31" i="11"/>
  <c r="BD31" i="11"/>
  <c r="BE31" i="11"/>
  <c r="BF31" i="11"/>
  <c r="BG31" i="11"/>
  <c r="BH31" i="11"/>
  <c r="BI31" i="11"/>
  <c r="BJ31" i="11"/>
  <c r="BK31" i="11"/>
  <c r="BL31" i="11"/>
  <c r="BM31" i="11"/>
  <c r="BN31" i="11"/>
  <c r="BO31" i="11"/>
  <c r="BP31" i="11"/>
  <c r="E31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B30" i="11"/>
  <c r="W2" i="11"/>
  <c r="O2" i="11"/>
  <c r="K2" i="11"/>
  <c r="AG37" i="14"/>
  <c r="BB3" i="11"/>
  <c r="BB4" i="11"/>
  <c r="BB5" i="11"/>
  <c r="BB6" i="11"/>
  <c r="BB7" i="11"/>
  <c r="BB2" i="11"/>
  <c r="G2" i="11" l="1"/>
  <c r="F2" i="11"/>
  <c r="H2" i="11"/>
  <c r="AR37" i="14" l="1"/>
  <c r="AQ37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C3" i="11"/>
  <c r="BC4" i="11"/>
  <c r="BC5" i="11"/>
  <c r="BC6" i="11"/>
  <c r="BC7" i="11"/>
  <c r="BC8" i="11"/>
  <c r="BC9" i="11"/>
  <c r="BC10" i="11"/>
  <c r="BC11" i="11"/>
  <c r="BC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X37" i="14"/>
  <c r="AI37" i="14"/>
  <c r="AA37" i="14"/>
  <c r="W37" i="14"/>
  <c r="U37" i="14"/>
  <c r="S37" i="14"/>
  <c r="Q37" i="14"/>
  <c r="K37" i="14"/>
  <c r="G37" i="14"/>
  <c r="I37" i="14"/>
  <c r="E37" i="14"/>
  <c r="C37" i="14"/>
  <c r="D37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<sst xmlns="http://schemas.openxmlformats.org/spreadsheetml/2006/main" count="250" uniqueCount="84">
  <si>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</si>
  <si>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</si>
  <si>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</si>
  <si>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</si>
  <si>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</si>
  <si>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</si>
  <si>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</si>
  <si>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</si>
  <si>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</si>
  <si>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</si>
  <si>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</si>
  <si>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</si>
  <si>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</si>
  <si>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</si>
  <si>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</si>
  <si>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</si>
  <si>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</si>
  <si>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</si>
  <si>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</si>
  <si>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</si>
  <si>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</si>
  <si>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</si>
  <si>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</si>
  <si>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</si>
  <si>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</si>
  <si>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</si>
  <si>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</si>
  <si>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</si>
  <si>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</si>
  <si>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</si>
  <si>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</si>
  <si>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</si>
  <si>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</si>
  <si>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</si>
  <si>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</si>
  <si>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</si>
  <si>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</si>
  <si>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</si>
  <si>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</si>
  <si>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</si>
  <si>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</si>
  <si>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</si>
  <si>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</si>
  <si>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</si>
  <si>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</si>
  <si>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</si>
  <si>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</si>
  <si>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</si>
  <si>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</si>
  <si>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</si>
  <si>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</si>
  <si>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</si>
  <si>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</si>
  <si>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</si>
  <si>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</si>
  <si>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</si>
  <si>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</si>
  <si>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</si>
  <si>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</si>
  <si>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</si>
  <si>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</si>
  <si>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</si>
  <si>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</si>
  <si>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</si>
  <si>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</si>
  <si>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</si>
  <si>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</si>
  <si>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</si>
  <si>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</si>
  <si>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</si>
  <si>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</si>
  <si>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</si>
  <si>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</si>
  <si>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Feb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</si>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</sst>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83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5" fontId="0" fillId="3" borderId="12" xfId="0" applyNumberFormat="1" applyFill="1" applyBorder="1"/>
    <xf numFmtId="165" fontId="0" fillId="0" borderId="12" xfId="0" applyNumberFormat="1" applyBorder="1"/>
    <xf numFmtId="0" fontId="0" fillId="0" borderId="1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2" xfId="0" applyFill="1" applyBorder="1" applyAlignment="1">
      <alignment vertical="center"/>
    </xf>
    <xf numFmtId="165" fontId="0" fillId="3" borderId="12" xfId="1" applyNumberFormat="1" applyFont="1" applyFill="1" applyBorder="1" applyAlignment="1">
      <alignment vertical="center"/>
    </xf>
    <xf numFmtId="0" fontId="13" fillId="0" borderId="12" xfId="0" applyFont="1" applyBorder="1"/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6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0" fillId="0" borderId="1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5" xfId="0" applyBorder="1" applyAlignment="1">
      <alignment vertical="center"/>
    </xf>
    <xf numFmtId="0" fontId="8" fillId="7" borderId="3" xfId="0" applyFont="1" applyFill="1" applyBorder="1" applyAlignment="1">
      <alignment horizontal="center" vertical="center" shrinkToFit="1"/>
    </xf>
    <xf numFmtId="0" fontId="0" fillId="0" borderId="16" xfId="0" applyBorder="1" applyAlignment="1">
      <alignment vertical="center"/>
    </xf>
    <xf numFmtId="165" fontId="0" fillId="0" borderId="17" xfId="1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2" xfId="0" applyBorder="1" applyAlignment="1">
      <alignment vertical="center"/>
    </xf>
    <xf numFmtId="0" fontId="12" fillId="0" borderId="14" xfId="0" applyFont="1" applyBorder="1" applyAlignment="1">
      <alignment horizontal="right"/>
    </xf>
    <xf numFmtId="0" fontId="0" fillId="0" borderId="14" xfId="0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F2" sqref="F2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44" customFormat="1" ht="30">
      <c r="A1" s="44" t="s">
        <v>0</v>
      </c>
      <c r="B1" s="44" t="s">
        <v>1</v>
      </c>
      <c r="C1" s="44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  <c r="Y1" s="45" t="s">
        <v>24</v>
      </c>
      <c r="Z1" s="45" t="s">
        <v>25</v>
      </c>
      <c r="AA1" s="45" t="s">
        <v>26</v>
      </c>
      <c r="AB1" s="45" t="s">
        <v>27</v>
      </c>
      <c r="AC1" s="45" t="s">
        <v>28</v>
      </c>
      <c r="AD1" s="45" t="s">
        <v>29</v>
      </c>
      <c r="AE1" s="45" t="s">
        <v>30</v>
      </c>
      <c r="AF1" s="45" t="s">
        <v>31</v>
      </c>
      <c r="AG1" s="45" t="s">
        <v>32</v>
      </c>
      <c r="AH1" s="45" t="s">
        <v>33</v>
      </c>
      <c r="AI1" s="45" t="s">
        <v>34</v>
      </c>
      <c r="AJ1" s="45" t="s">
        <v>35</v>
      </c>
      <c r="AK1" s="45" t="s">
        <v>36</v>
      </c>
      <c r="AL1" s="45" t="s">
        <v>37</v>
      </c>
      <c r="AM1" s="45" t="s">
        <v>38</v>
      </c>
      <c r="AN1" s="45" t="s">
        <v>39</v>
      </c>
      <c r="AO1" s="45" t="s">
        <v>40</v>
      </c>
      <c r="AP1" s="45" t="s">
        <v>41</v>
      </c>
      <c r="AQ1" s="45" t="s">
        <v>42</v>
      </c>
      <c r="AR1" s="45" t="s">
        <v>43</v>
      </c>
      <c r="AS1" s="45" t="s">
        <v>44</v>
      </c>
      <c r="AT1" s="45" t="s">
        <v>45</v>
      </c>
      <c r="AU1" s="45" t="s">
        <v>46</v>
      </c>
      <c r="AV1" s="45" t="s">
        <v>47</v>
      </c>
      <c r="AW1" s="45" t="s">
        <v>48</v>
      </c>
      <c r="AX1" s="45" t="s">
        <v>49</v>
      </c>
      <c r="AY1" s="45" t="s">
        <v>50</v>
      </c>
      <c r="AZ1" s="45" t="s">
        <v>51</v>
      </c>
      <c r="BA1" s="45" t="s">
        <v>52</v>
      </c>
      <c r="BB1" s="45" t="s">
        <v>53</v>
      </c>
      <c r="BC1" s="45" t="s">
        <v>54</v>
      </c>
      <c r="BD1" s="45" t="s">
        <v>55</v>
      </c>
      <c r="BE1" s="45" t="s">
        <v>56</v>
      </c>
      <c r="BF1" s="45" t="s">
        <v>57</v>
      </c>
      <c r="BG1" s="45" t="s">
        <v>58</v>
      </c>
      <c r="BH1" s="45" t="s">
        <v>59</v>
      </c>
      <c r="BI1" s="45" t="s">
        <v>60</v>
      </c>
      <c r="BJ1" s="45" t="s">
        <v>61</v>
      </c>
      <c r="BK1" s="45" t="s">
        <v>62</v>
      </c>
      <c r="BL1" s="45" t="s">
        <v>63</v>
      </c>
      <c r="BM1" s="45" t="s">
        <v>64</v>
      </c>
      <c r="BN1" s="45" t="s">
        <v>65</v>
      </c>
      <c r="BO1" s="45" t="s">
        <v>66</v>
      </c>
    </row>
    <row r="2" spans="1:67">
      <c r="A2" t="s">
        <v>67</v>
      </c>
      <c r="B2" s="46">
        <v>1</v>
      </c>
      <c r="C2" s="46">
        <v>2020</v>
      </c>
      <c r="D2" s="11">
        <v>85.3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554.20000000000005</v>
      </c>
      <c r="K2" s="11">
        <v>0</v>
      </c>
      <c r="L2" s="11">
        <v>0</v>
      </c>
      <c r="M2" s="11">
        <v>0</v>
      </c>
      <c r="N2" s="11">
        <v>91.7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4765</v>
      </c>
      <c r="W2" s="11">
        <v>17800000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328.30000000000007</v>
      </c>
      <c r="AW2" s="11">
        <v>0</v>
      </c>
      <c r="AX2" s="11">
        <v>85.3</v>
      </c>
      <c r="AY2" s="11">
        <v>0</v>
      </c>
      <c r="AZ2" s="11">
        <v>0</v>
      </c>
      <c r="BA2" s="11">
        <v>0</v>
      </c>
      <c r="BB2" s="11">
        <v>14530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</row>
    <row r="3" spans="1:67">
      <c r="A3" t="s">
        <v>67</v>
      </c>
      <c r="B3" s="46">
        <v>2</v>
      </c>
      <c r="C3" s="46">
        <v>2020</v>
      </c>
      <c r="D3" s="18">
        <v>120.10000000000001</v>
      </c>
      <c r="E3" s="45">
        <v>0</v>
      </c>
      <c r="F3" s="45">
        <v>0</v>
      </c>
      <c r="G3" s="45">
        <v>0</v>
      </c>
      <c r="H3" s="18">
        <v>0</v>
      </c>
      <c r="I3" s="45">
        <v>0</v>
      </c>
      <c r="J3" s="18">
        <v>302.70000000000005</v>
      </c>
      <c r="K3" s="45">
        <v>0</v>
      </c>
      <c r="L3" s="45">
        <v>0</v>
      </c>
      <c r="M3" s="45">
        <v>0</v>
      </c>
      <c r="N3" s="47">
        <v>94.399999999999991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11">
        <v>3577.5</v>
      </c>
      <c r="W3" s="45">
        <v>17800000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  <c r="AR3" s="45">
        <v>0</v>
      </c>
      <c r="AS3" s="45">
        <v>0</v>
      </c>
      <c r="AT3" s="45">
        <v>0</v>
      </c>
      <c r="AU3" s="45">
        <v>0</v>
      </c>
      <c r="AV3" s="45">
        <v>280.70000000000005</v>
      </c>
      <c r="AW3" s="45">
        <v>0</v>
      </c>
      <c r="AX3" s="45">
        <v>120.10000000000001</v>
      </c>
      <c r="AY3" s="45">
        <v>0</v>
      </c>
      <c r="AZ3" s="45">
        <v>0</v>
      </c>
      <c r="BA3" s="45">
        <v>0</v>
      </c>
      <c r="BB3" s="48">
        <v>13500</v>
      </c>
      <c r="BC3" s="45">
        <v>0</v>
      </c>
      <c r="BD3" s="45">
        <v>0</v>
      </c>
      <c r="BE3" s="45">
        <v>0</v>
      </c>
      <c r="BF3" s="45">
        <v>0</v>
      </c>
      <c r="BG3" s="45">
        <v>0</v>
      </c>
      <c r="BH3" s="45">
        <v>0</v>
      </c>
      <c r="BI3" s="45">
        <v>0</v>
      </c>
      <c r="BJ3" s="45">
        <v>0</v>
      </c>
      <c r="BK3" s="45">
        <v>0</v>
      </c>
      <c r="BL3" s="45">
        <v>0</v>
      </c>
      <c r="BM3" s="45">
        <v>0</v>
      </c>
      <c r="BN3" s="45">
        <v>0</v>
      </c>
      <c r="BO3" s="45">
        <v>0</v>
      </c>
    </row>
    <row r="4" spans="1:67">
      <c r="A4" t="s">
        <v>67</v>
      </c>
      <c r="B4" s="46">
        <v>3</v>
      </c>
      <c r="C4" s="46">
        <v>2020</v>
      </c>
      <c r="D4" s="18"/>
      <c r="E4" s="45"/>
      <c r="F4" s="47"/>
      <c r="G4" s="45"/>
      <c r="H4" s="18"/>
      <c r="I4" s="45"/>
      <c r="J4" s="18"/>
      <c r="K4" s="45"/>
      <c r="L4" s="45"/>
      <c r="M4" s="45"/>
      <c r="N4" s="47"/>
      <c r="O4" s="45"/>
      <c r="P4" s="45"/>
      <c r="Q4" s="45"/>
      <c r="R4" s="45"/>
      <c r="S4" s="45"/>
      <c r="T4" s="45"/>
      <c r="U4" s="45"/>
      <c r="V4" s="11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8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</row>
    <row r="5" spans="1:67">
      <c r="A5" t="s">
        <v>67</v>
      </c>
      <c r="B5" s="46">
        <v>4</v>
      </c>
      <c r="C5" s="46">
        <v>2020</v>
      </c>
      <c r="D5" s="18"/>
      <c r="E5" s="45"/>
      <c r="F5" s="47"/>
      <c r="G5" s="45"/>
      <c r="H5" s="18"/>
      <c r="I5" s="45"/>
      <c r="J5" s="18"/>
      <c r="K5" s="45"/>
      <c r="L5" s="45"/>
      <c r="M5" s="45"/>
      <c r="N5" s="47"/>
      <c r="O5" s="45"/>
      <c r="P5" s="45"/>
      <c r="Q5" s="45"/>
      <c r="R5" s="45"/>
      <c r="S5" s="45"/>
      <c r="T5" s="45"/>
      <c r="U5" s="45"/>
      <c r="V5" s="11"/>
      <c r="W5" s="18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8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</row>
    <row r="6" spans="1:67">
      <c r="A6" t="s">
        <v>67</v>
      </c>
      <c r="B6" s="46">
        <v>5</v>
      </c>
      <c r="C6" s="46">
        <v>2020</v>
      </c>
      <c r="D6" s="18"/>
      <c r="E6" s="45"/>
      <c r="F6" s="49"/>
      <c r="G6" s="45"/>
      <c r="H6" s="18"/>
      <c r="I6" s="45"/>
      <c r="J6" s="18"/>
      <c r="K6" s="45"/>
      <c r="L6" s="45"/>
      <c r="M6" s="45"/>
      <c r="N6" s="49"/>
      <c r="O6" s="45"/>
      <c r="P6" s="45"/>
      <c r="Q6" s="45"/>
      <c r="R6" s="45"/>
      <c r="S6" s="45"/>
      <c r="T6" s="45"/>
      <c r="U6" s="45"/>
      <c r="V6" s="11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11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</row>
    <row r="7" spans="1:67">
      <c r="A7" t="s">
        <v>67</v>
      </c>
      <c r="B7" s="46">
        <v>6</v>
      </c>
      <c r="C7" s="46">
        <v>2020</v>
      </c>
      <c r="D7" s="18"/>
      <c r="E7" s="45"/>
      <c r="F7" s="49"/>
      <c r="G7" s="45"/>
      <c r="H7" s="18"/>
      <c r="I7" s="45"/>
      <c r="J7" s="18"/>
      <c r="K7" s="45"/>
      <c r="L7" s="45"/>
      <c r="M7" s="45"/>
      <c r="N7" s="49"/>
      <c r="O7" s="45"/>
      <c r="P7" s="45"/>
      <c r="Q7" s="45"/>
      <c r="R7" s="45"/>
      <c r="S7" s="45"/>
      <c r="T7" s="45"/>
      <c r="U7" s="45"/>
      <c r="V7" s="48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11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</row>
    <row r="8" spans="1:67">
      <c r="A8" t="s">
        <v>67</v>
      </c>
      <c r="B8" s="46">
        <v>7</v>
      </c>
      <c r="C8" s="46">
        <v>2020</v>
      </c>
      <c r="D8" s="18"/>
      <c r="E8" s="45"/>
      <c r="F8" s="49"/>
      <c r="G8" s="45"/>
      <c r="H8" s="18"/>
      <c r="I8" s="45"/>
      <c r="J8" s="18"/>
      <c r="K8" s="45"/>
      <c r="L8" s="45"/>
      <c r="M8" s="45"/>
      <c r="N8" s="49"/>
      <c r="O8" s="45"/>
      <c r="P8" s="45"/>
      <c r="Q8" s="45"/>
      <c r="R8" s="45"/>
      <c r="S8" s="45"/>
      <c r="T8" s="45"/>
      <c r="U8" s="45"/>
      <c r="V8" s="48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11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</row>
    <row r="9" spans="1:67">
      <c r="A9" t="s">
        <v>67</v>
      </c>
      <c r="B9" s="46">
        <v>8</v>
      </c>
      <c r="C9" s="46">
        <v>2020</v>
      </c>
      <c r="D9" s="18"/>
      <c r="E9" s="45"/>
      <c r="F9" s="49"/>
      <c r="G9" s="45"/>
      <c r="H9" s="18"/>
      <c r="I9" s="45"/>
      <c r="J9" s="18"/>
      <c r="K9" s="45"/>
      <c r="L9" s="45"/>
      <c r="M9" s="45"/>
      <c r="N9" s="49"/>
      <c r="O9" s="45"/>
      <c r="P9" s="45"/>
      <c r="Q9" s="45"/>
      <c r="R9" s="45"/>
      <c r="S9" s="45"/>
      <c r="T9" s="45"/>
      <c r="U9" s="45"/>
      <c r="V9" s="48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11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</row>
    <row r="10" spans="1:67">
      <c r="A10" t="s">
        <v>67</v>
      </c>
      <c r="B10" s="46">
        <v>9</v>
      </c>
      <c r="C10" s="46">
        <v>2020</v>
      </c>
      <c r="D10" s="18"/>
      <c r="E10" s="45"/>
      <c r="F10" s="49"/>
      <c r="G10" s="45"/>
      <c r="H10" s="18"/>
      <c r="I10" s="45"/>
      <c r="J10" s="18"/>
      <c r="K10" s="45"/>
      <c r="L10" s="45"/>
      <c r="M10" s="45"/>
      <c r="N10" s="49"/>
      <c r="O10" s="45"/>
      <c r="P10" s="45"/>
      <c r="Q10" s="45"/>
      <c r="R10" s="45"/>
      <c r="S10" s="45"/>
      <c r="T10" s="45"/>
      <c r="U10" s="45"/>
      <c r="V10" s="48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11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</row>
    <row r="11" spans="1:67">
      <c r="A11" t="s">
        <v>67</v>
      </c>
      <c r="B11" s="46">
        <v>10</v>
      </c>
      <c r="C11" s="46">
        <v>2020</v>
      </c>
      <c r="D11" s="18"/>
      <c r="E11" s="45"/>
      <c r="F11" s="49"/>
      <c r="G11" s="45"/>
      <c r="H11" s="18"/>
      <c r="I11" s="45"/>
      <c r="J11" s="18"/>
      <c r="K11" s="45"/>
      <c r="L11" s="45"/>
      <c r="M11" s="45"/>
      <c r="N11" s="49"/>
      <c r="O11" s="45"/>
      <c r="P11" s="45"/>
      <c r="Q11" s="45"/>
      <c r="R11" s="45"/>
      <c r="S11" s="45"/>
      <c r="T11" s="45"/>
      <c r="U11" s="45"/>
      <c r="V11" s="48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11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</row>
    <row r="12" spans="1:67">
      <c r="A12" t="s">
        <v>67</v>
      </c>
      <c r="B12" s="46">
        <v>11</v>
      </c>
      <c r="C12" s="46">
        <v>2020</v>
      </c>
      <c r="D12" s="18"/>
      <c r="E12" s="45"/>
      <c r="F12" s="49"/>
      <c r="G12" s="45"/>
      <c r="H12" s="18"/>
      <c r="I12" s="45"/>
      <c r="J12" s="18"/>
      <c r="K12" s="45"/>
      <c r="L12" s="45"/>
      <c r="M12" s="45"/>
      <c r="N12" s="49"/>
      <c r="O12" s="45"/>
      <c r="P12" s="45"/>
      <c r="Q12" s="45"/>
      <c r="R12" s="45"/>
      <c r="S12" s="45"/>
      <c r="T12" s="45"/>
      <c r="U12" s="45"/>
      <c r="V12" s="48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11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</row>
    <row r="13" spans="1:67">
      <c r="A13" t="s">
        <v>67</v>
      </c>
      <c r="B13" s="46">
        <v>12</v>
      </c>
      <c r="C13" s="46">
        <v>2020</v>
      </c>
      <c r="D13" s="18"/>
      <c r="E13" s="45"/>
      <c r="F13" s="49"/>
      <c r="G13" s="45"/>
      <c r="H13" s="18"/>
      <c r="I13" s="45"/>
      <c r="J13" s="18"/>
      <c r="K13" s="45"/>
      <c r="L13" s="45"/>
      <c r="M13" s="45"/>
      <c r="N13" s="49"/>
      <c r="O13" s="45"/>
      <c r="P13" s="45"/>
      <c r="Q13" s="45"/>
      <c r="R13" s="45"/>
      <c r="S13" s="45"/>
      <c r="T13" s="45"/>
      <c r="U13" s="45"/>
      <c r="V13" s="48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11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6"/>
  <sheetViews>
    <sheetView topLeftCell="BC4" workbookViewId="0">
      <selection activeCell="E31" sqref="E31:BP31"/>
    </sheetView>
  </sheetViews>
  <sheetFormatPr defaultColWidth="11.5703125" defaultRowHeight="15"/>
  <cols>
    <col min="1" max="1" width="18.42578125" customWidth="1"/>
    <col min="2" max="2" width="8.28515625" style="42" customWidth="1"/>
    <col min="3" max="3" width="7.5703125" style="43" customWidth="1"/>
    <col min="4" max="4" width="13.42578125" style="4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8" customFormat="1" ht="113.25" customHeight="1">
      <c r="A1" s="33" t="s">
        <v>0</v>
      </c>
      <c r="B1" s="33" t="s">
        <v>68</v>
      </c>
      <c r="C1" s="34" t="s">
        <v>1</v>
      </c>
      <c r="D1" s="35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  <c r="K1" s="36" t="s">
        <v>69</v>
      </c>
      <c r="L1" s="36" t="s">
        <v>70</v>
      </c>
      <c r="M1" s="36" t="s">
        <v>11</v>
      </c>
      <c r="N1" s="36" t="s">
        <v>12</v>
      </c>
      <c r="O1" s="36" t="s">
        <v>13</v>
      </c>
      <c r="P1" s="36" t="s">
        <v>14</v>
      </c>
      <c r="Q1" s="36" t="s">
        <v>15</v>
      </c>
      <c r="R1" s="36" t="s">
        <v>16</v>
      </c>
      <c r="S1" s="36" t="s">
        <v>17</v>
      </c>
      <c r="T1" s="36" t="s">
        <v>18</v>
      </c>
      <c r="U1" s="36" t="s">
        <v>19</v>
      </c>
      <c r="V1" s="36" t="s">
        <v>20</v>
      </c>
      <c r="W1" s="36" t="s">
        <v>21</v>
      </c>
      <c r="X1" s="36" t="s">
        <v>22</v>
      </c>
      <c r="Y1" s="36" t="s">
        <v>23</v>
      </c>
      <c r="Z1" s="36" t="s">
        <v>24</v>
      </c>
      <c r="AA1" s="36" t="s">
        <v>25</v>
      </c>
      <c r="AB1" s="36" t="s">
        <v>26</v>
      </c>
      <c r="AC1" s="36" t="s">
        <v>27</v>
      </c>
      <c r="AD1" s="36" t="s">
        <v>28</v>
      </c>
      <c r="AE1" s="36" t="s">
        <v>29</v>
      </c>
      <c r="AF1" s="36" t="s">
        <v>30</v>
      </c>
      <c r="AG1" s="36" t="s">
        <v>31</v>
      </c>
      <c r="AH1" s="36" t="s">
        <v>32</v>
      </c>
      <c r="AI1" s="36" t="s">
        <v>33</v>
      </c>
      <c r="AJ1" s="36" t="s">
        <v>34</v>
      </c>
      <c r="AK1" s="36" t="s">
        <v>35</v>
      </c>
      <c r="AL1" s="36" t="s">
        <v>36</v>
      </c>
      <c r="AM1" s="36" t="s">
        <v>37</v>
      </c>
      <c r="AN1" s="36" t="s">
        <v>38</v>
      </c>
      <c r="AO1" s="36" t="s">
        <v>39</v>
      </c>
      <c r="AP1" s="36" t="s">
        <v>40</v>
      </c>
      <c r="AQ1" s="36" t="s">
        <v>41</v>
      </c>
      <c r="AR1" s="36" t="s">
        <v>42</v>
      </c>
      <c r="AS1" s="36" t="s">
        <v>43</v>
      </c>
      <c r="AT1" s="36" t="s">
        <v>44</v>
      </c>
      <c r="AU1" s="36" t="s">
        <v>45</v>
      </c>
      <c r="AV1" s="36" t="s">
        <v>46</v>
      </c>
      <c r="AW1" s="36" t="s">
        <v>47</v>
      </c>
      <c r="AX1" s="36" t="s">
        <v>48</v>
      </c>
      <c r="AY1" s="36" t="s">
        <v>49</v>
      </c>
      <c r="AZ1" s="36" t="s">
        <v>50</v>
      </c>
      <c r="BA1" s="36" t="s">
        <v>51</v>
      </c>
      <c r="BB1" s="36" t="s">
        <v>52</v>
      </c>
      <c r="BC1" s="36" t="s">
        <v>53</v>
      </c>
      <c r="BD1" s="36" t="s">
        <v>54</v>
      </c>
      <c r="BE1" s="36" t="s">
        <v>55</v>
      </c>
      <c r="BF1" s="36" t="s">
        <v>56</v>
      </c>
      <c r="BG1" s="36" t="s">
        <v>57</v>
      </c>
      <c r="BH1" s="36" t="s">
        <v>58</v>
      </c>
      <c r="BI1" s="36" t="s">
        <v>59</v>
      </c>
      <c r="BJ1" s="36" t="s">
        <v>60</v>
      </c>
      <c r="BK1" s="36" t="s">
        <v>61</v>
      </c>
      <c r="BL1" s="36" t="s">
        <v>62</v>
      </c>
      <c r="BM1" s="36" t="s">
        <v>63</v>
      </c>
      <c r="BN1" s="36" t="s">
        <v>64</v>
      </c>
      <c r="BO1" s="37" t="s">
        <v>65</v>
      </c>
      <c r="BP1" s="36" t="s">
        <v>66</v>
      </c>
    </row>
    <row r="2" spans="1:68">
      <c r="A2" s="31" t="s">
        <v>71</v>
      </c>
      <c r="B2" s="39">
        <v>1</v>
      </c>
      <c r="C2" s="40">
        <v>2</v>
      </c>
      <c r="D2" s="41">
        <v>2020</v>
      </c>
      <c r="E2" s="32">
        <f>'FS Sayan Feb 2020'!M8</f>
        <v>2.5999999999999996</v>
      </c>
      <c r="F2" s="36">
        <f>'FS Sayan Feb 2020'!N8</f>
        <v>0</v>
      </c>
      <c r="G2" s="36">
        <f>'FS Sayan Feb 2020'!G8</f>
        <v>0</v>
      </c>
      <c r="H2" s="36">
        <f>'FS Sayan Feb 2020'!H8</f>
        <v>0</v>
      </c>
      <c r="I2" s="36">
        <f>'FS Sayan Feb 2020'!I8</f>
        <v>0</v>
      </c>
      <c r="J2" s="36">
        <f>'FS Sayan Feb 2020'!J8</f>
        <v>0</v>
      </c>
      <c r="K2" s="36">
        <f>'FS Sayan Feb 2020'!K8</f>
        <v>9.5</v>
      </c>
      <c r="L2" s="36">
        <f>'FS Sayan Feb 2020'!L8</f>
        <v>0</v>
      </c>
      <c r="M2" s="36">
        <f>'FS Sayan Feb 2020'!S8</f>
        <v>0</v>
      </c>
      <c r="N2" s="36">
        <f>'FS Sayan Feb 2020'!T8</f>
        <v>0</v>
      </c>
      <c r="O2" s="36">
        <f>'FS Sayan Feb 2020'!U8</f>
        <v>2.4</v>
      </c>
      <c r="P2" s="36">
        <f>'FS Sayan Feb 2020'!V8</f>
        <v>0</v>
      </c>
      <c r="Q2" s="36">
        <f>'FS Sayan Feb 2020'!BC8</f>
        <v>0</v>
      </c>
      <c r="R2" s="36">
        <f>'FS Sayan Feb 2020'!BD8</f>
        <v>0</v>
      </c>
      <c r="S2" s="36">
        <f>'FS Sayan Feb 2020'!BF8</f>
        <v>0</v>
      </c>
      <c r="T2" s="36">
        <f>'FS Sayan Feb 2020'!BF8</f>
        <v>0</v>
      </c>
      <c r="U2" s="36">
        <f>'FS Sayan Feb 2020'!BG8</f>
        <v>0</v>
      </c>
      <c r="V2" s="36">
        <f>'FS Sayan Feb 2020'!BH8</f>
        <v>0</v>
      </c>
      <c r="W2" s="36">
        <f>'FS Sayan Feb 2020'!W8</f>
        <v>108</v>
      </c>
      <c r="X2" s="36">
        <f>'FS Sayan Feb 2020'!X8</f>
        <v>17800000</v>
      </c>
      <c r="Y2" s="36">
        <f>'FS Sayan Feb 2020'!Y8</f>
        <v>0</v>
      </c>
      <c r="Z2" s="36">
        <f>'FS Sayan Feb 2020'!Z8</f>
        <v>0</v>
      </c>
      <c r="AA2" s="36">
        <f>'FS Sayan Feb 2020'!AA8</f>
        <v>0</v>
      </c>
      <c r="AB2" s="36">
        <f>'FS Sayan Feb 2020'!AB8</f>
        <v>0</v>
      </c>
      <c r="AC2" s="36">
        <f>'FS Sayan Feb 2020'!AC8</f>
        <v>0</v>
      </c>
      <c r="AD2" s="36">
        <f>'FS Sayan Feb 2020'!AD8</f>
        <v>0</v>
      </c>
      <c r="AE2" s="36">
        <f>'FS Sayan Feb 2020'!AE8</f>
        <v>0</v>
      </c>
      <c r="AF2" s="36">
        <f>'FS Sayan Feb 2020'!AF8</f>
        <v>0</v>
      </c>
      <c r="AG2" s="36">
        <f>'FS Sayan Feb 2020'!AK8</f>
        <v>0</v>
      </c>
      <c r="AH2" s="36">
        <f>'FS Sayan Feb 2020'!AP8</f>
        <v>0</v>
      </c>
      <c r="AI2" s="36">
        <f>'FS Sayan Feb 2020'!AO8</f>
        <v>0</v>
      </c>
      <c r="AJ2" s="36">
        <f>'FS Sayan Feb 2020'!AP8</f>
        <v>0</v>
      </c>
      <c r="AK2" s="36">
        <f>'FS Sayan Feb 2020'!AW8</f>
        <v>0</v>
      </c>
      <c r="AL2" s="36">
        <f>'FS Sayan Feb 2020'!AX8</f>
        <v>0</v>
      </c>
      <c r="AM2" s="36">
        <f>'FS Sayan Feb 2020'!AZ8</f>
        <v>0</v>
      </c>
      <c r="AN2" s="36">
        <f>'FS Sayan Feb 2020'!AZ8</f>
        <v>0</v>
      </c>
      <c r="AO2" s="36">
        <f>'FS Sayan Feb 2020'!BI8</f>
        <v>0</v>
      </c>
      <c r="AP2" s="36">
        <f>'FS Sayan Feb 2020'!BJ8</f>
        <v>0</v>
      </c>
      <c r="AQ2" s="36">
        <f>'FS Sayan Feb 2020'!BA8</f>
        <v>0</v>
      </c>
      <c r="AR2" s="36">
        <f>'FS Sayan Feb 2020'!BB8</f>
        <v>0</v>
      </c>
      <c r="AS2" s="36">
        <f>'FS Sayan Feb 2020'!BK8</f>
        <v>0</v>
      </c>
      <c r="AT2" s="36">
        <f>'FS Sayan Feb 2020'!BL8</f>
        <v>0</v>
      </c>
      <c r="AU2" s="36">
        <f>'FS Sayan Feb 2020'!BM8</f>
        <v>0</v>
      </c>
      <c r="AV2" s="36">
        <f>'FS Sayan Feb 2020'!BN8</f>
        <v>0</v>
      </c>
      <c r="AW2" s="36">
        <f>'FS Sayan Feb 2020'!E8</f>
        <v>7.8999999999999995</v>
      </c>
      <c r="AX2" s="36">
        <f>'FS Sayan Feb 2020'!F8</f>
        <v>0</v>
      </c>
      <c r="AY2" s="36">
        <f>'FS Sayan Feb 2020'!M8</f>
        <v>2.5999999999999996</v>
      </c>
      <c r="AZ2" s="36">
        <f>'FS Sayan Feb 2020'!P8</f>
        <v>0</v>
      </c>
      <c r="BA2" s="36">
        <v>0</v>
      </c>
      <c r="BB2" s="36">
        <f>'FS Sayan Feb 2020'!V22</f>
        <v>0</v>
      </c>
      <c r="BC2" s="36">
        <f>'FS Sayan Feb 2020'!AG8</f>
        <v>430</v>
      </c>
      <c r="BD2" s="36">
        <f>'FS Sayan Feb 2020'!AH8</f>
        <v>0</v>
      </c>
      <c r="BE2" s="36">
        <f>'FS Sayan Feb 2020'!AI8</f>
        <v>0</v>
      </c>
      <c r="BF2" s="36">
        <f>'FS Sayan Feb 2020'!AJ8</f>
        <v>0</v>
      </c>
      <c r="BG2" s="36">
        <f>'FS Sayan Feb 2020'!AK8</f>
        <v>0</v>
      </c>
      <c r="BH2" s="36">
        <f>'FS Sayan Feb 2020'!AL8</f>
        <v>0</v>
      </c>
      <c r="BI2" s="36">
        <f>'FS Sayan Feb 2020'!AM8</f>
        <v>0</v>
      </c>
      <c r="BJ2" s="36">
        <f>'FS Sayan Feb 2020'!AM8</f>
        <v>0</v>
      </c>
      <c r="BK2" s="36">
        <f>'FS Sayan Feb 2020'!AO8</f>
        <v>0</v>
      </c>
      <c r="BL2" s="36">
        <f>'FS Sayan Feb 2020'!AP8</f>
        <v>0</v>
      </c>
      <c r="BM2" s="36">
        <v>0</v>
      </c>
      <c r="BN2" s="36">
        <v>0</v>
      </c>
      <c r="BO2" s="37">
        <f>'FS Sayan Feb 2020'!Q8</f>
        <v>0</v>
      </c>
      <c r="BP2" s="36">
        <f>'FS Sayan Feb 2020'!R8</f>
        <v>0</v>
      </c>
    </row>
    <row r="3" spans="1:68">
      <c r="A3" s="31" t="s">
        <v>71</v>
      </c>
      <c r="B3" s="39">
        <f>B2+1</f>
        <v>2</v>
      </c>
      <c r="C3" s="40">
        <v>2</v>
      </c>
      <c r="D3" s="41">
        <v>2020</v>
      </c>
      <c r="E3" s="32">
        <f>'FS Sayan Feb 2020'!M9</f>
        <v>3.4</v>
      </c>
      <c r="F3" s="36">
        <f>'FS Sayan Feb 2020'!N9</f>
        <v>0</v>
      </c>
      <c r="G3" s="36">
        <f>'FS Sayan Feb 2020'!G9</f>
        <v>0</v>
      </c>
      <c r="H3" s="36">
        <f>'FS Sayan Feb 2020'!H9</f>
        <v>0</v>
      </c>
      <c r="I3" s="36">
        <f>'FS Sayan Feb 2020'!I9</f>
        <v>0</v>
      </c>
      <c r="J3" s="36">
        <f>'FS Sayan Feb 2020'!J9</f>
        <v>0</v>
      </c>
      <c r="K3" s="36">
        <f>'FS Sayan Feb 2020'!K9</f>
        <v>12.399999999999999</v>
      </c>
      <c r="L3" s="36">
        <f>'FS Sayan Feb 2020'!L9</f>
        <v>0</v>
      </c>
      <c r="M3" s="36">
        <f>'FS Sayan Feb 2020'!S9</f>
        <v>0</v>
      </c>
      <c r="N3" s="36">
        <f>'FS Sayan Feb 2020'!T9</f>
        <v>0</v>
      </c>
      <c r="O3" s="36">
        <f>'FS Sayan Feb 2020'!U9</f>
        <v>2.8</v>
      </c>
      <c r="P3" s="36">
        <f>'FS Sayan Feb 2020'!V9</f>
        <v>0</v>
      </c>
      <c r="Q3" s="36">
        <f>'FS Sayan Feb 2020'!BC9</f>
        <v>0</v>
      </c>
      <c r="R3" s="36">
        <f>'FS Sayan Feb 2020'!BD9</f>
        <v>0</v>
      </c>
      <c r="S3" s="36">
        <f>'FS Sayan Feb 2020'!BF9</f>
        <v>0</v>
      </c>
      <c r="T3" s="36">
        <f>'FS Sayan Feb 2020'!BF9</f>
        <v>0</v>
      </c>
      <c r="U3" s="36">
        <f>'FS Sayan Feb 2020'!BG9</f>
        <v>0</v>
      </c>
      <c r="V3" s="36">
        <f>'FS Sayan Feb 2020'!BH9</f>
        <v>0</v>
      </c>
      <c r="W3" s="36">
        <f>'FS Sayan Feb 2020'!W9</f>
        <v>117</v>
      </c>
      <c r="X3" s="36">
        <f>'FS Sayan Feb 2020'!X9</f>
        <v>0</v>
      </c>
      <c r="Y3" s="36">
        <f>'FS Sayan Feb 2020'!Y9</f>
        <v>0</v>
      </c>
      <c r="Z3" s="36">
        <f>'FS Sayan Feb 2020'!Z9</f>
        <v>0</v>
      </c>
      <c r="AA3" s="36">
        <f>'FS Sayan Feb 2020'!AA9</f>
        <v>0</v>
      </c>
      <c r="AB3" s="36">
        <f>'FS Sayan Feb 2020'!AB9</f>
        <v>0</v>
      </c>
      <c r="AC3" s="36">
        <f>'FS Sayan Feb 2020'!AC9</f>
        <v>0</v>
      </c>
      <c r="AD3" s="36">
        <f>'FS Sayan Feb 2020'!AD9</f>
        <v>0</v>
      </c>
      <c r="AE3" s="36">
        <f>'FS Sayan Feb 2020'!AE9</f>
        <v>0</v>
      </c>
      <c r="AF3" s="36">
        <f>'FS Sayan Feb 2020'!AF9</f>
        <v>0</v>
      </c>
      <c r="AG3" s="36">
        <f>'FS Sayan Feb 2020'!AK9</f>
        <v>0</v>
      </c>
      <c r="AH3" s="36">
        <f>'FS Sayan Feb 2020'!AP9</f>
        <v>0</v>
      </c>
      <c r="AI3" s="36">
        <f>'FS Sayan Feb 2020'!AO9</f>
        <v>0</v>
      </c>
      <c r="AJ3" s="36">
        <f>'FS Sayan Feb 2020'!AP9</f>
        <v>0</v>
      </c>
      <c r="AK3" s="36">
        <f>'FS Sayan Feb 2020'!AW9</f>
        <v>0</v>
      </c>
      <c r="AL3" s="36">
        <f>'FS Sayan Feb 2020'!AX9</f>
        <v>0</v>
      </c>
      <c r="AM3" s="36">
        <f>'FS Sayan Feb 2020'!AZ9</f>
        <v>0</v>
      </c>
      <c r="AN3" s="36">
        <f>'FS Sayan Feb 2020'!AZ9</f>
        <v>0</v>
      </c>
      <c r="AO3" s="36">
        <f>'FS Sayan Feb 2020'!BI9</f>
        <v>0</v>
      </c>
      <c r="AP3" s="36">
        <f>'FS Sayan Feb 2020'!BJ9</f>
        <v>0</v>
      </c>
      <c r="AQ3" s="36">
        <f>'FS Sayan Feb 2020'!BA9</f>
        <v>0</v>
      </c>
      <c r="AR3" s="36">
        <f>'FS Sayan Feb 2020'!BB9</f>
        <v>0</v>
      </c>
      <c r="AS3" s="36">
        <f>'FS Sayan Feb 2020'!BK9</f>
        <v>0</v>
      </c>
      <c r="AT3" s="36">
        <f>'FS Sayan Feb 2020'!BL9</f>
        <v>0</v>
      </c>
      <c r="AU3" s="36">
        <f>'FS Sayan Feb 2020'!BM9</f>
        <v>0</v>
      </c>
      <c r="AV3" s="36">
        <f>'FS Sayan Feb 2020'!BN9</f>
        <v>0</v>
      </c>
      <c r="AW3" s="36">
        <f>'FS Sayan Feb 2020'!E9</f>
        <v>10.299999999999999</v>
      </c>
      <c r="AX3" s="36">
        <f>'FS Sayan Feb 2020'!F9</f>
        <v>0</v>
      </c>
      <c r="AY3" s="36">
        <f>'FS Sayan Feb 2020'!M9</f>
        <v>3.4</v>
      </c>
      <c r="AZ3" s="36">
        <f>'FS Sayan Feb 2020'!P9</f>
        <v>0</v>
      </c>
      <c r="BA3" s="36">
        <v>0</v>
      </c>
      <c r="BB3" s="36">
        <f>'FS Sayan Feb 2020'!V23</f>
        <v>0</v>
      </c>
      <c r="BC3" s="36">
        <f>'FS Sayan Feb 2020'!AG9</f>
        <v>465</v>
      </c>
      <c r="BD3" s="36">
        <f>'FS Sayan Feb 2020'!AH9</f>
        <v>0</v>
      </c>
      <c r="BE3" s="36">
        <f>'FS Sayan Feb 2020'!AI9</f>
        <v>0</v>
      </c>
      <c r="BF3" s="36">
        <f>'FS Sayan Feb 2020'!AJ9</f>
        <v>0</v>
      </c>
      <c r="BG3" s="36">
        <f>'FS Sayan Feb 2020'!AK9</f>
        <v>0</v>
      </c>
      <c r="BH3" s="36">
        <f>'FS Sayan Feb 2020'!AL9</f>
        <v>0</v>
      </c>
      <c r="BI3" s="36">
        <f>'FS Sayan Feb 2020'!AM9</f>
        <v>0</v>
      </c>
      <c r="BJ3" s="36">
        <f>'FS Sayan Feb 2020'!AM9</f>
        <v>0</v>
      </c>
      <c r="BK3" s="36">
        <f>'FS Sayan Feb 2020'!AO9</f>
        <v>0</v>
      </c>
      <c r="BL3" s="36">
        <f>'FS Sayan Feb 2020'!AP9</f>
        <v>0</v>
      </c>
      <c r="BM3" s="36">
        <v>0</v>
      </c>
      <c r="BN3" s="36">
        <v>0</v>
      </c>
      <c r="BO3" s="37">
        <f>'FS Sayan Feb 2020'!Q9</f>
        <v>0</v>
      </c>
      <c r="BP3" s="36">
        <f>'FS Sayan Feb 2020'!R9</f>
        <v>0</v>
      </c>
    </row>
    <row r="4" spans="1:68">
      <c r="A4" s="31" t="s">
        <v>71</v>
      </c>
      <c r="B4" s="39">
        <f t="shared" ref="B4:B30" si="0">B3+1</f>
        <v>3</v>
      </c>
      <c r="C4" s="40">
        <v>2</v>
      </c>
      <c r="D4" s="41">
        <v>2020</v>
      </c>
      <c r="E4" s="32">
        <f>'FS Sayan Feb 2020'!M10</f>
        <v>3</v>
      </c>
      <c r="F4" s="36">
        <f>'FS Sayan Feb 2020'!N10</f>
        <v>0</v>
      </c>
      <c r="G4" s="36">
        <f>'FS Sayan Feb 2020'!G10</f>
        <v>0</v>
      </c>
      <c r="H4" s="36">
        <f>'FS Sayan Feb 2020'!H10</f>
        <v>0</v>
      </c>
      <c r="I4" s="36">
        <f>'FS Sayan Feb 2020'!I10</f>
        <v>0</v>
      </c>
      <c r="J4" s="36">
        <f>'FS Sayan Feb 2020'!J10</f>
        <v>0</v>
      </c>
      <c r="K4" s="36">
        <f>'FS Sayan Feb 2020'!K10</f>
        <v>10.3</v>
      </c>
      <c r="L4" s="36">
        <f>'FS Sayan Feb 2020'!L10</f>
        <v>0</v>
      </c>
      <c r="M4" s="36">
        <f>'FS Sayan Feb 2020'!S10</f>
        <v>0</v>
      </c>
      <c r="N4" s="36">
        <f>'FS Sayan Feb 2020'!T10</f>
        <v>0</v>
      </c>
      <c r="O4" s="36">
        <f>'FS Sayan Feb 2020'!U10</f>
        <v>2.6</v>
      </c>
      <c r="P4" s="36">
        <f>'FS Sayan Feb 2020'!V10</f>
        <v>0</v>
      </c>
      <c r="Q4" s="36">
        <f>'FS Sayan Feb 2020'!BC10</f>
        <v>0</v>
      </c>
      <c r="R4" s="36">
        <f>'FS Sayan Feb 2020'!BD10</f>
        <v>0</v>
      </c>
      <c r="S4" s="36">
        <f>'FS Sayan Feb 2020'!BF10</f>
        <v>0</v>
      </c>
      <c r="T4" s="36">
        <f>'FS Sayan Feb 2020'!BF10</f>
        <v>0</v>
      </c>
      <c r="U4" s="36">
        <f>'FS Sayan Feb 2020'!BG10</f>
        <v>0</v>
      </c>
      <c r="V4" s="36">
        <f>'FS Sayan Feb 2020'!BH10</f>
        <v>0</v>
      </c>
      <c r="W4" s="36">
        <f>'FS Sayan Feb 2020'!W10</f>
        <v>125.99999999999999</v>
      </c>
      <c r="X4" s="36">
        <f>'FS Sayan Feb 2020'!X10</f>
        <v>0</v>
      </c>
      <c r="Y4" s="36">
        <f>'FS Sayan Feb 2020'!Y10</f>
        <v>0</v>
      </c>
      <c r="Z4" s="36">
        <f>'FS Sayan Feb 2020'!Z10</f>
        <v>0</v>
      </c>
      <c r="AA4" s="36">
        <f>'FS Sayan Feb 2020'!AA10</f>
        <v>0</v>
      </c>
      <c r="AB4" s="36">
        <f>'FS Sayan Feb 2020'!AB10</f>
        <v>0</v>
      </c>
      <c r="AC4" s="36">
        <f>'FS Sayan Feb 2020'!AC10</f>
        <v>0</v>
      </c>
      <c r="AD4" s="36">
        <f>'FS Sayan Feb 2020'!AD10</f>
        <v>0</v>
      </c>
      <c r="AE4" s="36">
        <f>'FS Sayan Feb 2020'!AE10</f>
        <v>0</v>
      </c>
      <c r="AF4" s="36">
        <f>'FS Sayan Feb 2020'!AF10</f>
        <v>0</v>
      </c>
      <c r="AG4" s="36">
        <f>'FS Sayan Feb 2020'!AK10</f>
        <v>0</v>
      </c>
      <c r="AH4" s="36">
        <f>'FS Sayan Feb 2020'!AP10</f>
        <v>0</v>
      </c>
      <c r="AI4" s="36">
        <f>'FS Sayan Feb 2020'!AO10</f>
        <v>0</v>
      </c>
      <c r="AJ4" s="36">
        <f>'FS Sayan Feb 2020'!AP10</f>
        <v>0</v>
      </c>
      <c r="AK4" s="36">
        <f>'FS Sayan Feb 2020'!AW10</f>
        <v>0</v>
      </c>
      <c r="AL4" s="36">
        <f>'FS Sayan Feb 2020'!AX10</f>
        <v>0</v>
      </c>
      <c r="AM4" s="36">
        <f>'FS Sayan Feb 2020'!AZ10</f>
        <v>0</v>
      </c>
      <c r="AN4" s="36">
        <f>'FS Sayan Feb 2020'!AZ10</f>
        <v>0</v>
      </c>
      <c r="AO4" s="36">
        <f>'FS Sayan Feb 2020'!BI10</f>
        <v>0</v>
      </c>
      <c r="AP4" s="36">
        <f>'FS Sayan Feb 2020'!BJ10</f>
        <v>0</v>
      </c>
      <c r="AQ4" s="36">
        <f>'FS Sayan Feb 2020'!BA10</f>
        <v>0</v>
      </c>
      <c r="AR4" s="36">
        <f>'FS Sayan Feb 2020'!BB10</f>
        <v>0</v>
      </c>
      <c r="AS4" s="36">
        <f>'FS Sayan Feb 2020'!BK10</f>
        <v>0</v>
      </c>
      <c r="AT4" s="36">
        <f>'FS Sayan Feb 2020'!BL10</f>
        <v>0</v>
      </c>
      <c r="AU4" s="36">
        <f>'FS Sayan Feb 2020'!BM10</f>
        <v>0</v>
      </c>
      <c r="AV4" s="36">
        <f>'FS Sayan Feb 2020'!BN10</f>
        <v>0</v>
      </c>
      <c r="AW4" s="36">
        <f>'FS Sayan Feb 2020'!E10</f>
        <v>8.5</v>
      </c>
      <c r="AX4" s="36">
        <f>'FS Sayan Feb 2020'!F10</f>
        <v>0</v>
      </c>
      <c r="AY4" s="36">
        <f>'FS Sayan Feb 2020'!M10</f>
        <v>3</v>
      </c>
      <c r="AZ4" s="36">
        <f>'FS Sayan Feb 2020'!P10</f>
        <v>0</v>
      </c>
      <c r="BA4" s="36">
        <v>0</v>
      </c>
      <c r="BB4" s="36">
        <f>'FS Sayan Feb 2020'!V24</f>
        <v>0</v>
      </c>
      <c r="BC4" s="36">
        <f>'FS Sayan Feb 2020'!AG10</f>
        <v>420</v>
      </c>
      <c r="BD4" s="36">
        <f>'FS Sayan Feb 2020'!AH10</f>
        <v>0</v>
      </c>
      <c r="BE4" s="36">
        <f>'FS Sayan Feb 2020'!AI10</f>
        <v>0</v>
      </c>
      <c r="BF4" s="36">
        <f>'FS Sayan Feb 2020'!AJ10</f>
        <v>0</v>
      </c>
      <c r="BG4" s="36">
        <f>'FS Sayan Feb 2020'!AK10</f>
        <v>0</v>
      </c>
      <c r="BH4" s="36">
        <f>'FS Sayan Feb 2020'!AL10</f>
        <v>0</v>
      </c>
      <c r="BI4" s="36">
        <f>'FS Sayan Feb 2020'!AM10</f>
        <v>0</v>
      </c>
      <c r="BJ4" s="36">
        <f>'FS Sayan Feb 2020'!AM10</f>
        <v>0</v>
      </c>
      <c r="BK4" s="36">
        <f>'FS Sayan Feb 2020'!AO10</f>
        <v>0</v>
      </c>
      <c r="BL4" s="36">
        <f>'FS Sayan Feb 2020'!AP10</f>
        <v>0</v>
      </c>
      <c r="BM4" s="36">
        <v>0</v>
      </c>
      <c r="BN4" s="36">
        <v>0</v>
      </c>
      <c r="BO4" s="37">
        <f>'FS Sayan Feb 2020'!Q10</f>
        <v>0</v>
      </c>
      <c r="BP4" s="36">
        <f>'FS Sayan Feb 2020'!R10</f>
        <v>0</v>
      </c>
    </row>
    <row r="5" spans="1:68">
      <c r="A5" s="31" t="s">
        <v>71</v>
      </c>
      <c r="B5" s="39">
        <f t="shared" si="0"/>
        <v>4</v>
      </c>
      <c r="C5" s="40">
        <v>2</v>
      </c>
      <c r="D5" s="41">
        <v>2020</v>
      </c>
      <c r="E5" s="32">
        <f>'FS Sayan Feb 2020'!M11</f>
        <v>3.8000000000000003</v>
      </c>
      <c r="F5" s="36">
        <f>'FS Sayan Feb 2020'!N11</f>
        <v>0</v>
      </c>
      <c r="G5" s="36">
        <f>'FS Sayan Feb 2020'!G11</f>
        <v>0</v>
      </c>
      <c r="H5" s="36">
        <f>'FS Sayan Feb 2020'!H11</f>
        <v>0</v>
      </c>
      <c r="I5" s="36">
        <f>'FS Sayan Feb 2020'!I11</f>
        <v>0</v>
      </c>
      <c r="J5" s="36">
        <f>'FS Sayan Feb 2020'!J11</f>
        <v>0</v>
      </c>
      <c r="K5" s="36">
        <f>'FS Sayan Feb 2020'!K11</f>
        <v>11.3</v>
      </c>
      <c r="L5" s="36">
        <f>'FS Sayan Feb 2020'!L11</f>
        <v>0</v>
      </c>
      <c r="M5" s="36">
        <f>'FS Sayan Feb 2020'!S11</f>
        <v>0</v>
      </c>
      <c r="N5" s="36">
        <f>'FS Sayan Feb 2020'!T11</f>
        <v>0</v>
      </c>
      <c r="O5" s="36">
        <f>'FS Sayan Feb 2020'!U11</f>
        <v>5</v>
      </c>
      <c r="P5" s="36">
        <f>'FS Sayan Feb 2020'!V11</f>
        <v>0</v>
      </c>
      <c r="Q5" s="36">
        <f>'FS Sayan Feb 2020'!BC11</f>
        <v>0</v>
      </c>
      <c r="R5" s="36">
        <f>'FS Sayan Feb 2020'!BD11</f>
        <v>0</v>
      </c>
      <c r="S5" s="36">
        <f>'FS Sayan Feb 2020'!BF11</f>
        <v>0</v>
      </c>
      <c r="T5" s="36">
        <f>'FS Sayan Feb 2020'!BF11</f>
        <v>0</v>
      </c>
      <c r="U5" s="36">
        <f>'FS Sayan Feb 2020'!BG11</f>
        <v>0</v>
      </c>
      <c r="V5" s="36">
        <f>'FS Sayan Feb 2020'!BH11</f>
        <v>0</v>
      </c>
      <c r="W5" s="36">
        <f>'FS Sayan Feb 2020'!W11</f>
        <v>144</v>
      </c>
      <c r="X5" s="36">
        <f>'FS Sayan Feb 2020'!X11</f>
        <v>0</v>
      </c>
      <c r="Y5" s="36">
        <f>'FS Sayan Feb 2020'!Y11</f>
        <v>0</v>
      </c>
      <c r="Z5" s="36">
        <f>'FS Sayan Feb 2020'!Z11</f>
        <v>0</v>
      </c>
      <c r="AA5" s="36">
        <f>'FS Sayan Feb 2020'!AA11</f>
        <v>0</v>
      </c>
      <c r="AB5" s="36">
        <f>'FS Sayan Feb 2020'!AB11</f>
        <v>0</v>
      </c>
      <c r="AC5" s="36">
        <f>'FS Sayan Feb 2020'!AC11</f>
        <v>0</v>
      </c>
      <c r="AD5" s="36">
        <f>'FS Sayan Feb 2020'!AD11</f>
        <v>0</v>
      </c>
      <c r="AE5" s="36">
        <f>'FS Sayan Feb 2020'!AE11</f>
        <v>0</v>
      </c>
      <c r="AF5" s="36">
        <f>'FS Sayan Feb 2020'!AF11</f>
        <v>0</v>
      </c>
      <c r="AG5" s="36">
        <f>'FS Sayan Feb 2020'!AK11</f>
        <v>0</v>
      </c>
      <c r="AH5" s="36">
        <f>'FS Sayan Feb 2020'!AP11</f>
        <v>0</v>
      </c>
      <c r="AI5" s="36">
        <f>'FS Sayan Feb 2020'!AO11</f>
        <v>0</v>
      </c>
      <c r="AJ5" s="36">
        <f>'FS Sayan Feb 2020'!AP11</f>
        <v>0</v>
      </c>
      <c r="AK5" s="36">
        <f>'FS Sayan Feb 2020'!AW11</f>
        <v>0</v>
      </c>
      <c r="AL5" s="36">
        <f>'FS Sayan Feb 2020'!AX11</f>
        <v>0</v>
      </c>
      <c r="AM5" s="36">
        <f>'FS Sayan Feb 2020'!AZ11</f>
        <v>0</v>
      </c>
      <c r="AN5" s="36">
        <f>'FS Sayan Feb 2020'!AZ11</f>
        <v>0</v>
      </c>
      <c r="AO5" s="36">
        <f>'FS Sayan Feb 2020'!BI11</f>
        <v>0</v>
      </c>
      <c r="AP5" s="36">
        <f>'FS Sayan Feb 2020'!BJ11</f>
        <v>0</v>
      </c>
      <c r="AQ5" s="36">
        <f>'FS Sayan Feb 2020'!BA11</f>
        <v>0</v>
      </c>
      <c r="AR5" s="36">
        <f>'FS Sayan Feb 2020'!BB11</f>
        <v>0</v>
      </c>
      <c r="AS5" s="36">
        <f>'FS Sayan Feb 2020'!BK11</f>
        <v>0</v>
      </c>
      <c r="AT5" s="36">
        <f>'FS Sayan Feb 2020'!BL11</f>
        <v>0</v>
      </c>
      <c r="AU5" s="36">
        <f>'FS Sayan Feb 2020'!BM11</f>
        <v>0</v>
      </c>
      <c r="AV5" s="36">
        <f>'FS Sayan Feb 2020'!BN11</f>
        <v>0</v>
      </c>
      <c r="AW5" s="36">
        <f>'FS Sayan Feb 2020'!E11</f>
        <v>11.600000000000001</v>
      </c>
      <c r="AX5" s="36">
        <f>'FS Sayan Feb 2020'!F11</f>
        <v>0</v>
      </c>
      <c r="AY5" s="36">
        <f>'FS Sayan Feb 2020'!M11</f>
        <v>3.8000000000000003</v>
      </c>
      <c r="AZ5" s="36">
        <f>'FS Sayan Feb 2020'!P11</f>
        <v>0</v>
      </c>
      <c r="BA5" s="36">
        <v>0</v>
      </c>
      <c r="BB5" s="36">
        <f>'FS Sayan Feb 2020'!V25</f>
        <v>0</v>
      </c>
      <c r="BC5" s="36">
        <f>'FS Sayan Feb 2020'!AG11</f>
        <v>435</v>
      </c>
      <c r="BD5" s="36">
        <f>'FS Sayan Feb 2020'!AH11</f>
        <v>0</v>
      </c>
      <c r="BE5" s="36">
        <f>'FS Sayan Feb 2020'!AI11</f>
        <v>0</v>
      </c>
      <c r="BF5" s="36">
        <f>'FS Sayan Feb 2020'!AJ11</f>
        <v>0</v>
      </c>
      <c r="BG5" s="36">
        <f>'FS Sayan Feb 2020'!AK11</f>
        <v>0</v>
      </c>
      <c r="BH5" s="36">
        <f>'FS Sayan Feb 2020'!AL11</f>
        <v>0</v>
      </c>
      <c r="BI5" s="36">
        <f>'FS Sayan Feb 2020'!AM11</f>
        <v>0</v>
      </c>
      <c r="BJ5" s="36">
        <f>'FS Sayan Feb 2020'!AM11</f>
        <v>0</v>
      </c>
      <c r="BK5" s="36">
        <f>'FS Sayan Feb 2020'!AO11</f>
        <v>0</v>
      </c>
      <c r="BL5" s="36">
        <f>'FS Sayan Feb 2020'!AP11</f>
        <v>0</v>
      </c>
      <c r="BM5" s="36">
        <v>0</v>
      </c>
      <c r="BN5" s="36">
        <v>0</v>
      </c>
      <c r="BO5" s="37">
        <f>'FS Sayan Feb 2020'!Q11</f>
        <v>0</v>
      </c>
      <c r="BP5" s="36">
        <f>'FS Sayan Feb 2020'!R11</f>
        <v>0</v>
      </c>
    </row>
    <row r="6" spans="1:68">
      <c r="A6" s="31" t="s">
        <v>71</v>
      </c>
      <c r="B6" s="39">
        <f t="shared" si="0"/>
        <v>5</v>
      </c>
      <c r="C6" s="40">
        <v>2</v>
      </c>
      <c r="D6" s="41">
        <v>2020</v>
      </c>
      <c r="E6" s="32">
        <f>'FS Sayan Feb 2020'!M12</f>
        <v>4.3</v>
      </c>
      <c r="F6" s="36">
        <f>'FS Sayan Feb 2020'!N12</f>
        <v>0</v>
      </c>
      <c r="G6" s="36">
        <f>'FS Sayan Feb 2020'!G12</f>
        <v>0</v>
      </c>
      <c r="H6" s="36">
        <f>'FS Sayan Feb 2020'!H12</f>
        <v>0</v>
      </c>
      <c r="I6" s="36">
        <f>'FS Sayan Feb 2020'!I12</f>
        <v>0</v>
      </c>
      <c r="J6" s="36">
        <f>'FS Sayan Feb 2020'!J12</f>
        <v>0</v>
      </c>
      <c r="K6" s="36">
        <f>'FS Sayan Feb 2020'!K12</f>
        <v>12.5</v>
      </c>
      <c r="L6" s="36">
        <f>'FS Sayan Feb 2020'!L12</f>
        <v>0</v>
      </c>
      <c r="M6" s="36">
        <f>'FS Sayan Feb 2020'!S12</f>
        <v>0</v>
      </c>
      <c r="N6" s="36">
        <f>'FS Sayan Feb 2020'!T12</f>
        <v>0</v>
      </c>
      <c r="O6" s="36">
        <f>'FS Sayan Feb 2020'!U12</f>
        <v>2.2000000000000002</v>
      </c>
      <c r="P6" s="36">
        <f>'FS Sayan Feb 2020'!V12</f>
        <v>0</v>
      </c>
      <c r="Q6" s="36">
        <f>'FS Sayan Feb 2020'!BC12</f>
        <v>0</v>
      </c>
      <c r="R6" s="36">
        <f>'FS Sayan Feb 2020'!BD12</f>
        <v>0</v>
      </c>
      <c r="S6" s="36">
        <f>'FS Sayan Feb 2020'!BF12</f>
        <v>0</v>
      </c>
      <c r="T6" s="36">
        <f>'FS Sayan Feb 2020'!BF12</f>
        <v>0</v>
      </c>
      <c r="U6" s="36">
        <f>'FS Sayan Feb 2020'!BG12</f>
        <v>0</v>
      </c>
      <c r="V6" s="36">
        <f>'FS Sayan Feb 2020'!BH12</f>
        <v>0</v>
      </c>
      <c r="W6" s="36">
        <f>'FS Sayan Feb 2020'!W12</f>
        <v>108</v>
      </c>
      <c r="X6" s="36">
        <f>'FS Sayan Feb 2020'!X12</f>
        <v>0</v>
      </c>
      <c r="Y6" s="36">
        <f>'FS Sayan Feb 2020'!Y12</f>
        <v>0</v>
      </c>
      <c r="Z6" s="36">
        <f>'FS Sayan Feb 2020'!Z12</f>
        <v>0</v>
      </c>
      <c r="AA6" s="36">
        <f>'FS Sayan Feb 2020'!AA12</f>
        <v>0</v>
      </c>
      <c r="AB6" s="36">
        <f>'FS Sayan Feb 2020'!AB12</f>
        <v>0</v>
      </c>
      <c r="AC6" s="36">
        <f>'FS Sayan Feb 2020'!AC12</f>
        <v>0</v>
      </c>
      <c r="AD6" s="36">
        <f>'FS Sayan Feb 2020'!AD12</f>
        <v>0</v>
      </c>
      <c r="AE6" s="36">
        <f>'FS Sayan Feb 2020'!AE12</f>
        <v>0</v>
      </c>
      <c r="AF6" s="36">
        <f>'FS Sayan Feb 2020'!AF12</f>
        <v>0</v>
      </c>
      <c r="AG6" s="36">
        <f>'FS Sayan Feb 2020'!AK12</f>
        <v>0</v>
      </c>
      <c r="AH6" s="36">
        <f>'FS Sayan Feb 2020'!AP12</f>
        <v>0</v>
      </c>
      <c r="AI6" s="36">
        <f>'FS Sayan Feb 2020'!AO12</f>
        <v>0</v>
      </c>
      <c r="AJ6" s="36">
        <f>'FS Sayan Feb 2020'!AP12</f>
        <v>0</v>
      </c>
      <c r="AK6" s="36">
        <f>'FS Sayan Feb 2020'!AW12</f>
        <v>0</v>
      </c>
      <c r="AL6" s="36">
        <f>'FS Sayan Feb 2020'!AX12</f>
        <v>0</v>
      </c>
      <c r="AM6" s="36">
        <f>'FS Sayan Feb 2020'!AZ12</f>
        <v>0</v>
      </c>
      <c r="AN6" s="36">
        <f>'FS Sayan Feb 2020'!AZ12</f>
        <v>0</v>
      </c>
      <c r="AO6" s="36">
        <f>'FS Sayan Feb 2020'!BI12</f>
        <v>0</v>
      </c>
      <c r="AP6" s="36">
        <f>'FS Sayan Feb 2020'!BJ12</f>
        <v>0</v>
      </c>
      <c r="AQ6" s="36">
        <f>'FS Sayan Feb 2020'!BA12</f>
        <v>0</v>
      </c>
      <c r="AR6" s="36">
        <f>'FS Sayan Feb 2020'!BB12</f>
        <v>0</v>
      </c>
      <c r="AS6" s="36">
        <f>'FS Sayan Feb 2020'!BK12</f>
        <v>0</v>
      </c>
      <c r="AT6" s="36">
        <f>'FS Sayan Feb 2020'!BL12</f>
        <v>0</v>
      </c>
      <c r="AU6" s="36">
        <f>'FS Sayan Feb 2020'!BM12</f>
        <v>0</v>
      </c>
      <c r="AV6" s="36">
        <f>'FS Sayan Feb 2020'!BN12</f>
        <v>0</v>
      </c>
      <c r="AW6" s="36">
        <f>'FS Sayan Feb 2020'!E12</f>
        <v>10.299999999999999</v>
      </c>
      <c r="AX6" s="36">
        <f>'FS Sayan Feb 2020'!F12</f>
        <v>0</v>
      </c>
      <c r="AY6" s="36">
        <f>'FS Sayan Feb 2020'!M12</f>
        <v>4.3</v>
      </c>
      <c r="AZ6" s="36">
        <f>'FS Sayan Feb 2020'!P12</f>
        <v>0</v>
      </c>
      <c r="BA6" s="36">
        <v>0</v>
      </c>
      <c r="BB6" s="36">
        <f>'FS Sayan Feb 2020'!V26</f>
        <v>0</v>
      </c>
      <c r="BC6" s="36">
        <f>'FS Sayan Feb 2020'!AG12</f>
        <v>490</v>
      </c>
      <c r="BD6" s="36">
        <f>'FS Sayan Feb 2020'!AH12</f>
        <v>0</v>
      </c>
      <c r="BE6" s="36">
        <f>'FS Sayan Feb 2020'!AI12</f>
        <v>0</v>
      </c>
      <c r="BF6" s="36">
        <f>'FS Sayan Feb 2020'!AJ12</f>
        <v>0</v>
      </c>
      <c r="BG6" s="36">
        <f>'FS Sayan Feb 2020'!AK12</f>
        <v>0</v>
      </c>
      <c r="BH6" s="36">
        <f>'FS Sayan Feb 2020'!AL12</f>
        <v>0</v>
      </c>
      <c r="BI6" s="36">
        <f>'FS Sayan Feb 2020'!AM12</f>
        <v>0</v>
      </c>
      <c r="BJ6" s="36">
        <f>'FS Sayan Feb 2020'!AM12</f>
        <v>0</v>
      </c>
      <c r="BK6" s="36">
        <f>'FS Sayan Feb 2020'!AO12</f>
        <v>0</v>
      </c>
      <c r="BL6" s="36">
        <f>'FS Sayan Feb 2020'!AP12</f>
        <v>0</v>
      </c>
      <c r="BM6" s="36">
        <v>0</v>
      </c>
      <c r="BN6" s="36">
        <v>0</v>
      </c>
      <c r="BO6" s="37">
        <f>'FS Sayan Feb 2020'!Q12</f>
        <v>0</v>
      </c>
      <c r="BP6" s="36">
        <f>'FS Sayan Feb 2020'!R12</f>
        <v>0</v>
      </c>
    </row>
    <row r="7" spans="1:68">
      <c r="A7" s="31" t="s">
        <v>71</v>
      </c>
      <c r="B7" s="39">
        <f t="shared" si="0"/>
        <v>6</v>
      </c>
      <c r="C7" s="40">
        <v>2</v>
      </c>
      <c r="D7" s="41">
        <v>2020</v>
      </c>
      <c r="E7" s="32">
        <f>'FS Sayan Feb 2020'!M13</f>
        <v>2.9000000000000004</v>
      </c>
      <c r="F7" s="36">
        <f>'FS Sayan Feb 2020'!N13</f>
        <v>0</v>
      </c>
      <c r="G7" s="36">
        <f>'FS Sayan Feb 2020'!G13</f>
        <v>0</v>
      </c>
      <c r="H7" s="36">
        <f>'FS Sayan Feb 2020'!H13</f>
        <v>0</v>
      </c>
      <c r="I7" s="36">
        <f>'FS Sayan Feb 2020'!I13</f>
        <v>0</v>
      </c>
      <c r="J7" s="36">
        <f>'FS Sayan Feb 2020'!J13</f>
        <v>0</v>
      </c>
      <c r="K7" s="36">
        <f>'FS Sayan Feb 2020'!K13</f>
        <v>9.3999999999999986</v>
      </c>
      <c r="L7" s="36">
        <f>'FS Sayan Feb 2020'!L13</f>
        <v>0</v>
      </c>
      <c r="M7" s="36">
        <f>'FS Sayan Feb 2020'!S13</f>
        <v>0</v>
      </c>
      <c r="N7" s="36">
        <f>'FS Sayan Feb 2020'!T13</f>
        <v>0</v>
      </c>
      <c r="O7" s="36">
        <f>'FS Sayan Feb 2020'!U13</f>
        <v>3.2</v>
      </c>
      <c r="P7" s="36">
        <f>'FS Sayan Feb 2020'!V13</f>
        <v>0</v>
      </c>
      <c r="Q7" s="36">
        <f>'FS Sayan Feb 2020'!BC13</f>
        <v>0</v>
      </c>
      <c r="R7" s="36">
        <f>'FS Sayan Feb 2020'!BD13</f>
        <v>0</v>
      </c>
      <c r="S7" s="36">
        <f>'FS Sayan Feb 2020'!BF13</f>
        <v>0</v>
      </c>
      <c r="T7" s="36">
        <f>'FS Sayan Feb 2020'!BF13</f>
        <v>0</v>
      </c>
      <c r="U7" s="36">
        <f>'FS Sayan Feb 2020'!BG13</f>
        <v>0</v>
      </c>
      <c r="V7" s="36">
        <f>'FS Sayan Feb 2020'!BH13</f>
        <v>0</v>
      </c>
      <c r="W7" s="36">
        <f>'FS Sayan Feb 2020'!W13</f>
        <v>121.50000000000001</v>
      </c>
      <c r="X7" s="36">
        <f>'FS Sayan Feb 2020'!X13</f>
        <v>0</v>
      </c>
      <c r="Y7" s="36">
        <f>'FS Sayan Feb 2020'!Y13</f>
        <v>0</v>
      </c>
      <c r="Z7" s="36">
        <f>'FS Sayan Feb 2020'!Z13</f>
        <v>0</v>
      </c>
      <c r="AA7" s="36">
        <f>'FS Sayan Feb 2020'!AA13</f>
        <v>0</v>
      </c>
      <c r="AB7" s="36">
        <f>'FS Sayan Feb 2020'!AB13</f>
        <v>0</v>
      </c>
      <c r="AC7" s="36">
        <f>'FS Sayan Feb 2020'!AC13</f>
        <v>0</v>
      </c>
      <c r="AD7" s="36">
        <f>'FS Sayan Feb 2020'!AD13</f>
        <v>0</v>
      </c>
      <c r="AE7" s="36">
        <f>'FS Sayan Feb 2020'!AE13</f>
        <v>0</v>
      </c>
      <c r="AF7" s="36">
        <f>'FS Sayan Feb 2020'!AF13</f>
        <v>0</v>
      </c>
      <c r="AG7" s="36">
        <f>'FS Sayan Feb 2020'!AK13</f>
        <v>0</v>
      </c>
      <c r="AH7" s="36">
        <f>'FS Sayan Feb 2020'!AP13</f>
        <v>0</v>
      </c>
      <c r="AI7" s="36">
        <f>'FS Sayan Feb 2020'!AO13</f>
        <v>0</v>
      </c>
      <c r="AJ7" s="36">
        <f>'FS Sayan Feb 2020'!AP13</f>
        <v>0</v>
      </c>
      <c r="AK7" s="36">
        <f>'FS Sayan Feb 2020'!AW13</f>
        <v>0</v>
      </c>
      <c r="AL7" s="36">
        <f>'FS Sayan Feb 2020'!AX13</f>
        <v>0</v>
      </c>
      <c r="AM7" s="36">
        <f>'FS Sayan Feb 2020'!AZ13</f>
        <v>0</v>
      </c>
      <c r="AN7" s="36">
        <f>'FS Sayan Feb 2020'!AZ13</f>
        <v>0</v>
      </c>
      <c r="AO7" s="36">
        <f>'FS Sayan Feb 2020'!BI13</f>
        <v>0</v>
      </c>
      <c r="AP7" s="36">
        <f>'FS Sayan Feb 2020'!BJ13</f>
        <v>0</v>
      </c>
      <c r="AQ7" s="36">
        <f>'FS Sayan Feb 2020'!BA13</f>
        <v>0</v>
      </c>
      <c r="AR7" s="36">
        <f>'FS Sayan Feb 2020'!BB13</f>
        <v>0</v>
      </c>
      <c r="AS7" s="36">
        <f>'FS Sayan Feb 2020'!BK13</f>
        <v>0</v>
      </c>
      <c r="AT7" s="36">
        <f>'FS Sayan Feb 2020'!BL13</f>
        <v>0</v>
      </c>
      <c r="AU7" s="36">
        <f>'FS Sayan Feb 2020'!BM13</f>
        <v>0</v>
      </c>
      <c r="AV7" s="36">
        <f>'FS Sayan Feb 2020'!BN13</f>
        <v>0</v>
      </c>
      <c r="AW7" s="36">
        <f>'FS Sayan Feb 2020'!E13</f>
        <v>10.5</v>
      </c>
      <c r="AX7" s="36">
        <f>'FS Sayan Feb 2020'!F13</f>
        <v>0</v>
      </c>
      <c r="AY7" s="36">
        <f>'FS Sayan Feb 2020'!M13</f>
        <v>2.9000000000000004</v>
      </c>
      <c r="AZ7" s="36">
        <f>'FS Sayan Feb 2020'!P13</f>
        <v>0</v>
      </c>
      <c r="BA7" s="36">
        <v>0</v>
      </c>
      <c r="BB7" s="36">
        <f>'FS Sayan Feb 2020'!V27</f>
        <v>0</v>
      </c>
      <c r="BC7" s="36">
        <f>'FS Sayan Feb 2020'!AG13</f>
        <v>499.99999999999994</v>
      </c>
      <c r="BD7" s="36">
        <f>'FS Sayan Feb 2020'!AH13</f>
        <v>0</v>
      </c>
      <c r="BE7" s="36">
        <f>'FS Sayan Feb 2020'!AI13</f>
        <v>0</v>
      </c>
      <c r="BF7" s="36">
        <f>'FS Sayan Feb 2020'!AJ13</f>
        <v>0</v>
      </c>
      <c r="BG7" s="36">
        <f>'FS Sayan Feb 2020'!AK13</f>
        <v>0</v>
      </c>
      <c r="BH7" s="36">
        <f>'FS Sayan Feb 2020'!AL13</f>
        <v>0</v>
      </c>
      <c r="BI7" s="36">
        <f>'FS Sayan Feb 2020'!AM13</f>
        <v>0</v>
      </c>
      <c r="BJ7" s="36">
        <f>'FS Sayan Feb 2020'!AM13</f>
        <v>0</v>
      </c>
      <c r="BK7" s="36">
        <f>'FS Sayan Feb 2020'!AO13</f>
        <v>0</v>
      </c>
      <c r="BL7" s="36">
        <f>'FS Sayan Feb 2020'!AP13</f>
        <v>0</v>
      </c>
      <c r="BM7" s="36">
        <v>0</v>
      </c>
      <c r="BN7" s="36">
        <v>0</v>
      </c>
      <c r="BO7" s="37">
        <f>'FS Sayan Feb 2020'!Q13</f>
        <v>0</v>
      </c>
      <c r="BP7" s="36">
        <f>'FS Sayan Feb 2020'!R13</f>
        <v>0</v>
      </c>
    </row>
    <row r="8" spans="1:68">
      <c r="A8" s="31" t="s">
        <v>71</v>
      </c>
      <c r="B8" s="39">
        <f t="shared" si="0"/>
        <v>7</v>
      </c>
      <c r="C8" s="40">
        <v>2</v>
      </c>
      <c r="D8" s="41">
        <v>2020</v>
      </c>
      <c r="E8" s="32">
        <f>'FS Sayan Feb 2020'!M14</f>
        <v>4.6999999999999993</v>
      </c>
      <c r="F8" s="36">
        <f>'FS Sayan Feb 2020'!N14</f>
        <v>0</v>
      </c>
      <c r="G8" s="36">
        <f>'FS Sayan Feb 2020'!G14</f>
        <v>0</v>
      </c>
      <c r="H8" s="36">
        <f>'FS Sayan Feb 2020'!H14</f>
        <v>0</v>
      </c>
      <c r="I8" s="36">
        <f>'FS Sayan Feb 2020'!I14</f>
        <v>0</v>
      </c>
      <c r="J8" s="36">
        <f>'FS Sayan Feb 2020'!J14</f>
        <v>0</v>
      </c>
      <c r="K8" s="36">
        <f>'FS Sayan Feb 2020'!K14</f>
        <v>12.5</v>
      </c>
      <c r="L8" s="36">
        <f>'FS Sayan Feb 2020'!L14</f>
        <v>0</v>
      </c>
      <c r="M8" s="36">
        <f>'FS Sayan Feb 2020'!S14</f>
        <v>0</v>
      </c>
      <c r="N8" s="36">
        <f>'FS Sayan Feb 2020'!T14</f>
        <v>0</v>
      </c>
      <c r="O8" s="36">
        <f>'FS Sayan Feb 2020'!U14</f>
        <v>4.8</v>
      </c>
      <c r="P8" s="36">
        <f>'FS Sayan Feb 2020'!V14</f>
        <v>0</v>
      </c>
      <c r="Q8" s="36">
        <f>'FS Sayan Feb 2020'!BC14</f>
        <v>0</v>
      </c>
      <c r="R8" s="36">
        <f>'FS Sayan Feb 2020'!BD14</f>
        <v>0</v>
      </c>
      <c r="S8" s="36">
        <f>'FS Sayan Feb 2020'!BF14</f>
        <v>0</v>
      </c>
      <c r="T8" s="36">
        <f>'FS Sayan Feb 2020'!BF14</f>
        <v>0</v>
      </c>
      <c r="U8" s="36">
        <f>'FS Sayan Feb 2020'!BG14</f>
        <v>0</v>
      </c>
      <c r="V8" s="36">
        <f>'FS Sayan Feb 2020'!BH14</f>
        <v>0</v>
      </c>
      <c r="W8" s="36">
        <f>'FS Sayan Feb 2020'!W14</f>
        <v>125.99999999999999</v>
      </c>
      <c r="X8" s="36">
        <f>'FS Sayan Feb 2020'!X14</f>
        <v>0</v>
      </c>
      <c r="Y8" s="36">
        <f>'FS Sayan Feb 2020'!Y14</f>
        <v>0</v>
      </c>
      <c r="Z8" s="36">
        <f>'FS Sayan Feb 2020'!Z14</f>
        <v>0</v>
      </c>
      <c r="AA8" s="36">
        <f>'FS Sayan Feb 2020'!AA14</f>
        <v>0</v>
      </c>
      <c r="AB8" s="36">
        <f>'FS Sayan Feb 2020'!AB14</f>
        <v>0</v>
      </c>
      <c r="AC8" s="36">
        <f>'FS Sayan Feb 2020'!AC14</f>
        <v>0</v>
      </c>
      <c r="AD8" s="36">
        <f>'FS Sayan Feb 2020'!AD14</f>
        <v>0</v>
      </c>
      <c r="AE8" s="36">
        <f>'FS Sayan Feb 2020'!AE14</f>
        <v>0</v>
      </c>
      <c r="AF8" s="36">
        <f>'FS Sayan Feb 2020'!AF14</f>
        <v>0</v>
      </c>
      <c r="AG8" s="36">
        <f>'FS Sayan Feb 2020'!AK14</f>
        <v>0</v>
      </c>
      <c r="AH8" s="36">
        <f>'FS Sayan Feb 2020'!AP14</f>
        <v>0</v>
      </c>
      <c r="AI8" s="36">
        <f>'FS Sayan Feb 2020'!AO14</f>
        <v>0</v>
      </c>
      <c r="AJ8" s="36">
        <f>'FS Sayan Feb 2020'!AP14</f>
        <v>0</v>
      </c>
      <c r="AK8" s="36">
        <f>'FS Sayan Feb 2020'!AW14</f>
        <v>0</v>
      </c>
      <c r="AL8" s="36">
        <f>'FS Sayan Feb 2020'!AX14</f>
        <v>0</v>
      </c>
      <c r="AM8" s="36">
        <f>'FS Sayan Feb 2020'!AZ14</f>
        <v>0</v>
      </c>
      <c r="AN8" s="36">
        <f>'FS Sayan Feb 2020'!AZ14</f>
        <v>0</v>
      </c>
      <c r="AO8" s="36">
        <f>'FS Sayan Feb 2020'!BI14</f>
        <v>0</v>
      </c>
      <c r="AP8" s="36">
        <f>'FS Sayan Feb 2020'!BJ14</f>
        <v>0</v>
      </c>
      <c r="AQ8" s="36">
        <f>'FS Sayan Feb 2020'!BA14</f>
        <v>0</v>
      </c>
      <c r="AR8" s="36">
        <f>'FS Sayan Feb 2020'!BB14</f>
        <v>0</v>
      </c>
      <c r="AS8" s="36">
        <f>'FS Sayan Feb 2020'!BK14</f>
        <v>0</v>
      </c>
      <c r="AT8" s="36">
        <f>'FS Sayan Feb 2020'!BL14</f>
        <v>0</v>
      </c>
      <c r="AU8" s="36">
        <f>'FS Sayan Feb 2020'!BM14</f>
        <v>0</v>
      </c>
      <c r="AV8" s="36">
        <f>'FS Sayan Feb 2020'!BN14</f>
        <v>0</v>
      </c>
      <c r="AW8" s="36">
        <f>'FS Sayan Feb 2020'!E14</f>
        <v>8.1000000000000014</v>
      </c>
      <c r="AX8" s="36">
        <f>'FS Sayan Feb 2020'!F14</f>
        <v>0</v>
      </c>
      <c r="AY8" s="36">
        <f>'FS Sayan Feb 2020'!M14</f>
        <v>4.6999999999999993</v>
      </c>
      <c r="AZ8" s="36">
        <f>'FS Sayan Feb 2020'!P14</f>
        <v>0</v>
      </c>
      <c r="BA8" s="36">
        <v>0</v>
      </c>
      <c r="BB8" s="36">
        <f>'FS Sayan Feb 2020'!V28</f>
        <v>0</v>
      </c>
      <c r="BC8" s="36">
        <f>'FS Sayan Feb 2020'!AG14</f>
        <v>520</v>
      </c>
      <c r="BD8" s="36">
        <f>'FS Sayan Feb 2020'!AH14</f>
        <v>0</v>
      </c>
      <c r="BE8" s="36">
        <f>'FS Sayan Feb 2020'!AI14</f>
        <v>0</v>
      </c>
      <c r="BF8" s="36">
        <f>'FS Sayan Feb 2020'!AJ14</f>
        <v>0</v>
      </c>
      <c r="BG8" s="36">
        <f>'FS Sayan Feb 2020'!AK14</f>
        <v>0</v>
      </c>
      <c r="BH8" s="36">
        <f>'FS Sayan Feb 2020'!AL14</f>
        <v>0</v>
      </c>
      <c r="BI8" s="36">
        <f>'FS Sayan Feb 2020'!AM14</f>
        <v>0</v>
      </c>
      <c r="BJ8" s="36">
        <f>'FS Sayan Feb 2020'!AM14</f>
        <v>0</v>
      </c>
      <c r="BK8" s="36">
        <f>'FS Sayan Feb 2020'!AO14</f>
        <v>0</v>
      </c>
      <c r="BL8" s="36">
        <f>'FS Sayan Feb 2020'!AP14</f>
        <v>0</v>
      </c>
      <c r="BM8" s="36">
        <v>0</v>
      </c>
      <c r="BN8" s="36">
        <v>0</v>
      </c>
      <c r="BO8" s="37">
        <f>'FS Sayan Feb 2020'!Q14</f>
        <v>0</v>
      </c>
      <c r="BP8" s="36">
        <f>'FS Sayan Feb 2020'!R14</f>
        <v>0</v>
      </c>
    </row>
    <row r="9" spans="1:68">
      <c r="A9" s="31" t="s">
        <v>71</v>
      </c>
      <c r="B9" s="39">
        <f t="shared" si="0"/>
        <v>8</v>
      </c>
      <c r="C9" s="40">
        <v>2</v>
      </c>
      <c r="D9" s="41">
        <v>2020</v>
      </c>
      <c r="E9" s="32">
        <f>'FS Sayan Feb 2020'!M15</f>
        <v>5.2</v>
      </c>
      <c r="F9" s="36">
        <f>'FS Sayan Feb 2020'!N15</f>
        <v>0</v>
      </c>
      <c r="G9" s="36">
        <f>'FS Sayan Feb 2020'!G15</f>
        <v>0</v>
      </c>
      <c r="H9" s="36">
        <f>'FS Sayan Feb 2020'!H15</f>
        <v>0</v>
      </c>
      <c r="I9" s="36">
        <f>'FS Sayan Feb 2020'!I15</f>
        <v>0</v>
      </c>
      <c r="J9" s="36">
        <f>'FS Sayan Feb 2020'!J15</f>
        <v>0</v>
      </c>
      <c r="K9" s="36">
        <f>'FS Sayan Feb 2020'!K15</f>
        <v>9.3000000000000007</v>
      </c>
      <c r="L9" s="36">
        <f>'FS Sayan Feb 2020'!L15</f>
        <v>0</v>
      </c>
      <c r="M9" s="36">
        <f>'FS Sayan Feb 2020'!S15</f>
        <v>0</v>
      </c>
      <c r="N9" s="36">
        <f>'FS Sayan Feb 2020'!T15</f>
        <v>0</v>
      </c>
      <c r="O9" s="36">
        <f>'FS Sayan Feb 2020'!U15</f>
        <v>3</v>
      </c>
      <c r="P9" s="36">
        <f>'FS Sayan Feb 2020'!V15</f>
        <v>0</v>
      </c>
      <c r="Q9" s="36">
        <f>'FS Sayan Feb 2020'!BC15</f>
        <v>0</v>
      </c>
      <c r="R9" s="36">
        <f>'FS Sayan Feb 2020'!BD15</f>
        <v>0</v>
      </c>
      <c r="S9" s="36">
        <f>'FS Sayan Feb 2020'!BF15</f>
        <v>0</v>
      </c>
      <c r="T9" s="36">
        <f>'FS Sayan Feb 2020'!BF15</f>
        <v>0</v>
      </c>
      <c r="U9" s="36">
        <f>'FS Sayan Feb 2020'!BG15</f>
        <v>0</v>
      </c>
      <c r="V9" s="36">
        <f>'FS Sayan Feb 2020'!BH15</f>
        <v>0</v>
      </c>
      <c r="W9" s="36">
        <f>'FS Sayan Feb 2020'!W15</f>
        <v>135</v>
      </c>
      <c r="X9" s="36">
        <f>'FS Sayan Feb 2020'!X15</f>
        <v>0</v>
      </c>
      <c r="Y9" s="36">
        <f>'FS Sayan Feb 2020'!Y15</f>
        <v>0</v>
      </c>
      <c r="Z9" s="36">
        <f>'FS Sayan Feb 2020'!Z15</f>
        <v>0</v>
      </c>
      <c r="AA9" s="36">
        <f>'FS Sayan Feb 2020'!AA15</f>
        <v>0</v>
      </c>
      <c r="AB9" s="36">
        <f>'FS Sayan Feb 2020'!AB15</f>
        <v>0</v>
      </c>
      <c r="AC9" s="36">
        <f>'FS Sayan Feb 2020'!AC15</f>
        <v>0</v>
      </c>
      <c r="AD9" s="36">
        <f>'FS Sayan Feb 2020'!AD15</f>
        <v>0</v>
      </c>
      <c r="AE9" s="36">
        <f>'FS Sayan Feb 2020'!AE15</f>
        <v>0</v>
      </c>
      <c r="AF9" s="36">
        <f>'FS Sayan Feb 2020'!AF15</f>
        <v>0</v>
      </c>
      <c r="AG9" s="36">
        <f>'FS Sayan Feb 2020'!AK15</f>
        <v>0</v>
      </c>
      <c r="AH9" s="36">
        <f>'FS Sayan Feb 2020'!AP15</f>
        <v>0</v>
      </c>
      <c r="AI9" s="36">
        <f>'FS Sayan Feb 2020'!AO15</f>
        <v>0</v>
      </c>
      <c r="AJ9" s="36">
        <f>'FS Sayan Feb 2020'!AP15</f>
        <v>0</v>
      </c>
      <c r="AK9" s="36">
        <f>'FS Sayan Feb 2020'!AW15</f>
        <v>0</v>
      </c>
      <c r="AL9" s="36">
        <f>'FS Sayan Feb 2020'!AX15</f>
        <v>0</v>
      </c>
      <c r="AM9" s="36">
        <f>'FS Sayan Feb 2020'!AZ15</f>
        <v>0</v>
      </c>
      <c r="AN9" s="36">
        <f>'FS Sayan Feb 2020'!AZ15</f>
        <v>0</v>
      </c>
      <c r="AO9" s="36">
        <f>'FS Sayan Feb 2020'!BI15</f>
        <v>0</v>
      </c>
      <c r="AP9" s="36">
        <f>'FS Sayan Feb 2020'!BJ15</f>
        <v>0</v>
      </c>
      <c r="AQ9" s="36">
        <f>'FS Sayan Feb 2020'!BA15</f>
        <v>0</v>
      </c>
      <c r="AR9" s="36">
        <f>'FS Sayan Feb 2020'!BB15</f>
        <v>0</v>
      </c>
      <c r="AS9" s="36">
        <f>'FS Sayan Feb 2020'!BK15</f>
        <v>0</v>
      </c>
      <c r="AT9" s="36">
        <f>'FS Sayan Feb 2020'!BL15</f>
        <v>0</v>
      </c>
      <c r="AU9" s="36">
        <f>'FS Sayan Feb 2020'!BM15</f>
        <v>0</v>
      </c>
      <c r="AV9" s="36">
        <f>'FS Sayan Feb 2020'!BN15</f>
        <v>0</v>
      </c>
      <c r="AW9" s="36">
        <f>'FS Sayan Feb 2020'!E15</f>
        <v>9</v>
      </c>
      <c r="AX9" s="36">
        <f>'FS Sayan Feb 2020'!F15</f>
        <v>0</v>
      </c>
      <c r="AY9" s="36">
        <f>'FS Sayan Feb 2020'!M15</f>
        <v>5.2</v>
      </c>
      <c r="AZ9" s="36">
        <f>'FS Sayan Feb 2020'!P15</f>
        <v>0</v>
      </c>
      <c r="BA9" s="36">
        <v>0</v>
      </c>
      <c r="BB9" s="36">
        <f>'FS Sayan Feb 2020'!V29</f>
        <v>0</v>
      </c>
      <c r="BC9" s="36">
        <f>'FS Sayan Feb 2020'!AG15</f>
        <v>355</v>
      </c>
      <c r="BD9" s="36">
        <f>'FS Sayan Feb 2020'!AH15</f>
        <v>0</v>
      </c>
      <c r="BE9" s="36">
        <f>'FS Sayan Feb 2020'!AI15</f>
        <v>0</v>
      </c>
      <c r="BF9" s="36">
        <f>'FS Sayan Feb 2020'!AJ15</f>
        <v>0</v>
      </c>
      <c r="BG9" s="36">
        <f>'FS Sayan Feb 2020'!AK15</f>
        <v>0</v>
      </c>
      <c r="BH9" s="36">
        <f>'FS Sayan Feb 2020'!AL15</f>
        <v>0</v>
      </c>
      <c r="BI9" s="36">
        <f>'FS Sayan Feb 2020'!AM15</f>
        <v>0</v>
      </c>
      <c r="BJ9" s="36">
        <f>'FS Sayan Feb 2020'!AM15</f>
        <v>0</v>
      </c>
      <c r="BK9" s="36">
        <f>'FS Sayan Feb 2020'!AO15</f>
        <v>0</v>
      </c>
      <c r="BL9" s="36">
        <f>'FS Sayan Feb 2020'!AP15</f>
        <v>0</v>
      </c>
      <c r="BM9" s="36">
        <v>0</v>
      </c>
      <c r="BN9" s="36">
        <v>0</v>
      </c>
      <c r="BO9" s="37">
        <f>'FS Sayan Feb 2020'!Q15</f>
        <v>0</v>
      </c>
      <c r="BP9" s="36">
        <f>'FS Sayan Feb 2020'!R15</f>
        <v>0</v>
      </c>
    </row>
    <row r="10" spans="1:68">
      <c r="A10" s="31" t="s">
        <v>71</v>
      </c>
      <c r="B10" s="39">
        <f t="shared" si="0"/>
        <v>9</v>
      </c>
      <c r="C10" s="40">
        <v>2</v>
      </c>
      <c r="D10" s="41">
        <v>2020</v>
      </c>
      <c r="E10" s="32">
        <f>'FS Sayan Feb 2020'!M16</f>
        <v>3.7</v>
      </c>
      <c r="F10" s="36">
        <f>'FS Sayan Feb 2020'!N16</f>
        <v>0</v>
      </c>
      <c r="G10" s="36">
        <f>'FS Sayan Feb 2020'!G16</f>
        <v>0</v>
      </c>
      <c r="H10" s="36">
        <f>'FS Sayan Feb 2020'!H16</f>
        <v>0</v>
      </c>
      <c r="I10" s="36">
        <f>'FS Sayan Feb 2020'!I16</f>
        <v>0</v>
      </c>
      <c r="J10" s="36">
        <f>'FS Sayan Feb 2020'!J16</f>
        <v>0</v>
      </c>
      <c r="K10" s="36">
        <f>'FS Sayan Feb 2020'!K16</f>
        <v>12.399999999999999</v>
      </c>
      <c r="L10" s="36">
        <f>'FS Sayan Feb 2020'!L16</f>
        <v>0</v>
      </c>
      <c r="M10" s="36">
        <f>'FS Sayan Feb 2020'!S16</f>
        <v>0</v>
      </c>
      <c r="N10" s="36">
        <f>'FS Sayan Feb 2020'!T16</f>
        <v>0</v>
      </c>
      <c r="O10" s="36">
        <f>'FS Sayan Feb 2020'!U16</f>
        <v>2.8</v>
      </c>
      <c r="P10" s="36">
        <f>'FS Sayan Feb 2020'!V16</f>
        <v>0</v>
      </c>
      <c r="Q10" s="36">
        <f>'FS Sayan Feb 2020'!BC16</f>
        <v>0</v>
      </c>
      <c r="R10" s="36">
        <f>'FS Sayan Feb 2020'!BD16</f>
        <v>0</v>
      </c>
      <c r="S10" s="36">
        <f>'FS Sayan Feb 2020'!BF16</f>
        <v>0</v>
      </c>
      <c r="T10" s="36">
        <f>'FS Sayan Feb 2020'!BF16</f>
        <v>0</v>
      </c>
      <c r="U10" s="36">
        <f>'FS Sayan Feb 2020'!BG16</f>
        <v>0</v>
      </c>
      <c r="V10" s="36">
        <f>'FS Sayan Feb 2020'!BH16</f>
        <v>0</v>
      </c>
      <c r="W10" s="36">
        <f>'FS Sayan Feb 2020'!W16</f>
        <v>144</v>
      </c>
      <c r="X10" s="36">
        <f>'FS Sayan Feb 2020'!X16</f>
        <v>0</v>
      </c>
      <c r="Y10" s="36">
        <f>'FS Sayan Feb 2020'!Y16</f>
        <v>0</v>
      </c>
      <c r="Z10" s="36">
        <f>'FS Sayan Feb 2020'!Z16</f>
        <v>0</v>
      </c>
      <c r="AA10" s="36">
        <f>'FS Sayan Feb 2020'!AA16</f>
        <v>0</v>
      </c>
      <c r="AB10" s="36">
        <f>'FS Sayan Feb 2020'!AB16</f>
        <v>0</v>
      </c>
      <c r="AC10" s="36">
        <f>'FS Sayan Feb 2020'!AC16</f>
        <v>0</v>
      </c>
      <c r="AD10" s="36">
        <f>'FS Sayan Feb 2020'!AD16</f>
        <v>0</v>
      </c>
      <c r="AE10" s="36">
        <f>'FS Sayan Feb 2020'!AE16</f>
        <v>0</v>
      </c>
      <c r="AF10" s="36">
        <f>'FS Sayan Feb 2020'!AF16</f>
        <v>0</v>
      </c>
      <c r="AG10" s="36">
        <f>'FS Sayan Feb 2020'!AK16</f>
        <v>0</v>
      </c>
      <c r="AH10" s="36">
        <f>'FS Sayan Feb 2020'!AP16</f>
        <v>0</v>
      </c>
      <c r="AI10" s="36">
        <f>'FS Sayan Feb 2020'!AO16</f>
        <v>0</v>
      </c>
      <c r="AJ10" s="36">
        <f>'FS Sayan Feb 2020'!AP16</f>
        <v>0</v>
      </c>
      <c r="AK10" s="36">
        <f>'FS Sayan Feb 2020'!AW16</f>
        <v>0</v>
      </c>
      <c r="AL10" s="36">
        <f>'FS Sayan Feb 2020'!AX16</f>
        <v>0</v>
      </c>
      <c r="AM10" s="36">
        <f>'FS Sayan Feb 2020'!AZ16</f>
        <v>0</v>
      </c>
      <c r="AN10" s="36">
        <f>'FS Sayan Feb 2020'!AZ16</f>
        <v>0</v>
      </c>
      <c r="AO10" s="36">
        <f>'FS Sayan Feb 2020'!BI16</f>
        <v>0</v>
      </c>
      <c r="AP10" s="36">
        <f>'FS Sayan Feb 2020'!BJ16</f>
        <v>0</v>
      </c>
      <c r="AQ10" s="36">
        <f>'FS Sayan Feb 2020'!BA16</f>
        <v>0</v>
      </c>
      <c r="AR10" s="36">
        <f>'FS Sayan Feb 2020'!BB16</f>
        <v>0</v>
      </c>
      <c r="AS10" s="36">
        <f>'FS Sayan Feb 2020'!BK16</f>
        <v>0</v>
      </c>
      <c r="AT10" s="36">
        <f>'FS Sayan Feb 2020'!BL16</f>
        <v>0</v>
      </c>
      <c r="AU10" s="36">
        <f>'FS Sayan Feb 2020'!BM16</f>
        <v>0</v>
      </c>
      <c r="AV10" s="36">
        <f>'FS Sayan Feb 2020'!BN16</f>
        <v>0</v>
      </c>
      <c r="AW10" s="36">
        <f>'FS Sayan Feb 2020'!E16</f>
        <v>11.7</v>
      </c>
      <c r="AX10" s="36">
        <f>'FS Sayan Feb 2020'!F16</f>
        <v>0</v>
      </c>
      <c r="AY10" s="36">
        <f>'FS Sayan Feb 2020'!M16</f>
        <v>3.7</v>
      </c>
      <c r="AZ10" s="36">
        <f>'FS Sayan Feb 2020'!P16</f>
        <v>0</v>
      </c>
      <c r="BA10" s="36">
        <v>0</v>
      </c>
      <c r="BB10" s="36">
        <f>'FS Sayan Feb 2020'!V30</f>
        <v>0</v>
      </c>
      <c r="BC10" s="36">
        <f>'FS Sayan Feb 2020'!AG16</f>
        <v>400</v>
      </c>
      <c r="BD10" s="36">
        <f>'FS Sayan Feb 2020'!AH16</f>
        <v>0</v>
      </c>
      <c r="BE10" s="36">
        <f>'FS Sayan Feb 2020'!AI16</f>
        <v>0</v>
      </c>
      <c r="BF10" s="36">
        <f>'FS Sayan Feb 2020'!AJ16</f>
        <v>0</v>
      </c>
      <c r="BG10" s="36">
        <f>'FS Sayan Feb 2020'!AK16</f>
        <v>0</v>
      </c>
      <c r="BH10" s="36">
        <f>'FS Sayan Feb 2020'!AL16</f>
        <v>0</v>
      </c>
      <c r="BI10" s="36">
        <f>'FS Sayan Feb 2020'!AM16</f>
        <v>0</v>
      </c>
      <c r="BJ10" s="36">
        <f>'FS Sayan Feb 2020'!AM16</f>
        <v>0</v>
      </c>
      <c r="BK10" s="36">
        <f>'FS Sayan Feb 2020'!AO16</f>
        <v>0</v>
      </c>
      <c r="BL10" s="36">
        <f>'FS Sayan Feb 2020'!AP16</f>
        <v>0</v>
      </c>
      <c r="BM10" s="36">
        <v>0</v>
      </c>
      <c r="BN10" s="36">
        <v>0</v>
      </c>
      <c r="BO10" s="37">
        <f>'FS Sayan Feb 2020'!Q16</f>
        <v>0</v>
      </c>
      <c r="BP10" s="36">
        <f>'FS Sayan Feb 2020'!R16</f>
        <v>0</v>
      </c>
    </row>
    <row r="11" spans="1:68">
      <c r="A11" s="31" t="s">
        <v>71</v>
      </c>
      <c r="B11" s="39">
        <f t="shared" si="0"/>
        <v>10</v>
      </c>
      <c r="C11" s="40">
        <v>2</v>
      </c>
      <c r="D11" s="41">
        <v>2020</v>
      </c>
      <c r="E11" s="32">
        <f>'FS Sayan Feb 2020'!M17</f>
        <v>2.7</v>
      </c>
      <c r="F11" s="36">
        <f>'FS Sayan Feb 2020'!N17</f>
        <v>0</v>
      </c>
      <c r="G11" s="36">
        <f>'FS Sayan Feb 2020'!G17</f>
        <v>0</v>
      </c>
      <c r="H11" s="36">
        <f>'FS Sayan Feb 2020'!H17</f>
        <v>0</v>
      </c>
      <c r="I11" s="36">
        <f>'FS Sayan Feb 2020'!I17</f>
        <v>0</v>
      </c>
      <c r="J11" s="36">
        <f>'FS Sayan Feb 2020'!J17</f>
        <v>0</v>
      </c>
      <c r="K11" s="36">
        <f>'FS Sayan Feb 2020'!K17</f>
        <v>9.6999999999999993</v>
      </c>
      <c r="L11" s="36">
        <f>'FS Sayan Feb 2020'!L17</f>
        <v>0</v>
      </c>
      <c r="M11" s="36">
        <f>'FS Sayan Feb 2020'!S17</f>
        <v>0</v>
      </c>
      <c r="N11" s="36">
        <f>'FS Sayan Feb 2020'!T17</f>
        <v>0</v>
      </c>
      <c r="O11" s="36">
        <f>'FS Sayan Feb 2020'!U17</f>
        <v>2.6</v>
      </c>
      <c r="P11" s="36">
        <f>'FS Sayan Feb 2020'!V17</f>
        <v>0</v>
      </c>
      <c r="Q11" s="36">
        <f>'FS Sayan Feb 2020'!BC17</f>
        <v>0</v>
      </c>
      <c r="R11" s="36">
        <f>'FS Sayan Feb 2020'!BD17</f>
        <v>0</v>
      </c>
      <c r="S11" s="36">
        <f>'FS Sayan Feb 2020'!BF17</f>
        <v>0</v>
      </c>
      <c r="T11" s="36">
        <f>'FS Sayan Feb 2020'!BF17</f>
        <v>0</v>
      </c>
      <c r="U11" s="36">
        <f>'FS Sayan Feb 2020'!BG17</f>
        <v>0</v>
      </c>
      <c r="V11" s="36">
        <f>'FS Sayan Feb 2020'!BH17</f>
        <v>0</v>
      </c>
      <c r="W11" s="36">
        <f>'FS Sayan Feb 2020'!W17</f>
        <v>117</v>
      </c>
      <c r="X11" s="36">
        <f>'FS Sayan Feb 2020'!X17</f>
        <v>0</v>
      </c>
      <c r="Y11" s="36">
        <f>'FS Sayan Feb 2020'!Y17</f>
        <v>0</v>
      </c>
      <c r="Z11" s="36">
        <f>'FS Sayan Feb 2020'!Z17</f>
        <v>0</v>
      </c>
      <c r="AA11" s="36">
        <f>'FS Sayan Feb 2020'!AA17</f>
        <v>0</v>
      </c>
      <c r="AB11" s="36">
        <f>'FS Sayan Feb 2020'!AB17</f>
        <v>0</v>
      </c>
      <c r="AC11" s="36">
        <f>'FS Sayan Feb 2020'!AC17</f>
        <v>0</v>
      </c>
      <c r="AD11" s="36">
        <f>'FS Sayan Feb 2020'!AD17</f>
        <v>0</v>
      </c>
      <c r="AE11" s="36">
        <f>'FS Sayan Feb 2020'!AE17</f>
        <v>0</v>
      </c>
      <c r="AF11" s="36">
        <f>'FS Sayan Feb 2020'!AF17</f>
        <v>0</v>
      </c>
      <c r="AG11" s="36">
        <f>'FS Sayan Feb 2020'!AK17</f>
        <v>0</v>
      </c>
      <c r="AH11" s="36">
        <f>'FS Sayan Feb 2020'!AP17</f>
        <v>0</v>
      </c>
      <c r="AI11" s="36">
        <f>'FS Sayan Feb 2020'!AO17</f>
        <v>0</v>
      </c>
      <c r="AJ11" s="36">
        <f>'FS Sayan Feb 2020'!AP17</f>
        <v>0</v>
      </c>
      <c r="AK11" s="36">
        <f>'FS Sayan Feb 2020'!AW17</f>
        <v>0</v>
      </c>
      <c r="AL11" s="36">
        <f>'FS Sayan Feb 2020'!AX17</f>
        <v>0</v>
      </c>
      <c r="AM11" s="36">
        <f>'FS Sayan Feb 2020'!AZ17</f>
        <v>0</v>
      </c>
      <c r="AN11" s="36">
        <f>'FS Sayan Feb 2020'!AZ17</f>
        <v>0</v>
      </c>
      <c r="AO11" s="36">
        <f>'FS Sayan Feb 2020'!BI17</f>
        <v>0</v>
      </c>
      <c r="AP11" s="36">
        <f>'FS Sayan Feb 2020'!BJ17</f>
        <v>0</v>
      </c>
      <c r="AQ11" s="36">
        <f>'FS Sayan Feb 2020'!BA17</f>
        <v>0</v>
      </c>
      <c r="AR11" s="36">
        <f>'FS Sayan Feb 2020'!BB17</f>
        <v>0</v>
      </c>
      <c r="AS11" s="36">
        <f>'FS Sayan Feb 2020'!BK17</f>
        <v>0</v>
      </c>
      <c r="AT11" s="36">
        <f>'FS Sayan Feb 2020'!BL17</f>
        <v>0</v>
      </c>
      <c r="AU11" s="36">
        <f>'FS Sayan Feb 2020'!BM17</f>
        <v>0</v>
      </c>
      <c r="AV11" s="36">
        <f>'FS Sayan Feb 2020'!BN17</f>
        <v>0</v>
      </c>
      <c r="AW11" s="36">
        <f>'FS Sayan Feb 2020'!E17</f>
        <v>11.9</v>
      </c>
      <c r="AX11" s="36">
        <f>'FS Sayan Feb 2020'!F17</f>
        <v>0</v>
      </c>
      <c r="AY11" s="36">
        <f>'FS Sayan Feb 2020'!M17</f>
        <v>2.7</v>
      </c>
      <c r="AZ11" s="36">
        <f>'FS Sayan Feb 2020'!P17</f>
        <v>0</v>
      </c>
      <c r="BA11" s="36">
        <v>0</v>
      </c>
      <c r="BB11" s="36">
        <f>'FS Sayan Feb 2020'!V31</f>
        <v>0</v>
      </c>
      <c r="BC11" s="36">
        <f>'FS Sayan Feb 2020'!AG17</f>
        <v>604.99999999999989</v>
      </c>
      <c r="BD11" s="36">
        <f>'FS Sayan Feb 2020'!AH17</f>
        <v>0</v>
      </c>
      <c r="BE11" s="36">
        <f>'FS Sayan Feb 2020'!AI17</f>
        <v>0</v>
      </c>
      <c r="BF11" s="36">
        <f>'FS Sayan Feb 2020'!AJ17</f>
        <v>0</v>
      </c>
      <c r="BG11" s="36">
        <f>'FS Sayan Feb 2020'!AK17</f>
        <v>0</v>
      </c>
      <c r="BH11" s="36">
        <f>'FS Sayan Feb 2020'!AL17</f>
        <v>0</v>
      </c>
      <c r="BI11" s="36">
        <f>'FS Sayan Feb 2020'!AM17</f>
        <v>0</v>
      </c>
      <c r="BJ11" s="36">
        <f>'FS Sayan Feb 2020'!AM17</f>
        <v>0</v>
      </c>
      <c r="BK11" s="36">
        <f>'FS Sayan Feb 2020'!AO17</f>
        <v>0</v>
      </c>
      <c r="BL11" s="36">
        <f>'FS Sayan Feb 2020'!AP17</f>
        <v>0</v>
      </c>
      <c r="BM11" s="36">
        <v>0</v>
      </c>
      <c r="BN11" s="36">
        <v>0</v>
      </c>
      <c r="BO11" s="37">
        <f>'FS Sayan Feb 2020'!Q17</f>
        <v>0</v>
      </c>
      <c r="BP11" s="36">
        <f>'FS Sayan Feb 2020'!R17</f>
        <v>0</v>
      </c>
    </row>
    <row r="12" spans="1:68">
      <c r="A12" s="31" t="s">
        <v>71</v>
      </c>
      <c r="B12" s="39">
        <f t="shared" si="0"/>
        <v>11</v>
      </c>
      <c r="C12" s="40">
        <v>2</v>
      </c>
      <c r="D12" s="41">
        <v>2020</v>
      </c>
      <c r="E12" s="32">
        <f>'FS Sayan Feb 2020'!M18</f>
        <v>2.7</v>
      </c>
      <c r="F12" s="36">
        <f>'FS Sayan Feb 2020'!N18</f>
        <v>0</v>
      </c>
      <c r="G12" s="36">
        <f>'FS Sayan Feb 2020'!G18</f>
        <v>0</v>
      </c>
      <c r="H12" s="36">
        <f>'FS Sayan Feb 2020'!H18</f>
        <v>0</v>
      </c>
      <c r="I12" s="36">
        <f>'FS Sayan Feb 2020'!I18</f>
        <v>0</v>
      </c>
      <c r="J12" s="36">
        <f>'FS Sayan Feb 2020'!J18</f>
        <v>0</v>
      </c>
      <c r="K12" s="36">
        <f>'FS Sayan Feb 2020'!K18</f>
        <v>10.399999999999999</v>
      </c>
      <c r="L12" s="36">
        <f>'FS Sayan Feb 2020'!L18</f>
        <v>0</v>
      </c>
      <c r="M12" s="36">
        <f>'FS Sayan Feb 2020'!S18</f>
        <v>0</v>
      </c>
      <c r="N12" s="36">
        <f>'FS Sayan Feb 2020'!T18</f>
        <v>0</v>
      </c>
      <c r="O12" s="36">
        <f>'FS Sayan Feb 2020'!U18</f>
        <v>4.8</v>
      </c>
      <c r="P12" s="36">
        <f>'FS Sayan Feb 2020'!V18</f>
        <v>0</v>
      </c>
      <c r="Q12" s="36">
        <f>'FS Sayan Feb 2020'!BC18</f>
        <v>0</v>
      </c>
      <c r="R12" s="36">
        <f>'FS Sayan Feb 2020'!BD18</f>
        <v>0</v>
      </c>
      <c r="S12" s="36">
        <f>'FS Sayan Feb 2020'!BF18</f>
        <v>0</v>
      </c>
      <c r="T12" s="36">
        <f>'FS Sayan Feb 2020'!BF18</f>
        <v>0</v>
      </c>
      <c r="U12" s="36">
        <f>'FS Sayan Feb 2020'!BG18</f>
        <v>0</v>
      </c>
      <c r="V12" s="36">
        <f>'FS Sayan Feb 2020'!BH18</f>
        <v>0</v>
      </c>
      <c r="W12" s="36">
        <f>'FS Sayan Feb 2020'!W18</f>
        <v>125.99999999999999</v>
      </c>
      <c r="X12" s="36">
        <f>'FS Sayan Feb 2020'!X18</f>
        <v>0</v>
      </c>
      <c r="Y12" s="36">
        <f>'FS Sayan Feb 2020'!Y18</f>
        <v>0</v>
      </c>
      <c r="Z12" s="36">
        <f>'FS Sayan Feb 2020'!Z18</f>
        <v>0</v>
      </c>
      <c r="AA12" s="36">
        <f>'FS Sayan Feb 2020'!AA18</f>
        <v>0</v>
      </c>
      <c r="AB12" s="36">
        <f>'FS Sayan Feb 2020'!AB18</f>
        <v>0</v>
      </c>
      <c r="AC12" s="36">
        <f>'FS Sayan Feb 2020'!AC18</f>
        <v>0</v>
      </c>
      <c r="AD12" s="36">
        <f>'FS Sayan Feb 2020'!AD18</f>
        <v>0</v>
      </c>
      <c r="AE12" s="36">
        <f>'FS Sayan Feb 2020'!AE18</f>
        <v>0</v>
      </c>
      <c r="AF12" s="36">
        <f>'FS Sayan Feb 2020'!AF18</f>
        <v>0</v>
      </c>
      <c r="AG12" s="36">
        <f>'FS Sayan Feb 2020'!AK18</f>
        <v>0</v>
      </c>
      <c r="AH12" s="36">
        <f>'FS Sayan Feb 2020'!AP18</f>
        <v>0</v>
      </c>
      <c r="AI12" s="36">
        <f>'FS Sayan Feb 2020'!AO18</f>
        <v>0</v>
      </c>
      <c r="AJ12" s="36">
        <f>'FS Sayan Feb 2020'!AP18</f>
        <v>0</v>
      </c>
      <c r="AK12" s="36">
        <f>'FS Sayan Feb 2020'!AW18</f>
        <v>0</v>
      </c>
      <c r="AL12" s="36">
        <f>'FS Sayan Feb 2020'!AX18</f>
        <v>0</v>
      </c>
      <c r="AM12" s="36">
        <f>'FS Sayan Feb 2020'!AZ18</f>
        <v>0</v>
      </c>
      <c r="AN12" s="36">
        <f>'FS Sayan Feb 2020'!AZ18</f>
        <v>0</v>
      </c>
      <c r="AO12" s="36">
        <f>'FS Sayan Feb 2020'!BI18</f>
        <v>0</v>
      </c>
      <c r="AP12" s="36">
        <f>'FS Sayan Feb 2020'!BJ18</f>
        <v>0</v>
      </c>
      <c r="AQ12" s="36">
        <f>'FS Sayan Feb 2020'!BA18</f>
        <v>0</v>
      </c>
      <c r="AR12" s="36">
        <f>'FS Sayan Feb 2020'!BB18</f>
        <v>0</v>
      </c>
      <c r="AS12" s="36">
        <f>'FS Sayan Feb 2020'!BK18</f>
        <v>0</v>
      </c>
      <c r="AT12" s="36">
        <f>'FS Sayan Feb 2020'!BL18</f>
        <v>0</v>
      </c>
      <c r="AU12" s="36">
        <f>'FS Sayan Feb 2020'!BM18</f>
        <v>0</v>
      </c>
      <c r="AV12" s="36">
        <f>'FS Sayan Feb 2020'!BN18</f>
        <v>0</v>
      </c>
      <c r="AW12" s="36">
        <f>'FS Sayan Feb 2020'!E18</f>
        <v>9.1999999999999993</v>
      </c>
      <c r="AX12" s="36">
        <f>'FS Sayan Feb 2020'!F18</f>
        <v>0</v>
      </c>
      <c r="AY12" s="36">
        <f>'FS Sayan Feb 2020'!M18</f>
        <v>2.7</v>
      </c>
      <c r="AZ12" s="36">
        <f>'FS Sayan Feb 2020'!P18</f>
        <v>0</v>
      </c>
      <c r="BA12" s="36">
        <v>0</v>
      </c>
      <c r="BB12" s="36">
        <f>'FS Sayan Feb 2020'!V32</f>
        <v>0</v>
      </c>
      <c r="BC12" s="36">
        <f>'FS Sayan Feb 2020'!AG18</f>
        <v>614.99999999999989</v>
      </c>
      <c r="BD12" s="36">
        <f>'FS Sayan Feb 2020'!AH18</f>
        <v>0</v>
      </c>
      <c r="BE12" s="36">
        <f>'FS Sayan Feb 2020'!AI18</f>
        <v>0</v>
      </c>
      <c r="BF12" s="36">
        <f>'FS Sayan Feb 2020'!AJ18</f>
        <v>0</v>
      </c>
      <c r="BG12" s="36">
        <f>'FS Sayan Feb 2020'!AK18</f>
        <v>0</v>
      </c>
      <c r="BH12" s="36">
        <f>'FS Sayan Feb 2020'!AL18</f>
        <v>0</v>
      </c>
      <c r="BI12" s="36">
        <f>'FS Sayan Feb 2020'!AM18</f>
        <v>0</v>
      </c>
      <c r="BJ12" s="36">
        <f>'FS Sayan Feb 2020'!AM18</f>
        <v>0</v>
      </c>
      <c r="BK12" s="36">
        <f>'FS Sayan Feb 2020'!AO18</f>
        <v>0</v>
      </c>
      <c r="BL12" s="36">
        <f>'FS Sayan Feb 2020'!AP18</f>
        <v>0</v>
      </c>
      <c r="BM12" s="36">
        <v>0</v>
      </c>
      <c r="BN12" s="36">
        <v>0</v>
      </c>
      <c r="BO12" s="37">
        <f>'FS Sayan Feb 2020'!Q18</f>
        <v>0</v>
      </c>
      <c r="BP12" s="36">
        <f>'FS Sayan Feb 2020'!R18</f>
        <v>0</v>
      </c>
    </row>
    <row r="13" spans="1:68">
      <c r="A13" s="31" t="s">
        <v>71</v>
      </c>
      <c r="B13" s="39">
        <f t="shared" si="0"/>
        <v>12</v>
      </c>
      <c r="C13" s="40">
        <v>2</v>
      </c>
      <c r="D13" s="41">
        <v>2020</v>
      </c>
      <c r="E13" s="32">
        <f>'FS Sayan Feb 2020'!M19</f>
        <v>4.3</v>
      </c>
      <c r="F13" s="36">
        <f>'FS Sayan Feb 2020'!N19</f>
        <v>0</v>
      </c>
      <c r="G13" s="36">
        <f>'FS Sayan Feb 2020'!G19</f>
        <v>0</v>
      </c>
      <c r="H13" s="36">
        <f>'FS Sayan Feb 2020'!H19</f>
        <v>0</v>
      </c>
      <c r="I13" s="36">
        <f>'FS Sayan Feb 2020'!I19</f>
        <v>0</v>
      </c>
      <c r="J13" s="36">
        <f>'FS Sayan Feb 2020'!J19</f>
        <v>0</v>
      </c>
      <c r="K13" s="36">
        <f>'FS Sayan Feb 2020'!K19</f>
        <v>12</v>
      </c>
      <c r="L13" s="36">
        <f>'FS Sayan Feb 2020'!L19</f>
        <v>0</v>
      </c>
      <c r="M13" s="36">
        <f>'FS Sayan Feb 2020'!S19</f>
        <v>0</v>
      </c>
      <c r="N13" s="36">
        <f>'FS Sayan Feb 2020'!T19</f>
        <v>0</v>
      </c>
      <c r="O13" s="36">
        <f>'FS Sayan Feb 2020'!U19</f>
        <v>3</v>
      </c>
      <c r="P13" s="36">
        <f>'FS Sayan Feb 2020'!V19</f>
        <v>0</v>
      </c>
      <c r="Q13" s="36">
        <f>'FS Sayan Feb 2020'!BC19</f>
        <v>0</v>
      </c>
      <c r="R13" s="36">
        <f>'FS Sayan Feb 2020'!BD19</f>
        <v>0</v>
      </c>
      <c r="S13" s="36">
        <f>'FS Sayan Feb 2020'!BF19</f>
        <v>0</v>
      </c>
      <c r="T13" s="36">
        <f>'FS Sayan Feb 2020'!BF19</f>
        <v>0</v>
      </c>
      <c r="U13" s="36">
        <f>'FS Sayan Feb 2020'!BG19</f>
        <v>0</v>
      </c>
      <c r="V13" s="36">
        <f>'FS Sayan Feb 2020'!BH19</f>
        <v>0</v>
      </c>
      <c r="W13" s="36">
        <f>'FS Sayan Feb 2020'!W19</f>
        <v>121.50000000000001</v>
      </c>
      <c r="X13" s="36">
        <f>'FS Sayan Feb 2020'!X19</f>
        <v>0</v>
      </c>
      <c r="Y13" s="36">
        <f>'FS Sayan Feb 2020'!Y19</f>
        <v>0</v>
      </c>
      <c r="Z13" s="36">
        <f>'FS Sayan Feb 2020'!Z19</f>
        <v>0</v>
      </c>
      <c r="AA13" s="36">
        <f>'FS Sayan Feb 2020'!AA19</f>
        <v>0</v>
      </c>
      <c r="AB13" s="36">
        <f>'FS Sayan Feb 2020'!AB19</f>
        <v>0</v>
      </c>
      <c r="AC13" s="36">
        <f>'FS Sayan Feb 2020'!AC19</f>
        <v>0</v>
      </c>
      <c r="AD13" s="36">
        <f>'FS Sayan Feb 2020'!AD19</f>
        <v>0</v>
      </c>
      <c r="AE13" s="36">
        <f>'FS Sayan Feb 2020'!AE19</f>
        <v>0</v>
      </c>
      <c r="AF13" s="36">
        <f>'FS Sayan Feb 2020'!AF19</f>
        <v>0</v>
      </c>
      <c r="AG13" s="36">
        <f>'FS Sayan Feb 2020'!AK19</f>
        <v>0</v>
      </c>
      <c r="AH13" s="36">
        <f>'FS Sayan Feb 2020'!AP19</f>
        <v>0</v>
      </c>
      <c r="AI13" s="36">
        <f>'FS Sayan Feb 2020'!AO19</f>
        <v>0</v>
      </c>
      <c r="AJ13" s="36">
        <f>'FS Sayan Feb 2020'!AP19</f>
        <v>0</v>
      </c>
      <c r="AK13" s="36">
        <f>'FS Sayan Feb 2020'!AW19</f>
        <v>0</v>
      </c>
      <c r="AL13" s="36">
        <f>'FS Sayan Feb 2020'!AX19</f>
        <v>0</v>
      </c>
      <c r="AM13" s="36">
        <f>'FS Sayan Feb 2020'!AZ19</f>
        <v>0</v>
      </c>
      <c r="AN13" s="36">
        <f>'FS Sayan Feb 2020'!AZ19</f>
        <v>0</v>
      </c>
      <c r="AO13" s="36">
        <f>'FS Sayan Feb 2020'!BI19</f>
        <v>0</v>
      </c>
      <c r="AP13" s="36">
        <f>'FS Sayan Feb 2020'!BJ19</f>
        <v>0</v>
      </c>
      <c r="AQ13" s="36">
        <f>'FS Sayan Feb 2020'!BA19</f>
        <v>0</v>
      </c>
      <c r="AR13" s="36">
        <f>'FS Sayan Feb 2020'!BB19</f>
        <v>0</v>
      </c>
      <c r="AS13" s="36">
        <f>'FS Sayan Feb 2020'!BK19</f>
        <v>0</v>
      </c>
      <c r="AT13" s="36">
        <f>'FS Sayan Feb 2020'!BL19</f>
        <v>0</v>
      </c>
      <c r="AU13" s="36">
        <f>'FS Sayan Feb 2020'!BM19</f>
        <v>0</v>
      </c>
      <c r="AV13" s="36">
        <f>'FS Sayan Feb 2020'!BN19</f>
        <v>0</v>
      </c>
      <c r="AW13" s="36">
        <f>'FS Sayan Feb 2020'!E19</f>
        <v>8.3999999999999986</v>
      </c>
      <c r="AX13" s="36">
        <f>'FS Sayan Feb 2020'!F19</f>
        <v>0</v>
      </c>
      <c r="AY13" s="36">
        <f>'FS Sayan Feb 2020'!M19</f>
        <v>4.3</v>
      </c>
      <c r="AZ13" s="36">
        <f>'FS Sayan Feb 2020'!P19</f>
        <v>0</v>
      </c>
      <c r="BA13" s="36">
        <v>0</v>
      </c>
      <c r="BB13" s="36">
        <f>'FS Sayan Feb 2020'!V33</f>
        <v>0</v>
      </c>
      <c r="BC13" s="36">
        <f>'FS Sayan Feb 2020'!AG19</f>
        <v>465</v>
      </c>
      <c r="BD13" s="36">
        <f>'FS Sayan Feb 2020'!AH19</f>
        <v>0</v>
      </c>
      <c r="BE13" s="36">
        <f>'FS Sayan Feb 2020'!AI19</f>
        <v>0</v>
      </c>
      <c r="BF13" s="36">
        <f>'FS Sayan Feb 2020'!AJ19</f>
        <v>0</v>
      </c>
      <c r="BG13" s="36">
        <f>'FS Sayan Feb 2020'!AK19</f>
        <v>0</v>
      </c>
      <c r="BH13" s="36">
        <f>'FS Sayan Feb 2020'!AL19</f>
        <v>0</v>
      </c>
      <c r="BI13" s="36">
        <f>'FS Sayan Feb 2020'!AM19</f>
        <v>0</v>
      </c>
      <c r="BJ13" s="36">
        <f>'FS Sayan Feb 2020'!AM19</f>
        <v>0</v>
      </c>
      <c r="BK13" s="36">
        <f>'FS Sayan Feb 2020'!AO19</f>
        <v>0</v>
      </c>
      <c r="BL13" s="36">
        <f>'FS Sayan Feb 2020'!AP19</f>
        <v>0</v>
      </c>
      <c r="BM13" s="36">
        <v>0</v>
      </c>
      <c r="BN13" s="36">
        <v>0</v>
      </c>
      <c r="BO13" s="37">
        <f>'FS Sayan Feb 2020'!Q19</f>
        <v>0</v>
      </c>
      <c r="BP13" s="36">
        <f>'FS Sayan Feb 2020'!R19</f>
        <v>0</v>
      </c>
    </row>
    <row r="14" spans="1:68">
      <c r="A14" s="31" t="s">
        <v>71</v>
      </c>
      <c r="B14" s="39">
        <f t="shared" si="0"/>
        <v>13</v>
      </c>
      <c r="C14" s="40">
        <v>2</v>
      </c>
      <c r="D14" s="41">
        <v>2020</v>
      </c>
      <c r="E14" s="32">
        <f>'FS Sayan Feb 2020'!M20</f>
        <v>4.2</v>
      </c>
      <c r="F14" s="36">
        <f>'FS Sayan Feb 2020'!N20</f>
        <v>0</v>
      </c>
      <c r="G14" s="36">
        <f>'FS Sayan Feb 2020'!G20</f>
        <v>0</v>
      </c>
      <c r="H14" s="36">
        <f>'FS Sayan Feb 2020'!H20</f>
        <v>0</v>
      </c>
      <c r="I14" s="36">
        <f>'FS Sayan Feb 2020'!I20</f>
        <v>0</v>
      </c>
      <c r="J14" s="36">
        <f>'FS Sayan Feb 2020'!J20</f>
        <v>0</v>
      </c>
      <c r="K14" s="36">
        <f>'FS Sayan Feb 2020'!K20</f>
        <v>10.9</v>
      </c>
      <c r="L14" s="36">
        <f>'FS Sayan Feb 2020'!L20</f>
        <v>0</v>
      </c>
      <c r="M14" s="36">
        <f>'FS Sayan Feb 2020'!S20</f>
        <v>0</v>
      </c>
      <c r="N14" s="36">
        <f>'FS Sayan Feb 2020'!T20</f>
        <v>0</v>
      </c>
      <c r="O14" s="36">
        <f>'FS Sayan Feb 2020'!U20</f>
        <v>4.4000000000000004</v>
      </c>
      <c r="P14" s="36">
        <f>'FS Sayan Feb 2020'!V20</f>
        <v>0</v>
      </c>
      <c r="Q14" s="36">
        <f>'FS Sayan Feb 2020'!BC20</f>
        <v>0</v>
      </c>
      <c r="R14" s="36">
        <f>'FS Sayan Feb 2020'!BD20</f>
        <v>0</v>
      </c>
      <c r="S14" s="36">
        <f>'FS Sayan Feb 2020'!BF20</f>
        <v>0</v>
      </c>
      <c r="T14" s="36">
        <f>'FS Sayan Feb 2020'!BF20</f>
        <v>0</v>
      </c>
      <c r="U14" s="36">
        <f>'FS Sayan Feb 2020'!BG20</f>
        <v>0</v>
      </c>
      <c r="V14" s="36">
        <f>'FS Sayan Feb 2020'!BH20</f>
        <v>0</v>
      </c>
      <c r="W14" s="36">
        <f>'FS Sayan Feb 2020'!W20</f>
        <v>125.99999999999999</v>
      </c>
      <c r="X14" s="36">
        <f>'FS Sayan Feb 2020'!X20</f>
        <v>0</v>
      </c>
      <c r="Y14" s="36">
        <f>'FS Sayan Feb 2020'!Y20</f>
        <v>0</v>
      </c>
      <c r="Z14" s="36">
        <f>'FS Sayan Feb 2020'!Z20</f>
        <v>0</v>
      </c>
      <c r="AA14" s="36">
        <f>'FS Sayan Feb 2020'!AA20</f>
        <v>0</v>
      </c>
      <c r="AB14" s="36">
        <f>'FS Sayan Feb 2020'!AB20</f>
        <v>0</v>
      </c>
      <c r="AC14" s="36">
        <f>'FS Sayan Feb 2020'!AC20</f>
        <v>0</v>
      </c>
      <c r="AD14" s="36">
        <f>'FS Sayan Feb 2020'!AD20</f>
        <v>0</v>
      </c>
      <c r="AE14" s="36">
        <f>'FS Sayan Feb 2020'!AE20</f>
        <v>0</v>
      </c>
      <c r="AF14" s="36">
        <f>'FS Sayan Feb 2020'!AF20</f>
        <v>0</v>
      </c>
      <c r="AG14" s="36">
        <f>'FS Sayan Feb 2020'!AK20</f>
        <v>0</v>
      </c>
      <c r="AH14" s="36">
        <f>'FS Sayan Feb 2020'!AP20</f>
        <v>0</v>
      </c>
      <c r="AI14" s="36">
        <f>'FS Sayan Feb 2020'!AO20</f>
        <v>0</v>
      </c>
      <c r="AJ14" s="36">
        <f>'FS Sayan Feb 2020'!AP20</f>
        <v>0</v>
      </c>
      <c r="AK14" s="36">
        <f>'FS Sayan Feb 2020'!AW20</f>
        <v>0</v>
      </c>
      <c r="AL14" s="36">
        <f>'FS Sayan Feb 2020'!AX20</f>
        <v>0</v>
      </c>
      <c r="AM14" s="36">
        <f>'FS Sayan Feb 2020'!AZ20</f>
        <v>0</v>
      </c>
      <c r="AN14" s="36">
        <f>'FS Sayan Feb 2020'!AZ20</f>
        <v>0</v>
      </c>
      <c r="AO14" s="36">
        <f>'FS Sayan Feb 2020'!BI20</f>
        <v>0</v>
      </c>
      <c r="AP14" s="36">
        <f>'FS Sayan Feb 2020'!BJ20</f>
        <v>0</v>
      </c>
      <c r="AQ14" s="36">
        <f>'FS Sayan Feb 2020'!BA20</f>
        <v>0</v>
      </c>
      <c r="AR14" s="36">
        <f>'FS Sayan Feb 2020'!BB20</f>
        <v>0</v>
      </c>
      <c r="AS14" s="36">
        <f>'FS Sayan Feb 2020'!BK20</f>
        <v>0</v>
      </c>
      <c r="AT14" s="36">
        <f>'FS Sayan Feb 2020'!BL20</f>
        <v>0</v>
      </c>
      <c r="AU14" s="36">
        <f>'FS Sayan Feb 2020'!BM20</f>
        <v>0</v>
      </c>
      <c r="AV14" s="36">
        <f>'FS Sayan Feb 2020'!BN20</f>
        <v>0</v>
      </c>
      <c r="AW14" s="36">
        <f>'FS Sayan Feb 2020'!E20</f>
        <v>11</v>
      </c>
      <c r="AX14" s="36">
        <f>'FS Sayan Feb 2020'!F20</f>
        <v>0</v>
      </c>
      <c r="AY14" s="36">
        <f>'FS Sayan Feb 2020'!M20</f>
        <v>4.2</v>
      </c>
      <c r="AZ14" s="36">
        <f>'FS Sayan Feb 2020'!P20</f>
        <v>0</v>
      </c>
      <c r="BA14" s="36">
        <v>0</v>
      </c>
      <c r="BB14" s="36">
        <f>'FS Sayan Feb 2020'!V34</f>
        <v>0</v>
      </c>
      <c r="BC14" s="36">
        <f>'FS Sayan Feb 2020'!AG20</f>
        <v>610</v>
      </c>
      <c r="BD14" s="36">
        <f>'FS Sayan Feb 2020'!AH20</f>
        <v>0</v>
      </c>
      <c r="BE14" s="36">
        <f>'FS Sayan Feb 2020'!AI20</f>
        <v>0</v>
      </c>
      <c r="BF14" s="36">
        <f>'FS Sayan Feb 2020'!AJ20</f>
        <v>0</v>
      </c>
      <c r="BG14" s="36">
        <f>'FS Sayan Feb 2020'!AK20</f>
        <v>0</v>
      </c>
      <c r="BH14" s="36">
        <f>'FS Sayan Feb 2020'!AL20</f>
        <v>0</v>
      </c>
      <c r="BI14" s="36">
        <f>'FS Sayan Feb 2020'!AM20</f>
        <v>0</v>
      </c>
      <c r="BJ14" s="36">
        <f>'FS Sayan Feb 2020'!AM20</f>
        <v>0</v>
      </c>
      <c r="BK14" s="36">
        <f>'FS Sayan Feb 2020'!AO20</f>
        <v>0</v>
      </c>
      <c r="BL14" s="36">
        <f>'FS Sayan Feb 2020'!AP20</f>
        <v>0</v>
      </c>
      <c r="BM14" s="36">
        <v>0</v>
      </c>
      <c r="BN14" s="36">
        <v>0</v>
      </c>
      <c r="BO14" s="37">
        <f>'FS Sayan Feb 2020'!Q20</f>
        <v>0</v>
      </c>
      <c r="BP14" s="36">
        <f>'FS Sayan Feb 2020'!R20</f>
        <v>0</v>
      </c>
    </row>
    <row r="15" spans="1:68">
      <c r="A15" s="31" t="s">
        <v>71</v>
      </c>
      <c r="B15" s="39">
        <f t="shared" si="0"/>
        <v>14</v>
      </c>
      <c r="C15" s="40">
        <v>2</v>
      </c>
      <c r="D15" s="41">
        <v>2020</v>
      </c>
      <c r="E15" s="32">
        <f>'FS Sayan Feb 2020'!M21</f>
        <v>4</v>
      </c>
      <c r="F15" s="36">
        <f>'FS Sayan Feb 2020'!N21</f>
        <v>0</v>
      </c>
      <c r="G15" s="36">
        <f>'FS Sayan Feb 2020'!G21</f>
        <v>0</v>
      </c>
      <c r="H15" s="36">
        <f>'FS Sayan Feb 2020'!H21</f>
        <v>0</v>
      </c>
      <c r="I15" s="36">
        <f>'FS Sayan Feb 2020'!I21</f>
        <v>0</v>
      </c>
      <c r="J15" s="36">
        <f>'FS Sayan Feb 2020'!J21</f>
        <v>0</v>
      </c>
      <c r="K15" s="36">
        <f>'FS Sayan Feb 2020'!K21</f>
        <v>9.3000000000000007</v>
      </c>
      <c r="L15" s="36">
        <f>'FS Sayan Feb 2020'!L21</f>
        <v>0</v>
      </c>
      <c r="M15" s="36">
        <f>'FS Sayan Feb 2020'!S21</f>
        <v>0</v>
      </c>
      <c r="N15" s="36">
        <f>'FS Sayan Feb 2020'!T21</f>
        <v>0</v>
      </c>
      <c r="O15" s="36">
        <f>'FS Sayan Feb 2020'!U21</f>
        <v>4.5999999999999996</v>
      </c>
      <c r="P15" s="36">
        <f>'FS Sayan Feb 2020'!V21</f>
        <v>0</v>
      </c>
      <c r="Q15" s="36">
        <f>'FS Sayan Feb 2020'!BC21</f>
        <v>0</v>
      </c>
      <c r="R15" s="36">
        <f>'FS Sayan Feb 2020'!BD21</f>
        <v>0</v>
      </c>
      <c r="S15" s="36">
        <f>'FS Sayan Feb 2020'!BF21</f>
        <v>0</v>
      </c>
      <c r="T15" s="36">
        <f>'FS Sayan Feb 2020'!BF21</f>
        <v>0</v>
      </c>
      <c r="U15" s="36">
        <f>'FS Sayan Feb 2020'!BG21</f>
        <v>0</v>
      </c>
      <c r="V15" s="36">
        <f>'FS Sayan Feb 2020'!BH21</f>
        <v>0</v>
      </c>
      <c r="W15" s="36">
        <f>'FS Sayan Feb 2020'!W21</f>
        <v>108</v>
      </c>
      <c r="X15" s="36">
        <f>'FS Sayan Feb 2020'!X21</f>
        <v>0</v>
      </c>
      <c r="Y15" s="36">
        <f>'FS Sayan Feb 2020'!Y21</f>
        <v>0</v>
      </c>
      <c r="Z15" s="36">
        <f>'FS Sayan Feb 2020'!Z21</f>
        <v>0</v>
      </c>
      <c r="AA15" s="36">
        <f>'FS Sayan Feb 2020'!AA21</f>
        <v>0</v>
      </c>
      <c r="AB15" s="36">
        <f>'FS Sayan Feb 2020'!AB21</f>
        <v>0</v>
      </c>
      <c r="AC15" s="36">
        <f>'FS Sayan Feb 2020'!AC21</f>
        <v>0</v>
      </c>
      <c r="AD15" s="36">
        <f>'FS Sayan Feb 2020'!AD21</f>
        <v>0</v>
      </c>
      <c r="AE15" s="36">
        <f>'FS Sayan Feb 2020'!AE21</f>
        <v>0</v>
      </c>
      <c r="AF15" s="36">
        <f>'FS Sayan Feb 2020'!AF21</f>
        <v>0</v>
      </c>
      <c r="AG15" s="36">
        <f>'FS Sayan Feb 2020'!AK21</f>
        <v>0</v>
      </c>
      <c r="AH15" s="36">
        <f>'FS Sayan Feb 2020'!AP21</f>
        <v>0</v>
      </c>
      <c r="AI15" s="36">
        <f>'FS Sayan Feb 2020'!AO21</f>
        <v>0</v>
      </c>
      <c r="AJ15" s="36">
        <f>'FS Sayan Feb 2020'!AP21</f>
        <v>0</v>
      </c>
      <c r="AK15" s="36">
        <f>'FS Sayan Feb 2020'!AW21</f>
        <v>0</v>
      </c>
      <c r="AL15" s="36">
        <f>'FS Sayan Feb 2020'!AX21</f>
        <v>0</v>
      </c>
      <c r="AM15" s="36">
        <f>'FS Sayan Feb 2020'!AZ21</f>
        <v>0</v>
      </c>
      <c r="AN15" s="36">
        <f>'FS Sayan Feb 2020'!AZ21</f>
        <v>0</v>
      </c>
      <c r="AO15" s="36">
        <f>'FS Sayan Feb 2020'!BI21</f>
        <v>0</v>
      </c>
      <c r="AP15" s="36">
        <f>'FS Sayan Feb 2020'!BJ21</f>
        <v>0</v>
      </c>
      <c r="AQ15" s="36">
        <f>'FS Sayan Feb 2020'!BA21</f>
        <v>0</v>
      </c>
      <c r="AR15" s="36">
        <f>'FS Sayan Feb 2020'!BB21</f>
        <v>0</v>
      </c>
      <c r="AS15" s="36">
        <f>'FS Sayan Feb 2020'!BK21</f>
        <v>0</v>
      </c>
      <c r="AT15" s="36">
        <f>'FS Sayan Feb 2020'!BL21</f>
        <v>0</v>
      </c>
      <c r="AU15" s="36">
        <f>'FS Sayan Feb 2020'!BM21</f>
        <v>0</v>
      </c>
      <c r="AV15" s="36">
        <f>'FS Sayan Feb 2020'!BN21</f>
        <v>0</v>
      </c>
      <c r="AW15" s="36">
        <f>'FS Sayan Feb 2020'!E21</f>
        <v>8.8000000000000007</v>
      </c>
      <c r="AX15" s="36">
        <f>'FS Sayan Feb 2020'!F21</f>
        <v>0</v>
      </c>
      <c r="AY15" s="36">
        <f>'FS Sayan Feb 2020'!M21</f>
        <v>4</v>
      </c>
      <c r="AZ15" s="36">
        <f>'FS Sayan Feb 2020'!P21</f>
        <v>0</v>
      </c>
      <c r="BA15" s="36">
        <v>0</v>
      </c>
      <c r="BB15" s="36">
        <f>'FS Sayan Feb 2020'!V35</f>
        <v>0</v>
      </c>
      <c r="BC15" s="36">
        <f>'FS Sayan Feb 2020'!AG21</f>
        <v>494.99999999999994</v>
      </c>
      <c r="BD15" s="36">
        <f>'FS Sayan Feb 2020'!AH21</f>
        <v>0</v>
      </c>
      <c r="BE15" s="36">
        <f>'FS Sayan Feb 2020'!AI21</f>
        <v>0</v>
      </c>
      <c r="BF15" s="36">
        <f>'FS Sayan Feb 2020'!AJ21</f>
        <v>0</v>
      </c>
      <c r="BG15" s="36">
        <f>'FS Sayan Feb 2020'!AK21</f>
        <v>0</v>
      </c>
      <c r="BH15" s="36">
        <f>'FS Sayan Feb 2020'!AL21</f>
        <v>0</v>
      </c>
      <c r="BI15" s="36">
        <f>'FS Sayan Feb 2020'!AM21</f>
        <v>0</v>
      </c>
      <c r="BJ15" s="36">
        <f>'FS Sayan Feb 2020'!AM21</f>
        <v>0</v>
      </c>
      <c r="BK15" s="36">
        <f>'FS Sayan Feb 2020'!AO21</f>
        <v>0</v>
      </c>
      <c r="BL15" s="36">
        <f>'FS Sayan Feb 2020'!AP21</f>
        <v>0</v>
      </c>
      <c r="BM15" s="36">
        <v>0</v>
      </c>
      <c r="BN15" s="36">
        <v>0</v>
      </c>
      <c r="BO15" s="37">
        <f>'FS Sayan Feb 2020'!Q21</f>
        <v>0</v>
      </c>
      <c r="BP15" s="36">
        <f>'FS Sayan Feb 2020'!R21</f>
        <v>0</v>
      </c>
    </row>
    <row r="16" spans="1:68">
      <c r="A16" s="31" t="s">
        <v>71</v>
      </c>
      <c r="B16" s="39">
        <f t="shared" si="0"/>
        <v>15</v>
      </c>
      <c r="C16" s="40">
        <v>2</v>
      </c>
      <c r="D16" s="41">
        <v>2020</v>
      </c>
      <c r="E16" s="32">
        <f>'FS Sayan Feb 2020'!M22</f>
        <v>4.8</v>
      </c>
      <c r="F16" s="36">
        <f>'FS Sayan Feb 2020'!N22</f>
        <v>0</v>
      </c>
      <c r="G16" s="36">
        <f>'FS Sayan Feb 2020'!G22</f>
        <v>0</v>
      </c>
      <c r="H16" s="36">
        <f>'FS Sayan Feb 2020'!H22</f>
        <v>0</v>
      </c>
      <c r="I16" s="36">
        <f>'FS Sayan Feb 2020'!I22</f>
        <v>0</v>
      </c>
      <c r="J16" s="36">
        <f>'FS Sayan Feb 2020'!J22</f>
        <v>0</v>
      </c>
      <c r="K16" s="36">
        <f>'FS Sayan Feb 2020'!K22</f>
        <v>12.8</v>
      </c>
      <c r="L16" s="36">
        <f>'FS Sayan Feb 2020'!L22</f>
        <v>0</v>
      </c>
      <c r="M16" s="36">
        <f>'FS Sayan Feb 2020'!S22</f>
        <v>0</v>
      </c>
      <c r="N16" s="36">
        <f>'FS Sayan Feb 2020'!T22</f>
        <v>0</v>
      </c>
      <c r="O16" s="36">
        <f>'FS Sayan Feb 2020'!U22</f>
        <v>2.8</v>
      </c>
      <c r="P16" s="36">
        <f>'FS Sayan Feb 2020'!V22</f>
        <v>0</v>
      </c>
      <c r="Q16" s="36">
        <f>'FS Sayan Feb 2020'!BC22</f>
        <v>0</v>
      </c>
      <c r="R16" s="36">
        <f>'FS Sayan Feb 2020'!BD22</f>
        <v>0</v>
      </c>
      <c r="S16" s="36">
        <f>'FS Sayan Feb 2020'!BF22</f>
        <v>0</v>
      </c>
      <c r="T16" s="36">
        <f>'FS Sayan Feb 2020'!BF22</f>
        <v>0</v>
      </c>
      <c r="U16" s="36">
        <f>'FS Sayan Feb 2020'!BG22</f>
        <v>0</v>
      </c>
      <c r="V16" s="36">
        <f>'FS Sayan Feb 2020'!BH22</f>
        <v>0</v>
      </c>
      <c r="W16" s="36">
        <f>'FS Sayan Feb 2020'!W22</f>
        <v>125.99999999999999</v>
      </c>
      <c r="X16" s="36">
        <f>'FS Sayan Feb 2020'!X22</f>
        <v>0</v>
      </c>
      <c r="Y16" s="36">
        <f>'FS Sayan Feb 2020'!Y22</f>
        <v>0</v>
      </c>
      <c r="Z16" s="36">
        <f>'FS Sayan Feb 2020'!Z22</f>
        <v>0</v>
      </c>
      <c r="AA16" s="36">
        <f>'FS Sayan Feb 2020'!AA22</f>
        <v>0</v>
      </c>
      <c r="AB16" s="36">
        <f>'FS Sayan Feb 2020'!AB22</f>
        <v>0</v>
      </c>
      <c r="AC16" s="36">
        <f>'FS Sayan Feb 2020'!AC22</f>
        <v>0</v>
      </c>
      <c r="AD16" s="36">
        <f>'FS Sayan Feb 2020'!AD22</f>
        <v>0</v>
      </c>
      <c r="AE16" s="36">
        <f>'FS Sayan Feb 2020'!AE22</f>
        <v>0</v>
      </c>
      <c r="AF16" s="36">
        <f>'FS Sayan Feb 2020'!AF22</f>
        <v>0</v>
      </c>
      <c r="AG16" s="36">
        <f>'FS Sayan Feb 2020'!AK22</f>
        <v>0</v>
      </c>
      <c r="AH16" s="36">
        <f>'FS Sayan Feb 2020'!AP22</f>
        <v>0</v>
      </c>
      <c r="AI16" s="36">
        <f>'FS Sayan Feb 2020'!AO22</f>
        <v>0</v>
      </c>
      <c r="AJ16" s="36">
        <f>'FS Sayan Feb 2020'!AP22</f>
        <v>0</v>
      </c>
      <c r="AK16" s="36">
        <f>'FS Sayan Feb 2020'!AW22</f>
        <v>0</v>
      </c>
      <c r="AL16" s="36">
        <f>'FS Sayan Feb 2020'!AX22</f>
        <v>0</v>
      </c>
      <c r="AM16" s="36">
        <f>'FS Sayan Feb 2020'!AZ22</f>
        <v>0</v>
      </c>
      <c r="AN16" s="36">
        <f>'FS Sayan Feb 2020'!AZ22</f>
        <v>0</v>
      </c>
      <c r="AO16" s="36">
        <f>'FS Sayan Feb 2020'!BI22</f>
        <v>0</v>
      </c>
      <c r="AP16" s="36">
        <f>'FS Sayan Feb 2020'!BJ22</f>
        <v>0</v>
      </c>
      <c r="AQ16" s="36">
        <f>'FS Sayan Feb 2020'!BA22</f>
        <v>0</v>
      </c>
      <c r="AR16" s="36">
        <f>'FS Sayan Feb 2020'!BB22</f>
        <v>0</v>
      </c>
      <c r="AS16" s="36">
        <f>'FS Sayan Feb 2020'!BK22</f>
        <v>0</v>
      </c>
      <c r="AT16" s="36">
        <f>'FS Sayan Feb 2020'!BL22</f>
        <v>0</v>
      </c>
      <c r="AU16" s="36">
        <f>'FS Sayan Feb 2020'!BM22</f>
        <v>0</v>
      </c>
      <c r="AV16" s="36">
        <f>'FS Sayan Feb 2020'!BN22</f>
        <v>0</v>
      </c>
      <c r="AW16" s="36">
        <f>'FS Sayan Feb 2020'!E22</f>
        <v>8.4</v>
      </c>
      <c r="AX16" s="36">
        <f>'FS Sayan Feb 2020'!F22</f>
        <v>0</v>
      </c>
      <c r="AY16" s="36">
        <f>'FS Sayan Feb 2020'!M22</f>
        <v>4.8</v>
      </c>
      <c r="AZ16" s="36">
        <f>'FS Sayan Feb 2020'!P22</f>
        <v>0</v>
      </c>
      <c r="BA16" s="36">
        <v>0</v>
      </c>
      <c r="BB16" s="36">
        <f>'FS Sayan Feb 2020'!V36</f>
        <v>0</v>
      </c>
      <c r="BC16" s="36">
        <f>'FS Sayan Feb 2020'!AG22</f>
        <v>620</v>
      </c>
      <c r="BD16" s="36">
        <f>'FS Sayan Feb 2020'!AH22</f>
        <v>0</v>
      </c>
      <c r="BE16" s="36">
        <f>'FS Sayan Feb 2020'!AI22</f>
        <v>0</v>
      </c>
      <c r="BF16" s="36">
        <f>'FS Sayan Feb 2020'!AJ22</f>
        <v>0</v>
      </c>
      <c r="BG16" s="36">
        <f>'FS Sayan Feb 2020'!AK22</f>
        <v>0</v>
      </c>
      <c r="BH16" s="36">
        <f>'FS Sayan Feb 2020'!AL22</f>
        <v>0</v>
      </c>
      <c r="BI16" s="36">
        <f>'FS Sayan Feb 2020'!AM22</f>
        <v>0</v>
      </c>
      <c r="BJ16" s="36">
        <f>'FS Sayan Feb 2020'!AM22</f>
        <v>0</v>
      </c>
      <c r="BK16" s="36">
        <f>'FS Sayan Feb 2020'!AO22</f>
        <v>0</v>
      </c>
      <c r="BL16" s="36">
        <f>'FS Sayan Feb 2020'!AP22</f>
        <v>0</v>
      </c>
      <c r="BM16" s="36">
        <v>0</v>
      </c>
      <c r="BN16" s="36">
        <v>0</v>
      </c>
      <c r="BO16" s="37">
        <f>'FS Sayan Feb 2020'!Q22</f>
        <v>0</v>
      </c>
      <c r="BP16" s="36">
        <f>'FS Sayan Feb 2020'!R22</f>
        <v>0</v>
      </c>
    </row>
    <row r="17" spans="1:68">
      <c r="A17" s="31" t="s">
        <v>71</v>
      </c>
      <c r="B17" s="39">
        <f t="shared" si="0"/>
        <v>16</v>
      </c>
      <c r="C17" s="40">
        <v>2</v>
      </c>
      <c r="D17" s="41">
        <v>2020</v>
      </c>
      <c r="E17" s="32">
        <f>'FS Sayan Feb 2020'!M23</f>
        <v>4.3</v>
      </c>
      <c r="F17" s="36">
        <f>'FS Sayan Feb 2020'!N23</f>
        <v>0</v>
      </c>
      <c r="G17" s="36">
        <f>'FS Sayan Feb 2020'!G23</f>
        <v>0</v>
      </c>
      <c r="H17" s="36">
        <f>'FS Sayan Feb 2020'!H23</f>
        <v>0</v>
      </c>
      <c r="I17" s="36">
        <f>'FS Sayan Feb 2020'!I23</f>
        <v>0</v>
      </c>
      <c r="J17" s="36">
        <f>'FS Sayan Feb 2020'!J23</f>
        <v>0</v>
      </c>
      <c r="K17" s="36">
        <f>'FS Sayan Feb 2020'!K23</f>
        <v>8.5</v>
      </c>
      <c r="L17" s="36">
        <f>'FS Sayan Feb 2020'!L23</f>
        <v>0</v>
      </c>
      <c r="M17" s="36">
        <f>'FS Sayan Feb 2020'!S23</f>
        <v>0</v>
      </c>
      <c r="N17" s="36">
        <f>'FS Sayan Feb 2020'!T23</f>
        <v>0</v>
      </c>
      <c r="O17" s="36">
        <f>'FS Sayan Feb 2020'!U23</f>
        <v>2.4</v>
      </c>
      <c r="P17" s="36">
        <f>'FS Sayan Feb 2020'!V23</f>
        <v>0</v>
      </c>
      <c r="Q17" s="36">
        <f>'FS Sayan Feb 2020'!BC23</f>
        <v>0</v>
      </c>
      <c r="R17" s="36">
        <f>'FS Sayan Feb 2020'!BD23</f>
        <v>0</v>
      </c>
      <c r="S17" s="36">
        <f>'FS Sayan Feb 2020'!BF23</f>
        <v>0</v>
      </c>
      <c r="T17" s="36">
        <f>'FS Sayan Feb 2020'!BF23</f>
        <v>0</v>
      </c>
      <c r="U17" s="36">
        <f>'FS Sayan Feb 2020'!BG23</f>
        <v>0</v>
      </c>
      <c r="V17" s="36">
        <f>'FS Sayan Feb 2020'!BH23</f>
        <v>0</v>
      </c>
      <c r="W17" s="36">
        <f>'FS Sayan Feb 2020'!W23</f>
        <v>144</v>
      </c>
      <c r="X17" s="36">
        <f>'FS Sayan Feb 2020'!X23</f>
        <v>0</v>
      </c>
      <c r="Y17" s="36">
        <f>'FS Sayan Feb 2020'!Y23</f>
        <v>0</v>
      </c>
      <c r="Z17" s="36">
        <f>'FS Sayan Feb 2020'!Z23</f>
        <v>0</v>
      </c>
      <c r="AA17" s="36">
        <f>'FS Sayan Feb 2020'!AA23</f>
        <v>0</v>
      </c>
      <c r="AB17" s="36">
        <f>'FS Sayan Feb 2020'!AB23</f>
        <v>0</v>
      </c>
      <c r="AC17" s="36">
        <f>'FS Sayan Feb 2020'!AC23</f>
        <v>0</v>
      </c>
      <c r="AD17" s="36">
        <f>'FS Sayan Feb 2020'!AD23</f>
        <v>0</v>
      </c>
      <c r="AE17" s="36">
        <f>'FS Sayan Feb 2020'!AE23</f>
        <v>0</v>
      </c>
      <c r="AF17" s="36">
        <f>'FS Sayan Feb 2020'!AF23</f>
        <v>0</v>
      </c>
      <c r="AG17" s="36">
        <f>'FS Sayan Feb 2020'!AK23</f>
        <v>0</v>
      </c>
      <c r="AH17" s="36">
        <f>'FS Sayan Feb 2020'!AP23</f>
        <v>0</v>
      </c>
      <c r="AI17" s="36">
        <f>'FS Sayan Feb 2020'!AO23</f>
        <v>0</v>
      </c>
      <c r="AJ17" s="36">
        <f>'FS Sayan Feb 2020'!AP23</f>
        <v>0</v>
      </c>
      <c r="AK17" s="36">
        <f>'FS Sayan Feb 2020'!AW23</f>
        <v>0</v>
      </c>
      <c r="AL17" s="36">
        <f>'FS Sayan Feb 2020'!AX23</f>
        <v>0</v>
      </c>
      <c r="AM17" s="36">
        <f>'FS Sayan Feb 2020'!AZ23</f>
        <v>0</v>
      </c>
      <c r="AN17" s="36">
        <f>'FS Sayan Feb 2020'!AZ23</f>
        <v>0</v>
      </c>
      <c r="AO17" s="36">
        <f>'FS Sayan Feb 2020'!BI23</f>
        <v>0</v>
      </c>
      <c r="AP17" s="36">
        <f>'FS Sayan Feb 2020'!BJ23</f>
        <v>0</v>
      </c>
      <c r="AQ17" s="36">
        <f>'FS Sayan Feb 2020'!BA23</f>
        <v>0</v>
      </c>
      <c r="AR17" s="36">
        <f>'FS Sayan Feb 2020'!BB23</f>
        <v>0</v>
      </c>
      <c r="AS17" s="36">
        <f>'FS Sayan Feb 2020'!BK23</f>
        <v>0</v>
      </c>
      <c r="AT17" s="36">
        <f>'FS Sayan Feb 2020'!BL23</f>
        <v>0</v>
      </c>
      <c r="AU17" s="36">
        <f>'FS Sayan Feb 2020'!BM23</f>
        <v>0</v>
      </c>
      <c r="AV17" s="36">
        <f>'FS Sayan Feb 2020'!BN23</f>
        <v>0</v>
      </c>
      <c r="AW17" s="36">
        <f>'FS Sayan Feb 2020'!E23</f>
        <v>8.8000000000000007</v>
      </c>
      <c r="AX17" s="36">
        <f>'FS Sayan Feb 2020'!F23</f>
        <v>0</v>
      </c>
      <c r="AY17" s="36">
        <f>'FS Sayan Feb 2020'!M23</f>
        <v>4.3</v>
      </c>
      <c r="AZ17" s="36">
        <f>'FS Sayan Feb 2020'!P23</f>
        <v>0</v>
      </c>
      <c r="BA17" s="36">
        <v>0</v>
      </c>
      <c r="BB17" s="36">
        <f>'FS Sayan Feb 2020'!V37</f>
        <v>0</v>
      </c>
      <c r="BC17" s="36">
        <f>'FS Sayan Feb 2020'!AG23</f>
        <v>440</v>
      </c>
      <c r="BD17" s="36">
        <f>'FS Sayan Feb 2020'!AH23</f>
        <v>0</v>
      </c>
      <c r="BE17" s="36">
        <f>'FS Sayan Feb 2020'!AI23</f>
        <v>0</v>
      </c>
      <c r="BF17" s="36">
        <f>'FS Sayan Feb 2020'!AJ23</f>
        <v>0</v>
      </c>
      <c r="BG17" s="36">
        <f>'FS Sayan Feb 2020'!AK23</f>
        <v>0</v>
      </c>
      <c r="BH17" s="36">
        <f>'FS Sayan Feb 2020'!AL23</f>
        <v>0</v>
      </c>
      <c r="BI17" s="36">
        <f>'FS Sayan Feb 2020'!AM23</f>
        <v>0</v>
      </c>
      <c r="BJ17" s="36">
        <f>'FS Sayan Feb 2020'!AM23</f>
        <v>0</v>
      </c>
      <c r="BK17" s="36">
        <f>'FS Sayan Feb 2020'!AO23</f>
        <v>0</v>
      </c>
      <c r="BL17" s="36">
        <f>'FS Sayan Feb 2020'!AP23</f>
        <v>0</v>
      </c>
      <c r="BM17" s="36">
        <v>0</v>
      </c>
      <c r="BN17" s="36">
        <v>0</v>
      </c>
      <c r="BO17" s="37">
        <f>'FS Sayan Feb 2020'!Q23</f>
        <v>0</v>
      </c>
      <c r="BP17" s="36">
        <f>'FS Sayan Feb 2020'!R23</f>
        <v>0</v>
      </c>
    </row>
    <row r="18" spans="1:68">
      <c r="A18" s="31" t="s">
        <v>71</v>
      </c>
      <c r="B18" s="39">
        <f t="shared" si="0"/>
        <v>17</v>
      </c>
      <c r="C18" s="40">
        <v>2</v>
      </c>
      <c r="D18" s="41">
        <v>2020</v>
      </c>
      <c r="E18" s="32">
        <f>'FS Sayan Feb 2020'!M24</f>
        <v>5.3</v>
      </c>
      <c r="F18" s="36">
        <f>'FS Sayan Feb 2020'!N24</f>
        <v>0</v>
      </c>
      <c r="G18" s="36">
        <f>'FS Sayan Feb 2020'!G24</f>
        <v>0</v>
      </c>
      <c r="H18" s="36">
        <f>'FS Sayan Feb 2020'!H24</f>
        <v>0</v>
      </c>
      <c r="I18" s="36">
        <f>'FS Sayan Feb 2020'!I24</f>
        <v>0</v>
      </c>
      <c r="J18" s="36">
        <f>'FS Sayan Feb 2020'!J24</f>
        <v>0</v>
      </c>
      <c r="K18" s="36">
        <f>'FS Sayan Feb 2020'!K24</f>
        <v>11.1</v>
      </c>
      <c r="L18" s="36">
        <f>'FS Sayan Feb 2020'!L24</f>
        <v>0</v>
      </c>
      <c r="M18" s="36">
        <f>'FS Sayan Feb 2020'!S24</f>
        <v>0</v>
      </c>
      <c r="N18" s="36">
        <f>'FS Sayan Feb 2020'!T24</f>
        <v>0</v>
      </c>
      <c r="O18" s="36">
        <f>'FS Sayan Feb 2020'!U24</f>
        <v>2.6</v>
      </c>
      <c r="P18" s="36">
        <f>'FS Sayan Feb 2020'!V24</f>
        <v>0</v>
      </c>
      <c r="Q18" s="36">
        <f>'FS Sayan Feb 2020'!BC24</f>
        <v>0</v>
      </c>
      <c r="R18" s="36">
        <f>'FS Sayan Feb 2020'!BD24</f>
        <v>0</v>
      </c>
      <c r="S18" s="36">
        <f>'FS Sayan Feb 2020'!BF24</f>
        <v>0</v>
      </c>
      <c r="T18" s="36">
        <f>'FS Sayan Feb 2020'!BF24</f>
        <v>0</v>
      </c>
      <c r="U18" s="36">
        <f>'FS Sayan Feb 2020'!BG24</f>
        <v>0</v>
      </c>
      <c r="V18" s="36">
        <f>'FS Sayan Feb 2020'!BH24</f>
        <v>0</v>
      </c>
      <c r="W18" s="36">
        <f>'FS Sayan Feb 2020'!W24</f>
        <v>117</v>
      </c>
      <c r="X18" s="36">
        <f>'FS Sayan Feb 2020'!X24</f>
        <v>0</v>
      </c>
      <c r="Y18" s="36">
        <f>'FS Sayan Feb 2020'!Y24</f>
        <v>0</v>
      </c>
      <c r="Z18" s="36">
        <f>'FS Sayan Feb 2020'!Z24</f>
        <v>0</v>
      </c>
      <c r="AA18" s="36">
        <f>'FS Sayan Feb 2020'!AA24</f>
        <v>0</v>
      </c>
      <c r="AB18" s="36">
        <f>'FS Sayan Feb 2020'!AB24</f>
        <v>0</v>
      </c>
      <c r="AC18" s="36">
        <f>'FS Sayan Feb 2020'!AC24</f>
        <v>0</v>
      </c>
      <c r="AD18" s="36">
        <f>'FS Sayan Feb 2020'!AD24</f>
        <v>0</v>
      </c>
      <c r="AE18" s="36">
        <f>'FS Sayan Feb 2020'!AE24</f>
        <v>0</v>
      </c>
      <c r="AF18" s="36">
        <f>'FS Sayan Feb 2020'!AF24</f>
        <v>0</v>
      </c>
      <c r="AG18" s="36">
        <f>'FS Sayan Feb 2020'!AK24</f>
        <v>0</v>
      </c>
      <c r="AH18" s="36">
        <f>'FS Sayan Feb 2020'!AP24</f>
        <v>0</v>
      </c>
      <c r="AI18" s="36">
        <f>'FS Sayan Feb 2020'!AO24</f>
        <v>0</v>
      </c>
      <c r="AJ18" s="36">
        <f>'FS Sayan Feb 2020'!AP24</f>
        <v>0</v>
      </c>
      <c r="AK18" s="36">
        <f>'FS Sayan Feb 2020'!AW24</f>
        <v>0</v>
      </c>
      <c r="AL18" s="36">
        <f>'FS Sayan Feb 2020'!AX24</f>
        <v>0</v>
      </c>
      <c r="AM18" s="36">
        <f>'FS Sayan Feb 2020'!AZ24</f>
        <v>0</v>
      </c>
      <c r="AN18" s="36">
        <f>'FS Sayan Feb 2020'!AZ24</f>
        <v>0</v>
      </c>
      <c r="AO18" s="36">
        <f>'FS Sayan Feb 2020'!BI24</f>
        <v>0</v>
      </c>
      <c r="AP18" s="36">
        <f>'FS Sayan Feb 2020'!BJ24</f>
        <v>0</v>
      </c>
      <c r="AQ18" s="36">
        <f>'FS Sayan Feb 2020'!BA24</f>
        <v>0</v>
      </c>
      <c r="AR18" s="36">
        <f>'FS Sayan Feb 2020'!BB24</f>
        <v>0</v>
      </c>
      <c r="AS18" s="36">
        <f>'FS Sayan Feb 2020'!BK24</f>
        <v>0</v>
      </c>
      <c r="AT18" s="36">
        <f>'FS Sayan Feb 2020'!BL24</f>
        <v>0</v>
      </c>
      <c r="AU18" s="36">
        <f>'FS Sayan Feb 2020'!BM24</f>
        <v>0</v>
      </c>
      <c r="AV18" s="36">
        <f>'FS Sayan Feb 2020'!BN24</f>
        <v>0</v>
      </c>
      <c r="AW18" s="36">
        <f>'FS Sayan Feb 2020'!E24</f>
        <v>11.8</v>
      </c>
      <c r="AX18" s="36">
        <f>'FS Sayan Feb 2020'!F24</f>
        <v>0</v>
      </c>
      <c r="AY18" s="36">
        <f>'FS Sayan Feb 2020'!M24</f>
        <v>5.3</v>
      </c>
      <c r="AZ18" s="36">
        <f>'FS Sayan Feb 2020'!P24</f>
        <v>0</v>
      </c>
      <c r="BA18" s="36">
        <v>0</v>
      </c>
      <c r="BB18" s="36">
        <f>'FS Sayan Feb 2020'!V38</f>
        <v>0</v>
      </c>
      <c r="BC18" s="36">
        <f>'FS Sayan Feb 2020'!AG24</f>
        <v>410</v>
      </c>
      <c r="BD18" s="36">
        <f>'FS Sayan Feb 2020'!AH24</f>
        <v>0</v>
      </c>
      <c r="BE18" s="36">
        <f>'FS Sayan Feb 2020'!AI24</f>
        <v>0</v>
      </c>
      <c r="BF18" s="36">
        <f>'FS Sayan Feb 2020'!AJ24</f>
        <v>0</v>
      </c>
      <c r="BG18" s="36">
        <f>'FS Sayan Feb 2020'!AK24</f>
        <v>0</v>
      </c>
      <c r="BH18" s="36">
        <f>'FS Sayan Feb 2020'!AL24</f>
        <v>0</v>
      </c>
      <c r="BI18" s="36">
        <f>'FS Sayan Feb 2020'!AM24</f>
        <v>0</v>
      </c>
      <c r="BJ18" s="36">
        <f>'FS Sayan Feb 2020'!AM24</f>
        <v>0</v>
      </c>
      <c r="BK18" s="36">
        <f>'FS Sayan Feb 2020'!AO24</f>
        <v>0</v>
      </c>
      <c r="BL18" s="36">
        <f>'FS Sayan Feb 2020'!AP24</f>
        <v>0</v>
      </c>
      <c r="BM18" s="36">
        <v>0</v>
      </c>
      <c r="BN18" s="36">
        <v>0</v>
      </c>
      <c r="BO18" s="37">
        <f>'FS Sayan Feb 2020'!Q24</f>
        <v>0</v>
      </c>
      <c r="BP18" s="36">
        <f>'FS Sayan Feb 2020'!R24</f>
        <v>0</v>
      </c>
    </row>
    <row r="19" spans="1:68">
      <c r="A19" s="31" t="s">
        <v>71</v>
      </c>
      <c r="B19" s="39">
        <f t="shared" si="0"/>
        <v>18</v>
      </c>
      <c r="C19" s="40">
        <v>2</v>
      </c>
      <c r="D19" s="41">
        <v>2020</v>
      </c>
      <c r="E19" s="32">
        <f>'FS Sayan Feb 2020'!M25</f>
        <v>3.2</v>
      </c>
      <c r="F19" s="36">
        <f>'FS Sayan Feb 2020'!N25</f>
        <v>0</v>
      </c>
      <c r="G19" s="36">
        <f>'FS Sayan Feb 2020'!G25</f>
        <v>0</v>
      </c>
      <c r="H19" s="36">
        <f>'FS Sayan Feb 2020'!H25</f>
        <v>0</v>
      </c>
      <c r="I19" s="36">
        <f>'FS Sayan Feb 2020'!I25</f>
        <v>0</v>
      </c>
      <c r="J19" s="36">
        <f>'FS Sayan Feb 2020'!J25</f>
        <v>0</v>
      </c>
      <c r="K19" s="36">
        <f>'FS Sayan Feb 2020'!K25</f>
        <v>11.9</v>
      </c>
      <c r="L19" s="36">
        <f>'FS Sayan Feb 2020'!L25</f>
        <v>0</v>
      </c>
      <c r="M19" s="36">
        <f>'FS Sayan Feb 2020'!S25</f>
        <v>0</v>
      </c>
      <c r="N19" s="36">
        <f>'FS Sayan Feb 2020'!T25</f>
        <v>0</v>
      </c>
      <c r="O19" s="36">
        <f>'FS Sayan Feb 2020'!U25</f>
        <v>4.8</v>
      </c>
      <c r="P19" s="36">
        <f>'FS Sayan Feb 2020'!V25</f>
        <v>0</v>
      </c>
      <c r="Q19" s="36">
        <f>'FS Sayan Feb 2020'!BC25</f>
        <v>0</v>
      </c>
      <c r="R19" s="36">
        <f>'FS Sayan Feb 2020'!BD25</f>
        <v>0</v>
      </c>
      <c r="S19" s="36">
        <f>'FS Sayan Feb 2020'!BF25</f>
        <v>0</v>
      </c>
      <c r="T19" s="36">
        <f>'FS Sayan Feb 2020'!BF25</f>
        <v>0</v>
      </c>
      <c r="U19" s="36">
        <f>'FS Sayan Feb 2020'!BG25</f>
        <v>0</v>
      </c>
      <c r="V19" s="36">
        <f>'FS Sayan Feb 2020'!BH25</f>
        <v>0</v>
      </c>
      <c r="W19" s="36">
        <f>'FS Sayan Feb 2020'!W25</f>
        <v>121.50000000000001</v>
      </c>
      <c r="X19" s="36">
        <f>'FS Sayan Feb 2020'!X25</f>
        <v>0</v>
      </c>
      <c r="Y19" s="36">
        <f>'FS Sayan Feb 2020'!Y25</f>
        <v>0</v>
      </c>
      <c r="Z19" s="36">
        <f>'FS Sayan Feb 2020'!Z25</f>
        <v>0</v>
      </c>
      <c r="AA19" s="36">
        <f>'FS Sayan Feb 2020'!AA25</f>
        <v>0</v>
      </c>
      <c r="AB19" s="36">
        <f>'FS Sayan Feb 2020'!AB25</f>
        <v>0</v>
      </c>
      <c r="AC19" s="36">
        <f>'FS Sayan Feb 2020'!AC25</f>
        <v>0</v>
      </c>
      <c r="AD19" s="36">
        <f>'FS Sayan Feb 2020'!AD25</f>
        <v>0</v>
      </c>
      <c r="AE19" s="36">
        <f>'FS Sayan Feb 2020'!AE25</f>
        <v>0</v>
      </c>
      <c r="AF19" s="36">
        <f>'FS Sayan Feb 2020'!AF25</f>
        <v>0</v>
      </c>
      <c r="AG19" s="36">
        <f>'FS Sayan Feb 2020'!AK25</f>
        <v>0</v>
      </c>
      <c r="AH19" s="36">
        <f>'FS Sayan Feb 2020'!AP25</f>
        <v>0</v>
      </c>
      <c r="AI19" s="36">
        <f>'FS Sayan Feb 2020'!AO25</f>
        <v>0</v>
      </c>
      <c r="AJ19" s="36">
        <f>'FS Sayan Feb 2020'!AP25</f>
        <v>0</v>
      </c>
      <c r="AK19" s="36">
        <f>'FS Sayan Feb 2020'!AW25</f>
        <v>0</v>
      </c>
      <c r="AL19" s="36">
        <f>'FS Sayan Feb 2020'!AX25</f>
        <v>0</v>
      </c>
      <c r="AM19" s="36">
        <f>'FS Sayan Feb 2020'!AZ25</f>
        <v>0</v>
      </c>
      <c r="AN19" s="36">
        <f>'FS Sayan Feb 2020'!AZ25</f>
        <v>0</v>
      </c>
      <c r="AO19" s="36">
        <f>'FS Sayan Feb 2020'!BI25</f>
        <v>0</v>
      </c>
      <c r="AP19" s="36">
        <f>'FS Sayan Feb 2020'!BJ25</f>
        <v>0</v>
      </c>
      <c r="AQ19" s="36">
        <f>'FS Sayan Feb 2020'!BA25</f>
        <v>0</v>
      </c>
      <c r="AR19" s="36">
        <f>'FS Sayan Feb 2020'!BB25</f>
        <v>0</v>
      </c>
      <c r="AS19" s="36">
        <f>'FS Sayan Feb 2020'!BK25</f>
        <v>0</v>
      </c>
      <c r="AT19" s="36">
        <f>'FS Sayan Feb 2020'!BL25</f>
        <v>0</v>
      </c>
      <c r="AU19" s="36">
        <f>'FS Sayan Feb 2020'!BM25</f>
        <v>0</v>
      </c>
      <c r="AV19" s="36">
        <f>'FS Sayan Feb 2020'!BN25</f>
        <v>0</v>
      </c>
      <c r="AW19" s="36">
        <f>'FS Sayan Feb 2020'!E25</f>
        <v>7.4</v>
      </c>
      <c r="AX19" s="36">
        <f>'FS Sayan Feb 2020'!F25</f>
        <v>0</v>
      </c>
      <c r="AY19" s="36">
        <f>'FS Sayan Feb 2020'!M25</f>
        <v>3.2</v>
      </c>
      <c r="AZ19" s="36">
        <f>'FS Sayan Feb 2020'!P25</f>
        <v>0</v>
      </c>
      <c r="BA19" s="36">
        <v>0</v>
      </c>
      <c r="BB19" s="36">
        <f>'FS Sayan Feb 2020'!V39</f>
        <v>0</v>
      </c>
      <c r="BC19" s="36">
        <f>'FS Sayan Feb 2020'!AG25</f>
        <v>469.99999999999994</v>
      </c>
      <c r="BD19" s="36">
        <f>'FS Sayan Feb 2020'!AH25</f>
        <v>0</v>
      </c>
      <c r="BE19" s="36">
        <f>'FS Sayan Feb 2020'!AI25</f>
        <v>0</v>
      </c>
      <c r="BF19" s="36">
        <f>'FS Sayan Feb 2020'!AJ25</f>
        <v>0</v>
      </c>
      <c r="BG19" s="36">
        <f>'FS Sayan Feb 2020'!AK25</f>
        <v>0</v>
      </c>
      <c r="BH19" s="36">
        <f>'FS Sayan Feb 2020'!AL25</f>
        <v>0</v>
      </c>
      <c r="BI19" s="36">
        <f>'FS Sayan Feb 2020'!AM25</f>
        <v>0</v>
      </c>
      <c r="BJ19" s="36">
        <f>'FS Sayan Feb 2020'!AM25</f>
        <v>0</v>
      </c>
      <c r="BK19" s="36">
        <f>'FS Sayan Feb 2020'!AO25</f>
        <v>0</v>
      </c>
      <c r="BL19" s="36">
        <f>'FS Sayan Feb 2020'!AP25</f>
        <v>0</v>
      </c>
      <c r="BM19" s="36">
        <v>0</v>
      </c>
      <c r="BN19" s="36">
        <v>0</v>
      </c>
      <c r="BO19" s="37">
        <f>'FS Sayan Feb 2020'!Q25</f>
        <v>0</v>
      </c>
      <c r="BP19" s="36">
        <f>'FS Sayan Feb 2020'!R25</f>
        <v>0</v>
      </c>
    </row>
    <row r="20" spans="1:68">
      <c r="A20" s="31" t="s">
        <v>71</v>
      </c>
      <c r="B20" s="39">
        <f t="shared" si="0"/>
        <v>19</v>
      </c>
      <c r="C20" s="40">
        <v>2</v>
      </c>
      <c r="D20" s="41">
        <v>2020</v>
      </c>
      <c r="E20" s="32">
        <f>'FS Sayan Feb 2020'!M26</f>
        <v>4.9000000000000004</v>
      </c>
      <c r="F20" s="36">
        <f>'FS Sayan Feb 2020'!N26</f>
        <v>0</v>
      </c>
      <c r="G20" s="36">
        <f>'FS Sayan Feb 2020'!G26</f>
        <v>0</v>
      </c>
      <c r="H20" s="36">
        <f>'FS Sayan Feb 2020'!H26</f>
        <v>0</v>
      </c>
      <c r="I20" s="36">
        <f>'FS Sayan Feb 2020'!I26</f>
        <v>0</v>
      </c>
      <c r="J20" s="36">
        <f>'FS Sayan Feb 2020'!J26</f>
        <v>0</v>
      </c>
      <c r="K20" s="36">
        <f>'FS Sayan Feb 2020'!K26</f>
        <v>10.8</v>
      </c>
      <c r="L20" s="36">
        <f>'FS Sayan Feb 2020'!L26</f>
        <v>0</v>
      </c>
      <c r="M20" s="36">
        <f>'FS Sayan Feb 2020'!S26</f>
        <v>0</v>
      </c>
      <c r="N20" s="36">
        <f>'FS Sayan Feb 2020'!T26</f>
        <v>0</v>
      </c>
      <c r="O20" s="36">
        <f>'FS Sayan Feb 2020'!U26</f>
        <v>5.2</v>
      </c>
      <c r="P20" s="36">
        <f>'FS Sayan Feb 2020'!V26</f>
        <v>0</v>
      </c>
      <c r="Q20" s="36">
        <f>'FS Sayan Feb 2020'!BC26</f>
        <v>0</v>
      </c>
      <c r="R20" s="36">
        <f>'FS Sayan Feb 2020'!BD26</f>
        <v>0</v>
      </c>
      <c r="S20" s="36">
        <f>'FS Sayan Feb 2020'!BF26</f>
        <v>0</v>
      </c>
      <c r="T20" s="36">
        <f>'FS Sayan Feb 2020'!BF26</f>
        <v>0</v>
      </c>
      <c r="U20" s="36">
        <f>'FS Sayan Feb 2020'!BG26</f>
        <v>0</v>
      </c>
      <c r="V20" s="36">
        <f>'FS Sayan Feb 2020'!BH26</f>
        <v>0</v>
      </c>
      <c r="W20" s="36">
        <f>'FS Sayan Feb 2020'!W26</f>
        <v>125.99999999999999</v>
      </c>
      <c r="X20" s="36">
        <f>'FS Sayan Feb 2020'!X26</f>
        <v>0</v>
      </c>
      <c r="Y20" s="36">
        <f>'FS Sayan Feb 2020'!Y26</f>
        <v>0</v>
      </c>
      <c r="Z20" s="36">
        <f>'FS Sayan Feb 2020'!Z26</f>
        <v>0</v>
      </c>
      <c r="AA20" s="36">
        <f>'FS Sayan Feb 2020'!AA26</f>
        <v>0</v>
      </c>
      <c r="AB20" s="36">
        <f>'FS Sayan Feb 2020'!AB26</f>
        <v>0</v>
      </c>
      <c r="AC20" s="36">
        <f>'FS Sayan Feb 2020'!AC26</f>
        <v>0</v>
      </c>
      <c r="AD20" s="36">
        <f>'FS Sayan Feb 2020'!AD26</f>
        <v>0</v>
      </c>
      <c r="AE20" s="36">
        <f>'FS Sayan Feb 2020'!AE26</f>
        <v>0</v>
      </c>
      <c r="AF20" s="36">
        <f>'FS Sayan Feb 2020'!AF26</f>
        <v>0</v>
      </c>
      <c r="AG20" s="36">
        <f>'FS Sayan Feb 2020'!AK26</f>
        <v>0</v>
      </c>
      <c r="AH20" s="36">
        <f>'FS Sayan Feb 2020'!AP26</f>
        <v>0</v>
      </c>
      <c r="AI20" s="36">
        <f>'FS Sayan Feb 2020'!AO26</f>
        <v>0</v>
      </c>
      <c r="AJ20" s="36">
        <f>'FS Sayan Feb 2020'!AP26</f>
        <v>0</v>
      </c>
      <c r="AK20" s="36">
        <f>'FS Sayan Feb 2020'!AW26</f>
        <v>0</v>
      </c>
      <c r="AL20" s="36">
        <f>'FS Sayan Feb 2020'!AX26</f>
        <v>0</v>
      </c>
      <c r="AM20" s="36">
        <f>'FS Sayan Feb 2020'!AZ26</f>
        <v>0</v>
      </c>
      <c r="AN20" s="36">
        <f>'FS Sayan Feb 2020'!AZ26</f>
        <v>0</v>
      </c>
      <c r="AO20" s="36">
        <f>'FS Sayan Feb 2020'!BI26</f>
        <v>0</v>
      </c>
      <c r="AP20" s="36">
        <f>'FS Sayan Feb 2020'!BJ26</f>
        <v>0</v>
      </c>
      <c r="AQ20" s="36">
        <f>'FS Sayan Feb 2020'!BA26</f>
        <v>0</v>
      </c>
      <c r="AR20" s="36">
        <f>'FS Sayan Feb 2020'!BB26</f>
        <v>0</v>
      </c>
      <c r="AS20" s="36">
        <f>'FS Sayan Feb 2020'!BK26</f>
        <v>0</v>
      </c>
      <c r="AT20" s="36">
        <f>'FS Sayan Feb 2020'!BL26</f>
        <v>0</v>
      </c>
      <c r="AU20" s="36">
        <f>'FS Sayan Feb 2020'!BM26</f>
        <v>0</v>
      </c>
      <c r="AV20" s="36">
        <f>'FS Sayan Feb 2020'!BN26</f>
        <v>0</v>
      </c>
      <c r="AW20" s="36">
        <f>'FS Sayan Feb 2020'!E26</f>
        <v>10.600000000000001</v>
      </c>
      <c r="AX20" s="36">
        <f>'FS Sayan Feb 2020'!F26</f>
        <v>0</v>
      </c>
      <c r="AY20" s="36">
        <f>'FS Sayan Feb 2020'!M26</f>
        <v>4.9000000000000004</v>
      </c>
      <c r="AZ20" s="36">
        <f>'FS Sayan Feb 2020'!P26</f>
        <v>0</v>
      </c>
      <c r="BA20" s="36">
        <v>0</v>
      </c>
      <c r="BB20" s="36">
        <f>'FS Sayan Feb 2020'!V40</f>
        <v>0</v>
      </c>
      <c r="BC20" s="36">
        <f>'FS Sayan Feb 2020'!AG26</f>
        <v>430</v>
      </c>
      <c r="BD20" s="36">
        <f>'FS Sayan Feb 2020'!AH26</f>
        <v>0</v>
      </c>
      <c r="BE20" s="36">
        <f>'FS Sayan Feb 2020'!AI26</f>
        <v>0</v>
      </c>
      <c r="BF20" s="36">
        <f>'FS Sayan Feb 2020'!AJ26</f>
        <v>0</v>
      </c>
      <c r="BG20" s="36">
        <f>'FS Sayan Feb 2020'!AK26</f>
        <v>0</v>
      </c>
      <c r="BH20" s="36">
        <f>'FS Sayan Feb 2020'!AL26</f>
        <v>0</v>
      </c>
      <c r="BI20" s="36">
        <f>'FS Sayan Feb 2020'!AM26</f>
        <v>0</v>
      </c>
      <c r="BJ20" s="36">
        <f>'FS Sayan Feb 2020'!AM26</f>
        <v>0</v>
      </c>
      <c r="BK20" s="36">
        <f>'FS Sayan Feb 2020'!AO26</f>
        <v>0</v>
      </c>
      <c r="BL20" s="36">
        <f>'FS Sayan Feb 2020'!AP26</f>
        <v>0</v>
      </c>
      <c r="BM20" s="36">
        <v>0</v>
      </c>
      <c r="BN20" s="36">
        <v>0</v>
      </c>
      <c r="BO20" s="37">
        <f>'FS Sayan Feb 2020'!Q26</f>
        <v>0</v>
      </c>
      <c r="BP20" s="36">
        <f>'FS Sayan Feb 2020'!R26</f>
        <v>0</v>
      </c>
    </row>
    <row r="21" spans="1:68">
      <c r="A21" s="31" t="s">
        <v>71</v>
      </c>
      <c r="B21" s="39">
        <f t="shared" si="0"/>
        <v>20</v>
      </c>
      <c r="C21" s="40">
        <v>2</v>
      </c>
      <c r="D21" s="41">
        <v>2020</v>
      </c>
      <c r="E21" s="32">
        <f>'FS Sayan Feb 2020'!M27</f>
        <v>4</v>
      </c>
      <c r="F21" s="36">
        <f>'FS Sayan Feb 2020'!N27</f>
        <v>0</v>
      </c>
      <c r="G21" s="36">
        <f>'FS Sayan Feb 2020'!G27</f>
        <v>0</v>
      </c>
      <c r="H21" s="36">
        <f>'FS Sayan Feb 2020'!H27</f>
        <v>0</v>
      </c>
      <c r="I21" s="36">
        <f>'FS Sayan Feb 2020'!I27</f>
        <v>0</v>
      </c>
      <c r="J21" s="36">
        <f>'FS Sayan Feb 2020'!J27</f>
        <v>0</v>
      </c>
      <c r="K21" s="36">
        <f>'FS Sayan Feb 2020'!K27</f>
        <v>9.3999999999999986</v>
      </c>
      <c r="L21" s="36">
        <f>'FS Sayan Feb 2020'!L27</f>
        <v>0</v>
      </c>
      <c r="M21" s="36">
        <f>'FS Sayan Feb 2020'!S27</f>
        <v>0</v>
      </c>
      <c r="N21" s="36">
        <f>'FS Sayan Feb 2020'!T27</f>
        <v>0</v>
      </c>
      <c r="O21" s="36">
        <f>'FS Sayan Feb 2020'!U27</f>
        <v>2.8</v>
      </c>
      <c r="P21" s="36">
        <f>'FS Sayan Feb 2020'!V27</f>
        <v>0</v>
      </c>
      <c r="Q21" s="36">
        <f>'FS Sayan Feb 2020'!BC27</f>
        <v>0</v>
      </c>
      <c r="R21" s="36">
        <f>'FS Sayan Feb 2020'!BD27</f>
        <v>0</v>
      </c>
      <c r="S21" s="36">
        <f>'FS Sayan Feb 2020'!BF27</f>
        <v>0</v>
      </c>
      <c r="T21" s="36">
        <f>'FS Sayan Feb 2020'!BF27</f>
        <v>0</v>
      </c>
      <c r="U21" s="36">
        <f>'FS Sayan Feb 2020'!BG27</f>
        <v>0</v>
      </c>
      <c r="V21" s="36">
        <f>'FS Sayan Feb 2020'!BH27</f>
        <v>0</v>
      </c>
      <c r="W21" s="36">
        <f>'FS Sayan Feb 2020'!W27</f>
        <v>144</v>
      </c>
      <c r="X21" s="36">
        <f>'FS Sayan Feb 2020'!X27</f>
        <v>0</v>
      </c>
      <c r="Y21" s="36">
        <f>'FS Sayan Feb 2020'!Y27</f>
        <v>0</v>
      </c>
      <c r="Z21" s="36">
        <f>'FS Sayan Feb 2020'!Z27</f>
        <v>0</v>
      </c>
      <c r="AA21" s="36">
        <f>'FS Sayan Feb 2020'!AA27</f>
        <v>0</v>
      </c>
      <c r="AB21" s="36">
        <f>'FS Sayan Feb 2020'!AB27</f>
        <v>0</v>
      </c>
      <c r="AC21" s="36">
        <f>'FS Sayan Feb 2020'!AC27</f>
        <v>0</v>
      </c>
      <c r="AD21" s="36">
        <f>'FS Sayan Feb 2020'!AD27</f>
        <v>0</v>
      </c>
      <c r="AE21" s="36">
        <f>'FS Sayan Feb 2020'!AE27</f>
        <v>0</v>
      </c>
      <c r="AF21" s="36">
        <f>'FS Sayan Feb 2020'!AF27</f>
        <v>0</v>
      </c>
      <c r="AG21" s="36">
        <f>'FS Sayan Feb 2020'!AK27</f>
        <v>0</v>
      </c>
      <c r="AH21" s="36">
        <f>'FS Sayan Feb 2020'!AP27</f>
        <v>0</v>
      </c>
      <c r="AI21" s="36">
        <f>'FS Sayan Feb 2020'!AO27</f>
        <v>0</v>
      </c>
      <c r="AJ21" s="36">
        <f>'FS Sayan Feb 2020'!AP27</f>
        <v>0</v>
      </c>
      <c r="AK21" s="36">
        <f>'FS Sayan Feb 2020'!AW27</f>
        <v>0</v>
      </c>
      <c r="AL21" s="36">
        <f>'FS Sayan Feb 2020'!AX27</f>
        <v>0</v>
      </c>
      <c r="AM21" s="36">
        <f>'FS Sayan Feb 2020'!AZ27</f>
        <v>0</v>
      </c>
      <c r="AN21" s="36">
        <f>'FS Sayan Feb 2020'!AZ27</f>
        <v>0</v>
      </c>
      <c r="AO21" s="36">
        <f>'FS Sayan Feb 2020'!BI27</f>
        <v>0</v>
      </c>
      <c r="AP21" s="36">
        <f>'FS Sayan Feb 2020'!BJ27</f>
        <v>0</v>
      </c>
      <c r="AQ21" s="36">
        <f>'FS Sayan Feb 2020'!BA27</f>
        <v>0</v>
      </c>
      <c r="AR21" s="36">
        <f>'FS Sayan Feb 2020'!BB27</f>
        <v>0</v>
      </c>
      <c r="AS21" s="36">
        <f>'FS Sayan Feb 2020'!BK27</f>
        <v>0</v>
      </c>
      <c r="AT21" s="36">
        <f>'FS Sayan Feb 2020'!BL27</f>
        <v>0</v>
      </c>
      <c r="AU21" s="36">
        <f>'FS Sayan Feb 2020'!BM27</f>
        <v>0</v>
      </c>
      <c r="AV21" s="36">
        <f>'FS Sayan Feb 2020'!BN27</f>
        <v>0</v>
      </c>
      <c r="AW21" s="36">
        <f>'FS Sayan Feb 2020'!E27</f>
        <v>8.1</v>
      </c>
      <c r="AX21" s="36">
        <f>'FS Sayan Feb 2020'!F27</f>
        <v>0</v>
      </c>
      <c r="AY21" s="36">
        <f>'FS Sayan Feb 2020'!M27</f>
        <v>4</v>
      </c>
      <c r="AZ21" s="36">
        <f>'FS Sayan Feb 2020'!P27</f>
        <v>0</v>
      </c>
      <c r="BA21" s="36">
        <v>0</v>
      </c>
      <c r="BB21" s="36">
        <f>'FS Sayan Feb 2020'!V41</f>
        <v>0</v>
      </c>
      <c r="BC21" s="36">
        <f>'FS Sayan Feb 2020'!AG27</f>
        <v>520</v>
      </c>
      <c r="BD21" s="36">
        <f>'FS Sayan Feb 2020'!AH27</f>
        <v>0</v>
      </c>
      <c r="BE21" s="36">
        <f>'FS Sayan Feb 2020'!AI27</f>
        <v>0</v>
      </c>
      <c r="BF21" s="36">
        <f>'FS Sayan Feb 2020'!AJ27</f>
        <v>0</v>
      </c>
      <c r="BG21" s="36">
        <f>'FS Sayan Feb 2020'!AK27</f>
        <v>0</v>
      </c>
      <c r="BH21" s="36">
        <f>'FS Sayan Feb 2020'!AL27</f>
        <v>0</v>
      </c>
      <c r="BI21" s="36">
        <f>'FS Sayan Feb 2020'!AM27</f>
        <v>0</v>
      </c>
      <c r="BJ21" s="36">
        <f>'FS Sayan Feb 2020'!AM27</f>
        <v>0</v>
      </c>
      <c r="BK21" s="36">
        <f>'FS Sayan Feb 2020'!AO27</f>
        <v>0</v>
      </c>
      <c r="BL21" s="36">
        <f>'FS Sayan Feb 2020'!AP27</f>
        <v>0</v>
      </c>
      <c r="BM21" s="36">
        <v>0</v>
      </c>
      <c r="BN21" s="36">
        <v>0</v>
      </c>
      <c r="BO21" s="37">
        <f>'FS Sayan Feb 2020'!Q27</f>
        <v>0</v>
      </c>
      <c r="BP21" s="36">
        <f>'FS Sayan Feb 2020'!R27</f>
        <v>0</v>
      </c>
    </row>
    <row r="22" spans="1:68">
      <c r="A22" s="31" t="s">
        <v>71</v>
      </c>
      <c r="B22" s="39">
        <f t="shared" si="0"/>
        <v>21</v>
      </c>
      <c r="C22" s="40">
        <v>2</v>
      </c>
      <c r="D22" s="41">
        <v>2020</v>
      </c>
      <c r="E22" s="32">
        <f>'FS Sayan Feb 2020'!M28</f>
        <v>5</v>
      </c>
      <c r="F22" s="36">
        <f>'FS Sayan Feb 2020'!N28</f>
        <v>0</v>
      </c>
      <c r="G22" s="36">
        <f>'FS Sayan Feb 2020'!G28</f>
        <v>0</v>
      </c>
      <c r="H22" s="36">
        <f>'FS Sayan Feb 2020'!H28</f>
        <v>0</v>
      </c>
      <c r="I22" s="36">
        <f>'FS Sayan Feb 2020'!I28</f>
        <v>0</v>
      </c>
      <c r="J22" s="36">
        <f>'FS Sayan Feb 2020'!J28</f>
        <v>0</v>
      </c>
      <c r="K22" s="36">
        <f>'FS Sayan Feb 2020'!K28</f>
        <v>10.7</v>
      </c>
      <c r="L22" s="36">
        <f>'FS Sayan Feb 2020'!L28</f>
        <v>0</v>
      </c>
      <c r="M22" s="36">
        <f>'FS Sayan Feb 2020'!S28</f>
        <v>0</v>
      </c>
      <c r="N22" s="36">
        <f>'FS Sayan Feb 2020'!T28</f>
        <v>0</v>
      </c>
      <c r="O22" s="36">
        <f>'FS Sayan Feb 2020'!U28</f>
        <v>5</v>
      </c>
      <c r="P22" s="36">
        <f>'FS Sayan Feb 2020'!V28</f>
        <v>0</v>
      </c>
      <c r="Q22" s="36">
        <f>'FS Sayan Feb 2020'!BC28</f>
        <v>0</v>
      </c>
      <c r="R22" s="36">
        <f>'FS Sayan Feb 2020'!BD28</f>
        <v>0</v>
      </c>
      <c r="S22" s="36">
        <f>'FS Sayan Feb 2020'!BF28</f>
        <v>0</v>
      </c>
      <c r="T22" s="36">
        <f>'FS Sayan Feb 2020'!BF28</f>
        <v>0</v>
      </c>
      <c r="U22" s="36">
        <f>'FS Sayan Feb 2020'!BG28</f>
        <v>0</v>
      </c>
      <c r="V22" s="36">
        <f>'FS Sayan Feb 2020'!BH28</f>
        <v>0</v>
      </c>
      <c r="W22" s="36">
        <f>'FS Sayan Feb 2020'!W28</f>
        <v>135</v>
      </c>
      <c r="X22" s="36">
        <f>'FS Sayan Feb 2020'!X28</f>
        <v>0</v>
      </c>
      <c r="Y22" s="36">
        <f>'FS Sayan Feb 2020'!Y28</f>
        <v>0</v>
      </c>
      <c r="Z22" s="36">
        <f>'FS Sayan Feb 2020'!Z28</f>
        <v>0</v>
      </c>
      <c r="AA22" s="36">
        <f>'FS Sayan Feb 2020'!AA28</f>
        <v>0</v>
      </c>
      <c r="AB22" s="36">
        <f>'FS Sayan Feb 2020'!AB28</f>
        <v>0</v>
      </c>
      <c r="AC22" s="36">
        <f>'FS Sayan Feb 2020'!AC28</f>
        <v>0</v>
      </c>
      <c r="AD22" s="36">
        <f>'FS Sayan Feb 2020'!AD28</f>
        <v>0</v>
      </c>
      <c r="AE22" s="36">
        <f>'FS Sayan Feb 2020'!AE28</f>
        <v>0</v>
      </c>
      <c r="AF22" s="36">
        <f>'FS Sayan Feb 2020'!AF28</f>
        <v>0</v>
      </c>
      <c r="AG22" s="36">
        <f>'FS Sayan Feb 2020'!AK28</f>
        <v>0</v>
      </c>
      <c r="AH22" s="36">
        <f>'FS Sayan Feb 2020'!AP28</f>
        <v>0</v>
      </c>
      <c r="AI22" s="36">
        <f>'FS Sayan Feb 2020'!AO28</f>
        <v>0</v>
      </c>
      <c r="AJ22" s="36">
        <f>'FS Sayan Feb 2020'!AP28</f>
        <v>0</v>
      </c>
      <c r="AK22" s="36">
        <f>'FS Sayan Feb 2020'!AW28</f>
        <v>0</v>
      </c>
      <c r="AL22" s="36">
        <f>'FS Sayan Feb 2020'!AX28</f>
        <v>0</v>
      </c>
      <c r="AM22" s="36">
        <f>'FS Sayan Feb 2020'!AZ28</f>
        <v>0</v>
      </c>
      <c r="AN22" s="36">
        <f>'FS Sayan Feb 2020'!AZ28</f>
        <v>0</v>
      </c>
      <c r="AO22" s="36">
        <f>'FS Sayan Feb 2020'!BI28</f>
        <v>0</v>
      </c>
      <c r="AP22" s="36">
        <f>'FS Sayan Feb 2020'!BJ28</f>
        <v>0</v>
      </c>
      <c r="AQ22" s="36">
        <f>'FS Sayan Feb 2020'!BA28</f>
        <v>0</v>
      </c>
      <c r="AR22" s="36">
        <f>'FS Sayan Feb 2020'!BB28</f>
        <v>0</v>
      </c>
      <c r="AS22" s="36">
        <f>'FS Sayan Feb 2020'!BK28</f>
        <v>0</v>
      </c>
      <c r="AT22" s="36">
        <f>'FS Sayan Feb 2020'!BL28</f>
        <v>0</v>
      </c>
      <c r="AU22" s="36">
        <f>'FS Sayan Feb 2020'!BM28</f>
        <v>0</v>
      </c>
      <c r="AV22" s="36">
        <f>'FS Sayan Feb 2020'!BN28</f>
        <v>0</v>
      </c>
      <c r="AW22" s="36">
        <f>'FS Sayan Feb 2020'!E28</f>
        <v>11.1</v>
      </c>
      <c r="AX22" s="36">
        <f>'FS Sayan Feb 2020'!F28</f>
        <v>0</v>
      </c>
      <c r="AY22" s="36">
        <f>'FS Sayan Feb 2020'!M28</f>
        <v>5</v>
      </c>
      <c r="AZ22" s="36">
        <f>'FS Sayan Feb 2020'!P28</f>
        <v>0</v>
      </c>
      <c r="BA22" s="36">
        <v>0</v>
      </c>
      <c r="BB22" s="36">
        <f>'FS Sayan Feb 2020'!V42</f>
        <v>0</v>
      </c>
      <c r="BC22" s="36">
        <f>'FS Sayan Feb 2020'!AG28</f>
        <v>460</v>
      </c>
      <c r="BD22" s="36">
        <f>'FS Sayan Feb 2020'!AH28</f>
        <v>0</v>
      </c>
      <c r="BE22" s="36">
        <f>'FS Sayan Feb 2020'!AI28</f>
        <v>0</v>
      </c>
      <c r="BF22" s="36">
        <f>'FS Sayan Feb 2020'!AJ28</f>
        <v>0</v>
      </c>
      <c r="BG22" s="36">
        <f>'FS Sayan Feb 2020'!AK28</f>
        <v>0</v>
      </c>
      <c r="BH22" s="36">
        <f>'FS Sayan Feb 2020'!AL28</f>
        <v>0</v>
      </c>
      <c r="BI22" s="36">
        <f>'FS Sayan Feb 2020'!AM28</f>
        <v>0</v>
      </c>
      <c r="BJ22" s="36">
        <f>'FS Sayan Feb 2020'!AM28</f>
        <v>0</v>
      </c>
      <c r="BK22" s="36">
        <f>'FS Sayan Feb 2020'!AO28</f>
        <v>0</v>
      </c>
      <c r="BL22" s="36">
        <f>'FS Sayan Feb 2020'!AP28</f>
        <v>0</v>
      </c>
      <c r="BM22" s="36">
        <v>0</v>
      </c>
      <c r="BN22" s="36">
        <v>0</v>
      </c>
      <c r="BO22" s="37">
        <f>'FS Sayan Feb 2020'!Q28</f>
        <v>0</v>
      </c>
      <c r="BP22" s="36">
        <f>'FS Sayan Feb 2020'!R28</f>
        <v>0</v>
      </c>
    </row>
    <row r="23" spans="1:68">
      <c r="A23" s="31" t="s">
        <v>71</v>
      </c>
      <c r="B23" s="39">
        <f t="shared" si="0"/>
        <v>22</v>
      </c>
      <c r="C23" s="40">
        <v>2</v>
      </c>
      <c r="D23" s="41">
        <v>2020</v>
      </c>
      <c r="E23" s="32">
        <f>'FS Sayan Feb 2020'!M29</f>
        <v>4.3</v>
      </c>
      <c r="F23" s="36">
        <f>'FS Sayan Feb 2020'!N29</f>
        <v>0</v>
      </c>
      <c r="G23" s="36">
        <f>'FS Sayan Feb 2020'!G29</f>
        <v>0</v>
      </c>
      <c r="H23" s="36">
        <f>'FS Sayan Feb 2020'!H29</f>
        <v>0</v>
      </c>
      <c r="I23" s="36">
        <f>'FS Sayan Feb 2020'!I29</f>
        <v>0</v>
      </c>
      <c r="J23" s="36">
        <f>'FS Sayan Feb 2020'!J29</f>
        <v>0</v>
      </c>
      <c r="K23" s="36">
        <f>'FS Sayan Feb 2020'!K29</f>
        <v>11.6</v>
      </c>
      <c r="L23" s="36">
        <f>'FS Sayan Feb 2020'!L29</f>
        <v>0</v>
      </c>
      <c r="M23" s="36">
        <f>'FS Sayan Feb 2020'!S29</f>
        <v>0</v>
      </c>
      <c r="N23" s="36">
        <f>'FS Sayan Feb 2020'!T29</f>
        <v>0</v>
      </c>
      <c r="O23" s="36">
        <f>'FS Sayan Feb 2020'!U29</f>
        <v>2.6</v>
      </c>
      <c r="P23" s="36">
        <f>'FS Sayan Feb 2020'!V29</f>
        <v>0</v>
      </c>
      <c r="Q23" s="36">
        <f>'FS Sayan Feb 2020'!BC29</f>
        <v>0</v>
      </c>
      <c r="R23" s="36">
        <f>'FS Sayan Feb 2020'!BD29</f>
        <v>0</v>
      </c>
      <c r="S23" s="36">
        <f>'FS Sayan Feb 2020'!BF29</f>
        <v>0</v>
      </c>
      <c r="T23" s="36">
        <f>'FS Sayan Feb 2020'!BF29</f>
        <v>0</v>
      </c>
      <c r="U23" s="36">
        <f>'FS Sayan Feb 2020'!BG29</f>
        <v>0</v>
      </c>
      <c r="V23" s="36">
        <f>'FS Sayan Feb 2020'!BH29</f>
        <v>0</v>
      </c>
      <c r="W23" s="36">
        <f>'FS Sayan Feb 2020'!W29</f>
        <v>108</v>
      </c>
      <c r="X23" s="36">
        <f>'FS Sayan Feb 2020'!X29</f>
        <v>0</v>
      </c>
      <c r="Y23" s="36">
        <f>'FS Sayan Feb 2020'!Y29</f>
        <v>0</v>
      </c>
      <c r="Z23" s="36">
        <f>'FS Sayan Feb 2020'!Z29</f>
        <v>0</v>
      </c>
      <c r="AA23" s="36">
        <f>'FS Sayan Feb 2020'!AA29</f>
        <v>0</v>
      </c>
      <c r="AB23" s="36">
        <f>'FS Sayan Feb 2020'!AB29</f>
        <v>0</v>
      </c>
      <c r="AC23" s="36">
        <f>'FS Sayan Feb 2020'!AC29</f>
        <v>0</v>
      </c>
      <c r="AD23" s="36">
        <f>'FS Sayan Feb 2020'!AD29</f>
        <v>0</v>
      </c>
      <c r="AE23" s="36">
        <f>'FS Sayan Feb 2020'!AE29</f>
        <v>0</v>
      </c>
      <c r="AF23" s="36">
        <f>'FS Sayan Feb 2020'!AF29</f>
        <v>0</v>
      </c>
      <c r="AG23" s="36">
        <f>'FS Sayan Feb 2020'!AK29</f>
        <v>0</v>
      </c>
      <c r="AH23" s="36">
        <f>'FS Sayan Feb 2020'!AP29</f>
        <v>0</v>
      </c>
      <c r="AI23" s="36">
        <f>'FS Sayan Feb 2020'!AO29</f>
        <v>0</v>
      </c>
      <c r="AJ23" s="36">
        <f>'FS Sayan Feb 2020'!AP29</f>
        <v>0</v>
      </c>
      <c r="AK23" s="36">
        <f>'FS Sayan Feb 2020'!AW29</f>
        <v>0</v>
      </c>
      <c r="AL23" s="36">
        <f>'FS Sayan Feb 2020'!AX29</f>
        <v>0</v>
      </c>
      <c r="AM23" s="36">
        <f>'FS Sayan Feb 2020'!AZ29</f>
        <v>0</v>
      </c>
      <c r="AN23" s="36">
        <f>'FS Sayan Feb 2020'!AZ29</f>
        <v>0</v>
      </c>
      <c r="AO23" s="36">
        <f>'FS Sayan Feb 2020'!BI29</f>
        <v>0</v>
      </c>
      <c r="AP23" s="36">
        <f>'FS Sayan Feb 2020'!BJ29</f>
        <v>0</v>
      </c>
      <c r="AQ23" s="36">
        <f>'FS Sayan Feb 2020'!BA29</f>
        <v>0</v>
      </c>
      <c r="AR23" s="36">
        <f>'FS Sayan Feb 2020'!BB29</f>
        <v>0</v>
      </c>
      <c r="AS23" s="36">
        <f>'FS Sayan Feb 2020'!BK29</f>
        <v>0</v>
      </c>
      <c r="AT23" s="36">
        <f>'FS Sayan Feb 2020'!BL29</f>
        <v>0</v>
      </c>
      <c r="AU23" s="36">
        <f>'FS Sayan Feb 2020'!BM29</f>
        <v>0</v>
      </c>
      <c r="AV23" s="36">
        <f>'FS Sayan Feb 2020'!BN29</f>
        <v>0</v>
      </c>
      <c r="AW23" s="36">
        <f>'FS Sayan Feb 2020'!E29</f>
        <v>9.1999999999999993</v>
      </c>
      <c r="AX23" s="36">
        <f>'FS Sayan Feb 2020'!F29</f>
        <v>0</v>
      </c>
      <c r="AY23" s="36">
        <f>'FS Sayan Feb 2020'!M29</f>
        <v>4.3</v>
      </c>
      <c r="AZ23" s="36">
        <f>'FS Sayan Feb 2020'!P29</f>
        <v>0</v>
      </c>
      <c r="BA23" s="36">
        <v>0</v>
      </c>
      <c r="BB23" s="36">
        <v>0</v>
      </c>
      <c r="BC23" s="36">
        <f>'FS Sayan Feb 2020'!AG29</f>
        <v>570</v>
      </c>
      <c r="BD23" s="36">
        <f>'FS Sayan Feb 2020'!AH29</f>
        <v>0</v>
      </c>
      <c r="BE23" s="36">
        <f>'FS Sayan Feb 2020'!AI29</f>
        <v>0</v>
      </c>
      <c r="BF23" s="36">
        <f>'FS Sayan Feb 2020'!AJ29</f>
        <v>0</v>
      </c>
      <c r="BG23" s="36">
        <f>'FS Sayan Feb 2020'!AK29</f>
        <v>0</v>
      </c>
      <c r="BH23" s="36">
        <f>'FS Sayan Feb 2020'!AL29</f>
        <v>0</v>
      </c>
      <c r="BI23" s="36">
        <f>'FS Sayan Feb 2020'!AM29</f>
        <v>0</v>
      </c>
      <c r="BJ23" s="36">
        <f>'FS Sayan Feb 2020'!AM29</f>
        <v>0</v>
      </c>
      <c r="BK23" s="36">
        <f>'FS Sayan Feb 2020'!AO29</f>
        <v>0</v>
      </c>
      <c r="BL23" s="36">
        <f>'FS Sayan Feb 2020'!AP29</f>
        <v>0</v>
      </c>
      <c r="BM23" s="36">
        <v>0</v>
      </c>
      <c r="BN23" s="36">
        <v>0</v>
      </c>
      <c r="BO23" s="37">
        <f>'FS Sayan Feb 2020'!Q29</f>
        <v>0</v>
      </c>
      <c r="BP23" s="36">
        <f>'FS Sayan Feb 2020'!R29</f>
        <v>0</v>
      </c>
    </row>
    <row r="24" spans="1:68">
      <c r="A24" s="31" t="s">
        <v>71</v>
      </c>
      <c r="B24" s="39">
        <f t="shared" si="0"/>
        <v>23</v>
      </c>
      <c r="C24" s="40">
        <v>2</v>
      </c>
      <c r="D24" s="41">
        <v>2020</v>
      </c>
      <c r="E24" s="32">
        <f>'FS Sayan Feb 2020'!M30</f>
        <v>5.6</v>
      </c>
      <c r="F24" s="36">
        <f>'FS Sayan Feb 2020'!N30</f>
        <v>0</v>
      </c>
      <c r="G24" s="36">
        <f>'FS Sayan Feb 2020'!G30</f>
        <v>0</v>
      </c>
      <c r="H24" s="36">
        <f>'FS Sayan Feb 2020'!H30</f>
        <v>0</v>
      </c>
      <c r="I24" s="36">
        <f>'FS Sayan Feb 2020'!I30</f>
        <v>0</v>
      </c>
      <c r="J24" s="36">
        <f>'FS Sayan Feb 2020'!J30</f>
        <v>0</v>
      </c>
      <c r="K24" s="36">
        <f>'FS Sayan Feb 2020'!K30</f>
        <v>10.6</v>
      </c>
      <c r="L24" s="36">
        <f>'FS Sayan Feb 2020'!L30</f>
        <v>0</v>
      </c>
      <c r="M24" s="36">
        <f>'FS Sayan Feb 2020'!S30</f>
        <v>0</v>
      </c>
      <c r="N24" s="36">
        <f>'FS Sayan Feb 2020'!T30</f>
        <v>0</v>
      </c>
      <c r="O24" s="36">
        <f>'FS Sayan Feb 2020'!U30</f>
        <v>3</v>
      </c>
      <c r="P24" s="36">
        <f>'FS Sayan Feb 2020'!V30</f>
        <v>0</v>
      </c>
      <c r="Q24" s="36">
        <f>'FS Sayan Feb 2020'!BC30</f>
        <v>0</v>
      </c>
      <c r="R24" s="36">
        <f>'FS Sayan Feb 2020'!BD30</f>
        <v>0</v>
      </c>
      <c r="S24" s="36">
        <f>'FS Sayan Feb 2020'!BF30</f>
        <v>0</v>
      </c>
      <c r="T24" s="36">
        <f>'FS Sayan Feb 2020'!BF30</f>
        <v>0</v>
      </c>
      <c r="U24" s="36">
        <f>'FS Sayan Feb 2020'!BG30</f>
        <v>0</v>
      </c>
      <c r="V24" s="36">
        <f>'FS Sayan Feb 2020'!BH30</f>
        <v>0</v>
      </c>
      <c r="W24" s="36">
        <f>'FS Sayan Feb 2020'!W30</f>
        <v>125.99999999999999</v>
      </c>
      <c r="X24" s="36">
        <f>'FS Sayan Feb 2020'!X30</f>
        <v>0</v>
      </c>
      <c r="Y24" s="36">
        <f>'FS Sayan Feb 2020'!Y30</f>
        <v>0</v>
      </c>
      <c r="Z24" s="36">
        <f>'FS Sayan Feb 2020'!Z30</f>
        <v>0</v>
      </c>
      <c r="AA24" s="36">
        <f>'FS Sayan Feb 2020'!AA30</f>
        <v>0</v>
      </c>
      <c r="AB24" s="36">
        <f>'FS Sayan Feb 2020'!AB30</f>
        <v>0</v>
      </c>
      <c r="AC24" s="36">
        <f>'FS Sayan Feb 2020'!AC30</f>
        <v>0</v>
      </c>
      <c r="AD24" s="36">
        <f>'FS Sayan Feb 2020'!AD30</f>
        <v>0</v>
      </c>
      <c r="AE24" s="36">
        <f>'FS Sayan Feb 2020'!AE30</f>
        <v>0</v>
      </c>
      <c r="AF24" s="36">
        <f>'FS Sayan Feb 2020'!AF30</f>
        <v>0</v>
      </c>
      <c r="AG24" s="36">
        <f>'FS Sayan Feb 2020'!AK30</f>
        <v>0</v>
      </c>
      <c r="AH24" s="36">
        <f>'FS Sayan Feb 2020'!AP30</f>
        <v>0</v>
      </c>
      <c r="AI24" s="36">
        <f>'FS Sayan Feb 2020'!AO30</f>
        <v>0</v>
      </c>
      <c r="AJ24" s="36">
        <f>'FS Sayan Feb 2020'!AP30</f>
        <v>0</v>
      </c>
      <c r="AK24" s="36">
        <f>'FS Sayan Feb 2020'!AW30</f>
        <v>0</v>
      </c>
      <c r="AL24" s="36">
        <f>'FS Sayan Feb 2020'!AX30</f>
        <v>0</v>
      </c>
      <c r="AM24" s="36">
        <f>'FS Sayan Feb 2020'!AZ30</f>
        <v>0</v>
      </c>
      <c r="AN24" s="36">
        <f>'FS Sayan Feb 2020'!AZ30</f>
        <v>0</v>
      </c>
      <c r="AO24" s="36">
        <f>'FS Sayan Feb 2020'!BI30</f>
        <v>0</v>
      </c>
      <c r="AP24" s="36">
        <f>'FS Sayan Feb 2020'!BJ30</f>
        <v>0</v>
      </c>
      <c r="AQ24" s="36">
        <f>'FS Sayan Feb 2020'!BA30</f>
        <v>0</v>
      </c>
      <c r="AR24" s="36">
        <f>'FS Sayan Feb 2020'!BB30</f>
        <v>0</v>
      </c>
      <c r="AS24" s="36">
        <f>'FS Sayan Feb 2020'!BK30</f>
        <v>0</v>
      </c>
      <c r="AT24" s="36">
        <f>'FS Sayan Feb 2020'!BL30</f>
        <v>0</v>
      </c>
      <c r="AU24" s="36">
        <f>'FS Sayan Feb 2020'!BM30</f>
        <v>0</v>
      </c>
      <c r="AV24" s="36">
        <f>'FS Sayan Feb 2020'!BN30</f>
        <v>0</v>
      </c>
      <c r="AW24" s="36">
        <f>'FS Sayan Feb 2020'!E30</f>
        <v>9.8999999999999986</v>
      </c>
      <c r="AX24" s="36">
        <f>'FS Sayan Feb 2020'!F30</f>
        <v>0</v>
      </c>
      <c r="AY24" s="36">
        <f>'FS Sayan Feb 2020'!M30</f>
        <v>5.6</v>
      </c>
      <c r="AZ24" s="36">
        <f>'FS Sayan Feb 2020'!P30</f>
        <v>0</v>
      </c>
      <c r="BA24" s="36">
        <v>0</v>
      </c>
      <c r="BB24" s="36">
        <f>'FS Sayan Feb 2020'!V44</f>
        <v>0</v>
      </c>
      <c r="BC24" s="36">
        <f>'FS Sayan Feb 2020'!AG30</f>
        <v>590</v>
      </c>
      <c r="BD24" s="36">
        <f>'FS Sayan Feb 2020'!AH30</f>
        <v>0</v>
      </c>
      <c r="BE24" s="36">
        <f>'FS Sayan Feb 2020'!AI30</f>
        <v>0</v>
      </c>
      <c r="BF24" s="36">
        <f>'FS Sayan Feb 2020'!AJ30</f>
        <v>0</v>
      </c>
      <c r="BG24" s="36">
        <f>'FS Sayan Feb 2020'!AK30</f>
        <v>0</v>
      </c>
      <c r="BH24" s="36">
        <f>'FS Sayan Feb 2020'!AL30</f>
        <v>0</v>
      </c>
      <c r="BI24" s="36">
        <f>'FS Sayan Feb 2020'!AM30</f>
        <v>0</v>
      </c>
      <c r="BJ24" s="36">
        <f>'FS Sayan Feb 2020'!AM30</f>
        <v>0</v>
      </c>
      <c r="BK24" s="36">
        <f>'FS Sayan Feb 2020'!AO30</f>
        <v>0</v>
      </c>
      <c r="BL24" s="36">
        <f>'FS Sayan Feb 2020'!AP30</f>
        <v>0</v>
      </c>
      <c r="BM24" s="36">
        <v>0</v>
      </c>
      <c r="BN24" s="36">
        <v>0</v>
      </c>
      <c r="BO24" s="37">
        <f>'FS Sayan Feb 2020'!Q30</f>
        <v>0</v>
      </c>
      <c r="BP24" s="36">
        <f>'FS Sayan Feb 2020'!R30</f>
        <v>0</v>
      </c>
    </row>
    <row r="25" spans="1:68">
      <c r="A25" s="31" t="s">
        <v>71</v>
      </c>
      <c r="B25" s="39">
        <f t="shared" si="0"/>
        <v>24</v>
      </c>
      <c r="C25" s="40">
        <v>2</v>
      </c>
      <c r="D25" s="41">
        <v>2020</v>
      </c>
      <c r="E25" s="32">
        <f>'FS Sayan Feb 2020'!M31</f>
        <v>4.9000000000000004</v>
      </c>
      <c r="F25" s="36">
        <f>'FS Sayan Feb 2020'!N31</f>
        <v>0</v>
      </c>
      <c r="G25" s="36">
        <f>'FS Sayan Feb 2020'!G31</f>
        <v>0</v>
      </c>
      <c r="H25" s="36">
        <f>'FS Sayan Feb 2020'!H31</f>
        <v>0</v>
      </c>
      <c r="I25" s="36">
        <f>'FS Sayan Feb 2020'!I31</f>
        <v>0</v>
      </c>
      <c r="J25" s="36">
        <f>'FS Sayan Feb 2020'!J31</f>
        <v>0</v>
      </c>
      <c r="K25" s="36">
        <f>'FS Sayan Feb 2020'!K31</f>
        <v>9.6</v>
      </c>
      <c r="L25" s="36">
        <f>'FS Sayan Feb 2020'!L31</f>
        <v>0</v>
      </c>
      <c r="M25" s="36">
        <f>'FS Sayan Feb 2020'!S31</f>
        <v>0</v>
      </c>
      <c r="N25" s="36">
        <f>'FS Sayan Feb 2020'!T31</f>
        <v>0</v>
      </c>
      <c r="O25" s="36">
        <f>'FS Sayan Feb 2020'!U31</f>
        <v>2.6</v>
      </c>
      <c r="P25" s="36">
        <f>'FS Sayan Feb 2020'!V31</f>
        <v>0</v>
      </c>
      <c r="Q25" s="36">
        <f>'FS Sayan Feb 2020'!BC31</f>
        <v>0</v>
      </c>
      <c r="R25" s="36">
        <f>'FS Sayan Feb 2020'!BD31</f>
        <v>0</v>
      </c>
      <c r="S25" s="36">
        <f>'FS Sayan Feb 2020'!BF31</f>
        <v>0</v>
      </c>
      <c r="T25" s="36">
        <f>'FS Sayan Feb 2020'!BF31</f>
        <v>0</v>
      </c>
      <c r="U25" s="36">
        <f>'FS Sayan Feb 2020'!BG31</f>
        <v>0</v>
      </c>
      <c r="V25" s="36">
        <f>'FS Sayan Feb 2020'!BH31</f>
        <v>0</v>
      </c>
      <c r="W25" s="36">
        <f>'FS Sayan Feb 2020'!W31</f>
        <v>108</v>
      </c>
      <c r="X25" s="36">
        <f>'FS Sayan Feb 2020'!X31</f>
        <v>0</v>
      </c>
      <c r="Y25" s="36">
        <f>'FS Sayan Feb 2020'!Y31</f>
        <v>0</v>
      </c>
      <c r="Z25" s="36">
        <f>'FS Sayan Feb 2020'!Z31</f>
        <v>0</v>
      </c>
      <c r="AA25" s="36">
        <f>'FS Sayan Feb 2020'!AA31</f>
        <v>0</v>
      </c>
      <c r="AB25" s="36">
        <f>'FS Sayan Feb 2020'!AB31</f>
        <v>0</v>
      </c>
      <c r="AC25" s="36">
        <f>'FS Sayan Feb 2020'!AC31</f>
        <v>0</v>
      </c>
      <c r="AD25" s="36">
        <f>'FS Sayan Feb 2020'!AD31</f>
        <v>0</v>
      </c>
      <c r="AE25" s="36">
        <f>'FS Sayan Feb 2020'!AE31</f>
        <v>0</v>
      </c>
      <c r="AF25" s="36">
        <f>'FS Sayan Feb 2020'!AF31</f>
        <v>0</v>
      </c>
      <c r="AG25" s="36">
        <f>'FS Sayan Feb 2020'!AK31</f>
        <v>0</v>
      </c>
      <c r="AH25" s="36">
        <f>'FS Sayan Feb 2020'!AP31</f>
        <v>0</v>
      </c>
      <c r="AI25" s="36">
        <f>'FS Sayan Feb 2020'!AO31</f>
        <v>0</v>
      </c>
      <c r="AJ25" s="36">
        <f>'FS Sayan Feb 2020'!AP31</f>
        <v>0</v>
      </c>
      <c r="AK25" s="36">
        <f>'FS Sayan Feb 2020'!AW31</f>
        <v>0</v>
      </c>
      <c r="AL25" s="36">
        <f>'FS Sayan Feb 2020'!AX31</f>
        <v>0</v>
      </c>
      <c r="AM25" s="36">
        <f>'FS Sayan Feb 2020'!AZ31</f>
        <v>0</v>
      </c>
      <c r="AN25" s="36">
        <f>'FS Sayan Feb 2020'!AZ31</f>
        <v>0</v>
      </c>
      <c r="AO25" s="36">
        <f>'FS Sayan Feb 2020'!BI31</f>
        <v>0</v>
      </c>
      <c r="AP25" s="36">
        <f>'FS Sayan Feb 2020'!BJ31</f>
        <v>0</v>
      </c>
      <c r="AQ25" s="36">
        <f>'FS Sayan Feb 2020'!BA31</f>
        <v>0</v>
      </c>
      <c r="AR25" s="36">
        <f>'FS Sayan Feb 2020'!BB31</f>
        <v>0</v>
      </c>
      <c r="AS25" s="36">
        <f>'FS Sayan Feb 2020'!BK31</f>
        <v>0</v>
      </c>
      <c r="AT25" s="36">
        <f>'FS Sayan Feb 2020'!BL31</f>
        <v>0</v>
      </c>
      <c r="AU25" s="36">
        <f>'FS Sayan Feb 2020'!BM31</f>
        <v>0</v>
      </c>
      <c r="AV25" s="36">
        <f>'FS Sayan Feb 2020'!BN31</f>
        <v>0</v>
      </c>
      <c r="AW25" s="36">
        <f>'FS Sayan Feb 2020'!E31</f>
        <v>10.3</v>
      </c>
      <c r="AX25" s="36">
        <f>'FS Sayan Feb 2020'!F31</f>
        <v>0</v>
      </c>
      <c r="AY25" s="36">
        <f>'FS Sayan Feb 2020'!M31</f>
        <v>4.9000000000000004</v>
      </c>
      <c r="AZ25" s="36">
        <f>'FS Sayan Feb 2020'!P31</f>
        <v>0</v>
      </c>
      <c r="BA25" s="36">
        <v>0</v>
      </c>
      <c r="BB25" s="36">
        <f>'FS Sayan Feb 2020'!V45</f>
        <v>0</v>
      </c>
      <c r="BC25" s="36">
        <f>'FS Sayan Feb 2020'!AG31</f>
        <v>494.99999999999994</v>
      </c>
      <c r="BD25" s="36">
        <f>'FS Sayan Feb 2020'!AH31</f>
        <v>0</v>
      </c>
      <c r="BE25" s="36">
        <f>'FS Sayan Feb 2020'!AI31</f>
        <v>0</v>
      </c>
      <c r="BF25" s="36">
        <f>'FS Sayan Feb 2020'!AJ31</f>
        <v>0</v>
      </c>
      <c r="BG25" s="36">
        <f>'FS Sayan Feb 2020'!AK31</f>
        <v>0</v>
      </c>
      <c r="BH25" s="36">
        <f>'FS Sayan Feb 2020'!AL31</f>
        <v>0</v>
      </c>
      <c r="BI25" s="36">
        <f>'FS Sayan Feb 2020'!AM31</f>
        <v>0</v>
      </c>
      <c r="BJ25" s="36">
        <f>'FS Sayan Feb 2020'!AM31</f>
        <v>0</v>
      </c>
      <c r="BK25" s="36">
        <f>'FS Sayan Feb 2020'!AO31</f>
        <v>0</v>
      </c>
      <c r="BL25" s="36">
        <f>'FS Sayan Feb 2020'!AP31</f>
        <v>0</v>
      </c>
      <c r="BM25" s="36">
        <v>0</v>
      </c>
      <c r="BN25" s="36">
        <v>0</v>
      </c>
      <c r="BO25" s="37">
        <f>'FS Sayan Feb 2020'!Q31</f>
        <v>0</v>
      </c>
      <c r="BP25" s="36">
        <f>'FS Sayan Feb 2020'!R31</f>
        <v>0</v>
      </c>
    </row>
    <row r="26" spans="1:68">
      <c r="A26" s="31" t="s">
        <v>71</v>
      </c>
      <c r="B26" s="39">
        <f>B25+1</f>
        <v>25</v>
      </c>
      <c r="C26" s="40">
        <v>2</v>
      </c>
      <c r="D26" s="41">
        <v>2020</v>
      </c>
      <c r="E26" s="32">
        <f>'FS Sayan Feb 2020'!M32</f>
        <v>4.0999999999999996</v>
      </c>
      <c r="F26" s="36">
        <f>'FS Sayan Feb 2020'!N32</f>
        <v>0</v>
      </c>
      <c r="G26" s="36">
        <f>'FS Sayan Feb 2020'!G32</f>
        <v>0</v>
      </c>
      <c r="H26" s="36">
        <f>'FS Sayan Feb 2020'!H32</f>
        <v>0</v>
      </c>
      <c r="I26" s="36">
        <f>'FS Sayan Feb 2020'!I32</f>
        <v>0</v>
      </c>
      <c r="J26" s="36">
        <f>'FS Sayan Feb 2020'!J32</f>
        <v>0</v>
      </c>
      <c r="K26" s="36">
        <f>'FS Sayan Feb 2020'!K32</f>
        <v>12.8</v>
      </c>
      <c r="L26" s="36">
        <f>'FS Sayan Feb 2020'!L32</f>
        <v>0</v>
      </c>
      <c r="M26" s="36">
        <f>'FS Sayan Feb 2020'!S32</f>
        <v>0</v>
      </c>
      <c r="N26" s="36">
        <f>'FS Sayan Feb 2020'!T32</f>
        <v>0</v>
      </c>
      <c r="O26" s="36">
        <f>'FS Sayan Feb 2020'!U32</f>
        <v>3</v>
      </c>
      <c r="P26" s="36">
        <f>'FS Sayan Feb 2020'!V32</f>
        <v>0</v>
      </c>
      <c r="Q26" s="36">
        <f>'FS Sayan Feb 2020'!BC32</f>
        <v>0</v>
      </c>
      <c r="R26" s="36">
        <f>'FS Sayan Feb 2020'!BD32</f>
        <v>0</v>
      </c>
      <c r="S26" s="36">
        <f>'FS Sayan Feb 2020'!BF32</f>
        <v>0</v>
      </c>
      <c r="T26" s="36">
        <f>'FS Sayan Feb 2020'!BF32</f>
        <v>0</v>
      </c>
      <c r="U26" s="36">
        <f>'FS Sayan Feb 2020'!BG32</f>
        <v>0</v>
      </c>
      <c r="V26" s="36">
        <f>'FS Sayan Feb 2020'!BH32</f>
        <v>0</v>
      </c>
      <c r="W26" s="36">
        <f>'FS Sayan Feb 2020'!W32</f>
        <v>117</v>
      </c>
      <c r="X26" s="36">
        <f>'FS Sayan Feb 2020'!X32</f>
        <v>0</v>
      </c>
      <c r="Y26" s="36">
        <f>'FS Sayan Feb 2020'!Y32</f>
        <v>0</v>
      </c>
      <c r="Z26" s="36">
        <f>'FS Sayan Feb 2020'!Z32</f>
        <v>0</v>
      </c>
      <c r="AA26" s="36">
        <f>'FS Sayan Feb 2020'!AA32</f>
        <v>0</v>
      </c>
      <c r="AB26" s="36">
        <f>'FS Sayan Feb 2020'!AB32</f>
        <v>0</v>
      </c>
      <c r="AC26" s="36">
        <f>'FS Sayan Feb 2020'!AC32</f>
        <v>0</v>
      </c>
      <c r="AD26" s="36">
        <f>'FS Sayan Feb 2020'!AD32</f>
        <v>0</v>
      </c>
      <c r="AE26" s="36">
        <f>'FS Sayan Feb 2020'!AE32</f>
        <v>0</v>
      </c>
      <c r="AF26" s="36">
        <f>'FS Sayan Feb 2020'!AF32</f>
        <v>0</v>
      </c>
      <c r="AG26" s="36">
        <f>'FS Sayan Feb 2020'!AK32</f>
        <v>0</v>
      </c>
      <c r="AH26" s="36">
        <f>'FS Sayan Feb 2020'!AP32</f>
        <v>0</v>
      </c>
      <c r="AI26" s="36">
        <f>'FS Sayan Feb 2020'!AO32</f>
        <v>0</v>
      </c>
      <c r="AJ26" s="36">
        <f>'FS Sayan Feb 2020'!AP32</f>
        <v>0</v>
      </c>
      <c r="AK26" s="36">
        <f>'FS Sayan Feb 2020'!AW32</f>
        <v>0</v>
      </c>
      <c r="AL26" s="36">
        <f>'FS Sayan Feb 2020'!AX32</f>
        <v>0</v>
      </c>
      <c r="AM26" s="36">
        <f>'FS Sayan Feb 2020'!AZ32</f>
        <v>0</v>
      </c>
      <c r="AN26" s="36">
        <f>'FS Sayan Feb 2020'!AZ32</f>
        <v>0</v>
      </c>
      <c r="AO26" s="36">
        <f>'FS Sayan Feb 2020'!BI32</f>
        <v>0</v>
      </c>
      <c r="AP26" s="36">
        <f>'FS Sayan Feb 2020'!BJ32</f>
        <v>0</v>
      </c>
      <c r="AQ26" s="36">
        <f>'FS Sayan Feb 2020'!BA32</f>
        <v>0</v>
      </c>
      <c r="AR26" s="36">
        <f>'FS Sayan Feb 2020'!BB32</f>
        <v>0</v>
      </c>
      <c r="AS26" s="36">
        <f>'FS Sayan Feb 2020'!BK32</f>
        <v>0</v>
      </c>
      <c r="AT26" s="36">
        <f>'FS Sayan Feb 2020'!BL32</f>
        <v>0</v>
      </c>
      <c r="AU26" s="36">
        <f>'FS Sayan Feb 2020'!BM32</f>
        <v>0</v>
      </c>
      <c r="AV26" s="36">
        <f>'FS Sayan Feb 2020'!BN32</f>
        <v>0</v>
      </c>
      <c r="AW26" s="36">
        <f>'FS Sayan Feb 2020'!E32</f>
        <v>10.7</v>
      </c>
      <c r="AX26" s="36">
        <f>'FS Sayan Feb 2020'!F32</f>
        <v>0</v>
      </c>
      <c r="AY26" s="36">
        <f>'FS Sayan Feb 2020'!M32</f>
        <v>4.0999999999999996</v>
      </c>
      <c r="AZ26" s="36">
        <f>'FS Sayan Feb 2020'!P32</f>
        <v>0</v>
      </c>
      <c r="BA26" s="36">
        <v>0</v>
      </c>
      <c r="BB26" s="36">
        <f>'FS Sayan Feb 2020'!V46</f>
        <v>0</v>
      </c>
      <c r="BC26" s="36">
        <f>'FS Sayan Feb 2020'!AG32</f>
        <v>500</v>
      </c>
      <c r="BD26" s="36">
        <f>'FS Sayan Feb 2020'!AH32</f>
        <v>0</v>
      </c>
      <c r="BE26" s="36">
        <f>'FS Sayan Feb 2020'!AI32</f>
        <v>0</v>
      </c>
      <c r="BF26" s="36">
        <f>'FS Sayan Feb 2020'!AJ32</f>
        <v>0</v>
      </c>
      <c r="BG26" s="36">
        <f>'FS Sayan Feb 2020'!AK32</f>
        <v>0</v>
      </c>
      <c r="BH26" s="36">
        <f>'FS Sayan Feb 2020'!AL32</f>
        <v>0</v>
      </c>
      <c r="BI26" s="36">
        <f>'FS Sayan Feb 2020'!AM32</f>
        <v>0</v>
      </c>
      <c r="BJ26" s="36">
        <f>'FS Sayan Feb 2020'!AM32</f>
        <v>0</v>
      </c>
      <c r="BK26" s="36">
        <f>'FS Sayan Feb 2020'!AO32</f>
        <v>0</v>
      </c>
      <c r="BL26" s="36">
        <f>'FS Sayan Feb 2020'!AP32</f>
        <v>0</v>
      </c>
      <c r="BM26" s="36">
        <v>0</v>
      </c>
      <c r="BN26" s="36">
        <v>0</v>
      </c>
      <c r="BO26" s="37">
        <f>'FS Sayan Feb 2020'!Q32</f>
        <v>0</v>
      </c>
      <c r="BP26" s="36">
        <f>'FS Sayan Feb 2020'!R32</f>
        <v>0</v>
      </c>
    </row>
    <row r="27" spans="1:68">
      <c r="A27" s="31" t="s">
        <v>71</v>
      </c>
      <c r="B27" s="39">
        <f t="shared" si="0"/>
        <v>26</v>
      </c>
      <c r="C27" s="40">
        <v>2</v>
      </c>
      <c r="D27" s="41">
        <v>2020</v>
      </c>
      <c r="E27" s="32">
        <f>'FS Sayan Feb 2020'!M33</f>
        <v>3.4000000000000004</v>
      </c>
      <c r="F27" s="36">
        <f>'FS Sayan Feb 2020'!N33</f>
        <v>0</v>
      </c>
      <c r="G27" s="36">
        <f>'FS Sayan Feb 2020'!G33</f>
        <v>0</v>
      </c>
      <c r="H27" s="36">
        <f>'FS Sayan Feb 2020'!H33</f>
        <v>0</v>
      </c>
      <c r="I27" s="36">
        <f>'FS Sayan Feb 2020'!I33</f>
        <v>0</v>
      </c>
      <c r="J27" s="36">
        <f>'FS Sayan Feb 2020'!J33</f>
        <v>0</v>
      </c>
      <c r="K27" s="36">
        <f>'FS Sayan Feb 2020'!K33</f>
        <v>9.5</v>
      </c>
      <c r="L27" s="36">
        <f>'FS Sayan Feb 2020'!L33</f>
        <v>0</v>
      </c>
      <c r="M27" s="36">
        <f>'FS Sayan Feb 2020'!S33</f>
        <v>0</v>
      </c>
      <c r="N27" s="36">
        <f>'FS Sayan Feb 2020'!T33</f>
        <v>0</v>
      </c>
      <c r="O27" s="36">
        <f>'FS Sayan Feb 2020'!U33</f>
        <v>3.2</v>
      </c>
      <c r="P27" s="36">
        <f>'FS Sayan Feb 2020'!V33</f>
        <v>0</v>
      </c>
      <c r="Q27" s="36">
        <f>'FS Sayan Feb 2020'!BC33</f>
        <v>0</v>
      </c>
      <c r="R27" s="36">
        <f>'FS Sayan Feb 2020'!BD33</f>
        <v>0</v>
      </c>
      <c r="S27" s="36">
        <f>'FS Sayan Feb 2020'!BF33</f>
        <v>0</v>
      </c>
      <c r="T27" s="36">
        <f>'FS Sayan Feb 2020'!BF33</f>
        <v>0</v>
      </c>
      <c r="U27" s="36">
        <f>'FS Sayan Feb 2020'!BG33</f>
        <v>0</v>
      </c>
      <c r="V27" s="36">
        <f>'FS Sayan Feb 2020'!BH33</f>
        <v>0</v>
      </c>
      <c r="W27" s="36">
        <f>'FS Sayan Feb 2020'!W33</f>
        <v>125.99999999999999</v>
      </c>
      <c r="X27" s="36">
        <f>'FS Sayan Feb 2020'!X33</f>
        <v>0</v>
      </c>
      <c r="Y27" s="36">
        <f>'FS Sayan Feb 2020'!Y33</f>
        <v>0</v>
      </c>
      <c r="Z27" s="36">
        <f>'FS Sayan Feb 2020'!Z33</f>
        <v>0</v>
      </c>
      <c r="AA27" s="36">
        <f>'FS Sayan Feb 2020'!AA33</f>
        <v>0</v>
      </c>
      <c r="AB27" s="36">
        <f>'FS Sayan Feb 2020'!AB33</f>
        <v>0</v>
      </c>
      <c r="AC27" s="36">
        <f>'FS Sayan Feb 2020'!AC33</f>
        <v>0</v>
      </c>
      <c r="AD27" s="36">
        <f>'FS Sayan Feb 2020'!AD33</f>
        <v>0</v>
      </c>
      <c r="AE27" s="36">
        <f>'FS Sayan Feb 2020'!AE33</f>
        <v>0</v>
      </c>
      <c r="AF27" s="36">
        <f>'FS Sayan Feb 2020'!AF33</f>
        <v>0</v>
      </c>
      <c r="AG27" s="36">
        <f>'FS Sayan Feb 2020'!AK33</f>
        <v>0</v>
      </c>
      <c r="AH27" s="36">
        <f>'FS Sayan Feb 2020'!AP33</f>
        <v>0</v>
      </c>
      <c r="AI27" s="36">
        <f>'FS Sayan Feb 2020'!AO33</f>
        <v>0</v>
      </c>
      <c r="AJ27" s="36">
        <f>'FS Sayan Feb 2020'!AP33</f>
        <v>0</v>
      </c>
      <c r="AK27" s="36">
        <f>'FS Sayan Feb 2020'!AW33</f>
        <v>0</v>
      </c>
      <c r="AL27" s="36">
        <f>'FS Sayan Feb 2020'!AX33</f>
        <v>0</v>
      </c>
      <c r="AM27" s="36">
        <f>'FS Sayan Feb 2020'!AZ33</f>
        <v>0</v>
      </c>
      <c r="AN27" s="36">
        <f>'FS Sayan Feb 2020'!AZ33</f>
        <v>0</v>
      </c>
      <c r="AO27" s="36">
        <f>'FS Sayan Feb 2020'!BI33</f>
        <v>0</v>
      </c>
      <c r="AP27" s="36">
        <f>'FS Sayan Feb 2020'!BJ33</f>
        <v>0</v>
      </c>
      <c r="AQ27" s="36">
        <f>'FS Sayan Feb 2020'!BA33</f>
        <v>0</v>
      </c>
      <c r="AR27" s="36">
        <f>'FS Sayan Feb 2020'!BB33</f>
        <v>0</v>
      </c>
      <c r="AS27" s="36">
        <f>'FS Sayan Feb 2020'!BK33</f>
        <v>0</v>
      </c>
      <c r="AT27" s="36">
        <f>'FS Sayan Feb 2020'!BL33</f>
        <v>0</v>
      </c>
      <c r="AU27" s="36">
        <f>'FS Sayan Feb 2020'!BM33</f>
        <v>0</v>
      </c>
      <c r="AV27" s="36">
        <f>'FS Sayan Feb 2020'!BN33</f>
        <v>0</v>
      </c>
      <c r="AW27" s="36">
        <f>'FS Sayan Feb 2020'!E33</f>
        <v>9</v>
      </c>
      <c r="AX27" s="36">
        <f>'FS Sayan Feb 2020'!F33</f>
        <v>0</v>
      </c>
      <c r="AY27" s="36">
        <f>'FS Sayan Feb 2020'!M33</f>
        <v>3.4000000000000004</v>
      </c>
      <c r="AZ27" s="36">
        <f>'FS Sayan Feb 2020'!P33</f>
        <v>0</v>
      </c>
      <c r="BA27" s="36">
        <v>0</v>
      </c>
      <c r="BB27" s="36">
        <f>'FS Sayan Feb 2020'!V47</f>
        <v>0</v>
      </c>
      <c r="BC27" s="36">
        <f>'FS Sayan Feb 2020'!AG33</f>
        <v>385</v>
      </c>
      <c r="BD27" s="36">
        <f>'FS Sayan Feb 2020'!AH33</f>
        <v>0</v>
      </c>
      <c r="BE27" s="36">
        <f>'FS Sayan Feb 2020'!AI33</f>
        <v>0</v>
      </c>
      <c r="BF27" s="36">
        <f>'FS Sayan Feb 2020'!AJ33</f>
        <v>0</v>
      </c>
      <c r="BG27" s="36">
        <f>'FS Sayan Feb 2020'!AK33</f>
        <v>0</v>
      </c>
      <c r="BH27" s="36">
        <f>'FS Sayan Feb 2020'!AL33</f>
        <v>0</v>
      </c>
      <c r="BI27" s="36">
        <f>'FS Sayan Feb 2020'!AM33</f>
        <v>0</v>
      </c>
      <c r="BJ27" s="36">
        <f>'FS Sayan Feb 2020'!AM33</f>
        <v>0</v>
      </c>
      <c r="BK27" s="36">
        <f>'FS Sayan Feb 2020'!AO33</f>
        <v>0</v>
      </c>
      <c r="BL27" s="36">
        <f>'FS Sayan Feb 2020'!AP33</f>
        <v>0</v>
      </c>
      <c r="BM27" s="36">
        <v>0</v>
      </c>
      <c r="BN27" s="36">
        <v>0</v>
      </c>
      <c r="BO27" s="37">
        <f>'FS Sayan Feb 2020'!Q33</f>
        <v>0</v>
      </c>
      <c r="BP27" s="36">
        <f>'FS Sayan Feb 2020'!R33</f>
        <v>0</v>
      </c>
    </row>
    <row r="28" spans="1:68">
      <c r="A28" s="31" t="s">
        <v>71</v>
      </c>
      <c r="B28" s="39">
        <f t="shared" si="0"/>
        <v>27</v>
      </c>
      <c r="C28" s="40">
        <v>2</v>
      </c>
      <c r="D28" s="41">
        <v>2020</v>
      </c>
      <c r="E28" s="32">
        <f>'FS Sayan Feb 2020'!M34</f>
        <v>5.0999999999999996</v>
      </c>
      <c r="F28" s="36">
        <f>'FS Sayan Feb 2020'!N34</f>
        <v>0</v>
      </c>
      <c r="G28" s="36">
        <f>'FS Sayan Feb 2020'!G34</f>
        <v>0</v>
      </c>
      <c r="H28" s="36">
        <f>'FS Sayan Feb 2020'!H34</f>
        <v>0</v>
      </c>
      <c r="I28" s="36">
        <f>'FS Sayan Feb 2020'!I34</f>
        <v>0</v>
      </c>
      <c r="J28" s="36">
        <f>'FS Sayan Feb 2020'!J34</f>
        <v>0</v>
      </c>
      <c r="K28" s="36">
        <f>'FS Sayan Feb 2020'!K34</f>
        <v>9.9</v>
      </c>
      <c r="L28" s="36">
        <f>'FS Sayan Feb 2020'!L34</f>
        <v>0</v>
      </c>
      <c r="M28" s="36">
        <f>'FS Sayan Feb 2020'!S34</f>
        <v>0</v>
      </c>
      <c r="N28" s="36">
        <f>'FS Sayan Feb 2020'!T34</f>
        <v>0</v>
      </c>
      <c r="O28" s="36">
        <f>'FS Sayan Feb 2020'!U34</f>
        <v>3.4</v>
      </c>
      <c r="P28" s="36">
        <f>'FS Sayan Feb 2020'!V34</f>
        <v>0</v>
      </c>
      <c r="Q28" s="36">
        <f>'FS Sayan Feb 2020'!BC34</f>
        <v>0</v>
      </c>
      <c r="R28" s="36">
        <f>'FS Sayan Feb 2020'!BD34</f>
        <v>0</v>
      </c>
      <c r="S28" s="36">
        <f>'FS Sayan Feb 2020'!BF34</f>
        <v>0</v>
      </c>
      <c r="T28" s="36">
        <f>'FS Sayan Feb 2020'!BF34</f>
        <v>0</v>
      </c>
      <c r="U28" s="36">
        <f>'FS Sayan Feb 2020'!BG34</f>
        <v>0</v>
      </c>
      <c r="V28" s="36">
        <f>'FS Sayan Feb 2020'!BH34</f>
        <v>0</v>
      </c>
      <c r="W28" s="36">
        <f>'FS Sayan Feb 2020'!W34</f>
        <v>108</v>
      </c>
      <c r="X28" s="36">
        <f>'FS Sayan Feb 2020'!X34</f>
        <v>0</v>
      </c>
      <c r="Y28" s="36">
        <f>'FS Sayan Feb 2020'!Y34</f>
        <v>0</v>
      </c>
      <c r="Z28" s="36">
        <f>'FS Sayan Feb 2020'!Z34</f>
        <v>0</v>
      </c>
      <c r="AA28" s="36">
        <f>'FS Sayan Feb 2020'!AA34</f>
        <v>0</v>
      </c>
      <c r="AB28" s="36">
        <f>'FS Sayan Feb 2020'!AB34</f>
        <v>0</v>
      </c>
      <c r="AC28" s="36">
        <f>'FS Sayan Feb 2020'!AC34</f>
        <v>0</v>
      </c>
      <c r="AD28" s="36">
        <f>'FS Sayan Feb 2020'!AD34</f>
        <v>0</v>
      </c>
      <c r="AE28" s="36">
        <f>'FS Sayan Feb 2020'!AE34</f>
        <v>0</v>
      </c>
      <c r="AF28" s="36">
        <f>'FS Sayan Feb 2020'!AF34</f>
        <v>0</v>
      </c>
      <c r="AG28" s="36">
        <f>'FS Sayan Feb 2020'!AK34</f>
        <v>0</v>
      </c>
      <c r="AH28" s="36">
        <f>'FS Sayan Feb 2020'!AP34</f>
        <v>0</v>
      </c>
      <c r="AI28" s="36">
        <f>'FS Sayan Feb 2020'!AO34</f>
        <v>0</v>
      </c>
      <c r="AJ28" s="36">
        <f>'FS Sayan Feb 2020'!AP34</f>
        <v>0</v>
      </c>
      <c r="AK28" s="36">
        <f>'FS Sayan Feb 2020'!AW34</f>
        <v>0</v>
      </c>
      <c r="AL28" s="36">
        <f>'FS Sayan Feb 2020'!AX34</f>
        <v>0</v>
      </c>
      <c r="AM28" s="36">
        <f>'FS Sayan Feb 2020'!AZ34</f>
        <v>0</v>
      </c>
      <c r="AN28" s="36">
        <f>'FS Sayan Feb 2020'!AZ34</f>
        <v>0</v>
      </c>
      <c r="AO28" s="36">
        <f>'FS Sayan Feb 2020'!BI34</f>
        <v>0</v>
      </c>
      <c r="AP28" s="36">
        <f>'FS Sayan Feb 2020'!BJ34</f>
        <v>0</v>
      </c>
      <c r="AQ28" s="36">
        <f>'FS Sayan Feb 2020'!BA34</f>
        <v>0</v>
      </c>
      <c r="AR28" s="36">
        <f>'FS Sayan Feb 2020'!BB34</f>
        <v>0</v>
      </c>
      <c r="AS28" s="36">
        <f>'FS Sayan Feb 2020'!BK34</f>
        <v>0</v>
      </c>
      <c r="AT28" s="36">
        <f>'FS Sayan Feb 2020'!BL34</f>
        <v>0</v>
      </c>
      <c r="AU28" s="36">
        <f>'FS Sayan Feb 2020'!BM34</f>
        <v>0</v>
      </c>
      <c r="AV28" s="36">
        <f>'FS Sayan Feb 2020'!BN34</f>
        <v>0</v>
      </c>
      <c r="AW28" s="36">
        <f>'FS Sayan Feb 2020'!E34</f>
        <v>10.1</v>
      </c>
      <c r="AX28" s="36">
        <f>'FS Sayan Feb 2020'!F34</f>
        <v>0</v>
      </c>
      <c r="AY28" s="36">
        <f>'FS Sayan Feb 2020'!M34</f>
        <v>5.0999999999999996</v>
      </c>
      <c r="AZ28" s="36">
        <f>'FS Sayan Feb 2020'!P34</f>
        <v>0</v>
      </c>
      <c r="BA28" s="36">
        <v>0</v>
      </c>
      <c r="BB28" s="36">
        <f>'FS Sayan Feb 2020'!V48</f>
        <v>0</v>
      </c>
      <c r="BC28" s="36">
        <f>'FS Sayan Feb 2020'!AG34</f>
        <v>390</v>
      </c>
      <c r="BD28" s="36">
        <f>'FS Sayan Feb 2020'!AH34</f>
        <v>0</v>
      </c>
      <c r="BE28" s="36">
        <f>'FS Sayan Feb 2020'!AI34</f>
        <v>0</v>
      </c>
      <c r="BF28" s="36">
        <f>'FS Sayan Feb 2020'!AJ34</f>
        <v>0</v>
      </c>
      <c r="BG28" s="36">
        <f>'FS Sayan Feb 2020'!AK34</f>
        <v>0</v>
      </c>
      <c r="BH28" s="36">
        <f>'FS Sayan Feb 2020'!AL34</f>
        <v>0</v>
      </c>
      <c r="BI28" s="36">
        <f>'FS Sayan Feb 2020'!AM34</f>
        <v>0</v>
      </c>
      <c r="BJ28" s="36">
        <f>'FS Sayan Feb 2020'!AM34</f>
        <v>0</v>
      </c>
      <c r="BK28" s="36">
        <f>'FS Sayan Feb 2020'!AO34</f>
        <v>0</v>
      </c>
      <c r="BL28" s="36">
        <f>'FS Sayan Feb 2020'!AP34</f>
        <v>0</v>
      </c>
      <c r="BM28" s="36">
        <v>0</v>
      </c>
      <c r="BN28" s="36">
        <v>0</v>
      </c>
      <c r="BO28" s="37">
        <f>'FS Sayan Feb 2020'!Q34</f>
        <v>0</v>
      </c>
      <c r="BP28" s="36">
        <f>'FS Sayan Feb 2020'!R34</f>
        <v>0</v>
      </c>
    </row>
    <row r="29" spans="1:68">
      <c r="A29" s="31" t="s">
        <v>71</v>
      </c>
      <c r="B29" s="39">
        <f t="shared" si="0"/>
        <v>28</v>
      </c>
      <c r="C29" s="40">
        <v>2</v>
      </c>
      <c r="D29" s="41">
        <v>2020</v>
      </c>
      <c r="E29" s="32">
        <f>'FS Sayan Feb 2020'!M35</f>
        <v>3.9</v>
      </c>
      <c r="F29" s="36">
        <f>'FS Sayan Feb 2020'!N35</f>
        <v>0</v>
      </c>
      <c r="G29" s="36">
        <f>'FS Sayan Feb 2020'!G35</f>
        <v>0</v>
      </c>
      <c r="H29" s="36">
        <f>'FS Sayan Feb 2020'!H35</f>
        <v>0</v>
      </c>
      <c r="I29" s="36">
        <f>'FS Sayan Feb 2020'!I35</f>
        <v>0</v>
      </c>
      <c r="J29" s="36">
        <f>'FS Sayan Feb 2020'!J35</f>
        <v>0</v>
      </c>
      <c r="K29" s="36">
        <f>'FS Sayan Feb 2020'!K35</f>
        <v>11.6</v>
      </c>
      <c r="L29" s="36">
        <f>'FS Sayan Feb 2020'!L35</f>
        <v>0</v>
      </c>
      <c r="M29" s="36">
        <f>'FS Sayan Feb 2020'!S35</f>
        <v>0</v>
      </c>
      <c r="N29" s="36">
        <f>'FS Sayan Feb 2020'!T35</f>
        <v>0</v>
      </c>
      <c r="O29" s="36">
        <f>'FS Sayan Feb 2020'!U35</f>
        <v>2.8</v>
      </c>
      <c r="P29" s="36">
        <f>'FS Sayan Feb 2020'!V35</f>
        <v>0</v>
      </c>
      <c r="Q29" s="36">
        <f>'FS Sayan Feb 2020'!BC35</f>
        <v>0</v>
      </c>
      <c r="R29" s="36">
        <f>'FS Sayan Feb 2020'!BD35</f>
        <v>0</v>
      </c>
      <c r="S29" s="36">
        <f>'FS Sayan Feb 2020'!BF35</f>
        <v>0</v>
      </c>
      <c r="T29" s="36">
        <f>'FS Sayan Feb 2020'!BF35</f>
        <v>0</v>
      </c>
      <c r="U29" s="36">
        <f>'FS Sayan Feb 2020'!BG35</f>
        <v>0</v>
      </c>
      <c r="V29" s="36">
        <f>'FS Sayan Feb 2020'!BH35</f>
        <v>0</v>
      </c>
      <c r="W29" s="36">
        <f>'FS Sayan Feb 2020'!W35</f>
        <v>117</v>
      </c>
      <c r="X29" s="36">
        <f>'FS Sayan Feb 2020'!X35</f>
        <v>0</v>
      </c>
      <c r="Y29" s="36">
        <f>'FS Sayan Feb 2020'!Y35</f>
        <v>0</v>
      </c>
      <c r="Z29" s="36">
        <f>'FS Sayan Feb 2020'!Z35</f>
        <v>0</v>
      </c>
      <c r="AA29" s="36">
        <f>'FS Sayan Feb 2020'!AA35</f>
        <v>0</v>
      </c>
      <c r="AB29" s="36">
        <f>'FS Sayan Feb 2020'!AB35</f>
        <v>0</v>
      </c>
      <c r="AC29" s="36">
        <f>'FS Sayan Feb 2020'!AC35</f>
        <v>0</v>
      </c>
      <c r="AD29" s="36">
        <f>'FS Sayan Feb 2020'!AD35</f>
        <v>0</v>
      </c>
      <c r="AE29" s="36">
        <f>'FS Sayan Feb 2020'!AE35</f>
        <v>0</v>
      </c>
      <c r="AF29" s="36">
        <f>'FS Sayan Feb 2020'!AF35</f>
        <v>0</v>
      </c>
      <c r="AG29" s="36">
        <f>'FS Sayan Feb 2020'!AK35</f>
        <v>0</v>
      </c>
      <c r="AH29" s="36">
        <f>'FS Sayan Feb 2020'!AP35</f>
        <v>0</v>
      </c>
      <c r="AI29" s="36">
        <f>'FS Sayan Feb 2020'!AO35</f>
        <v>0</v>
      </c>
      <c r="AJ29" s="36">
        <f>'FS Sayan Feb 2020'!AP35</f>
        <v>0</v>
      </c>
      <c r="AK29" s="36">
        <f>'FS Sayan Feb 2020'!AW35</f>
        <v>0</v>
      </c>
      <c r="AL29" s="36">
        <f>'FS Sayan Feb 2020'!AX35</f>
        <v>0</v>
      </c>
      <c r="AM29" s="36">
        <f>'FS Sayan Feb 2020'!AZ35</f>
        <v>0</v>
      </c>
      <c r="AN29" s="36">
        <f>'FS Sayan Feb 2020'!AZ35</f>
        <v>0</v>
      </c>
      <c r="AO29" s="36">
        <f>'FS Sayan Feb 2020'!BI35</f>
        <v>0</v>
      </c>
      <c r="AP29" s="36">
        <f>'FS Sayan Feb 2020'!BJ35</f>
        <v>0</v>
      </c>
      <c r="AQ29" s="36">
        <f>'FS Sayan Feb 2020'!BA35</f>
        <v>0</v>
      </c>
      <c r="AR29" s="36">
        <f>'FS Sayan Feb 2020'!BB35</f>
        <v>0</v>
      </c>
      <c r="AS29" s="36">
        <f>'FS Sayan Feb 2020'!BK35</f>
        <v>0</v>
      </c>
      <c r="AT29" s="36">
        <f>'FS Sayan Feb 2020'!BL35</f>
        <v>0</v>
      </c>
      <c r="AU29" s="36">
        <f>'FS Sayan Feb 2020'!BM35</f>
        <v>0</v>
      </c>
      <c r="AV29" s="36">
        <f>'FS Sayan Feb 2020'!BN35</f>
        <v>0</v>
      </c>
      <c r="AW29" s="36">
        <f>'FS Sayan Feb 2020'!E35</f>
        <v>8</v>
      </c>
      <c r="AX29" s="36">
        <f>'FS Sayan Feb 2020'!F35</f>
        <v>0</v>
      </c>
      <c r="AY29" s="36">
        <f>'FS Sayan Feb 2020'!M35</f>
        <v>3.9</v>
      </c>
      <c r="AZ29" s="36">
        <f>'FS Sayan Feb 2020'!P35</f>
        <v>0</v>
      </c>
      <c r="BA29" s="36">
        <v>0</v>
      </c>
      <c r="BB29" s="36">
        <f>'FS Sayan Feb 2020'!V49</f>
        <v>0</v>
      </c>
      <c r="BC29" s="36">
        <f>'FS Sayan Feb 2020'!AG35</f>
        <v>415</v>
      </c>
      <c r="BD29" s="36">
        <f>'FS Sayan Feb 2020'!AH35</f>
        <v>0</v>
      </c>
      <c r="BE29" s="36">
        <f>'FS Sayan Feb 2020'!AI35</f>
        <v>0</v>
      </c>
      <c r="BF29" s="36">
        <f>'FS Sayan Feb 2020'!AJ35</f>
        <v>0</v>
      </c>
      <c r="BG29" s="36">
        <f>'FS Sayan Feb 2020'!AK35</f>
        <v>0</v>
      </c>
      <c r="BH29" s="36">
        <f>'FS Sayan Feb 2020'!AL35</f>
        <v>0</v>
      </c>
      <c r="BI29" s="36">
        <f>'FS Sayan Feb 2020'!AM35</f>
        <v>0</v>
      </c>
      <c r="BJ29" s="36">
        <f>'FS Sayan Feb 2020'!AM35</f>
        <v>0</v>
      </c>
      <c r="BK29" s="36">
        <f>'FS Sayan Feb 2020'!AO35</f>
        <v>0</v>
      </c>
      <c r="BL29" s="36">
        <f>'FS Sayan Feb 2020'!AP35</f>
        <v>0</v>
      </c>
      <c r="BM29" s="36">
        <v>0</v>
      </c>
      <c r="BN29" s="36">
        <v>0</v>
      </c>
      <c r="BO29" s="37">
        <f>'FS Sayan Feb 2020'!Q35</f>
        <v>0</v>
      </c>
      <c r="BP29" s="36">
        <f>'FS Sayan Feb 2020'!R35</f>
        <v>0</v>
      </c>
    </row>
    <row r="30" spans="1:68">
      <c r="A30" s="31" t="s">
        <v>71</v>
      </c>
      <c r="B30" s="39">
        <f t="shared" si="0"/>
        <v>29</v>
      </c>
      <c r="C30" s="40">
        <v>2</v>
      </c>
      <c r="D30" s="41">
        <v>2020</v>
      </c>
      <c r="E30" s="32">
        <f>'FS Sayan Feb 2020'!M36</f>
        <v>5.8</v>
      </c>
      <c r="F30" s="11"/>
      <c r="G30" s="11"/>
      <c r="H30" s="11"/>
      <c r="I30" s="11"/>
      <c r="J30" s="11"/>
      <c r="K30" s="36">
        <f>'FS Sayan Feb 2020'!K36</f>
        <v>10</v>
      </c>
      <c r="L30" s="11"/>
      <c r="M30" s="11"/>
      <c r="N30" s="11"/>
      <c r="O30" s="36">
        <f>'FS Sayan Feb 2020'!U36</f>
        <v>4.5999999999999996</v>
      </c>
      <c r="P30" s="11"/>
      <c r="Q30" s="11"/>
      <c r="R30" s="11"/>
      <c r="S30" s="11"/>
      <c r="T30" s="11"/>
      <c r="U30" s="11"/>
      <c r="V30" s="11"/>
      <c r="W30" s="36">
        <f>'FS Sayan Feb 2020'!W36</f>
        <v>125.99999999999999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36">
        <f>'FS Sayan Feb 2020'!E36</f>
        <v>10.1</v>
      </c>
      <c r="AX30" s="11"/>
      <c r="AY30" s="36">
        <f>'FS Sayan Feb 2020'!M36</f>
        <v>5.8</v>
      </c>
      <c r="AZ30" s="11"/>
      <c r="BA30" s="11"/>
      <c r="BB30" s="36">
        <f>'FS Sayan Feb 2020'!V50</f>
        <v>0</v>
      </c>
      <c r="BC30" s="36">
        <f>'FS Sayan Feb 2020'!AG36</f>
        <v>410</v>
      </c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</row>
    <row r="31" spans="1:68">
      <c r="E31" s="11">
        <f>SUM(E2:E30)</f>
        <v>120.10000000000001</v>
      </c>
      <c r="F31" s="11">
        <f t="shared" ref="F31:BP31" si="1">SUM(F2:F30)</f>
        <v>0</v>
      </c>
      <c r="G31" s="11">
        <f t="shared" si="1"/>
        <v>0</v>
      </c>
      <c r="H31" s="11">
        <f t="shared" si="1"/>
        <v>0</v>
      </c>
      <c r="I31" s="11">
        <f t="shared" si="1"/>
        <v>0</v>
      </c>
      <c r="J31" s="11">
        <f t="shared" si="1"/>
        <v>0</v>
      </c>
      <c r="K31" s="36">
        <f>'FS Sayan Feb 2020'!K37</f>
        <v>302.70000000000005</v>
      </c>
      <c r="L31" s="11">
        <f t="shared" si="1"/>
        <v>0</v>
      </c>
      <c r="M31" s="11">
        <f t="shared" si="1"/>
        <v>0</v>
      </c>
      <c r="N31" s="11">
        <f t="shared" si="1"/>
        <v>0</v>
      </c>
      <c r="O31" s="36">
        <f>'FS Sayan Feb 2020'!U37</f>
        <v>94.399999999999991</v>
      </c>
      <c r="P31" s="11">
        <f t="shared" si="1"/>
        <v>0</v>
      </c>
      <c r="Q31" s="11">
        <f t="shared" si="1"/>
        <v>0</v>
      </c>
      <c r="R31" s="11">
        <f t="shared" si="1"/>
        <v>0</v>
      </c>
      <c r="S31" s="11">
        <f t="shared" si="1"/>
        <v>0</v>
      </c>
      <c r="T31" s="11">
        <f t="shared" si="1"/>
        <v>0</v>
      </c>
      <c r="U31" s="11">
        <f t="shared" si="1"/>
        <v>0</v>
      </c>
      <c r="V31" s="11">
        <f t="shared" si="1"/>
        <v>0</v>
      </c>
      <c r="W31" s="11">
        <f t="shared" si="1"/>
        <v>3577.5</v>
      </c>
      <c r="X31" s="11">
        <f t="shared" si="1"/>
        <v>17800000</v>
      </c>
      <c r="Y31" s="11">
        <f t="shared" si="1"/>
        <v>0</v>
      </c>
      <c r="Z31" s="11">
        <f t="shared" si="1"/>
        <v>0</v>
      </c>
      <c r="AA31" s="11">
        <f t="shared" si="1"/>
        <v>0</v>
      </c>
      <c r="AB31" s="11">
        <f t="shared" si="1"/>
        <v>0</v>
      </c>
      <c r="AC31" s="11">
        <f t="shared" si="1"/>
        <v>0</v>
      </c>
      <c r="AD31" s="11">
        <f t="shared" si="1"/>
        <v>0</v>
      </c>
      <c r="AE31" s="11">
        <f t="shared" si="1"/>
        <v>0</v>
      </c>
      <c r="AF31" s="11">
        <f t="shared" si="1"/>
        <v>0</v>
      </c>
      <c r="AG31" s="11">
        <f t="shared" si="1"/>
        <v>0</v>
      </c>
      <c r="AH31" s="11">
        <f t="shared" si="1"/>
        <v>0</v>
      </c>
      <c r="AI31" s="11">
        <f t="shared" si="1"/>
        <v>0</v>
      </c>
      <c r="AJ31" s="11">
        <f t="shared" si="1"/>
        <v>0</v>
      </c>
      <c r="AK31" s="11">
        <f t="shared" si="1"/>
        <v>0</v>
      </c>
      <c r="AL31" s="11">
        <f t="shared" si="1"/>
        <v>0</v>
      </c>
      <c r="AM31" s="11">
        <f t="shared" si="1"/>
        <v>0</v>
      </c>
      <c r="AN31" s="11">
        <f t="shared" si="1"/>
        <v>0</v>
      </c>
      <c r="AO31" s="11">
        <f t="shared" si="1"/>
        <v>0</v>
      </c>
      <c r="AP31" s="11">
        <f t="shared" si="1"/>
        <v>0</v>
      </c>
      <c r="AQ31" s="11">
        <f t="shared" si="1"/>
        <v>0</v>
      </c>
      <c r="AR31" s="11">
        <f t="shared" si="1"/>
        <v>0</v>
      </c>
      <c r="AS31" s="11">
        <f t="shared" si="1"/>
        <v>0</v>
      </c>
      <c r="AT31" s="11">
        <f t="shared" si="1"/>
        <v>0</v>
      </c>
      <c r="AU31" s="11">
        <f t="shared" si="1"/>
        <v>0</v>
      </c>
      <c r="AV31" s="11">
        <f t="shared" si="1"/>
        <v>0</v>
      </c>
      <c r="AW31" s="11">
        <f t="shared" si="1"/>
        <v>280.70000000000005</v>
      </c>
      <c r="AX31" s="11">
        <f t="shared" si="1"/>
        <v>0</v>
      </c>
      <c r="AY31" s="11">
        <f t="shared" si="1"/>
        <v>120.10000000000001</v>
      </c>
      <c r="AZ31" s="11">
        <f t="shared" si="1"/>
        <v>0</v>
      </c>
      <c r="BA31" s="11">
        <f t="shared" si="1"/>
        <v>0</v>
      </c>
      <c r="BB31" s="11">
        <f t="shared" si="1"/>
        <v>0</v>
      </c>
      <c r="BC31" s="36">
        <f>'FS Sayan Feb 2020'!AG37</f>
        <v>13500</v>
      </c>
      <c r="BD31" s="11">
        <f t="shared" si="1"/>
        <v>0</v>
      </c>
      <c r="BE31" s="11">
        <f t="shared" si="1"/>
        <v>0</v>
      </c>
      <c r="BF31" s="11">
        <f t="shared" si="1"/>
        <v>0</v>
      </c>
      <c r="BG31" s="11">
        <f t="shared" si="1"/>
        <v>0</v>
      </c>
      <c r="BH31" s="11">
        <f t="shared" si="1"/>
        <v>0</v>
      </c>
      <c r="BI31" s="11">
        <f t="shared" si="1"/>
        <v>0</v>
      </c>
      <c r="BJ31" s="11">
        <f t="shared" si="1"/>
        <v>0</v>
      </c>
      <c r="BK31" s="11">
        <f t="shared" si="1"/>
        <v>0</v>
      </c>
      <c r="BL31" s="11">
        <f t="shared" si="1"/>
        <v>0</v>
      </c>
      <c r="BM31" s="11">
        <f t="shared" si="1"/>
        <v>0</v>
      </c>
      <c r="BN31" s="11">
        <f t="shared" si="1"/>
        <v>0</v>
      </c>
      <c r="BO31" s="11">
        <f t="shared" si="1"/>
        <v>0</v>
      </c>
      <c r="BP31" s="11">
        <f t="shared" si="1"/>
        <v>0</v>
      </c>
    </row>
    <row r="32" spans="1:68"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</row>
    <row r="33" spans="5:68"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5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43"/>
  <sheetViews>
    <sheetView zoomScale="85" zoomScaleNormal="85" workbookViewId="0">
      <pane xSplit="4" ySplit="6" topLeftCell="E17" activePane="bottomRight" state="frozen"/>
      <selection pane="bottomRight" activeCell="AG8" sqref="AG8:AG36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8" customWidth="1"/>
    <col min="6" max="6" width="9.42578125" style="18" customWidth="1"/>
    <col min="7" max="7" width="10" style="18" customWidth="1"/>
    <col min="8" max="66" width="14.28515625" style="18" customWidth="1"/>
  </cols>
  <sheetData>
    <row r="2" spans="1:66" s="5" customFormat="1" ht="19.5" thickBot="1">
      <c r="B2" s="5" t="s">
        <v>72</v>
      </c>
      <c r="C2" s="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</row>
    <row r="3" spans="1:66" s="3" customFormat="1" ht="16.5" thickBot="1">
      <c r="A3" s="7"/>
      <c r="B3" s="61" t="s">
        <v>73</v>
      </c>
      <c r="C3" s="62"/>
      <c r="D3" s="62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</row>
    <row r="4" spans="1:66" s="6" customFormat="1" ht="15.75" customHeight="1">
      <c r="A4" s="12"/>
      <c r="B4" s="63" t="s">
        <v>74</v>
      </c>
      <c r="C4" s="66" t="s">
        <v>75</v>
      </c>
      <c r="D4" s="69" t="s">
        <v>76</v>
      </c>
      <c r="E4" s="59" t="s">
        <v>77</v>
      </c>
      <c r="F4" s="60"/>
      <c r="G4" s="60"/>
      <c r="H4" s="60"/>
      <c r="I4" s="60"/>
      <c r="J4" s="60"/>
      <c r="K4" s="75" t="s">
        <v>78</v>
      </c>
      <c r="L4" s="75"/>
      <c r="M4" s="76" t="s">
        <v>79</v>
      </c>
      <c r="N4" s="76"/>
      <c r="O4" s="76"/>
      <c r="P4" s="76"/>
      <c r="Q4" s="76"/>
      <c r="R4" s="76"/>
      <c r="S4" s="76"/>
      <c r="T4" s="76"/>
      <c r="U4" s="71" t="s">
        <v>80</v>
      </c>
      <c r="V4" s="71"/>
      <c r="W4" s="72" t="s">
        <v>81</v>
      </c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3" t="s">
        <v>82</v>
      </c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4" t="s">
        <v>83</v>
      </c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</row>
    <row r="5" spans="1:66" s="13" customFormat="1" ht="15" customHeight="1">
      <c r="A5" s="6"/>
      <c r="B5" s="64"/>
      <c r="C5" s="67"/>
      <c r="D5" s="70"/>
      <c r="E5" s="59"/>
      <c r="F5" s="60"/>
      <c r="G5" s="60"/>
      <c r="H5" s="60"/>
      <c r="I5" s="60"/>
      <c r="J5" s="60"/>
      <c r="K5" s="75"/>
      <c r="L5" s="75"/>
      <c r="M5" s="76"/>
      <c r="N5" s="76"/>
      <c r="O5" s="76"/>
      <c r="P5" s="76"/>
      <c r="Q5" s="76"/>
      <c r="R5" s="76"/>
      <c r="S5" s="76"/>
      <c r="T5" s="76"/>
      <c r="U5" s="71"/>
      <c r="V5" s="71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</row>
    <row r="6" spans="1:66" s="13" customFormat="1" ht="61.5" customHeight="1" thickBot="1">
      <c r="A6" s="6"/>
      <c r="B6" s="65"/>
      <c r="C6" s="68"/>
      <c r="D6" s="70"/>
      <c r="E6" s="16" t="s">
        <v>47</v>
      </c>
      <c r="F6" s="16" t="s">
        <v>48</v>
      </c>
      <c r="G6" s="16" t="s">
        <v>5</v>
      </c>
      <c r="H6" s="16" t="s">
        <v>6</v>
      </c>
      <c r="I6" s="16" t="s">
        <v>7</v>
      </c>
      <c r="J6" s="16" t="s">
        <v>8</v>
      </c>
      <c r="K6" s="16" t="s">
        <v>69</v>
      </c>
      <c r="L6" s="16" t="s">
        <v>70</v>
      </c>
      <c r="M6" s="17" t="s">
        <v>3</v>
      </c>
      <c r="N6" s="17" t="s">
        <v>4</v>
      </c>
      <c r="O6" s="17" t="s">
        <v>49</v>
      </c>
      <c r="P6" s="17" t="s">
        <v>50</v>
      </c>
      <c r="Q6" s="17" t="s">
        <v>65</v>
      </c>
      <c r="R6" s="17" t="s">
        <v>66</v>
      </c>
      <c r="S6" s="17" t="s">
        <v>11</v>
      </c>
      <c r="T6" s="17" t="s">
        <v>12</v>
      </c>
      <c r="U6" s="17" t="s">
        <v>13</v>
      </c>
      <c r="V6" s="17" t="s">
        <v>52</v>
      </c>
      <c r="W6" s="17" t="s">
        <v>21</v>
      </c>
      <c r="X6" s="17" t="s">
        <v>22</v>
      </c>
      <c r="Y6" s="17" t="s">
        <v>23</v>
      </c>
      <c r="Z6" s="17" t="s">
        <v>24</v>
      </c>
      <c r="AA6" s="17" t="s">
        <v>25</v>
      </c>
      <c r="AB6" s="17" t="s">
        <v>26</v>
      </c>
      <c r="AC6" s="17" t="s">
        <v>27</v>
      </c>
      <c r="AD6" s="17" t="s">
        <v>28</v>
      </c>
      <c r="AE6" s="17" t="s">
        <v>29</v>
      </c>
      <c r="AF6" s="17" t="s">
        <v>30</v>
      </c>
      <c r="AG6" s="17" t="s">
        <v>53</v>
      </c>
      <c r="AH6" s="17" t="s">
        <v>54</v>
      </c>
      <c r="AI6" s="17" t="s">
        <v>55</v>
      </c>
      <c r="AJ6" s="17" t="s">
        <v>56</v>
      </c>
      <c r="AK6" s="17" t="s">
        <v>57</v>
      </c>
      <c r="AL6" s="17" t="s">
        <v>58</v>
      </c>
      <c r="AM6" s="17" t="s">
        <v>59</v>
      </c>
      <c r="AN6" s="17" t="s">
        <v>60</v>
      </c>
      <c r="AO6" s="17" t="s">
        <v>61</v>
      </c>
      <c r="AP6" s="17" t="s">
        <v>62</v>
      </c>
      <c r="AQ6" s="17" t="s">
        <v>63</v>
      </c>
      <c r="AR6" s="17" t="s">
        <v>64</v>
      </c>
      <c r="AS6" s="17" t="s">
        <v>31</v>
      </c>
      <c r="AT6" s="17" t="s">
        <v>32</v>
      </c>
      <c r="AU6" s="17" t="s">
        <v>33</v>
      </c>
      <c r="AV6" s="17" t="s">
        <v>34</v>
      </c>
      <c r="AW6" s="17" t="s">
        <v>35</v>
      </c>
      <c r="AX6" s="17" t="s">
        <v>36</v>
      </c>
      <c r="AY6" s="17" t="s">
        <v>37</v>
      </c>
      <c r="AZ6" s="17" t="s">
        <v>38</v>
      </c>
      <c r="BA6" s="17" t="s">
        <v>41</v>
      </c>
      <c r="BB6" s="17" t="s">
        <v>42</v>
      </c>
      <c r="BC6" s="17" t="s">
        <v>15</v>
      </c>
      <c r="BD6" s="17" t="s">
        <v>16</v>
      </c>
      <c r="BE6" s="17" t="s">
        <v>17</v>
      </c>
      <c r="BF6" s="17" t="s">
        <v>18</v>
      </c>
      <c r="BG6" s="17" t="s">
        <v>19</v>
      </c>
      <c r="BH6" s="17" t="s">
        <v>20</v>
      </c>
      <c r="BI6" s="17" t="s">
        <v>39</v>
      </c>
      <c r="BJ6" s="17" t="s">
        <v>40</v>
      </c>
      <c r="BK6" s="17" t="s">
        <v>43</v>
      </c>
      <c r="BL6" s="17" t="s">
        <v>44</v>
      </c>
      <c r="BM6" s="17" t="s">
        <v>45</v>
      </c>
      <c r="BN6" s="17" t="s">
        <v>46</v>
      </c>
    </row>
    <row r="7" spans="1:66">
      <c r="A7" s="6"/>
      <c r="B7" s="10"/>
      <c r="C7" s="55"/>
      <c r="D7" s="56"/>
      <c r="M7" s="27"/>
      <c r="N7" s="22"/>
      <c r="O7" s="27"/>
      <c r="P7" s="22"/>
      <c r="Q7" s="22"/>
      <c r="R7" s="22"/>
      <c r="S7" s="22"/>
      <c r="T7" s="22"/>
      <c r="U7" s="27"/>
      <c r="V7" s="22"/>
      <c r="W7" s="27"/>
      <c r="X7" s="22"/>
      <c r="Y7" s="22"/>
      <c r="Z7" s="22"/>
      <c r="AA7" s="22"/>
      <c r="AB7" s="22"/>
      <c r="AC7" s="22"/>
      <c r="AD7" s="22"/>
      <c r="AE7" s="22"/>
      <c r="AF7" s="22"/>
      <c r="AG7" s="27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</row>
    <row r="8" spans="1:66">
      <c r="A8" s="8"/>
      <c r="B8" s="53">
        <v>1</v>
      </c>
      <c r="C8" s="50">
        <v>32</v>
      </c>
      <c r="D8" s="57">
        <v>187</v>
      </c>
      <c r="E8" s="50">
        <v>7.8999999999999995</v>
      </c>
      <c r="F8" s="54">
        <v>0</v>
      </c>
      <c r="G8" s="50">
        <v>0</v>
      </c>
      <c r="H8" s="50">
        <v>0</v>
      </c>
      <c r="I8" s="50">
        <v>0</v>
      </c>
      <c r="J8" s="52">
        <v>0</v>
      </c>
      <c r="K8" s="50">
        <v>9.5</v>
      </c>
      <c r="L8" s="52">
        <v>0</v>
      </c>
      <c r="M8" s="50">
        <v>2.5999999999999996</v>
      </c>
      <c r="N8" s="52">
        <v>0</v>
      </c>
      <c r="O8" s="23">
        <v>0</v>
      </c>
      <c r="P8" s="51">
        <v>0</v>
      </c>
      <c r="Q8" s="21">
        <v>0</v>
      </c>
      <c r="R8" s="22">
        <v>0</v>
      </c>
      <c r="S8" s="22">
        <v>0</v>
      </c>
      <c r="T8" s="23">
        <v>0</v>
      </c>
      <c r="U8" s="50">
        <v>2.4</v>
      </c>
      <c r="V8" s="52">
        <v>0</v>
      </c>
      <c r="W8" s="50">
        <v>108</v>
      </c>
      <c r="X8" s="51">
        <v>17800000</v>
      </c>
      <c r="Y8" s="21">
        <v>0</v>
      </c>
      <c r="Z8" s="22">
        <v>0</v>
      </c>
      <c r="AA8" s="21">
        <v>0</v>
      </c>
      <c r="AB8" s="22">
        <v>0</v>
      </c>
      <c r="AC8" s="22">
        <v>0</v>
      </c>
      <c r="AD8" s="22">
        <v>0</v>
      </c>
      <c r="AE8" s="22">
        <v>0</v>
      </c>
      <c r="AF8" s="23">
        <v>0</v>
      </c>
      <c r="AG8" s="50">
        <v>430</v>
      </c>
      <c r="AH8" s="51">
        <v>0</v>
      </c>
      <c r="AI8" s="21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0</v>
      </c>
      <c r="BC8" s="22">
        <v>0</v>
      </c>
      <c r="BD8" s="22">
        <v>0</v>
      </c>
      <c r="BE8" s="22">
        <v>0</v>
      </c>
      <c r="BF8" s="22">
        <v>0</v>
      </c>
      <c r="BG8" s="22">
        <v>0</v>
      </c>
      <c r="BH8" s="22">
        <v>0</v>
      </c>
      <c r="BI8" s="22">
        <v>0</v>
      </c>
      <c r="BJ8" s="22">
        <v>0</v>
      </c>
      <c r="BK8" s="22">
        <v>0</v>
      </c>
      <c r="BL8" s="22">
        <v>0</v>
      </c>
      <c r="BM8" s="22">
        <v>0</v>
      </c>
      <c r="BN8" s="22">
        <v>0</v>
      </c>
    </row>
    <row r="9" spans="1:66">
      <c r="A9" s="8"/>
      <c r="B9" s="53">
        <v>2</v>
      </c>
      <c r="C9" s="50">
        <v>35</v>
      </c>
      <c r="D9" s="57">
        <v>225</v>
      </c>
      <c r="E9" s="50">
        <v>10.299999999999999</v>
      </c>
      <c r="F9" s="54">
        <v>0</v>
      </c>
      <c r="G9" s="50">
        <v>0</v>
      </c>
      <c r="H9" s="50">
        <v>0</v>
      </c>
      <c r="I9" s="50">
        <v>0</v>
      </c>
      <c r="J9" s="52">
        <v>0</v>
      </c>
      <c r="K9" s="50">
        <v>12.399999999999999</v>
      </c>
      <c r="L9" s="52">
        <v>0</v>
      </c>
      <c r="M9" s="50">
        <v>3.4</v>
      </c>
      <c r="N9" s="52">
        <v>0</v>
      </c>
      <c r="O9" s="23">
        <v>0</v>
      </c>
      <c r="P9" s="51">
        <v>0</v>
      </c>
      <c r="Q9" s="21">
        <v>0</v>
      </c>
      <c r="R9" s="22">
        <v>0</v>
      </c>
      <c r="S9" s="22">
        <v>0</v>
      </c>
      <c r="T9" s="23">
        <v>0</v>
      </c>
      <c r="U9" s="50">
        <v>2.8</v>
      </c>
      <c r="V9" s="52">
        <v>0</v>
      </c>
      <c r="W9" s="50">
        <v>117</v>
      </c>
      <c r="X9" s="51">
        <v>0</v>
      </c>
      <c r="Y9" s="21">
        <v>0</v>
      </c>
      <c r="Z9" s="22">
        <v>0</v>
      </c>
      <c r="AA9" s="21">
        <v>0</v>
      </c>
      <c r="AB9" s="22">
        <v>0</v>
      </c>
      <c r="AC9" s="22">
        <v>0</v>
      </c>
      <c r="AD9" s="22">
        <v>0</v>
      </c>
      <c r="AE9" s="22">
        <v>0</v>
      </c>
      <c r="AF9" s="23">
        <v>0</v>
      </c>
      <c r="AG9" s="50">
        <v>465</v>
      </c>
      <c r="AH9" s="51">
        <v>0</v>
      </c>
      <c r="AI9" s="21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2">
        <v>0</v>
      </c>
      <c r="BG9" s="22">
        <v>0</v>
      </c>
      <c r="BH9" s="22">
        <v>0</v>
      </c>
      <c r="BI9" s="22">
        <v>0</v>
      </c>
      <c r="BJ9" s="22">
        <v>0</v>
      </c>
      <c r="BK9" s="22">
        <v>0</v>
      </c>
      <c r="BL9" s="22">
        <v>0</v>
      </c>
      <c r="BM9" s="22">
        <v>0</v>
      </c>
      <c r="BN9" s="22">
        <v>0</v>
      </c>
    </row>
    <row r="10" spans="1:66">
      <c r="A10" s="8"/>
      <c r="B10" s="53">
        <v>3</v>
      </c>
      <c r="C10" s="50">
        <v>31</v>
      </c>
      <c r="D10" s="57">
        <v>167</v>
      </c>
      <c r="E10" s="50">
        <v>8.5</v>
      </c>
      <c r="F10" s="54">
        <v>0</v>
      </c>
      <c r="G10" s="50">
        <v>0</v>
      </c>
      <c r="H10" s="50">
        <v>0</v>
      </c>
      <c r="I10" s="50">
        <v>0</v>
      </c>
      <c r="J10" s="52">
        <v>0</v>
      </c>
      <c r="K10" s="50">
        <v>10.3</v>
      </c>
      <c r="L10" s="52">
        <v>0</v>
      </c>
      <c r="M10" s="50">
        <v>3</v>
      </c>
      <c r="N10" s="52">
        <v>0</v>
      </c>
      <c r="O10" s="23">
        <v>0</v>
      </c>
      <c r="P10" s="51">
        <v>0</v>
      </c>
      <c r="Q10" s="21">
        <v>0</v>
      </c>
      <c r="R10" s="22">
        <v>0</v>
      </c>
      <c r="S10" s="22">
        <v>0</v>
      </c>
      <c r="T10" s="23">
        <v>0</v>
      </c>
      <c r="U10" s="50">
        <v>2.6</v>
      </c>
      <c r="V10" s="52">
        <v>0</v>
      </c>
      <c r="W10" s="50">
        <v>125.99999999999999</v>
      </c>
      <c r="X10" s="51">
        <v>0</v>
      </c>
      <c r="Y10" s="21">
        <v>0</v>
      </c>
      <c r="Z10" s="22">
        <v>0</v>
      </c>
      <c r="AA10" s="21">
        <v>0</v>
      </c>
      <c r="AB10" s="22">
        <v>0</v>
      </c>
      <c r="AC10" s="22">
        <v>0</v>
      </c>
      <c r="AD10" s="22">
        <v>0</v>
      </c>
      <c r="AE10" s="22">
        <v>0</v>
      </c>
      <c r="AF10" s="23">
        <v>0</v>
      </c>
      <c r="AG10" s="50">
        <v>420</v>
      </c>
      <c r="AH10" s="51">
        <v>0</v>
      </c>
      <c r="AI10" s="21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</v>
      </c>
      <c r="BA10" s="22">
        <v>0</v>
      </c>
      <c r="BB10" s="22">
        <v>0</v>
      </c>
      <c r="BC10" s="22">
        <v>0</v>
      </c>
      <c r="BD10" s="22">
        <v>0</v>
      </c>
      <c r="BE10" s="22">
        <v>0</v>
      </c>
      <c r="BF10" s="22">
        <v>0</v>
      </c>
      <c r="BG10" s="22">
        <v>0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</row>
    <row r="11" spans="1:66">
      <c r="A11" s="8"/>
      <c r="B11" s="53">
        <v>4</v>
      </c>
      <c r="C11" s="50">
        <v>40</v>
      </c>
      <c r="D11" s="57">
        <v>162</v>
      </c>
      <c r="E11" s="50">
        <v>11.600000000000001</v>
      </c>
      <c r="F11" s="54">
        <v>0</v>
      </c>
      <c r="G11" s="50">
        <v>0</v>
      </c>
      <c r="H11" s="50">
        <v>0</v>
      </c>
      <c r="I11" s="50">
        <v>0</v>
      </c>
      <c r="J11" s="52">
        <v>0</v>
      </c>
      <c r="K11" s="50">
        <v>11.3</v>
      </c>
      <c r="L11" s="52">
        <v>0</v>
      </c>
      <c r="M11" s="50">
        <v>3.8000000000000003</v>
      </c>
      <c r="N11" s="52">
        <v>0</v>
      </c>
      <c r="O11" s="23">
        <v>0</v>
      </c>
      <c r="P11" s="51">
        <v>0</v>
      </c>
      <c r="Q11" s="21">
        <v>0</v>
      </c>
      <c r="R11" s="22">
        <v>0</v>
      </c>
      <c r="S11" s="22">
        <v>0</v>
      </c>
      <c r="T11" s="23">
        <v>0</v>
      </c>
      <c r="U11" s="50">
        <v>5</v>
      </c>
      <c r="V11" s="52">
        <v>0</v>
      </c>
      <c r="W11" s="50">
        <v>144</v>
      </c>
      <c r="X11" s="51">
        <v>0</v>
      </c>
      <c r="Y11" s="21">
        <v>0</v>
      </c>
      <c r="Z11" s="22">
        <v>0</v>
      </c>
      <c r="AA11" s="21">
        <v>0</v>
      </c>
      <c r="AB11" s="22">
        <v>0</v>
      </c>
      <c r="AC11" s="22">
        <v>0</v>
      </c>
      <c r="AD11" s="22">
        <v>0</v>
      </c>
      <c r="AE11" s="22">
        <v>0</v>
      </c>
      <c r="AF11" s="23">
        <v>0</v>
      </c>
      <c r="AG11" s="50">
        <v>435</v>
      </c>
      <c r="AH11" s="51">
        <v>0</v>
      </c>
      <c r="AI11" s="21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</row>
    <row r="12" spans="1:66">
      <c r="A12" s="8"/>
      <c r="B12" s="53">
        <v>5</v>
      </c>
      <c r="C12" s="50">
        <v>36</v>
      </c>
      <c r="D12" s="57">
        <v>190</v>
      </c>
      <c r="E12" s="50">
        <v>10.299999999999999</v>
      </c>
      <c r="F12" s="54">
        <v>0</v>
      </c>
      <c r="G12" s="50">
        <v>0</v>
      </c>
      <c r="H12" s="50">
        <v>0</v>
      </c>
      <c r="I12" s="50">
        <v>0</v>
      </c>
      <c r="J12" s="52">
        <v>0</v>
      </c>
      <c r="K12" s="50">
        <v>12.5</v>
      </c>
      <c r="L12" s="52">
        <v>0</v>
      </c>
      <c r="M12" s="50">
        <v>4.3</v>
      </c>
      <c r="N12" s="52">
        <v>0</v>
      </c>
      <c r="O12" s="23">
        <v>0</v>
      </c>
      <c r="P12" s="51">
        <v>0</v>
      </c>
      <c r="Q12" s="21">
        <v>0</v>
      </c>
      <c r="R12" s="22">
        <v>0</v>
      </c>
      <c r="S12" s="22">
        <v>0</v>
      </c>
      <c r="T12" s="23">
        <v>0</v>
      </c>
      <c r="U12" s="50">
        <v>2.2000000000000002</v>
      </c>
      <c r="V12" s="52">
        <v>0</v>
      </c>
      <c r="W12" s="50">
        <v>108</v>
      </c>
      <c r="X12" s="51">
        <v>0</v>
      </c>
      <c r="Y12" s="21">
        <v>0</v>
      </c>
      <c r="Z12" s="22">
        <v>0</v>
      </c>
      <c r="AA12" s="21">
        <v>0</v>
      </c>
      <c r="AB12" s="22">
        <v>0</v>
      </c>
      <c r="AC12" s="22">
        <v>0</v>
      </c>
      <c r="AD12" s="22">
        <v>0</v>
      </c>
      <c r="AE12" s="22">
        <v>0</v>
      </c>
      <c r="AF12" s="23">
        <v>0</v>
      </c>
      <c r="AG12" s="50">
        <v>490</v>
      </c>
      <c r="AH12" s="51">
        <v>0</v>
      </c>
      <c r="AI12" s="21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  <c r="BI12" s="22">
        <v>0</v>
      </c>
      <c r="BJ12" s="22">
        <v>0</v>
      </c>
      <c r="BK12" s="22">
        <v>0</v>
      </c>
      <c r="BL12" s="22">
        <v>0</v>
      </c>
      <c r="BM12" s="22">
        <v>0</v>
      </c>
      <c r="BN12" s="22">
        <v>0</v>
      </c>
    </row>
    <row r="13" spans="1:66">
      <c r="A13" s="8"/>
      <c r="B13" s="53">
        <v>6</v>
      </c>
      <c r="C13" s="50">
        <v>40</v>
      </c>
      <c r="D13" s="57">
        <v>143</v>
      </c>
      <c r="E13" s="50">
        <v>10.5</v>
      </c>
      <c r="F13" s="54">
        <v>0</v>
      </c>
      <c r="G13" s="50">
        <v>0</v>
      </c>
      <c r="H13" s="50">
        <v>0</v>
      </c>
      <c r="I13" s="50">
        <v>0</v>
      </c>
      <c r="J13" s="52">
        <v>0</v>
      </c>
      <c r="K13" s="50">
        <v>9.3999999999999986</v>
      </c>
      <c r="L13" s="52">
        <v>0</v>
      </c>
      <c r="M13" s="50">
        <v>2.9000000000000004</v>
      </c>
      <c r="N13" s="52">
        <v>0</v>
      </c>
      <c r="O13" s="23">
        <v>0</v>
      </c>
      <c r="P13" s="51">
        <v>0</v>
      </c>
      <c r="Q13" s="21">
        <v>0</v>
      </c>
      <c r="R13" s="22">
        <v>0</v>
      </c>
      <c r="S13" s="22">
        <v>0</v>
      </c>
      <c r="T13" s="23">
        <v>0</v>
      </c>
      <c r="U13" s="50">
        <v>3.2</v>
      </c>
      <c r="V13" s="52">
        <v>0</v>
      </c>
      <c r="W13" s="50">
        <v>121.50000000000001</v>
      </c>
      <c r="X13" s="51">
        <v>0</v>
      </c>
      <c r="Y13" s="21">
        <v>0</v>
      </c>
      <c r="Z13" s="22">
        <v>0</v>
      </c>
      <c r="AA13" s="21">
        <v>0</v>
      </c>
      <c r="AB13" s="22">
        <v>0</v>
      </c>
      <c r="AC13" s="22">
        <v>0</v>
      </c>
      <c r="AD13" s="22">
        <v>0</v>
      </c>
      <c r="AE13" s="22">
        <v>0</v>
      </c>
      <c r="AF13" s="23">
        <v>0</v>
      </c>
      <c r="AG13" s="50">
        <v>499.99999999999994</v>
      </c>
      <c r="AH13" s="51">
        <v>0</v>
      </c>
      <c r="AI13" s="21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  <c r="BI13" s="22">
        <v>0</v>
      </c>
      <c r="BJ13" s="22">
        <v>0</v>
      </c>
      <c r="BK13" s="22">
        <v>0</v>
      </c>
      <c r="BL13" s="22">
        <v>0</v>
      </c>
      <c r="BM13" s="22">
        <v>0</v>
      </c>
      <c r="BN13" s="22">
        <v>0</v>
      </c>
    </row>
    <row r="14" spans="1:66">
      <c r="A14" s="8"/>
      <c r="B14" s="53">
        <v>7</v>
      </c>
      <c r="C14" s="50">
        <v>30</v>
      </c>
      <c r="D14" s="57">
        <v>179</v>
      </c>
      <c r="E14" s="50">
        <v>8.1000000000000014</v>
      </c>
      <c r="F14" s="54">
        <v>0</v>
      </c>
      <c r="G14" s="50">
        <v>0</v>
      </c>
      <c r="H14" s="50">
        <v>0</v>
      </c>
      <c r="I14" s="50">
        <v>0</v>
      </c>
      <c r="J14" s="52">
        <v>0</v>
      </c>
      <c r="K14" s="50">
        <v>12.5</v>
      </c>
      <c r="L14" s="52">
        <v>0</v>
      </c>
      <c r="M14" s="50">
        <v>4.6999999999999993</v>
      </c>
      <c r="N14" s="52">
        <v>0</v>
      </c>
      <c r="O14" s="23">
        <v>0</v>
      </c>
      <c r="P14" s="51">
        <v>0</v>
      </c>
      <c r="Q14" s="21">
        <v>0</v>
      </c>
      <c r="R14" s="22">
        <v>0</v>
      </c>
      <c r="S14" s="22">
        <v>0</v>
      </c>
      <c r="T14" s="23">
        <v>0</v>
      </c>
      <c r="U14" s="50">
        <v>4.8</v>
      </c>
      <c r="V14" s="52">
        <v>0</v>
      </c>
      <c r="W14" s="50">
        <v>125.99999999999999</v>
      </c>
      <c r="X14" s="51">
        <v>0</v>
      </c>
      <c r="Y14" s="21">
        <v>0</v>
      </c>
      <c r="Z14" s="22">
        <v>0</v>
      </c>
      <c r="AA14" s="21">
        <v>0</v>
      </c>
      <c r="AB14" s="22">
        <v>0</v>
      </c>
      <c r="AC14" s="22">
        <v>0</v>
      </c>
      <c r="AD14" s="22">
        <v>0</v>
      </c>
      <c r="AE14" s="22">
        <v>0</v>
      </c>
      <c r="AF14" s="23">
        <v>0</v>
      </c>
      <c r="AG14" s="50">
        <v>520</v>
      </c>
      <c r="AH14" s="51">
        <v>0</v>
      </c>
      <c r="AI14" s="21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2">
        <v>0</v>
      </c>
      <c r="BF14" s="22">
        <v>0</v>
      </c>
      <c r="BG14" s="22">
        <v>0</v>
      </c>
      <c r="BH14" s="22">
        <v>0</v>
      </c>
      <c r="BI14" s="22">
        <v>0</v>
      </c>
      <c r="BJ14" s="22">
        <v>0</v>
      </c>
      <c r="BK14" s="22">
        <v>0</v>
      </c>
      <c r="BL14" s="22">
        <v>0</v>
      </c>
      <c r="BM14" s="22">
        <v>0</v>
      </c>
      <c r="BN14" s="22">
        <v>0</v>
      </c>
    </row>
    <row r="15" spans="1:66">
      <c r="A15" s="8"/>
      <c r="B15" s="53">
        <v>8</v>
      </c>
      <c r="C15" s="50">
        <v>32</v>
      </c>
      <c r="D15" s="57">
        <v>178</v>
      </c>
      <c r="E15" s="50">
        <v>9</v>
      </c>
      <c r="F15" s="54">
        <v>0</v>
      </c>
      <c r="G15" s="50">
        <v>0</v>
      </c>
      <c r="H15" s="50">
        <v>0</v>
      </c>
      <c r="I15" s="50">
        <v>0</v>
      </c>
      <c r="J15" s="52">
        <v>0</v>
      </c>
      <c r="K15" s="50">
        <v>9.3000000000000007</v>
      </c>
      <c r="L15" s="52">
        <v>0</v>
      </c>
      <c r="M15" s="50">
        <v>5.2</v>
      </c>
      <c r="N15" s="52">
        <v>0</v>
      </c>
      <c r="O15" s="23">
        <v>0</v>
      </c>
      <c r="P15" s="51">
        <v>0</v>
      </c>
      <c r="Q15" s="21">
        <v>0</v>
      </c>
      <c r="R15" s="22">
        <v>0</v>
      </c>
      <c r="S15" s="22">
        <v>0</v>
      </c>
      <c r="T15" s="23">
        <v>0</v>
      </c>
      <c r="U15" s="50">
        <v>3</v>
      </c>
      <c r="V15" s="52">
        <v>0</v>
      </c>
      <c r="W15" s="50">
        <v>135</v>
      </c>
      <c r="X15" s="51">
        <v>0</v>
      </c>
      <c r="Y15" s="21">
        <v>0</v>
      </c>
      <c r="Z15" s="22">
        <v>0</v>
      </c>
      <c r="AA15" s="21">
        <v>0</v>
      </c>
      <c r="AB15" s="22">
        <v>0</v>
      </c>
      <c r="AC15" s="22">
        <v>0</v>
      </c>
      <c r="AD15" s="22">
        <v>0</v>
      </c>
      <c r="AE15" s="22">
        <v>0</v>
      </c>
      <c r="AF15" s="23">
        <v>0</v>
      </c>
      <c r="AG15" s="50">
        <v>355</v>
      </c>
      <c r="AH15" s="51">
        <v>0</v>
      </c>
      <c r="AI15" s="21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2">
        <v>0</v>
      </c>
      <c r="BJ15" s="22">
        <v>0</v>
      </c>
      <c r="BK15" s="22">
        <v>0</v>
      </c>
      <c r="BL15" s="22">
        <v>0</v>
      </c>
      <c r="BM15" s="22">
        <v>0</v>
      </c>
      <c r="BN15" s="22">
        <v>0</v>
      </c>
    </row>
    <row r="16" spans="1:66">
      <c r="A16" s="8"/>
      <c r="B16" s="53">
        <v>9</v>
      </c>
      <c r="C16" s="50">
        <v>35</v>
      </c>
      <c r="D16" s="57">
        <v>168</v>
      </c>
      <c r="E16" s="50">
        <v>11.7</v>
      </c>
      <c r="F16" s="54">
        <v>0</v>
      </c>
      <c r="G16" s="50">
        <v>0</v>
      </c>
      <c r="H16" s="50">
        <v>0</v>
      </c>
      <c r="I16" s="50">
        <v>0</v>
      </c>
      <c r="J16" s="52">
        <v>0</v>
      </c>
      <c r="K16" s="50">
        <v>12.399999999999999</v>
      </c>
      <c r="L16" s="52">
        <v>0</v>
      </c>
      <c r="M16" s="50">
        <v>3.7</v>
      </c>
      <c r="N16" s="52">
        <v>0</v>
      </c>
      <c r="O16" s="23">
        <v>0</v>
      </c>
      <c r="P16" s="51">
        <v>0</v>
      </c>
      <c r="Q16" s="21">
        <v>0</v>
      </c>
      <c r="R16" s="22">
        <v>0</v>
      </c>
      <c r="S16" s="22">
        <v>0</v>
      </c>
      <c r="T16" s="23">
        <v>0</v>
      </c>
      <c r="U16" s="50">
        <v>2.8</v>
      </c>
      <c r="V16" s="52">
        <v>0</v>
      </c>
      <c r="W16" s="50">
        <v>144</v>
      </c>
      <c r="X16" s="51">
        <v>0</v>
      </c>
      <c r="Y16" s="21">
        <v>0</v>
      </c>
      <c r="Z16" s="22">
        <v>0</v>
      </c>
      <c r="AA16" s="21">
        <v>0</v>
      </c>
      <c r="AB16" s="22">
        <v>0</v>
      </c>
      <c r="AC16" s="22">
        <v>0</v>
      </c>
      <c r="AD16" s="22">
        <v>0</v>
      </c>
      <c r="AE16" s="22">
        <v>0</v>
      </c>
      <c r="AF16" s="23">
        <v>0</v>
      </c>
      <c r="AG16" s="50">
        <v>400</v>
      </c>
      <c r="AH16" s="51">
        <v>0</v>
      </c>
      <c r="AI16" s="21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0</v>
      </c>
      <c r="BK16" s="22">
        <v>0</v>
      </c>
      <c r="BL16" s="22">
        <v>0</v>
      </c>
      <c r="BM16" s="22">
        <v>0</v>
      </c>
      <c r="BN16" s="22">
        <v>0</v>
      </c>
    </row>
    <row r="17" spans="1:66">
      <c r="A17" s="8"/>
      <c r="B17" s="53">
        <v>10</v>
      </c>
      <c r="C17" s="50">
        <v>23</v>
      </c>
      <c r="D17" s="57">
        <v>191</v>
      </c>
      <c r="E17" s="50">
        <v>11.9</v>
      </c>
      <c r="F17" s="54">
        <v>0</v>
      </c>
      <c r="G17" s="50">
        <v>0</v>
      </c>
      <c r="H17" s="50">
        <v>0</v>
      </c>
      <c r="I17" s="50">
        <v>0</v>
      </c>
      <c r="J17" s="52">
        <v>0</v>
      </c>
      <c r="K17" s="50">
        <v>9.6999999999999993</v>
      </c>
      <c r="L17" s="52">
        <v>0</v>
      </c>
      <c r="M17" s="50">
        <v>2.7</v>
      </c>
      <c r="N17" s="52">
        <v>0</v>
      </c>
      <c r="O17" s="23">
        <v>0</v>
      </c>
      <c r="P17" s="51">
        <v>0</v>
      </c>
      <c r="Q17" s="21">
        <v>0</v>
      </c>
      <c r="R17" s="22">
        <v>0</v>
      </c>
      <c r="S17" s="22">
        <v>0</v>
      </c>
      <c r="T17" s="23">
        <v>0</v>
      </c>
      <c r="U17" s="50">
        <v>2.6</v>
      </c>
      <c r="V17" s="52">
        <v>0</v>
      </c>
      <c r="W17" s="50">
        <v>117</v>
      </c>
      <c r="X17" s="51">
        <v>0</v>
      </c>
      <c r="Y17" s="21">
        <v>0</v>
      </c>
      <c r="Z17" s="22">
        <v>0</v>
      </c>
      <c r="AA17" s="21">
        <v>0</v>
      </c>
      <c r="AB17" s="22">
        <v>0</v>
      </c>
      <c r="AC17" s="22">
        <v>0</v>
      </c>
      <c r="AD17" s="22">
        <v>0</v>
      </c>
      <c r="AE17" s="22">
        <v>0</v>
      </c>
      <c r="AF17" s="23">
        <v>0</v>
      </c>
      <c r="AG17" s="50">
        <v>604.99999999999989</v>
      </c>
      <c r="AH17" s="51">
        <v>0</v>
      </c>
      <c r="AI17" s="21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0</v>
      </c>
      <c r="BM17" s="22">
        <v>0</v>
      </c>
      <c r="BN17" s="22">
        <v>0</v>
      </c>
    </row>
    <row r="18" spans="1:66">
      <c r="A18" s="8"/>
      <c r="B18" s="53">
        <v>11</v>
      </c>
      <c r="C18" s="50">
        <v>31</v>
      </c>
      <c r="D18" s="57">
        <v>156</v>
      </c>
      <c r="E18" s="50">
        <v>9.1999999999999993</v>
      </c>
      <c r="F18" s="54">
        <v>0</v>
      </c>
      <c r="G18" s="50">
        <v>0</v>
      </c>
      <c r="H18" s="50">
        <v>0</v>
      </c>
      <c r="I18" s="50">
        <v>0</v>
      </c>
      <c r="J18" s="52">
        <v>0</v>
      </c>
      <c r="K18" s="50">
        <v>10.399999999999999</v>
      </c>
      <c r="L18" s="52">
        <v>0</v>
      </c>
      <c r="M18" s="50">
        <v>2.7</v>
      </c>
      <c r="N18" s="52">
        <v>0</v>
      </c>
      <c r="O18" s="23">
        <v>0</v>
      </c>
      <c r="P18" s="51">
        <v>0</v>
      </c>
      <c r="Q18" s="21">
        <v>0</v>
      </c>
      <c r="R18" s="22">
        <v>0</v>
      </c>
      <c r="S18" s="22">
        <v>0</v>
      </c>
      <c r="T18" s="23">
        <v>0</v>
      </c>
      <c r="U18" s="50">
        <v>4.8</v>
      </c>
      <c r="V18" s="52">
        <v>0</v>
      </c>
      <c r="W18" s="50">
        <v>125.99999999999999</v>
      </c>
      <c r="X18" s="51">
        <v>0</v>
      </c>
      <c r="Y18" s="21">
        <v>0</v>
      </c>
      <c r="Z18" s="22">
        <v>0</v>
      </c>
      <c r="AA18" s="21">
        <v>0</v>
      </c>
      <c r="AB18" s="22">
        <v>0</v>
      </c>
      <c r="AC18" s="22">
        <v>0</v>
      </c>
      <c r="AD18" s="22">
        <v>0</v>
      </c>
      <c r="AE18" s="22">
        <v>0</v>
      </c>
      <c r="AF18" s="23">
        <v>0</v>
      </c>
      <c r="AG18" s="50">
        <v>614.99999999999989</v>
      </c>
      <c r="AH18" s="51">
        <v>0</v>
      </c>
      <c r="AI18" s="21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0</v>
      </c>
      <c r="BM18" s="22">
        <v>0</v>
      </c>
      <c r="BN18" s="22">
        <v>0</v>
      </c>
    </row>
    <row r="19" spans="1:66">
      <c r="A19" s="8"/>
      <c r="B19" s="53">
        <v>12</v>
      </c>
      <c r="C19" s="50">
        <v>36</v>
      </c>
      <c r="D19" s="57">
        <v>169</v>
      </c>
      <c r="E19" s="50">
        <v>8.3999999999999986</v>
      </c>
      <c r="F19" s="54">
        <v>0</v>
      </c>
      <c r="G19" s="50">
        <v>0</v>
      </c>
      <c r="H19" s="50">
        <v>0</v>
      </c>
      <c r="I19" s="50">
        <v>0</v>
      </c>
      <c r="J19" s="52">
        <v>0</v>
      </c>
      <c r="K19" s="50">
        <v>12</v>
      </c>
      <c r="L19" s="52">
        <v>0</v>
      </c>
      <c r="M19" s="50">
        <v>4.3</v>
      </c>
      <c r="N19" s="52">
        <v>0</v>
      </c>
      <c r="O19" s="23">
        <v>0</v>
      </c>
      <c r="P19" s="51">
        <v>0</v>
      </c>
      <c r="Q19" s="21">
        <v>0</v>
      </c>
      <c r="R19" s="22">
        <v>0</v>
      </c>
      <c r="S19" s="22">
        <v>0</v>
      </c>
      <c r="T19" s="23">
        <v>0</v>
      </c>
      <c r="U19" s="50">
        <v>3</v>
      </c>
      <c r="V19" s="52">
        <v>0</v>
      </c>
      <c r="W19" s="50">
        <v>121.50000000000001</v>
      </c>
      <c r="X19" s="51">
        <v>0</v>
      </c>
      <c r="Y19" s="21">
        <v>0</v>
      </c>
      <c r="Z19" s="22">
        <v>0</v>
      </c>
      <c r="AA19" s="21">
        <v>0</v>
      </c>
      <c r="AB19" s="22">
        <v>0</v>
      </c>
      <c r="AC19" s="22">
        <v>0</v>
      </c>
      <c r="AD19" s="22">
        <v>0</v>
      </c>
      <c r="AE19" s="22">
        <v>0</v>
      </c>
      <c r="AF19" s="23">
        <v>0</v>
      </c>
      <c r="AG19" s="50">
        <v>465</v>
      </c>
      <c r="AH19" s="51">
        <v>0</v>
      </c>
      <c r="AI19" s="21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</row>
    <row r="20" spans="1:66">
      <c r="A20" s="8"/>
      <c r="B20" s="53">
        <v>13</v>
      </c>
      <c r="C20" s="50">
        <v>35</v>
      </c>
      <c r="D20" s="57">
        <v>286</v>
      </c>
      <c r="E20" s="50">
        <v>11</v>
      </c>
      <c r="F20" s="54">
        <v>0</v>
      </c>
      <c r="G20" s="50">
        <v>0</v>
      </c>
      <c r="H20" s="50">
        <v>0</v>
      </c>
      <c r="I20" s="50">
        <v>0</v>
      </c>
      <c r="J20" s="52">
        <v>0</v>
      </c>
      <c r="K20" s="50">
        <v>10.9</v>
      </c>
      <c r="L20" s="52">
        <v>0</v>
      </c>
      <c r="M20" s="50">
        <v>4.2</v>
      </c>
      <c r="N20" s="52">
        <v>0</v>
      </c>
      <c r="O20" s="23">
        <v>0</v>
      </c>
      <c r="P20" s="51">
        <v>0</v>
      </c>
      <c r="Q20" s="21">
        <v>0</v>
      </c>
      <c r="R20" s="22">
        <v>0</v>
      </c>
      <c r="S20" s="22">
        <v>0</v>
      </c>
      <c r="T20" s="23">
        <v>0</v>
      </c>
      <c r="U20" s="50">
        <v>4.4000000000000004</v>
      </c>
      <c r="V20" s="52">
        <v>0</v>
      </c>
      <c r="W20" s="50">
        <v>125.99999999999999</v>
      </c>
      <c r="X20" s="51">
        <v>0</v>
      </c>
      <c r="Y20" s="21">
        <v>0</v>
      </c>
      <c r="Z20" s="22">
        <v>0</v>
      </c>
      <c r="AA20" s="21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50">
        <v>610</v>
      </c>
      <c r="AH20" s="51">
        <v>0</v>
      </c>
      <c r="AI20" s="21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0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</row>
    <row r="21" spans="1:66">
      <c r="A21" s="8"/>
      <c r="B21" s="53">
        <v>14</v>
      </c>
      <c r="C21" s="50">
        <v>32</v>
      </c>
      <c r="D21" s="57">
        <v>190</v>
      </c>
      <c r="E21" s="50">
        <v>8.8000000000000007</v>
      </c>
      <c r="F21" s="54">
        <v>0</v>
      </c>
      <c r="G21" s="50">
        <v>0</v>
      </c>
      <c r="H21" s="50">
        <v>0</v>
      </c>
      <c r="I21" s="50">
        <v>0</v>
      </c>
      <c r="J21" s="52">
        <v>0</v>
      </c>
      <c r="K21" s="50">
        <v>9.3000000000000007</v>
      </c>
      <c r="L21" s="52">
        <v>0</v>
      </c>
      <c r="M21" s="50">
        <v>4</v>
      </c>
      <c r="N21" s="52">
        <v>0</v>
      </c>
      <c r="O21" s="23">
        <v>0</v>
      </c>
      <c r="P21" s="51">
        <v>0</v>
      </c>
      <c r="Q21" s="21">
        <v>0</v>
      </c>
      <c r="R21" s="22">
        <v>0</v>
      </c>
      <c r="S21" s="22">
        <v>0</v>
      </c>
      <c r="T21" s="23">
        <v>0</v>
      </c>
      <c r="U21" s="50">
        <v>4.5999999999999996</v>
      </c>
      <c r="V21" s="52">
        <v>0</v>
      </c>
      <c r="W21" s="50">
        <v>108</v>
      </c>
      <c r="X21" s="51">
        <v>0</v>
      </c>
      <c r="Y21" s="21">
        <v>0</v>
      </c>
      <c r="Z21" s="22">
        <v>0</v>
      </c>
      <c r="AA21" s="21">
        <v>0</v>
      </c>
      <c r="AB21" s="22">
        <v>0</v>
      </c>
      <c r="AC21" s="22">
        <v>0</v>
      </c>
      <c r="AD21" s="22">
        <v>0</v>
      </c>
      <c r="AE21" s="22">
        <v>0</v>
      </c>
      <c r="AF21" s="23">
        <v>0</v>
      </c>
      <c r="AG21" s="50">
        <v>494.99999999999994</v>
      </c>
      <c r="AH21" s="51">
        <v>0</v>
      </c>
      <c r="AI21" s="21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</row>
    <row r="22" spans="1:66">
      <c r="A22" s="8"/>
      <c r="B22" s="53">
        <v>15</v>
      </c>
      <c r="C22" s="50">
        <v>29</v>
      </c>
      <c r="D22" s="57">
        <v>151</v>
      </c>
      <c r="E22" s="50">
        <v>8.4</v>
      </c>
      <c r="F22" s="54">
        <v>0</v>
      </c>
      <c r="G22" s="50">
        <v>0</v>
      </c>
      <c r="H22" s="50">
        <v>0</v>
      </c>
      <c r="I22" s="50">
        <v>0</v>
      </c>
      <c r="J22" s="52">
        <v>0</v>
      </c>
      <c r="K22" s="50">
        <v>12.8</v>
      </c>
      <c r="L22" s="52">
        <v>0</v>
      </c>
      <c r="M22" s="50">
        <v>4.8</v>
      </c>
      <c r="N22" s="52">
        <v>0</v>
      </c>
      <c r="O22" s="23">
        <v>0</v>
      </c>
      <c r="P22" s="51">
        <v>0</v>
      </c>
      <c r="Q22" s="21">
        <v>0</v>
      </c>
      <c r="R22" s="22">
        <v>0</v>
      </c>
      <c r="S22" s="22">
        <v>0</v>
      </c>
      <c r="T22" s="23">
        <v>0</v>
      </c>
      <c r="U22" s="50">
        <v>2.8</v>
      </c>
      <c r="V22" s="52">
        <v>0</v>
      </c>
      <c r="W22" s="50">
        <v>125.99999999999999</v>
      </c>
      <c r="X22" s="51">
        <v>0</v>
      </c>
      <c r="Y22" s="21">
        <v>0</v>
      </c>
      <c r="Z22" s="22">
        <v>0</v>
      </c>
      <c r="AA22" s="21">
        <v>0</v>
      </c>
      <c r="AB22" s="22">
        <v>0</v>
      </c>
      <c r="AC22" s="22">
        <v>0</v>
      </c>
      <c r="AD22" s="22">
        <v>0</v>
      </c>
      <c r="AE22" s="22">
        <v>0</v>
      </c>
      <c r="AF22" s="23">
        <v>0</v>
      </c>
      <c r="AG22" s="50">
        <v>620</v>
      </c>
      <c r="AH22" s="51">
        <v>0</v>
      </c>
      <c r="AI22" s="21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0</v>
      </c>
      <c r="BK22" s="22">
        <v>0</v>
      </c>
      <c r="BL22" s="22">
        <v>0</v>
      </c>
      <c r="BM22" s="22">
        <v>0</v>
      </c>
      <c r="BN22" s="22">
        <v>0</v>
      </c>
    </row>
    <row r="23" spans="1:66">
      <c r="A23" s="8"/>
      <c r="B23" s="53">
        <v>16</v>
      </c>
      <c r="C23" s="50">
        <v>32</v>
      </c>
      <c r="D23" s="57">
        <v>154</v>
      </c>
      <c r="E23" s="50">
        <v>8.8000000000000007</v>
      </c>
      <c r="F23" s="54">
        <v>0</v>
      </c>
      <c r="G23" s="50">
        <v>0</v>
      </c>
      <c r="H23" s="50">
        <v>0</v>
      </c>
      <c r="I23" s="50">
        <v>0</v>
      </c>
      <c r="J23" s="52">
        <v>0</v>
      </c>
      <c r="K23" s="50">
        <v>8.5</v>
      </c>
      <c r="L23" s="52">
        <v>0</v>
      </c>
      <c r="M23" s="50">
        <v>4.3</v>
      </c>
      <c r="N23" s="52">
        <v>0</v>
      </c>
      <c r="O23" s="23">
        <v>0</v>
      </c>
      <c r="P23" s="51">
        <v>0</v>
      </c>
      <c r="Q23" s="21">
        <v>0</v>
      </c>
      <c r="R23" s="22">
        <v>0</v>
      </c>
      <c r="S23" s="22">
        <v>0</v>
      </c>
      <c r="T23" s="23">
        <v>0</v>
      </c>
      <c r="U23" s="50">
        <v>2.4</v>
      </c>
      <c r="V23" s="52">
        <v>0</v>
      </c>
      <c r="W23" s="50">
        <v>144</v>
      </c>
      <c r="X23" s="51">
        <v>0</v>
      </c>
      <c r="Y23" s="21">
        <v>0</v>
      </c>
      <c r="Z23" s="22">
        <v>0</v>
      </c>
      <c r="AA23" s="21">
        <v>0</v>
      </c>
      <c r="AB23" s="22">
        <v>0</v>
      </c>
      <c r="AC23" s="22">
        <v>0</v>
      </c>
      <c r="AD23" s="22">
        <v>0</v>
      </c>
      <c r="AE23" s="22">
        <v>0</v>
      </c>
      <c r="AF23" s="23">
        <v>0</v>
      </c>
      <c r="AG23" s="50">
        <v>440</v>
      </c>
      <c r="AH23" s="51">
        <v>0</v>
      </c>
      <c r="AI23" s="21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0</v>
      </c>
      <c r="BL23" s="22">
        <v>0</v>
      </c>
      <c r="BM23" s="22">
        <v>0</v>
      </c>
      <c r="BN23" s="22">
        <v>0</v>
      </c>
    </row>
    <row r="24" spans="1:66">
      <c r="A24" s="8"/>
      <c r="B24" s="53">
        <v>17</v>
      </c>
      <c r="C24" s="50">
        <v>35</v>
      </c>
      <c r="D24" s="57">
        <v>218</v>
      </c>
      <c r="E24" s="50">
        <v>11.8</v>
      </c>
      <c r="F24" s="54">
        <v>0</v>
      </c>
      <c r="G24" s="50">
        <v>0</v>
      </c>
      <c r="H24" s="50">
        <v>0</v>
      </c>
      <c r="I24" s="50">
        <v>0</v>
      </c>
      <c r="J24" s="52">
        <v>0</v>
      </c>
      <c r="K24" s="50">
        <v>11.1</v>
      </c>
      <c r="L24" s="52">
        <v>0</v>
      </c>
      <c r="M24" s="50">
        <v>5.3</v>
      </c>
      <c r="N24" s="52">
        <v>0</v>
      </c>
      <c r="O24" s="23">
        <v>0</v>
      </c>
      <c r="P24" s="51">
        <v>0</v>
      </c>
      <c r="Q24" s="21">
        <v>0</v>
      </c>
      <c r="R24" s="22">
        <v>0</v>
      </c>
      <c r="S24" s="22">
        <v>0</v>
      </c>
      <c r="T24" s="23">
        <v>0</v>
      </c>
      <c r="U24" s="50">
        <v>2.6</v>
      </c>
      <c r="V24" s="52">
        <v>0</v>
      </c>
      <c r="W24" s="50">
        <v>117</v>
      </c>
      <c r="X24" s="51">
        <v>0</v>
      </c>
      <c r="Y24" s="21">
        <v>0</v>
      </c>
      <c r="Z24" s="22">
        <v>0</v>
      </c>
      <c r="AA24" s="21">
        <v>0</v>
      </c>
      <c r="AB24" s="22">
        <v>0</v>
      </c>
      <c r="AC24" s="22">
        <v>0</v>
      </c>
      <c r="AD24" s="22">
        <v>0</v>
      </c>
      <c r="AE24" s="22">
        <v>0</v>
      </c>
      <c r="AF24" s="23">
        <v>0</v>
      </c>
      <c r="AG24" s="50">
        <v>410</v>
      </c>
      <c r="AH24" s="51">
        <v>0</v>
      </c>
      <c r="AI24" s="21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0</v>
      </c>
      <c r="BK24" s="22">
        <v>0</v>
      </c>
      <c r="BL24" s="22">
        <v>0</v>
      </c>
      <c r="BM24" s="22">
        <v>0</v>
      </c>
      <c r="BN24" s="22">
        <v>0</v>
      </c>
    </row>
    <row r="25" spans="1:66">
      <c r="A25" s="8"/>
      <c r="B25" s="53">
        <v>18</v>
      </c>
      <c r="C25" s="50">
        <v>35</v>
      </c>
      <c r="D25" s="57">
        <v>202</v>
      </c>
      <c r="E25" s="50">
        <v>7.4</v>
      </c>
      <c r="F25" s="54">
        <v>0</v>
      </c>
      <c r="G25" s="50">
        <v>0</v>
      </c>
      <c r="H25" s="50">
        <v>0</v>
      </c>
      <c r="I25" s="50">
        <v>0</v>
      </c>
      <c r="J25" s="52">
        <v>0</v>
      </c>
      <c r="K25" s="50">
        <v>11.9</v>
      </c>
      <c r="L25" s="52">
        <v>0</v>
      </c>
      <c r="M25" s="50">
        <v>3.2</v>
      </c>
      <c r="N25" s="52">
        <v>0</v>
      </c>
      <c r="O25" s="23">
        <v>0</v>
      </c>
      <c r="P25" s="51">
        <v>0</v>
      </c>
      <c r="Q25" s="21">
        <v>0</v>
      </c>
      <c r="R25" s="22">
        <v>0</v>
      </c>
      <c r="S25" s="22">
        <v>0</v>
      </c>
      <c r="T25" s="23">
        <v>0</v>
      </c>
      <c r="U25" s="50">
        <v>4.8</v>
      </c>
      <c r="V25" s="52">
        <v>0</v>
      </c>
      <c r="W25" s="50">
        <v>121.50000000000001</v>
      </c>
      <c r="X25" s="51">
        <v>0</v>
      </c>
      <c r="Y25" s="21">
        <v>0</v>
      </c>
      <c r="Z25" s="22">
        <v>0</v>
      </c>
      <c r="AA25" s="21">
        <v>0</v>
      </c>
      <c r="AB25" s="22">
        <v>0</v>
      </c>
      <c r="AC25" s="22">
        <v>0</v>
      </c>
      <c r="AD25" s="22">
        <v>0</v>
      </c>
      <c r="AE25" s="22">
        <v>0</v>
      </c>
      <c r="AF25" s="23">
        <v>0</v>
      </c>
      <c r="AG25" s="50">
        <v>469.99999999999994</v>
      </c>
      <c r="AH25" s="51">
        <v>0</v>
      </c>
      <c r="AI25" s="21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2">
        <v>0</v>
      </c>
      <c r="BJ25" s="22">
        <v>0</v>
      </c>
      <c r="BK25" s="22">
        <v>0</v>
      </c>
      <c r="BL25" s="22">
        <v>0</v>
      </c>
      <c r="BM25" s="22">
        <v>0</v>
      </c>
      <c r="BN25" s="22">
        <v>0</v>
      </c>
    </row>
    <row r="26" spans="1:66">
      <c r="A26" s="8"/>
      <c r="B26" s="53">
        <v>19</v>
      </c>
      <c r="C26" s="50">
        <v>36</v>
      </c>
      <c r="D26" s="57">
        <v>201</v>
      </c>
      <c r="E26" s="50">
        <v>10.600000000000001</v>
      </c>
      <c r="F26" s="54">
        <v>0</v>
      </c>
      <c r="G26" s="50">
        <v>0</v>
      </c>
      <c r="H26" s="50">
        <v>0</v>
      </c>
      <c r="I26" s="50">
        <v>0</v>
      </c>
      <c r="J26" s="52">
        <v>0</v>
      </c>
      <c r="K26" s="50">
        <v>10.8</v>
      </c>
      <c r="L26" s="52">
        <v>0</v>
      </c>
      <c r="M26" s="50">
        <v>4.9000000000000004</v>
      </c>
      <c r="N26" s="52">
        <v>0</v>
      </c>
      <c r="O26" s="23">
        <v>0</v>
      </c>
      <c r="P26" s="51">
        <v>0</v>
      </c>
      <c r="Q26" s="21">
        <v>0</v>
      </c>
      <c r="R26" s="22">
        <v>0</v>
      </c>
      <c r="S26" s="22">
        <v>0</v>
      </c>
      <c r="T26" s="23">
        <v>0</v>
      </c>
      <c r="U26" s="50">
        <v>5.2</v>
      </c>
      <c r="V26" s="52">
        <v>0</v>
      </c>
      <c r="W26" s="50">
        <v>125.99999999999999</v>
      </c>
      <c r="X26" s="51">
        <v>0</v>
      </c>
      <c r="Y26" s="21">
        <v>0</v>
      </c>
      <c r="Z26" s="22">
        <v>0</v>
      </c>
      <c r="AA26" s="21">
        <v>0</v>
      </c>
      <c r="AB26" s="22">
        <v>0</v>
      </c>
      <c r="AC26" s="22">
        <v>0</v>
      </c>
      <c r="AD26" s="22">
        <v>0</v>
      </c>
      <c r="AE26" s="22">
        <v>0</v>
      </c>
      <c r="AF26" s="23">
        <v>0</v>
      </c>
      <c r="AG26" s="50">
        <v>430</v>
      </c>
      <c r="AH26" s="51">
        <v>0</v>
      </c>
      <c r="AI26" s="21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2">
        <v>0</v>
      </c>
      <c r="BI26" s="22">
        <v>0</v>
      </c>
      <c r="BJ26" s="22">
        <v>0</v>
      </c>
      <c r="BK26" s="22">
        <v>0</v>
      </c>
      <c r="BL26" s="22">
        <v>0</v>
      </c>
      <c r="BM26" s="22">
        <v>0</v>
      </c>
      <c r="BN26" s="22">
        <v>0</v>
      </c>
    </row>
    <row r="27" spans="1:66">
      <c r="A27" s="8"/>
      <c r="B27" s="53">
        <v>20</v>
      </c>
      <c r="C27" s="50">
        <v>37</v>
      </c>
      <c r="D27" s="57">
        <v>149</v>
      </c>
      <c r="E27" s="50">
        <v>8.1</v>
      </c>
      <c r="F27" s="54">
        <v>0</v>
      </c>
      <c r="G27" s="50">
        <v>0</v>
      </c>
      <c r="H27" s="50">
        <v>0</v>
      </c>
      <c r="I27" s="50">
        <v>0</v>
      </c>
      <c r="J27" s="52">
        <v>0</v>
      </c>
      <c r="K27" s="50">
        <v>9.3999999999999986</v>
      </c>
      <c r="L27" s="52">
        <v>0</v>
      </c>
      <c r="M27" s="50">
        <v>4</v>
      </c>
      <c r="N27" s="52">
        <v>0</v>
      </c>
      <c r="O27" s="23">
        <v>0</v>
      </c>
      <c r="P27" s="51">
        <v>0</v>
      </c>
      <c r="Q27" s="21">
        <v>0</v>
      </c>
      <c r="R27" s="22">
        <v>0</v>
      </c>
      <c r="S27" s="22">
        <v>0</v>
      </c>
      <c r="T27" s="23">
        <v>0</v>
      </c>
      <c r="U27" s="50">
        <v>2.8</v>
      </c>
      <c r="V27" s="52">
        <v>0</v>
      </c>
      <c r="W27" s="50">
        <v>144</v>
      </c>
      <c r="X27" s="51">
        <v>0</v>
      </c>
      <c r="Y27" s="21">
        <v>0</v>
      </c>
      <c r="Z27" s="22">
        <v>0</v>
      </c>
      <c r="AA27" s="21">
        <v>0</v>
      </c>
      <c r="AB27" s="22">
        <v>0</v>
      </c>
      <c r="AC27" s="22">
        <v>0</v>
      </c>
      <c r="AD27" s="22">
        <v>0</v>
      </c>
      <c r="AE27" s="22">
        <v>0</v>
      </c>
      <c r="AF27" s="23">
        <v>0</v>
      </c>
      <c r="AG27" s="50">
        <v>520</v>
      </c>
      <c r="AH27" s="51">
        <v>0</v>
      </c>
      <c r="AI27" s="21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0</v>
      </c>
      <c r="BL27" s="22">
        <v>0</v>
      </c>
      <c r="BM27" s="22">
        <v>0</v>
      </c>
      <c r="BN27" s="22">
        <v>0</v>
      </c>
    </row>
    <row r="28" spans="1:66">
      <c r="A28" s="8"/>
      <c r="B28" s="53">
        <v>21</v>
      </c>
      <c r="C28" s="50">
        <v>35</v>
      </c>
      <c r="D28" s="57">
        <v>181</v>
      </c>
      <c r="E28" s="50">
        <v>11.1</v>
      </c>
      <c r="F28" s="54">
        <v>0</v>
      </c>
      <c r="G28" s="50">
        <v>0</v>
      </c>
      <c r="H28" s="50">
        <v>0</v>
      </c>
      <c r="I28" s="50">
        <v>0</v>
      </c>
      <c r="J28" s="52">
        <v>0</v>
      </c>
      <c r="K28" s="50">
        <v>10.7</v>
      </c>
      <c r="L28" s="52">
        <v>0</v>
      </c>
      <c r="M28" s="50">
        <v>5</v>
      </c>
      <c r="N28" s="52">
        <v>0</v>
      </c>
      <c r="O28" s="23">
        <v>0</v>
      </c>
      <c r="P28" s="51">
        <v>0</v>
      </c>
      <c r="Q28" s="21">
        <v>0</v>
      </c>
      <c r="R28" s="22">
        <v>0</v>
      </c>
      <c r="S28" s="22">
        <v>0</v>
      </c>
      <c r="T28" s="23">
        <v>0</v>
      </c>
      <c r="U28" s="50">
        <v>5</v>
      </c>
      <c r="V28" s="52">
        <v>0</v>
      </c>
      <c r="W28" s="50">
        <v>135</v>
      </c>
      <c r="X28" s="51">
        <v>0</v>
      </c>
      <c r="Y28" s="21">
        <v>0</v>
      </c>
      <c r="Z28" s="22">
        <v>0</v>
      </c>
      <c r="AA28" s="21">
        <v>0</v>
      </c>
      <c r="AB28" s="22">
        <v>0</v>
      </c>
      <c r="AC28" s="22">
        <v>0</v>
      </c>
      <c r="AD28" s="22">
        <v>0</v>
      </c>
      <c r="AE28" s="22">
        <v>0</v>
      </c>
      <c r="AF28" s="23">
        <v>0</v>
      </c>
      <c r="AG28" s="50">
        <v>460</v>
      </c>
      <c r="AH28" s="51">
        <v>0</v>
      </c>
      <c r="AI28" s="21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0</v>
      </c>
      <c r="BK28" s="22">
        <v>0</v>
      </c>
      <c r="BL28" s="22">
        <v>0</v>
      </c>
      <c r="BM28" s="22">
        <v>0</v>
      </c>
      <c r="BN28" s="22">
        <v>0</v>
      </c>
    </row>
    <row r="29" spans="1:66">
      <c r="A29" s="8"/>
      <c r="B29" s="53">
        <v>22</v>
      </c>
      <c r="C29" s="50">
        <v>28</v>
      </c>
      <c r="D29" s="57">
        <v>186</v>
      </c>
      <c r="E29" s="50">
        <v>9.1999999999999993</v>
      </c>
      <c r="F29" s="54">
        <v>0</v>
      </c>
      <c r="G29" s="50">
        <v>0</v>
      </c>
      <c r="H29" s="50">
        <v>0</v>
      </c>
      <c r="I29" s="50">
        <v>0</v>
      </c>
      <c r="J29" s="52">
        <v>0</v>
      </c>
      <c r="K29" s="50">
        <v>11.6</v>
      </c>
      <c r="L29" s="52">
        <v>0</v>
      </c>
      <c r="M29" s="50">
        <v>4.3</v>
      </c>
      <c r="N29" s="52">
        <v>0</v>
      </c>
      <c r="O29" s="23">
        <v>0</v>
      </c>
      <c r="P29" s="51">
        <v>0</v>
      </c>
      <c r="Q29" s="21">
        <v>0</v>
      </c>
      <c r="R29" s="22">
        <v>0</v>
      </c>
      <c r="S29" s="22">
        <v>0</v>
      </c>
      <c r="T29" s="23">
        <v>0</v>
      </c>
      <c r="U29" s="50">
        <v>2.6</v>
      </c>
      <c r="V29" s="52">
        <v>0</v>
      </c>
      <c r="W29" s="50">
        <v>108</v>
      </c>
      <c r="X29" s="51">
        <v>0</v>
      </c>
      <c r="Y29" s="21">
        <v>0</v>
      </c>
      <c r="Z29" s="22">
        <v>0</v>
      </c>
      <c r="AA29" s="21">
        <v>0</v>
      </c>
      <c r="AB29" s="22">
        <v>0</v>
      </c>
      <c r="AC29" s="22">
        <v>0</v>
      </c>
      <c r="AD29" s="22">
        <v>0</v>
      </c>
      <c r="AE29" s="22">
        <v>0</v>
      </c>
      <c r="AF29" s="23">
        <v>0</v>
      </c>
      <c r="AG29" s="50">
        <v>570</v>
      </c>
      <c r="AH29" s="51">
        <v>0</v>
      </c>
      <c r="AI29" s="21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0</v>
      </c>
    </row>
    <row r="30" spans="1:66">
      <c r="A30" s="8"/>
      <c r="B30" s="53">
        <v>23</v>
      </c>
      <c r="C30" s="50">
        <v>23</v>
      </c>
      <c r="D30" s="57">
        <v>158</v>
      </c>
      <c r="E30" s="50">
        <v>9.8999999999999986</v>
      </c>
      <c r="F30" s="54">
        <v>0</v>
      </c>
      <c r="G30" s="50">
        <v>0</v>
      </c>
      <c r="H30" s="50">
        <v>0</v>
      </c>
      <c r="I30" s="50">
        <v>0</v>
      </c>
      <c r="J30" s="52">
        <v>0</v>
      </c>
      <c r="K30" s="50">
        <v>10.6</v>
      </c>
      <c r="L30" s="52">
        <v>0</v>
      </c>
      <c r="M30" s="50">
        <v>5.6</v>
      </c>
      <c r="N30" s="52">
        <v>0</v>
      </c>
      <c r="O30" s="23">
        <v>0</v>
      </c>
      <c r="P30" s="51">
        <v>0</v>
      </c>
      <c r="Q30" s="21">
        <v>0</v>
      </c>
      <c r="R30" s="22">
        <v>0</v>
      </c>
      <c r="S30" s="22">
        <v>0</v>
      </c>
      <c r="T30" s="23">
        <v>0</v>
      </c>
      <c r="U30" s="50">
        <v>3</v>
      </c>
      <c r="V30" s="52">
        <v>0</v>
      </c>
      <c r="W30" s="50">
        <v>125.99999999999999</v>
      </c>
      <c r="X30" s="51">
        <v>0</v>
      </c>
      <c r="Y30" s="21">
        <v>0</v>
      </c>
      <c r="Z30" s="22">
        <v>0</v>
      </c>
      <c r="AA30" s="21">
        <v>0</v>
      </c>
      <c r="AB30" s="22">
        <v>0</v>
      </c>
      <c r="AC30" s="22">
        <v>0</v>
      </c>
      <c r="AD30" s="22">
        <v>0</v>
      </c>
      <c r="AE30" s="22">
        <v>0</v>
      </c>
      <c r="AF30" s="23">
        <v>0</v>
      </c>
      <c r="AG30" s="50">
        <v>590</v>
      </c>
      <c r="AH30" s="51">
        <v>0</v>
      </c>
      <c r="AI30" s="21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0</v>
      </c>
    </row>
    <row r="31" spans="1:66">
      <c r="A31" s="8"/>
      <c r="B31" s="53">
        <v>24</v>
      </c>
      <c r="C31" s="50">
        <v>25</v>
      </c>
      <c r="D31" s="57">
        <v>139</v>
      </c>
      <c r="E31" s="50">
        <v>10.3</v>
      </c>
      <c r="F31" s="54">
        <v>0</v>
      </c>
      <c r="G31" s="50">
        <v>0</v>
      </c>
      <c r="H31" s="50">
        <v>0</v>
      </c>
      <c r="I31" s="50">
        <v>0</v>
      </c>
      <c r="J31" s="52">
        <v>0</v>
      </c>
      <c r="K31" s="50">
        <v>9.6</v>
      </c>
      <c r="L31" s="52">
        <v>0</v>
      </c>
      <c r="M31" s="50">
        <v>4.9000000000000004</v>
      </c>
      <c r="N31" s="52">
        <v>0</v>
      </c>
      <c r="O31" s="23">
        <v>0</v>
      </c>
      <c r="P31" s="51">
        <v>0</v>
      </c>
      <c r="Q31" s="21">
        <v>0</v>
      </c>
      <c r="R31" s="22">
        <v>0</v>
      </c>
      <c r="S31" s="22">
        <v>0</v>
      </c>
      <c r="T31" s="23">
        <v>0</v>
      </c>
      <c r="U31" s="50">
        <v>2.6</v>
      </c>
      <c r="V31" s="52">
        <v>0</v>
      </c>
      <c r="W31" s="50">
        <v>108</v>
      </c>
      <c r="X31" s="51">
        <v>0</v>
      </c>
      <c r="Y31" s="21">
        <v>0</v>
      </c>
      <c r="Z31" s="22">
        <v>0</v>
      </c>
      <c r="AA31" s="21">
        <v>0</v>
      </c>
      <c r="AB31" s="22">
        <v>0</v>
      </c>
      <c r="AC31" s="22">
        <v>0</v>
      </c>
      <c r="AD31" s="22">
        <v>0</v>
      </c>
      <c r="AE31" s="22">
        <v>0</v>
      </c>
      <c r="AF31" s="23">
        <v>0</v>
      </c>
      <c r="AG31" s="50">
        <v>494.99999999999994</v>
      </c>
      <c r="AH31" s="51">
        <v>0</v>
      </c>
      <c r="AI31" s="21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2">
        <v>0</v>
      </c>
      <c r="BL31" s="22">
        <v>0</v>
      </c>
      <c r="BM31" s="22">
        <v>0</v>
      </c>
      <c r="BN31" s="22">
        <v>0</v>
      </c>
    </row>
    <row r="32" spans="1:66">
      <c r="A32" s="8"/>
      <c r="B32" s="53">
        <v>25</v>
      </c>
      <c r="C32" s="50">
        <v>25</v>
      </c>
      <c r="D32" s="57">
        <v>129</v>
      </c>
      <c r="E32" s="50">
        <v>10.7</v>
      </c>
      <c r="F32" s="54">
        <v>0</v>
      </c>
      <c r="G32" s="50">
        <v>0</v>
      </c>
      <c r="H32" s="50">
        <v>0</v>
      </c>
      <c r="I32" s="50">
        <v>0</v>
      </c>
      <c r="J32" s="52">
        <v>0</v>
      </c>
      <c r="K32" s="50">
        <v>12.8</v>
      </c>
      <c r="L32" s="52">
        <v>0</v>
      </c>
      <c r="M32" s="50">
        <v>4.0999999999999996</v>
      </c>
      <c r="N32" s="52">
        <v>0</v>
      </c>
      <c r="O32" s="23">
        <v>0</v>
      </c>
      <c r="P32" s="51">
        <v>0</v>
      </c>
      <c r="Q32" s="21">
        <v>0</v>
      </c>
      <c r="R32" s="22">
        <v>0</v>
      </c>
      <c r="S32" s="22">
        <v>0</v>
      </c>
      <c r="T32" s="23">
        <v>0</v>
      </c>
      <c r="U32" s="50">
        <v>3</v>
      </c>
      <c r="V32" s="52">
        <v>0</v>
      </c>
      <c r="W32" s="50">
        <v>117</v>
      </c>
      <c r="X32" s="51">
        <v>0</v>
      </c>
      <c r="Y32" s="21">
        <v>0</v>
      </c>
      <c r="Z32" s="22">
        <v>0</v>
      </c>
      <c r="AA32" s="21">
        <v>0</v>
      </c>
      <c r="AB32" s="22">
        <v>0</v>
      </c>
      <c r="AC32" s="22">
        <v>0</v>
      </c>
      <c r="AD32" s="22">
        <v>0</v>
      </c>
      <c r="AE32" s="22">
        <v>0</v>
      </c>
      <c r="AF32" s="23">
        <v>0</v>
      </c>
      <c r="AG32" s="50">
        <v>500</v>
      </c>
      <c r="AH32" s="51">
        <v>0</v>
      </c>
      <c r="AI32" s="21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0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0</v>
      </c>
    </row>
    <row r="33" spans="1:66">
      <c r="A33" s="8"/>
      <c r="B33" s="53">
        <v>26</v>
      </c>
      <c r="C33" s="50">
        <v>25</v>
      </c>
      <c r="D33" s="57">
        <v>123</v>
      </c>
      <c r="E33" s="50">
        <v>9</v>
      </c>
      <c r="F33" s="54">
        <v>0</v>
      </c>
      <c r="G33" s="50">
        <v>0</v>
      </c>
      <c r="H33" s="50">
        <v>0</v>
      </c>
      <c r="I33" s="50">
        <v>0</v>
      </c>
      <c r="J33" s="52">
        <v>0</v>
      </c>
      <c r="K33" s="50">
        <v>9.5</v>
      </c>
      <c r="L33" s="52">
        <v>0</v>
      </c>
      <c r="M33" s="50">
        <v>3.4000000000000004</v>
      </c>
      <c r="N33" s="52">
        <v>0</v>
      </c>
      <c r="O33" s="23">
        <v>0</v>
      </c>
      <c r="P33" s="51">
        <v>0</v>
      </c>
      <c r="Q33" s="21">
        <v>0</v>
      </c>
      <c r="R33" s="22">
        <v>0</v>
      </c>
      <c r="S33" s="22">
        <v>0</v>
      </c>
      <c r="T33" s="23">
        <v>0</v>
      </c>
      <c r="U33" s="50">
        <v>3.2</v>
      </c>
      <c r="V33" s="52">
        <v>0</v>
      </c>
      <c r="W33" s="50">
        <v>125.99999999999999</v>
      </c>
      <c r="X33" s="51">
        <v>0</v>
      </c>
      <c r="Y33" s="21">
        <v>0</v>
      </c>
      <c r="Z33" s="22">
        <v>0</v>
      </c>
      <c r="AA33" s="21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50">
        <v>385</v>
      </c>
      <c r="AH33" s="51">
        <v>0</v>
      </c>
      <c r="AI33" s="21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0</v>
      </c>
    </row>
    <row r="34" spans="1:66">
      <c r="A34" s="8"/>
      <c r="B34" s="53">
        <v>27</v>
      </c>
      <c r="C34" s="50">
        <v>22</v>
      </c>
      <c r="D34" s="57">
        <v>0</v>
      </c>
      <c r="E34" s="50">
        <v>10.1</v>
      </c>
      <c r="F34" s="54">
        <v>0</v>
      </c>
      <c r="G34" s="50">
        <v>0</v>
      </c>
      <c r="H34" s="50">
        <v>0</v>
      </c>
      <c r="I34" s="50">
        <v>0</v>
      </c>
      <c r="J34" s="52">
        <v>0</v>
      </c>
      <c r="K34" s="50">
        <v>9.9</v>
      </c>
      <c r="L34" s="52">
        <v>0</v>
      </c>
      <c r="M34" s="50">
        <v>5.0999999999999996</v>
      </c>
      <c r="N34" s="52">
        <v>0</v>
      </c>
      <c r="O34" s="23">
        <v>0</v>
      </c>
      <c r="P34" s="51">
        <v>0</v>
      </c>
      <c r="Q34" s="21">
        <v>0</v>
      </c>
      <c r="R34" s="22">
        <v>0</v>
      </c>
      <c r="S34" s="22">
        <v>0</v>
      </c>
      <c r="T34" s="23">
        <v>0</v>
      </c>
      <c r="U34" s="50">
        <v>3.4</v>
      </c>
      <c r="V34" s="52">
        <v>0</v>
      </c>
      <c r="W34" s="50">
        <v>108</v>
      </c>
      <c r="X34" s="51">
        <v>0</v>
      </c>
      <c r="Y34" s="21">
        <v>0</v>
      </c>
      <c r="Z34" s="22">
        <v>0</v>
      </c>
      <c r="AA34" s="21">
        <v>0</v>
      </c>
      <c r="AB34" s="22">
        <v>0</v>
      </c>
      <c r="AC34" s="22">
        <v>0</v>
      </c>
      <c r="AD34" s="22">
        <v>0</v>
      </c>
      <c r="AE34" s="22">
        <v>0</v>
      </c>
      <c r="AF34" s="23">
        <v>0</v>
      </c>
      <c r="AG34" s="50">
        <v>390</v>
      </c>
      <c r="AH34" s="51">
        <v>0</v>
      </c>
      <c r="AI34" s="21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2">
        <v>0</v>
      </c>
      <c r="BF34" s="22">
        <v>0</v>
      </c>
      <c r="BG34" s="22">
        <v>0</v>
      </c>
      <c r="BH34" s="22">
        <v>0</v>
      </c>
      <c r="BI34" s="22">
        <v>0</v>
      </c>
      <c r="BJ34" s="22">
        <v>0</v>
      </c>
      <c r="BK34" s="22">
        <v>0</v>
      </c>
      <c r="BL34" s="22">
        <v>0</v>
      </c>
      <c r="BM34" s="22">
        <v>0</v>
      </c>
      <c r="BN34" s="22">
        <v>0</v>
      </c>
    </row>
    <row r="35" spans="1:66">
      <c r="A35" s="8"/>
      <c r="B35" s="53">
        <v>28</v>
      </c>
      <c r="C35" s="50">
        <v>25</v>
      </c>
      <c r="D35" s="57">
        <v>272</v>
      </c>
      <c r="E35" s="50">
        <v>8</v>
      </c>
      <c r="F35" s="54">
        <v>0</v>
      </c>
      <c r="G35" s="50">
        <v>0</v>
      </c>
      <c r="H35" s="50">
        <v>0</v>
      </c>
      <c r="I35" s="50">
        <v>0</v>
      </c>
      <c r="J35" s="52">
        <v>0</v>
      </c>
      <c r="K35" s="50">
        <v>11.6</v>
      </c>
      <c r="L35" s="52">
        <v>0</v>
      </c>
      <c r="M35" s="50">
        <v>3.9</v>
      </c>
      <c r="N35" s="52">
        <v>0</v>
      </c>
      <c r="O35" s="23">
        <v>0</v>
      </c>
      <c r="P35" s="51">
        <v>0</v>
      </c>
      <c r="Q35" s="21">
        <v>0</v>
      </c>
      <c r="R35" s="22">
        <v>0</v>
      </c>
      <c r="S35" s="22">
        <v>0</v>
      </c>
      <c r="T35" s="23">
        <v>0</v>
      </c>
      <c r="U35" s="50">
        <v>2.8</v>
      </c>
      <c r="V35" s="52">
        <v>0</v>
      </c>
      <c r="W35" s="50">
        <v>117</v>
      </c>
      <c r="X35" s="51">
        <v>0</v>
      </c>
      <c r="Y35" s="21">
        <v>0</v>
      </c>
      <c r="Z35" s="22">
        <v>0</v>
      </c>
      <c r="AA35" s="21">
        <v>0</v>
      </c>
      <c r="AB35" s="22">
        <v>0</v>
      </c>
      <c r="AC35" s="22">
        <v>0</v>
      </c>
      <c r="AD35" s="22">
        <v>0</v>
      </c>
      <c r="AE35" s="22">
        <v>0</v>
      </c>
      <c r="AF35" s="23">
        <v>0</v>
      </c>
      <c r="AG35" s="50">
        <v>415</v>
      </c>
      <c r="AH35" s="51">
        <v>0</v>
      </c>
      <c r="AI35" s="21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</row>
    <row r="36" spans="1:66">
      <c r="A36" s="8"/>
      <c r="B36" s="53">
        <v>28</v>
      </c>
      <c r="C36" s="50">
        <v>25</v>
      </c>
      <c r="D36" s="57">
        <v>272</v>
      </c>
      <c r="E36" s="50">
        <v>10.1</v>
      </c>
      <c r="F36" s="77"/>
      <c r="G36" s="77"/>
      <c r="H36" s="77"/>
      <c r="I36" s="77"/>
      <c r="J36" s="78"/>
      <c r="K36" s="50">
        <v>10</v>
      </c>
      <c r="L36" s="78"/>
      <c r="M36" s="50">
        <v>5.8</v>
      </c>
      <c r="N36" s="78"/>
      <c r="O36" s="79"/>
      <c r="P36" s="80"/>
      <c r="Q36" s="81"/>
      <c r="R36" s="82"/>
      <c r="S36" s="82"/>
      <c r="T36" s="79"/>
      <c r="U36" s="50">
        <v>4.5999999999999996</v>
      </c>
      <c r="V36" s="78"/>
      <c r="W36" s="50">
        <v>125.99999999999999</v>
      </c>
      <c r="X36" s="80"/>
      <c r="Y36" s="81"/>
      <c r="Z36" s="82"/>
      <c r="AA36" s="81"/>
      <c r="AB36" s="82"/>
      <c r="AC36" s="82"/>
      <c r="AD36" s="82"/>
      <c r="AE36" s="82"/>
      <c r="AF36" s="79"/>
      <c r="AG36" s="50">
        <v>410</v>
      </c>
      <c r="AH36" s="80"/>
      <c r="AI36" s="81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</row>
    <row r="37" spans="1:66">
      <c r="A37" s="4"/>
      <c r="B37" s="24"/>
      <c r="C37" s="25">
        <f>SUM(C8:C35)</f>
        <v>880</v>
      </c>
      <c r="D37" s="25">
        <f>SUM(D8:D35)</f>
        <v>4854</v>
      </c>
      <c r="E37" s="58">
        <f>SUM(E8:E35)</f>
        <v>270.60000000000002</v>
      </c>
      <c r="F37" s="26">
        <v>0</v>
      </c>
      <c r="G37" s="28">
        <f>SUM(G8:G35)</f>
        <v>0</v>
      </c>
      <c r="H37" s="26">
        <v>0</v>
      </c>
      <c r="I37" s="28">
        <f>SUM(I8:I35)</f>
        <v>0</v>
      </c>
      <c r="J37" s="26">
        <v>0</v>
      </c>
      <c r="K37" s="58">
        <f>SUM(K8:K35)</f>
        <v>302.70000000000005</v>
      </c>
      <c r="L37" s="28"/>
      <c r="M37" s="58"/>
      <c r="N37" s="28"/>
      <c r="O37" s="28"/>
      <c r="P37" s="28"/>
      <c r="Q37" s="28">
        <f>SUM(Q8:Q35)</f>
        <v>0</v>
      </c>
      <c r="R37" s="28"/>
      <c r="S37" s="28">
        <f>SUM(S8:S35)</f>
        <v>0</v>
      </c>
      <c r="T37" s="28"/>
      <c r="U37" s="58">
        <f>SUM(U8:U35)</f>
        <v>94.399999999999991</v>
      </c>
      <c r="V37" s="28"/>
      <c r="W37" s="58">
        <f>SUM(W8:W35)</f>
        <v>3451.5</v>
      </c>
      <c r="X37" s="29">
        <f>SUM(X8:X35)</f>
        <v>17800000</v>
      </c>
      <c r="Y37" s="30">
        <v>0</v>
      </c>
      <c r="Z37" s="28"/>
      <c r="AA37" s="28">
        <f>SUM(AA8:AA35)</f>
        <v>0</v>
      </c>
      <c r="AB37" s="28"/>
      <c r="AC37" s="28"/>
      <c r="AD37" s="28"/>
      <c r="AE37" s="28"/>
      <c r="AF37" s="28"/>
      <c r="AG37" s="58">
        <f>SUM(AG8:AG35)</f>
        <v>13500</v>
      </c>
      <c r="AH37" s="28"/>
      <c r="AI37" s="28">
        <f>SUM(AI8:AI35)</f>
        <v>0</v>
      </c>
      <c r="AJ37" s="28"/>
      <c r="AK37" s="28"/>
      <c r="AL37" s="28"/>
      <c r="AM37" s="28"/>
      <c r="AN37" s="28"/>
      <c r="AO37" s="28"/>
      <c r="AP37" s="28"/>
      <c r="AQ37" s="28">
        <f>SUM(AQ8:AQ35)</f>
        <v>0</v>
      </c>
      <c r="AR37" s="28">
        <f>SUM(AR8:AR35)</f>
        <v>0</v>
      </c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</row>
    <row r="38" spans="1:66">
      <c r="A38" s="4"/>
      <c r="B38" s="4"/>
      <c r="C38" s="14"/>
      <c r="D38" s="15"/>
    </row>
    <row r="41" spans="1:66">
      <c r="AC41" s="18">
        <v>430</v>
      </c>
      <c r="AD41" s="18">
        <v>465</v>
      </c>
      <c r="AE41" s="18">
        <v>420</v>
      </c>
      <c r="AF41" s="18">
        <v>435</v>
      </c>
      <c r="AG41" s="18">
        <v>490</v>
      </c>
      <c r="AH41" s="18">
        <v>499.99999999999994</v>
      </c>
      <c r="AI41" s="18">
        <v>520</v>
      </c>
      <c r="AJ41" s="18">
        <v>355</v>
      </c>
      <c r="AK41" s="18">
        <v>400</v>
      </c>
      <c r="AL41" s="18">
        <v>604.99999999999989</v>
      </c>
      <c r="AM41" s="18">
        <v>614.99999999999989</v>
      </c>
      <c r="AN41" s="18">
        <v>465</v>
      </c>
      <c r="AO41" s="18">
        <v>610</v>
      </c>
      <c r="AP41" s="18">
        <v>494.99999999999994</v>
      </c>
      <c r="AQ41" s="18">
        <v>620</v>
      </c>
      <c r="AR41" s="18">
        <v>440</v>
      </c>
      <c r="AS41" s="18">
        <v>410</v>
      </c>
      <c r="AT41" s="18">
        <v>469.99999999999994</v>
      </c>
      <c r="AU41" s="18">
        <v>430</v>
      </c>
      <c r="AV41" s="18">
        <v>520</v>
      </c>
      <c r="AW41" s="18">
        <v>460</v>
      </c>
      <c r="AX41" s="18">
        <v>570</v>
      </c>
      <c r="AY41" s="18">
        <v>590</v>
      </c>
      <c r="AZ41" s="18">
        <v>494.99999999999994</v>
      </c>
      <c r="BA41" s="18">
        <v>500</v>
      </c>
      <c r="BB41" s="18">
        <v>385</v>
      </c>
      <c r="BC41" s="18">
        <v>390</v>
      </c>
      <c r="BD41" s="18">
        <v>415</v>
      </c>
      <c r="BE41" s="18">
        <v>410</v>
      </c>
    </row>
    <row r="43" spans="1:66">
      <c r="U43" s="18">
        <v>108</v>
      </c>
      <c r="V43" s="18">
        <v>117</v>
      </c>
      <c r="W43" s="18">
        <v>125.99999999999999</v>
      </c>
      <c r="X43" s="18">
        <v>144</v>
      </c>
      <c r="Y43" s="18">
        <v>108</v>
      </c>
      <c r="Z43" s="18">
        <v>121.50000000000001</v>
      </c>
      <c r="AA43" s="18">
        <v>125.99999999999999</v>
      </c>
      <c r="AB43" s="18">
        <v>135</v>
      </c>
      <c r="AC43" s="18">
        <v>144</v>
      </c>
      <c r="AD43" s="18">
        <v>117</v>
      </c>
      <c r="AE43" s="18">
        <v>125.99999999999999</v>
      </c>
      <c r="AF43" s="18">
        <v>121.50000000000001</v>
      </c>
      <c r="AG43" s="18">
        <v>125.99999999999999</v>
      </c>
      <c r="AH43" s="18">
        <v>108</v>
      </c>
      <c r="AI43" s="18">
        <v>125.99999999999999</v>
      </c>
      <c r="AJ43" s="18">
        <v>144</v>
      </c>
      <c r="AK43" s="18">
        <v>117</v>
      </c>
      <c r="AL43" s="18">
        <v>121.50000000000001</v>
      </c>
      <c r="AM43" s="18">
        <v>125.99999999999999</v>
      </c>
      <c r="AN43" s="18">
        <v>144</v>
      </c>
      <c r="AO43" s="18">
        <v>135</v>
      </c>
      <c r="AP43" s="18">
        <v>108</v>
      </c>
      <c r="AQ43" s="18">
        <v>125.99999999999999</v>
      </c>
      <c r="AR43" s="18">
        <v>108</v>
      </c>
      <c r="AS43" s="18">
        <v>117</v>
      </c>
      <c r="AT43" s="18">
        <v>125.99999999999999</v>
      </c>
      <c r="AU43" s="18">
        <v>108</v>
      </c>
      <c r="AV43" s="18">
        <v>117</v>
      </c>
      <c r="AW43" s="18">
        <v>125.99999999999999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2023-02-24T10:41:31Z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