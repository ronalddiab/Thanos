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J335" i="4"/>
  <c r="K335" i="4" s="1"/>
  <c r="S334" i="4"/>
  <c r="R334" i="4"/>
  <c r="O334" i="4"/>
  <c r="L334" i="4"/>
  <c r="M334" i="4" s="1"/>
  <c r="J334" i="4"/>
  <c r="K334" i="4" s="1"/>
  <c r="S333" i="4"/>
  <c r="R333" i="4"/>
  <c r="P333" i="4"/>
  <c r="P335" i="4" s="1"/>
  <c r="O333" i="4"/>
  <c r="L333" i="4"/>
  <c r="M333" i="4" s="1"/>
  <c r="J333" i="4"/>
  <c r="K333" i="4" s="1"/>
  <c r="S332" i="4"/>
  <c r="R332" i="4"/>
  <c r="O332" i="4"/>
  <c r="L332" i="4"/>
  <c r="M332" i="4" s="1"/>
  <c r="J332" i="4"/>
  <c r="K332" i="4" s="1"/>
  <c r="S331" i="4"/>
  <c r="R331" i="4"/>
  <c r="P331" i="4"/>
  <c r="O331" i="4"/>
  <c r="L331" i="4"/>
  <c r="M331" i="4" s="1"/>
  <c r="J331" i="4"/>
  <c r="K331" i="4" s="1"/>
  <c r="S330" i="4"/>
  <c r="R330" i="4"/>
  <c r="O330" i="4"/>
  <c r="L330" i="4"/>
  <c r="M330" i="4" s="1"/>
  <c r="J330" i="4"/>
  <c r="K330" i="4" s="1"/>
  <c r="S329" i="4"/>
  <c r="R329" i="4"/>
  <c r="O329" i="4"/>
  <c r="L329" i="4"/>
  <c r="M329" i="4" s="1"/>
  <c r="J329" i="4"/>
  <c r="K329" i="4" s="1"/>
  <c r="S328" i="4"/>
  <c r="R328" i="4"/>
  <c r="O328" i="4"/>
  <c r="L328" i="4"/>
  <c r="M328" i="4" s="1"/>
  <c r="J328" i="4"/>
  <c r="K328" i="4" s="1"/>
  <c r="S327" i="4"/>
  <c r="R327" i="4"/>
  <c r="O327" i="4"/>
  <c r="L327" i="4"/>
  <c r="M327" i="4" s="1"/>
  <c r="J327" i="4"/>
  <c r="K327" i="4" s="1"/>
  <c r="S326" i="4"/>
  <c r="R326" i="4"/>
  <c r="O326" i="4"/>
  <c r="L326" i="4"/>
  <c r="M326" i="4" s="1"/>
  <c r="J326" i="4"/>
  <c r="K326" i="4" s="1"/>
  <c r="S325" i="4"/>
  <c r="R325" i="4"/>
  <c r="O325" i="4"/>
  <c r="L325" i="4"/>
  <c r="M325" i="4" s="1"/>
  <c r="K325" i="4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<sst xmlns="http://schemas.openxmlformats.org/spreadsheetml/2006/main" count="608" uniqueCount="78">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</sst>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97" workbookViewId="0">
      <selection activeCell="P312" sqref="P31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0.85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0.85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0.85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0.85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0.85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0.85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0.85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0.85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0.85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0.85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0.85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0.85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0.85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0.85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>
        <v>0.85</v>
      </c>
      <c r="G320" s="4" t="str">
        <f>'Gas Water'!M322</f>
        <v/>
      </c>
      <c r="H320" s="153">
        <v>3.85</v>
      </c>
      <c r="I320" s="2" t="str">
        <f>'Gas Water'!L322</f>
        <v/>
      </c>
      <c r="J320" s="153">
        <v>13.9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>
        <v>0.85</v>
      </c>
      <c r="G321" s="4" t="str">
        <f>'Gas Water'!M323</f>
        <v/>
      </c>
      <c r="H321" s="153">
        <v>3.85</v>
      </c>
      <c r="I321" s="2" t="str">
        <f>'Gas Water'!L323</f>
        <v/>
      </c>
      <c r="J321" s="153">
        <v>13.9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>
        <v>0.85</v>
      </c>
      <c r="G322" s="4" t="str">
        <f>'Gas Water'!M324</f>
        <v/>
      </c>
      <c r="H322" s="153">
        <v>3.85</v>
      </c>
      <c r="I322" s="2" t="str">
        <f>'Gas Water'!L324</f>
        <v/>
      </c>
      <c r="J322" s="153">
        <v>13.9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>
        <v>0.85</v>
      </c>
      <c r="G323" s="4" t="str">
        <f>'Gas Water'!M325</f>
        <v/>
      </c>
      <c r="H323" s="153">
        <v>3.85</v>
      </c>
      <c r="I323" s="2" t="str">
        <f>'Gas Water'!L325</f>
        <v/>
      </c>
      <c r="J323" s="153">
        <v>13.9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>
        <v>0.85</v>
      </c>
      <c r="G324" s="4" t="str">
        <f>'Gas Water'!M326</f>
        <v/>
      </c>
      <c r="H324" s="153">
        <v>3.85</v>
      </c>
      <c r="I324" s="2" t="str">
        <f>'Gas Water'!L326</f>
        <v/>
      </c>
      <c r="J324" s="153">
        <v>13.9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>
        <v>0.85</v>
      </c>
      <c r="G325" s="4" t="str">
        <f>'Gas Water'!M327</f>
        <v/>
      </c>
      <c r="H325" s="153">
        <v>3.85</v>
      </c>
      <c r="I325" s="2" t="str">
        <f>'Gas Water'!L327</f>
        <v/>
      </c>
      <c r="J325" s="153">
        <v>13.9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>
        <v>0.85</v>
      </c>
      <c r="G326" s="4" t="str">
        <f>'Gas Water'!M328</f>
        <v/>
      </c>
      <c r="H326" s="153">
        <v>3.85</v>
      </c>
      <c r="I326" s="2" t="str">
        <f>'Gas Water'!L328</f>
        <v/>
      </c>
      <c r="J326" s="153">
        <v>13.9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>
        <v>0.85</v>
      </c>
      <c r="G327" s="4" t="str">
        <f>'Gas Water'!M329</f>
        <v/>
      </c>
      <c r="H327" s="153">
        <v>3.85</v>
      </c>
      <c r="I327" s="2" t="str">
        <f>'Gas Water'!L329</f>
        <v/>
      </c>
      <c r="J327" s="153">
        <v>13.9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>
        <v>0.85</v>
      </c>
      <c r="G328" s="4" t="str">
        <f>'Gas Water'!M330</f>
        <v/>
      </c>
      <c r="H328" s="153">
        <v>3.85</v>
      </c>
      <c r="I328" s="2" t="str">
        <f>'Gas Water'!L330</f>
        <v/>
      </c>
      <c r="J328" s="153">
        <v>13.9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>
        <v>0.85</v>
      </c>
      <c r="G329" s="4" t="str">
        <f>'Gas Water'!M331</f>
        <v/>
      </c>
      <c r="H329" s="153">
        <v>3.85</v>
      </c>
      <c r="I329" s="2" t="str">
        <f>'Gas Water'!L331</f>
        <v/>
      </c>
      <c r="J329" s="153">
        <v>13.9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>
        <v>0.85</v>
      </c>
      <c r="G330" s="4" t="str">
        <f>'Gas Water'!M332</f>
        <v/>
      </c>
      <c r="H330" s="153">
        <v>3.85</v>
      </c>
      <c r="I330" s="2" t="str">
        <f>'Gas Water'!L332</f>
        <v/>
      </c>
      <c r="J330" s="153">
        <v>13.9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>
        <v>0.85</v>
      </c>
      <c r="G331" s="4" t="str">
        <f>'Gas Water'!M333</f>
        <v/>
      </c>
      <c r="H331" s="153">
        <v>3.85</v>
      </c>
      <c r="I331" s="2" t="str">
        <f>'Gas Water'!L333</f>
        <v/>
      </c>
      <c r="J331" s="153">
        <v>13.9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0.85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0.85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0.85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0.85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80" workbookViewId="0">
      <selection activeCell="S313" sqref="S31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2438</v>
      </c>
      <c r="O331" s="32">
        <f>SUM(M309:M338)</f>
        <v>23383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187.53846153846155</v>
      </c>
      <c r="O334" s="32">
        <f>AVERAGE(M309:M338)</f>
        <v>1798.6923076923076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565798</v>
      </c>
      <c r="J371" s="40">
        <f t="shared" si="30"/>
        <v>58742</v>
      </c>
      <c r="K371" s="40">
        <f t="shared" si="30"/>
        <v>53978</v>
      </c>
      <c r="L371" s="40">
        <f t="shared" si="30"/>
        <v>59884</v>
      </c>
      <c r="M371" s="40">
        <f t="shared" si="30"/>
        <v>678518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J330" sqref="J330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36" si="42">IF(D316="","",+(E316-E315)*4140)</f>
        <v>22960.440000000202</v>
      </c>
      <c r="J316" s="59">
        <f t="shared" ref="J316:J325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si="42"/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2"/>
        <v/>
      </c>
      <c r="J326" s="59" t="str">
        <f t="shared" ref="I326:J368" si="47">IF(E326="","",+(E326-E325)*4140)</f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2"/>
        <v/>
      </c>
      <c r="J327" s="59" t="str">
        <f t="shared" si="47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2"/>
        <v/>
      </c>
      <c r="J328" s="59" t="str">
        <f t="shared" si="47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2.3592958122165945E-2</v>
      </c>
      <c r="Q328" s="70">
        <f>IF(L308="",0,+SUM(L308:L337)/SUM(I308:I337))</f>
        <v>2.3592958122165945E-2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2"/>
        <v/>
      </c>
      <c r="J329" s="59" t="str">
        <f t="shared" si="47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2"/>
        <v/>
      </c>
      <c r="J330" s="59" t="str">
        <f t="shared" si="47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2"/>
        <v/>
      </c>
      <c r="J331" s="59" t="str">
        <f t="shared" si="47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2"/>
        <v/>
      </c>
      <c r="J332" s="59" t="str">
        <f t="shared" si="47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7"/>
        <v/>
      </c>
      <c r="K333" s="60" t="str">
        <f t="shared" ref="K333:K337" si="49">IF(J333="","",+(J333/I333))</f>
        <v/>
      </c>
      <c r="L333" s="59" t="str">
        <f t="shared" si="46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7"/>
        <v/>
      </c>
      <c r="K334" s="60" t="str">
        <f t="shared" si="49"/>
        <v/>
      </c>
      <c r="L334" s="59" t="str">
        <f t="shared" si="46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7"/>
        <v/>
      </c>
      <c r="K335" s="60" t="str">
        <f t="shared" si="49"/>
        <v/>
      </c>
      <c r="L335" s="59" t="str">
        <f t="shared" si="46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si="47"/>
        <v/>
      </c>
      <c r="K336" s="60" t="str">
        <f t="shared" si="49"/>
        <v/>
      </c>
      <c r="L336" s="59" t="str">
        <f t="shared" si="46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7"/>
        <v/>
      </c>
      <c r="J337" s="90" t="str">
        <f t="shared" si="47"/>
        <v/>
      </c>
      <c r="K337" s="60" t="str">
        <f t="shared" si="49"/>
        <v/>
      </c>
      <c r="L337" s="90" t="str">
        <f t="shared" si="46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7"/>
        <v/>
      </c>
      <c r="J338" s="59" t="str">
        <f t="shared" si="47"/>
        <v/>
      </c>
      <c r="K338" s="60" t="str">
        <f t="shared" ref="K338:K368" si="51">IF(J338="","",+(J338/I338))</f>
        <v/>
      </c>
      <c r="L338" s="59" t="str">
        <f t="shared" si="46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7"/>
        <v/>
      </c>
      <c r="J339" s="59" t="str">
        <f t="shared" si="47"/>
        <v/>
      </c>
      <c r="K339" s="60" t="str">
        <f t="shared" si="51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7"/>
        <v/>
      </c>
      <c r="J340" s="59" t="str">
        <f t="shared" si="47"/>
        <v/>
      </c>
      <c r="K340" s="60" t="str">
        <f t="shared" si="51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7"/>
        <v/>
      </c>
      <c r="J341" s="59" t="str">
        <f t="shared" si="47"/>
        <v/>
      </c>
      <c r="K341" s="60" t="str">
        <f t="shared" si="51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7"/>
        <v/>
      </c>
      <c r="J342" s="59" t="str">
        <f t="shared" si="47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7"/>
        <v/>
      </c>
      <c r="J343" s="59" t="str">
        <f t="shared" si="47"/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7"/>
        <v/>
      </c>
      <c r="J344" s="59" t="str">
        <f t="shared" si="47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7"/>
        <v/>
      </c>
      <c r="J345" s="59" t="str">
        <f t="shared" si="47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7"/>
        <v/>
      </c>
      <c r="J346" s="59" t="str">
        <f t="shared" si="47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7"/>
        <v/>
      </c>
      <c r="J347" s="59" t="str">
        <f t="shared" si="47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7"/>
        <v/>
      </c>
      <c r="J348" s="59" t="str">
        <f t="shared" si="47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7"/>
        <v/>
      </c>
      <c r="J349" s="59" t="str">
        <f t="shared" si="47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7"/>
        <v/>
      </c>
      <c r="J350" s="59" t="str">
        <f t="shared" si="47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7"/>
        <v/>
      </c>
      <c r="J351" s="59" t="str">
        <f t="shared" si="47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7"/>
        <v/>
      </c>
      <c r="J352" s="59" t="str">
        <f t="shared" si="47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7"/>
        <v/>
      </c>
      <c r="J353" s="59" t="str">
        <f t="shared" si="47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7"/>
        <v/>
      </c>
      <c r="J354" s="59" t="str">
        <f t="shared" si="47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7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7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7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7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7"/>
        <v/>
      </c>
      <c r="J359" s="59" t="str">
        <f t="shared" si="47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7"/>
        <v/>
      </c>
      <c r="J360" s="59" t="str">
        <f t="shared" si="47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7"/>
        <v/>
      </c>
      <c r="J361" s="59" t="str">
        <f t="shared" si="47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7"/>
        <v/>
      </c>
      <c r="J362" s="59" t="str">
        <f t="shared" si="47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7"/>
        <v/>
      </c>
      <c r="J363" s="59" t="str">
        <f t="shared" si="47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7"/>
        <v/>
      </c>
      <c r="J364" s="59" t="str">
        <f t="shared" si="47"/>
        <v/>
      </c>
      <c r="K364" s="60" t="str">
        <f t="shared" si="51"/>
        <v/>
      </c>
      <c r="L364" s="59" t="str">
        <f t="shared" si="46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7"/>
        <v/>
      </c>
      <c r="J365" s="59" t="str">
        <f t="shared" si="47"/>
        <v/>
      </c>
      <c r="K365" s="60" t="str">
        <f t="shared" si="51"/>
        <v/>
      </c>
      <c r="L365" s="59" t="str">
        <f t="shared" si="46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7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7"/>
        <v/>
      </c>
      <c r="J367" s="59" t="str">
        <f t="shared" si="47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7"/>
        <v/>
      </c>
      <c r="J368" s="90" t="str">
        <f t="shared" si="47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8253756.0599999987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2021-11-15T06:13:38Z</dcterms:modified>
  <cp:category/>
  <cp:contentStatus/>
</cp:coreProperties>
</file>