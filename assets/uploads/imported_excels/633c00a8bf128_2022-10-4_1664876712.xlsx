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935506FB-85CD-4123-AB09-DB4B1F25ACA5}" xr6:coauthVersionLast="47" xr6:coauthVersionMax="47" xr10:uidLastSave="{00000000-0000-0000-0000-000000000000}"/>
  <bookViews>
    <workbookView xWindow="-120" yWindow="-120" windowWidth="20730" windowHeight="11160" tabRatio="598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Gas!$A$1:$AJ$34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4" l="1"/>
  <c r="K3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6" i="4"/>
  <c r="F35" i="4"/>
  <c r="F34" i="4"/>
  <c r="F33" i="4"/>
  <c r="E5" i="3"/>
  <c r="E6" i="3"/>
  <c r="AG33" i="5"/>
  <c r="AA31" i="8" s="1"/>
  <c r="AG32" i="5"/>
  <c r="AA30" i="8" s="1"/>
  <c r="AG31" i="5"/>
  <c r="AA29" i="8" s="1"/>
  <c r="AG30" i="5"/>
  <c r="AA28" i="8" s="1"/>
  <c r="AG29" i="5"/>
  <c r="AA27" i="8" s="1"/>
  <c r="AG28" i="5"/>
  <c r="AA26" i="8" s="1"/>
  <c r="AG27" i="5"/>
  <c r="AA25" i="8" s="1"/>
  <c r="AG26" i="5"/>
  <c r="AA24" i="8" s="1"/>
  <c r="AG25" i="5"/>
  <c r="AA23" i="8" s="1"/>
  <c r="AG24" i="5"/>
  <c r="AA22" i="8" s="1"/>
  <c r="AG23" i="5"/>
  <c r="AA21" i="8" s="1"/>
  <c r="AG22" i="5"/>
  <c r="AA20" i="8" s="1"/>
  <c r="AG21" i="5"/>
  <c r="AA19" i="8" s="1"/>
  <c r="AG20" i="5"/>
  <c r="AA18" i="8" s="1"/>
  <c r="AG19" i="5"/>
  <c r="AA17" i="8" s="1"/>
  <c r="AG18" i="5"/>
  <c r="AA16" i="8" s="1"/>
  <c r="AG17" i="5"/>
  <c r="AA15" i="8" s="1"/>
  <c r="AG16" i="5"/>
  <c r="AA14" i="8" s="1"/>
  <c r="AG15" i="5"/>
  <c r="AA13" i="8" s="1"/>
  <c r="AG14" i="5"/>
  <c r="AA12" i="8" s="1"/>
  <c r="AG13" i="5"/>
  <c r="AA11" i="8" s="1"/>
  <c r="AG12" i="5"/>
  <c r="AA10" i="8" s="1"/>
  <c r="AG11" i="5"/>
  <c r="AA9" i="8" s="1"/>
  <c r="AG10" i="5"/>
  <c r="AA8" i="8" s="1"/>
  <c r="AG9" i="5"/>
  <c r="AA7" i="8" s="1"/>
  <c r="AG8" i="5"/>
  <c r="AA6" i="8" s="1"/>
  <c r="AG7" i="5"/>
  <c r="AA5" i="8" s="1"/>
  <c r="AG6" i="5"/>
  <c r="AA4" i="8" s="1"/>
  <c r="AG5" i="5"/>
  <c r="AA3" i="8" s="1"/>
  <c r="AG4" i="5"/>
  <c r="AA2" i="8" s="1"/>
  <c r="AE33" i="5"/>
  <c r="Z31" i="8" s="1"/>
  <c r="AE32" i="5"/>
  <c r="Z30" i="8" s="1"/>
  <c r="AE31" i="5"/>
  <c r="Z29" i="8" s="1"/>
  <c r="AE30" i="5"/>
  <c r="Z28" i="8" s="1"/>
  <c r="AE29" i="5"/>
  <c r="Z27" i="8" s="1"/>
  <c r="AE28" i="5"/>
  <c r="Z26" i="8" s="1"/>
  <c r="AE27" i="5"/>
  <c r="Z25" i="8" s="1"/>
  <c r="AE26" i="5"/>
  <c r="Z24" i="8" s="1"/>
  <c r="AE25" i="5"/>
  <c r="Z23" i="8" s="1"/>
  <c r="AE24" i="5"/>
  <c r="Z22" i="8" s="1"/>
  <c r="AE23" i="5"/>
  <c r="Z21" i="8" s="1"/>
  <c r="AE22" i="5"/>
  <c r="Z20" i="8" s="1"/>
  <c r="AE21" i="5"/>
  <c r="Z19" i="8" s="1"/>
  <c r="AE20" i="5"/>
  <c r="Z18" i="8" s="1"/>
  <c r="AE19" i="5"/>
  <c r="Z17" i="8" s="1"/>
  <c r="AE18" i="5"/>
  <c r="Z16" i="8" s="1"/>
  <c r="AE17" i="5"/>
  <c r="Z15" i="8" s="1"/>
  <c r="AE16" i="5"/>
  <c r="Z14" i="8" s="1"/>
  <c r="AE15" i="5"/>
  <c r="Z13" i="8" s="1"/>
  <c r="AE14" i="5"/>
  <c r="Z12" i="8" s="1"/>
  <c r="AE13" i="5"/>
  <c r="Z11" i="8" s="1"/>
  <c r="AE12" i="5"/>
  <c r="Z10" i="8" s="1"/>
  <c r="AE11" i="5"/>
  <c r="Z9" i="8" s="1"/>
  <c r="AE10" i="5"/>
  <c r="Z8" i="8" s="1"/>
  <c r="AE9" i="5"/>
  <c r="Z7" i="8" s="1"/>
  <c r="AE8" i="5"/>
  <c r="Z6" i="8" s="1"/>
  <c r="AE7" i="5"/>
  <c r="Z5" i="8" s="1"/>
  <c r="AE6" i="5"/>
  <c r="Z4" i="8" s="1"/>
  <c r="AE5" i="5"/>
  <c r="Z3" i="8" s="1"/>
  <c r="AE4" i="5"/>
  <c r="Z2" i="8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G6" i="5"/>
  <c r="G7" i="5"/>
  <c r="G8" i="5"/>
  <c r="N6" i="8" s="1"/>
  <c r="G9" i="5"/>
  <c r="N7" i="8" s="1"/>
  <c r="G10" i="5"/>
  <c r="G11" i="5"/>
  <c r="G12" i="5"/>
  <c r="G13" i="5"/>
  <c r="G14" i="5"/>
  <c r="G15" i="5"/>
  <c r="G16" i="5"/>
  <c r="N14" i="8" s="1"/>
  <c r="G17" i="5"/>
  <c r="N15" i="8" s="1"/>
  <c r="G18" i="5"/>
  <c r="G19" i="5"/>
  <c r="G20" i="5"/>
  <c r="G21" i="5"/>
  <c r="G22" i="5"/>
  <c r="G23" i="5"/>
  <c r="N21" i="8" s="1"/>
  <c r="G24" i="5"/>
  <c r="N22" i="8" s="1"/>
  <c r="G25" i="5"/>
  <c r="N23" i="8" s="1"/>
  <c r="G26" i="5"/>
  <c r="G27" i="5"/>
  <c r="G28" i="5"/>
  <c r="G29" i="5"/>
  <c r="G30" i="5"/>
  <c r="G31" i="5"/>
  <c r="N29" i="8" s="1"/>
  <c r="G32" i="5"/>
  <c r="N30" i="8" s="1"/>
  <c r="G33" i="5"/>
  <c r="N31" i="8" s="1"/>
  <c r="M35" i="4"/>
  <c r="K31" i="8" s="1"/>
  <c r="J31" i="8"/>
  <c r="M34" i="4"/>
  <c r="K30" i="8" s="1"/>
  <c r="J30" i="8"/>
  <c r="M33" i="4"/>
  <c r="K29" i="8" s="1"/>
  <c r="J29" i="8"/>
  <c r="M32" i="4"/>
  <c r="K28" i="8" s="1"/>
  <c r="J28" i="8"/>
  <c r="M31" i="4"/>
  <c r="K27" i="8" s="1"/>
  <c r="J27" i="8"/>
  <c r="M30" i="4"/>
  <c r="K26" i="8" s="1"/>
  <c r="J26" i="8"/>
  <c r="M29" i="4"/>
  <c r="K25" i="8" s="1"/>
  <c r="J25" i="8"/>
  <c r="M28" i="4"/>
  <c r="K24" i="8" s="1"/>
  <c r="J24" i="8"/>
  <c r="M27" i="4"/>
  <c r="K23" i="8" s="1"/>
  <c r="J23" i="8"/>
  <c r="M26" i="4"/>
  <c r="K22" i="8" s="1"/>
  <c r="J22" i="8"/>
  <c r="M25" i="4"/>
  <c r="K21" i="8" s="1"/>
  <c r="J21" i="8"/>
  <c r="M24" i="4"/>
  <c r="K20" i="8" s="1"/>
  <c r="J20" i="8"/>
  <c r="M23" i="4"/>
  <c r="K19" i="8" s="1"/>
  <c r="J19" i="8"/>
  <c r="M22" i="4"/>
  <c r="K18" i="8" s="1"/>
  <c r="J18" i="8"/>
  <c r="M21" i="4"/>
  <c r="K17" i="8" s="1"/>
  <c r="J17" i="8"/>
  <c r="M20" i="4"/>
  <c r="K16" i="8" s="1"/>
  <c r="J16" i="8"/>
  <c r="M19" i="4"/>
  <c r="K15" i="8" s="1"/>
  <c r="J15" i="8"/>
  <c r="M18" i="4"/>
  <c r="K14" i="8" s="1"/>
  <c r="J14" i="8"/>
  <c r="M17" i="4"/>
  <c r="K13" i="8" s="1"/>
  <c r="J13" i="8"/>
  <c r="M16" i="4"/>
  <c r="K12" i="8" s="1"/>
  <c r="J12" i="8"/>
  <c r="M15" i="4"/>
  <c r="K11" i="8" s="1"/>
  <c r="J11" i="8"/>
  <c r="M14" i="4"/>
  <c r="K10" i="8" s="1"/>
  <c r="J10" i="8"/>
  <c r="M13" i="4"/>
  <c r="K9" i="8" s="1"/>
  <c r="J9" i="8"/>
  <c r="M12" i="4"/>
  <c r="K8" i="8" s="1"/>
  <c r="J8" i="8"/>
  <c r="M11" i="4"/>
  <c r="K7" i="8" s="1"/>
  <c r="J7" i="8"/>
  <c r="M10" i="4"/>
  <c r="K6" i="8" s="1"/>
  <c r="J6" i="8"/>
  <c r="M9" i="4"/>
  <c r="K5" i="8" s="1"/>
  <c r="J5" i="8"/>
  <c r="M8" i="4"/>
  <c r="K4" i="8" s="1"/>
  <c r="J4" i="8"/>
  <c r="M7" i="4"/>
  <c r="J3" i="8"/>
  <c r="M6" i="4"/>
  <c r="K2" i="8" s="1"/>
  <c r="J2" i="8"/>
  <c r="C23" i="5"/>
  <c r="L21" i="8" s="1"/>
  <c r="E23" i="5"/>
  <c r="M21" i="8" s="1"/>
  <c r="I23" i="5"/>
  <c r="K23" i="5"/>
  <c r="M23" i="5"/>
  <c r="Q21" i="8" s="1"/>
  <c r="O23" i="5"/>
  <c r="R21" i="8" s="1"/>
  <c r="Q23" i="5"/>
  <c r="S23" i="5"/>
  <c r="T21" i="8" s="1"/>
  <c r="U23" i="5"/>
  <c r="U21" i="8" s="1"/>
  <c r="W23" i="5"/>
  <c r="V21" i="8" s="1"/>
  <c r="Y23" i="5"/>
  <c r="W21" i="8" s="1"/>
  <c r="AA23" i="5"/>
  <c r="AC23" i="5"/>
  <c r="AJ23" i="5"/>
  <c r="C24" i="5"/>
  <c r="L22" i="8" s="1"/>
  <c r="E24" i="5"/>
  <c r="M22" i="8" s="1"/>
  <c r="I24" i="5"/>
  <c r="O22" i="8" s="1"/>
  <c r="K24" i="5"/>
  <c r="P22" i="8" s="1"/>
  <c r="M24" i="5"/>
  <c r="Q22" i="8" s="1"/>
  <c r="O24" i="5"/>
  <c r="R22" i="8" s="1"/>
  <c r="Q24" i="5"/>
  <c r="S22" i="8" s="1"/>
  <c r="S24" i="5"/>
  <c r="T22" i="8" s="1"/>
  <c r="U24" i="5"/>
  <c r="U22" i="8" s="1"/>
  <c r="W24" i="5"/>
  <c r="V22" i="8" s="1"/>
  <c r="Y24" i="5"/>
  <c r="W22" i="8" s="1"/>
  <c r="AA24" i="5"/>
  <c r="X22" i="8" s="1"/>
  <c r="AC24" i="5"/>
  <c r="AJ24" i="5"/>
  <c r="C25" i="5"/>
  <c r="L23" i="8" s="1"/>
  <c r="E25" i="5"/>
  <c r="M23" i="8" s="1"/>
  <c r="I25" i="5"/>
  <c r="O23" i="8" s="1"/>
  <c r="K25" i="5"/>
  <c r="P23" i="8" s="1"/>
  <c r="M25" i="5"/>
  <c r="Q23" i="8" s="1"/>
  <c r="O25" i="5"/>
  <c r="Q25" i="5"/>
  <c r="S23" i="8" s="1"/>
  <c r="S25" i="5"/>
  <c r="U25" i="5"/>
  <c r="U23" i="8" s="1"/>
  <c r="W25" i="5"/>
  <c r="V23" i="8" s="1"/>
  <c r="Y25" i="5"/>
  <c r="W23" i="8" s="1"/>
  <c r="AA25" i="5"/>
  <c r="X23" i="8" s="1"/>
  <c r="AC25" i="5"/>
  <c r="Y23" i="8" s="1"/>
  <c r="AJ25" i="5"/>
  <c r="C26" i="5"/>
  <c r="L24" i="8" s="1"/>
  <c r="E26" i="5"/>
  <c r="M24" i="8" s="1"/>
  <c r="N24" i="8"/>
  <c r="I26" i="5"/>
  <c r="O24" i="8" s="1"/>
  <c r="K26" i="5"/>
  <c r="P24" i="8" s="1"/>
  <c r="M26" i="5"/>
  <c r="Q24" i="8" s="1"/>
  <c r="O26" i="5"/>
  <c r="R24" i="8" s="1"/>
  <c r="Q26" i="5"/>
  <c r="S24" i="8" s="1"/>
  <c r="S26" i="5"/>
  <c r="T24" i="8" s="1"/>
  <c r="U26" i="5"/>
  <c r="W26" i="5"/>
  <c r="V24" i="8"/>
  <c r="Y26" i="5"/>
  <c r="W24" i="8" s="1"/>
  <c r="AA26" i="5"/>
  <c r="X24" i="8" s="1"/>
  <c r="AC26" i="5"/>
  <c r="Y24" i="8" s="1"/>
  <c r="AJ26" i="5"/>
  <c r="C27" i="5"/>
  <c r="E27" i="5"/>
  <c r="M25" i="8" s="1"/>
  <c r="N25" i="8"/>
  <c r="I27" i="5"/>
  <c r="O25" i="8" s="1"/>
  <c r="K27" i="5"/>
  <c r="P25" i="8" s="1"/>
  <c r="M27" i="5"/>
  <c r="O27" i="5"/>
  <c r="Q27" i="5"/>
  <c r="S25" i="8" s="1"/>
  <c r="S27" i="5"/>
  <c r="T25" i="8" s="1"/>
  <c r="U27" i="5"/>
  <c r="U25" i="8" s="1"/>
  <c r="W27" i="5"/>
  <c r="Y27" i="5"/>
  <c r="W25" i="8" s="1"/>
  <c r="AA27" i="5"/>
  <c r="X25" i="8" s="1"/>
  <c r="AC27" i="5"/>
  <c r="Y25" i="8" s="1"/>
  <c r="AJ27" i="5"/>
  <c r="C28" i="5"/>
  <c r="E28" i="5"/>
  <c r="M26" i="8" s="1"/>
  <c r="N26" i="8"/>
  <c r="I28" i="5"/>
  <c r="O26" i="8" s="1"/>
  <c r="K28" i="5"/>
  <c r="P26" i="8" s="1"/>
  <c r="M28" i="5"/>
  <c r="Q26" i="8" s="1"/>
  <c r="O28" i="5"/>
  <c r="R26" i="8" s="1"/>
  <c r="Q28" i="5"/>
  <c r="S28" i="5"/>
  <c r="U28" i="5"/>
  <c r="U26" i="8" s="1"/>
  <c r="W28" i="5"/>
  <c r="V26" i="8" s="1"/>
  <c r="Y28" i="5"/>
  <c r="W26" i="8" s="1"/>
  <c r="AA28" i="5"/>
  <c r="X26" i="8" s="1"/>
  <c r="AC28" i="5"/>
  <c r="Y26" i="8" s="1"/>
  <c r="AJ28" i="5"/>
  <c r="C29" i="5"/>
  <c r="E29" i="5"/>
  <c r="M27" i="8" s="1"/>
  <c r="N27" i="8"/>
  <c r="I29" i="5"/>
  <c r="O27" i="8" s="1"/>
  <c r="K29" i="5"/>
  <c r="P27" i="8" s="1"/>
  <c r="M29" i="5"/>
  <c r="Q27" i="8" s="1"/>
  <c r="O29" i="5"/>
  <c r="Q29" i="5"/>
  <c r="S27" i="8" s="1"/>
  <c r="S29" i="5"/>
  <c r="U29" i="5"/>
  <c r="W29" i="5"/>
  <c r="V27" i="8" s="1"/>
  <c r="Y29" i="5"/>
  <c r="W27" i="8" s="1"/>
  <c r="AA29" i="5"/>
  <c r="X27" i="8" s="1"/>
  <c r="AC29" i="5"/>
  <c r="Y27" i="8" s="1"/>
  <c r="AJ29" i="5"/>
  <c r="C30" i="5"/>
  <c r="L28" i="8" s="1"/>
  <c r="E30" i="5"/>
  <c r="M28" i="8" s="1"/>
  <c r="N28" i="8"/>
  <c r="I30" i="5"/>
  <c r="K30" i="5"/>
  <c r="P28" i="8" s="1"/>
  <c r="M30" i="5"/>
  <c r="Q28" i="8" s="1"/>
  <c r="O30" i="5"/>
  <c r="R28" i="8" s="1"/>
  <c r="Q30" i="5"/>
  <c r="S28" i="8" s="1"/>
  <c r="S30" i="5"/>
  <c r="T28" i="8" s="1"/>
  <c r="U30" i="5"/>
  <c r="U28" i="8" s="1"/>
  <c r="W30" i="5"/>
  <c r="V28" i="8" s="1"/>
  <c r="Y30" i="5"/>
  <c r="W28" i="8" s="1"/>
  <c r="AA30" i="5"/>
  <c r="X28" i="8" s="1"/>
  <c r="AC30" i="5"/>
  <c r="Y28" i="8" s="1"/>
  <c r="AJ30" i="5"/>
  <c r="C31" i="5"/>
  <c r="L29" i="8" s="1"/>
  <c r="E31" i="5"/>
  <c r="M29" i="8" s="1"/>
  <c r="I31" i="5"/>
  <c r="K31" i="5"/>
  <c r="M31" i="5"/>
  <c r="Q29" i="8" s="1"/>
  <c r="O31" i="5"/>
  <c r="R29" i="8" s="1"/>
  <c r="Q31" i="5"/>
  <c r="S29" i="8" s="1"/>
  <c r="S31" i="5"/>
  <c r="T29" i="8" s="1"/>
  <c r="U31" i="5"/>
  <c r="U29" i="8" s="1"/>
  <c r="W31" i="5"/>
  <c r="V29" i="8" s="1"/>
  <c r="Y31" i="5"/>
  <c r="AA31" i="5"/>
  <c r="X29" i="8" s="1"/>
  <c r="AC31" i="5"/>
  <c r="Y29" i="8" s="1"/>
  <c r="AJ31" i="5"/>
  <c r="C32" i="5"/>
  <c r="L30" i="8" s="1"/>
  <c r="E32" i="5"/>
  <c r="M30" i="8" s="1"/>
  <c r="I32" i="5"/>
  <c r="O30" i="8" s="1"/>
  <c r="K32" i="5"/>
  <c r="P30" i="8" s="1"/>
  <c r="M32" i="5"/>
  <c r="Q30" i="8" s="1"/>
  <c r="O32" i="5"/>
  <c r="R30" i="8" s="1"/>
  <c r="Q32" i="5"/>
  <c r="S30" i="8" s="1"/>
  <c r="S32" i="5"/>
  <c r="T30" i="8" s="1"/>
  <c r="U32" i="5"/>
  <c r="U30" i="8" s="1"/>
  <c r="W32" i="5"/>
  <c r="Y32" i="5"/>
  <c r="W30" i="8" s="1"/>
  <c r="AA32" i="5"/>
  <c r="X30" i="8" s="1"/>
  <c r="AC32" i="5"/>
  <c r="Y30" i="8" s="1"/>
  <c r="AJ32" i="5"/>
  <c r="C33" i="5"/>
  <c r="L31" i="8" s="1"/>
  <c r="E33" i="5"/>
  <c r="M31" i="8" s="1"/>
  <c r="I33" i="5"/>
  <c r="O31" i="8" s="1"/>
  <c r="K33" i="5"/>
  <c r="P31" i="8" s="1"/>
  <c r="M33" i="5"/>
  <c r="Q31" i="8" s="1"/>
  <c r="O33" i="5"/>
  <c r="R31" i="8" s="1"/>
  <c r="Q33" i="5"/>
  <c r="S33" i="5"/>
  <c r="T31" i="8" s="1"/>
  <c r="U33" i="5"/>
  <c r="U31" i="8" s="1"/>
  <c r="W33" i="5"/>
  <c r="V31" i="8" s="1"/>
  <c r="Y33" i="5"/>
  <c r="W31" i="8" s="1"/>
  <c r="AA33" i="5"/>
  <c r="X31" i="8" s="1"/>
  <c r="AC33" i="5"/>
  <c r="Y31" i="8" s="1"/>
  <c r="AJ33" i="5"/>
  <c r="H35" i="4"/>
  <c r="I31" i="8" s="1"/>
  <c r="H34" i="4"/>
  <c r="I30" i="8" s="1"/>
  <c r="H33" i="4"/>
  <c r="I29" i="8" s="1"/>
  <c r="D35" i="4"/>
  <c r="D34" i="4"/>
  <c r="D33" i="4"/>
  <c r="E7" i="3"/>
  <c r="F3" i="8"/>
  <c r="E8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O10" i="8" s="1"/>
  <c r="G4" i="5"/>
  <c r="N2" i="8" s="1"/>
  <c r="W29" i="8"/>
  <c r="P29" i="8"/>
  <c r="O29" i="8"/>
  <c r="C33" i="3"/>
  <c r="E30" i="8"/>
  <c r="I30" i="9" s="1"/>
  <c r="C34" i="3"/>
  <c r="E31" i="8"/>
  <c r="I31" i="9" s="1"/>
  <c r="D6" i="4"/>
  <c r="H31" i="8"/>
  <c r="H29" i="8"/>
  <c r="K2" i="9"/>
  <c r="AB2" i="8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Y22" i="8"/>
  <c r="Y21" i="8"/>
  <c r="AC22" i="5"/>
  <c r="Y20" i="8" s="1"/>
  <c r="AC21" i="5"/>
  <c r="Y19" i="8" s="1"/>
  <c r="AC20" i="5"/>
  <c r="Y18" i="8" s="1"/>
  <c r="AC19" i="5"/>
  <c r="Y17" i="8" s="1"/>
  <c r="AC18" i="5"/>
  <c r="Y16" i="8" s="1"/>
  <c r="AC17" i="5"/>
  <c r="Y15" i="8" s="1"/>
  <c r="AC16" i="5"/>
  <c r="Y14" i="8" s="1"/>
  <c r="AC15" i="5"/>
  <c r="Y13" i="8" s="1"/>
  <c r="AC14" i="5"/>
  <c r="Y12" i="8" s="1"/>
  <c r="AC13" i="5"/>
  <c r="Y11" i="8" s="1"/>
  <c r="AC12" i="5"/>
  <c r="Y10" i="8" s="1"/>
  <c r="AC11" i="5"/>
  <c r="Y9" i="8" s="1"/>
  <c r="AC10" i="5"/>
  <c r="Y8" i="8" s="1"/>
  <c r="AC9" i="5"/>
  <c r="Y7" i="8" s="1"/>
  <c r="AC8" i="5"/>
  <c r="Y6" i="8" s="1"/>
  <c r="AC7" i="5"/>
  <c r="Y5" i="8" s="1"/>
  <c r="AC6" i="5"/>
  <c r="Y4" i="8" s="1"/>
  <c r="AC5" i="5"/>
  <c r="Y3" i="8" s="1"/>
  <c r="AC4" i="5"/>
  <c r="Y2" i="8" s="1"/>
  <c r="X21" i="8"/>
  <c r="AA22" i="5"/>
  <c r="X20" i="8" s="1"/>
  <c r="AA21" i="5"/>
  <c r="X19" i="8" s="1"/>
  <c r="AA20" i="5"/>
  <c r="X18" i="8" s="1"/>
  <c r="AA19" i="5"/>
  <c r="X17" i="8" s="1"/>
  <c r="AA18" i="5"/>
  <c r="X16" i="8" s="1"/>
  <c r="AA17" i="5"/>
  <c r="X15" i="8" s="1"/>
  <c r="AA16" i="5"/>
  <c r="X14" i="8" s="1"/>
  <c r="AA15" i="5"/>
  <c r="X13" i="8" s="1"/>
  <c r="AA14" i="5"/>
  <c r="X12" i="8" s="1"/>
  <c r="AA13" i="5"/>
  <c r="X11" i="8" s="1"/>
  <c r="AA12" i="5"/>
  <c r="X10" i="8" s="1"/>
  <c r="AA11" i="5"/>
  <c r="X9" i="8" s="1"/>
  <c r="AA10" i="5"/>
  <c r="X8" i="8" s="1"/>
  <c r="AA9" i="5"/>
  <c r="X7" i="8" s="1"/>
  <c r="AA8" i="5"/>
  <c r="X6" i="8" s="1"/>
  <c r="AA7" i="5"/>
  <c r="X5" i="8" s="1"/>
  <c r="AA6" i="5"/>
  <c r="X4" i="8" s="1"/>
  <c r="AA5" i="5"/>
  <c r="X3" i="8" s="1"/>
  <c r="AA4" i="5"/>
  <c r="X2" i="8" s="1"/>
  <c r="Y22" i="5"/>
  <c r="W20" i="8" s="1"/>
  <c r="Y21" i="5"/>
  <c r="W19" i="8" s="1"/>
  <c r="Y20" i="5"/>
  <c r="W18" i="8" s="1"/>
  <c r="Y19" i="5"/>
  <c r="W17" i="8" s="1"/>
  <c r="Y18" i="5"/>
  <c r="W16" i="8" s="1"/>
  <c r="Y17" i="5"/>
  <c r="W15" i="8" s="1"/>
  <c r="Y16" i="5"/>
  <c r="W14" i="8" s="1"/>
  <c r="Y15" i="5"/>
  <c r="W13" i="8" s="1"/>
  <c r="Y14" i="5"/>
  <c r="W12" i="8" s="1"/>
  <c r="Y13" i="5"/>
  <c r="W11" i="8" s="1"/>
  <c r="Y12" i="5"/>
  <c r="W10" i="8" s="1"/>
  <c r="Y11" i="5"/>
  <c r="W9" i="8" s="1"/>
  <c r="Y10" i="5"/>
  <c r="W8" i="8" s="1"/>
  <c r="Y9" i="5"/>
  <c r="W7" i="8" s="1"/>
  <c r="Y8" i="5"/>
  <c r="W6" i="8" s="1"/>
  <c r="Y7" i="5"/>
  <c r="W5" i="8" s="1"/>
  <c r="Y6" i="5"/>
  <c r="W4" i="8" s="1"/>
  <c r="Y5" i="5"/>
  <c r="W3" i="8"/>
  <c r="Y4" i="5"/>
  <c r="W2" i="8"/>
  <c r="V25" i="8"/>
  <c r="W22" i="5"/>
  <c r="V20" i="8" s="1"/>
  <c r="W21" i="5"/>
  <c r="W20" i="5"/>
  <c r="V18" i="8" s="1"/>
  <c r="W19" i="5"/>
  <c r="V17" i="8" s="1"/>
  <c r="W18" i="5"/>
  <c r="V16" i="8" s="1"/>
  <c r="W17" i="5"/>
  <c r="V15" i="8" s="1"/>
  <c r="W16" i="5"/>
  <c r="V14" i="8" s="1"/>
  <c r="W15" i="5"/>
  <c r="V13" i="8" s="1"/>
  <c r="W14" i="5"/>
  <c r="V12" i="8" s="1"/>
  <c r="W13" i="5"/>
  <c r="V11" i="8" s="1"/>
  <c r="W12" i="5"/>
  <c r="V10" i="8" s="1"/>
  <c r="W11" i="5"/>
  <c r="V9" i="8" s="1"/>
  <c r="W10" i="5"/>
  <c r="V8" i="8" s="1"/>
  <c r="W9" i="5"/>
  <c r="V7" i="8" s="1"/>
  <c r="W8" i="5"/>
  <c r="V6" i="8" s="1"/>
  <c r="W7" i="5"/>
  <c r="V5" i="8" s="1"/>
  <c r="W6" i="5"/>
  <c r="V4" i="8" s="1"/>
  <c r="W5" i="5"/>
  <c r="V3" i="8" s="1"/>
  <c r="W4" i="5"/>
  <c r="V2" i="8" s="1"/>
  <c r="U27" i="8"/>
  <c r="U24" i="8"/>
  <c r="U22" i="5"/>
  <c r="U20" i="8" s="1"/>
  <c r="U21" i="5"/>
  <c r="U19" i="8" s="1"/>
  <c r="U20" i="5"/>
  <c r="U18" i="8" s="1"/>
  <c r="U19" i="5"/>
  <c r="U17" i="8" s="1"/>
  <c r="U18" i="5"/>
  <c r="U16" i="8" s="1"/>
  <c r="U17" i="5"/>
  <c r="U15" i="8" s="1"/>
  <c r="U16" i="5"/>
  <c r="U14" i="8" s="1"/>
  <c r="U15" i="5"/>
  <c r="U13" i="8" s="1"/>
  <c r="U14" i="5"/>
  <c r="U12" i="8" s="1"/>
  <c r="U13" i="5"/>
  <c r="U11" i="8" s="1"/>
  <c r="U12" i="5"/>
  <c r="U10" i="8" s="1"/>
  <c r="U11" i="5"/>
  <c r="U9" i="8"/>
  <c r="U10" i="5"/>
  <c r="U8" i="8" s="1"/>
  <c r="U9" i="5"/>
  <c r="U7" i="8" s="1"/>
  <c r="U8" i="5"/>
  <c r="U6" i="8" s="1"/>
  <c r="U7" i="5"/>
  <c r="U5" i="8" s="1"/>
  <c r="U6" i="5"/>
  <c r="U4" i="8" s="1"/>
  <c r="U5" i="5"/>
  <c r="U3" i="8"/>
  <c r="U4" i="5"/>
  <c r="U2" i="8" s="1"/>
  <c r="T26" i="8"/>
  <c r="S22" i="5"/>
  <c r="T20" i="8" s="1"/>
  <c r="S21" i="5"/>
  <c r="T19" i="8" s="1"/>
  <c r="S20" i="5"/>
  <c r="T18" i="8" s="1"/>
  <c r="S19" i="5"/>
  <c r="T17" i="8" s="1"/>
  <c r="S18" i="5"/>
  <c r="T16" i="8" s="1"/>
  <c r="S17" i="5"/>
  <c r="T15" i="8" s="1"/>
  <c r="S16" i="5"/>
  <c r="T14" i="8" s="1"/>
  <c r="S15" i="5"/>
  <c r="T13" i="8" s="1"/>
  <c r="S14" i="5"/>
  <c r="T12" i="8" s="1"/>
  <c r="S13" i="5"/>
  <c r="T11" i="8" s="1"/>
  <c r="S12" i="5"/>
  <c r="T10" i="8" s="1"/>
  <c r="S11" i="5"/>
  <c r="T9" i="8" s="1"/>
  <c r="S10" i="5"/>
  <c r="T8" i="8" s="1"/>
  <c r="S9" i="5"/>
  <c r="T7" i="8" s="1"/>
  <c r="S8" i="5"/>
  <c r="T6" i="8"/>
  <c r="S7" i="5"/>
  <c r="T5" i="8" s="1"/>
  <c r="S6" i="5"/>
  <c r="T4" i="8" s="1"/>
  <c r="S5" i="5"/>
  <c r="T3" i="8" s="1"/>
  <c r="S4" i="5"/>
  <c r="T2" i="8" s="1"/>
  <c r="S26" i="8"/>
  <c r="S21" i="8"/>
  <c r="Q22" i="5"/>
  <c r="S20" i="8" s="1"/>
  <c r="Q21" i="5"/>
  <c r="S19" i="8" s="1"/>
  <c r="Q20" i="5"/>
  <c r="S18" i="8" s="1"/>
  <c r="Q19" i="5"/>
  <c r="S17" i="8" s="1"/>
  <c r="Q18" i="5"/>
  <c r="S16" i="8" s="1"/>
  <c r="Q17" i="5"/>
  <c r="S15" i="8" s="1"/>
  <c r="Q16" i="5"/>
  <c r="S14" i="8" s="1"/>
  <c r="Q15" i="5"/>
  <c r="S13" i="8" s="1"/>
  <c r="Q14" i="5"/>
  <c r="S12" i="8" s="1"/>
  <c r="Q13" i="5"/>
  <c r="S11" i="8" s="1"/>
  <c r="Q12" i="5"/>
  <c r="S10" i="8" s="1"/>
  <c r="Q11" i="5"/>
  <c r="S9" i="8" s="1"/>
  <c r="Q10" i="5"/>
  <c r="S8" i="8" s="1"/>
  <c r="Q9" i="5"/>
  <c r="S7" i="8" s="1"/>
  <c r="Q8" i="5"/>
  <c r="S6" i="8" s="1"/>
  <c r="Q7" i="5"/>
  <c r="S5" i="8" s="1"/>
  <c r="Q6" i="5"/>
  <c r="S4" i="8" s="1"/>
  <c r="Q5" i="5"/>
  <c r="S3" i="8" s="1"/>
  <c r="Q4" i="5"/>
  <c r="S2" i="8" s="1"/>
  <c r="R27" i="8"/>
  <c r="R25" i="8"/>
  <c r="R23" i="8"/>
  <c r="O22" i="5"/>
  <c r="R20" i="8" s="1"/>
  <c r="O21" i="5"/>
  <c r="R19" i="8" s="1"/>
  <c r="O20" i="5"/>
  <c r="R18" i="8" s="1"/>
  <c r="O19" i="5"/>
  <c r="R17" i="8" s="1"/>
  <c r="O18" i="5"/>
  <c r="R16" i="8" s="1"/>
  <c r="O17" i="5"/>
  <c r="R15" i="8" s="1"/>
  <c r="O16" i="5"/>
  <c r="R14" i="8" s="1"/>
  <c r="O15" i="5"/>
  <c r="R13" i="8" s="1"/>
  <c r="O14" i="5"/>
  <c r="R12" i="8" s="1"/>
  <c r="O13" i="5"/>
  <c r="R11" i="8" s="1"/>
  <c r="O12" i="5"/>
  <c r="R10" i="8" s="1"/>
  <c r="O11" i="5"/>
  <c r="R9" i="8" s="1"/>
  <c r="O10" i="5"/>
  <c r="R8" i="8" s="1"/>
  <c r="O9" i="5"/>
  <c r="R7" i="8" s="1"/>
  <c r="O8" i="5"/>
  <c r="R6" i="8" s="1"/>
  <c r="O7" i="5"/>
  <c r="R5" i="8" s="1"/>
  <c r="O6" i="5"/>
  <c r="R4" i="8" s="1"/>
  <c r="O5" i="5"/>
  <c r="R3" i="8" s="1"/>
  <c r="O4" i="5"/>
  <c r="R2" i="8" s="1"/>
  <c r="M22" i="5"/>
  <c r="Q20" i="8" s="1"/>
  <c r="M21" i="5"/>
  <c r="Q19" i="8" s="1"/>
  <c r="M20" i="5"/>
  <c r="Q18" i="8" s="1"/>
  <c r="M19" i="5"/>
  <c r="Q17" i="8" s="1"/>
  <c r="M18" i="5"/>
  <c r="Q16" i="8" s="1"/>
  <c r="M17" i="5"/>
  <c r="Q15" i="8" s="1"/>
  <c r="M16" i="5"/>
  <c r="Q14" i="8" s="1"/>
  <c r="M15" i="5"/>
  <c r="Q13" i="8" s="1"/>
  <c r="M14" i="5"/>
  <c r="Q12" i="8" s="1"/>
  <c r="M13" i="5"/>
  <c r="Q11" i="8"/>
  <c r="M12" i="5"/>
  <c r="Q10" i="8" s="1"/>
  <c r="M11" i="5"/>
  <c r="Q9" i="8" s="1"/>
  <c r="M10" i="5"/>
  <c r="Q8" i="8" s="1"/>
  <c r="M9" i="5"/>
  <c r="Q7" i="8" s="1"/>
  <c r="M8" i="5"/>
  <c r="Q6" i="8" s="1"/>
  <c r="M7" i="5"/>
  <c r="Q5" i="8" s="1"/>
  <c r="M6" i="5"/>
  <c r="Q4" i="8" s="1"/>
  <c r="M5" i="5"/>
  <c r="Q3" i="8"/>
  <c r="M4" i="5"/>
  <c r="Q2" i="8"/>
  <c r="P21" i="8"/>
  <c r="K22" i="5"/>
  <c r="P20" i="8" s="1"/>
  <c r="K21" i="5"/>
  <c r="P19" i="8" s="1"/>
  <c r="K20" i="5"/>
  <c r="P18" i="8" s="1"/>
  <c r="K19" i="5"/>
  <c r="P17" i="8" s="1"/>
  <c r="K18" i="5"/>
  <c r="P16" i="8" s="1"/>
  <c r="K17" i="5"/>
  <c r="P15" i="8" s="1"/>
  <c r="K16" i="5"/>
  <c r="P14" i="8" s="1"/>
  <c r="K15" i="5"/>
  <c r="P13" i="8" s="1"/>
  <c r="K14" i="5"/>
  <c r="P12" i="8" s="1"/>
  <c r="K13" i="5"/>
  <c r="P11" i="8" s="1"/>
  <c r="K12" i="5"/>
  <c r="P10" i="8" s="1"/>
  <c r="K11" i="5"/>
  <c r="P9" i="8" s="1"/>
  <c r="K10" i="5"/>
  <c r="P8" i="8"/>
  <c r="K9" i="5"/>
  <c r="P7" i="8" s="1"/>
  <c r="K8" i="5"/>
  <c r="P6" i="8" s="1"/>
  <c r="K7" i="5"/>
  <c r="P5" i="8" s="1"/>
  <c r="K6" i="5"/>
  <c r="P4" i="8" s="1"/>
  <c r="K5" i="5"/>
  <c r="P3" i="8" s="1"/>
  <c r="K4" i="5"/>
  <c r="P2" i="8" s="1"/>
  <c r="O28" i="8"/>
  <c r="G28" i="9" s="1"/>
  <c r="I22" i="5"/>
  <c r="O20" i="8" s="1"/>
  <c r="I21" i="5"/>
  <c r="O19" i="8" s="1"/>
  <c r="I20" i="5"/>
  <c r="O18" i="8" s="1"/>
  <c r="I19" i="5"/>
  <c r="O17" i="8" s="1"/>
  <c r="I18" i="5"/>
  <c r="O16" i="8" s="1"/>
  <c r="I17" i="5"/>
  <c r="I16" i="5"/>
  <c r="I15" i="5"/>
  <c r="O13" i="8" s="1"/>
  <c r="I14" i="5"/>
  <c r="O12" i="8" s="1"/>
  <c r="I13" i="5"/>
  <c r="O11" i="8" s="1"/>
  <c r="I11" i="5"/>
  <c r="O9" i="8" s="1"/>
  <c r="I10" i="5"/>
  <c r="O8" i="8" s="1"/>
  <c r="I9" i="5"/>
  <c r="O7" i="8" s="1"/>
  <c r="I8" i="5"/>
  <c r="O6" i="8" s="1"/>
  <c r="I7" i="5"/>
  <c r="O5" i="8" s="1"/>
  <c r="I6" i="5"/>
  <c r="O4" i="8" s="1"/>
  <c r="I5" i="5"/>
  <c r="O3" i="8" s="1"/>
  <c r="I4" i="5"/>
  <c r="O2" i="8" s="1"/>
  <c r="N20" i="8"/>
  <c r="N19" i="8"/>
  <c r="N18" i="8"/>
  <c r="N17" i="8"/>
  <c r="N16" i="8"/>
  <c r="N13" i="8"/>
  <c r="N12" i="8"/>
  <c r="N11" i="8"/>
  <c r="N10" i="8"/>
  <c r="N9" i="8"/>
  <c r="N8" i="8"/>
  <c r="N5" i="8"/>
  <c r="N4" i="8"/>
  <c r="G5" i="5"/>
  <c r="N3" i="8" s="1"/>
  <c r="E22" i="5"/>
  <c r="M20" i="8" s="1"/>
  <c r="E21" i="5"/>
  <c r="M19" i="8" s="1"/>
  <c r="E20" i="5"/>
  <c r="M18" i="8" s="1"/>
  <c r="E19" i="5"/>
  <c r="M17" i="8" s="1"/>
  <c r="E18" i="5"/>
  <c r="M16" i="8" s="1"/>
  <c r="E17" i="5"/>
  <c r="M15" i="8" s="1"/>
  <c r="E16" i="5"/>
  <c r="M14" i="8" s="1"/>
  <c r="E15" i="5"/>
  <c r="M13" i="8" s="1"/>
  <c r="E14" i="5"/>
  <c r="M12" i="8" s="1"/>
  <c r="E13" i="5"/>
  <c r="M11" i="8" s="1"/>
  <c r="E12" i="5"/>
  <c r="M10" i="8" s="1"/>
  <c r="E11" i="5"/>
  <c r="M9" i="8" s="1"/>
  <c r="E10" i="5"/>
  <c r="M8" i="8" s="1"/>
  <c r="E9" i="5"/>
  <c r="M7" i="8" s="1"/>
  <c r="E8" i="5"/>
  <c r="M6" i="8" s="1"/>
  <c r="E7" i="5"/>
  <c r="M5" i="8" s="1"/>
  <c r="E6" i="5"/>
  <c r="M4" i="8" s="1"/>
  <c r="E5" i="5"/>
  <c r="M3" i="8" s="1"/>
  <c r="E4" i="5"/>
  <c r="M2" i="8" s="1"/>
  <c r="L26" i="8"/>
  <c r="C22" i="5"/>
  <c r="L20" i="8" s="1"/>
  <c r="C21" i="5"/>
  <c r="L19" i="8" s="1"/>
  <c r="C20" i="5"/>
  <c r="L18" i="8" s="1"/>
  <c r="C19" i="5"/>
  <c r="L17" i="8" s="1"/>
  <c r="G17" i="9" s="1"/>
  <c r="C18" i="5"/>
  <c r="L16" i="8" s="1"/>
  <c r="C17" i="5"/>
  <c r="L15" i="8" s="1"/>
  <c r="C16" i="5"/>
  <c r="L14" i="8" s="1"/>
  <c r="C15" i="5"/>
  <c r="L13" i="8" s="1"/>
  <c r="C14" i="5"/>
  <c r="L12" i="8" s="1"/>
  <c r="C13" i="5"/>
  <c r="L11" i="8" s="1"/>
  <c r="C12" i="5"/>
  <c r="L10" i="8" s="1"/>
  <c r="C11" i="5"/>
  <c r="L9" i="8" s="1"/>
  <c r="G9" i="9" s="1"/>
  <c r="C10" i="5"/>
  <c r="L8" i="8" s="1"/>
  <c r="C9" i="5"/>
  <c r="L7" i="8" s="1"/>
  <c r="C8" i="5"/>
  <c r="L6" i="8" s="1"/>
  <c r="C7" i="5"/>
  <c r="L5" i="8" s="1"/>
  <c r="C6" i="5"/>
  <c r="L4" i="8" s="1"/>
  <c r="C5" i="5"/>
  <c r="L3" i="8" s="1"/>
  <c r="C4" i="5"/>
  <c r="L2" i="8"/>
  <c r="G2" i="9" s="1"/>
  <c r="F6" i="4"/>
  <c r="H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H30" i="8"/>
  <c r="C5" i="3"/>
  <c r="C6" i="3"/>
  <c r="E3" i="8"/>
  <c r="C7" i="3"/>
  <c r="E4" i="8"/>
  <c r="I4" i="9"/>
  <c r="C8" i="3"/>
  <c r="E5" i="8"/>
  <c r="I5" i="9" s="1"/>
  <c r="C9" i="3"/>
  <c r="E6" i="8"/>
  <c r="I6" i="9" s="1"/>
  <c r="C10" i="3"/>
  <c r="C11" i="3"/>
  <c r="E8" i="8"/>
  <c r="I8" i="9" s="1"/>
  <c r="C12" i="3"/>
  <c r="E9" i="8"/>
  <c r="I9" i="9" s="1"/>
  <c r="C13" i="3"/>
  <c r="E10" i="8"/>
  <c r="I10" i="9" s="1"/>
  <c r="C14" i="3"/>
  <c r="E11" i="8"/>
  <c r="I11" i="9" s="1"/>
  <c r="C15" i="3"/>
  <c r="E12" i="8"/>
  <c r="I12" i="9" s="1"/>
  <c r="C16" i="3"/>
  <c r="E13" i="8"/>
  <c r="I13" i="9" s="1"/>
  <c r="C17" i="3"/>
  <c r="E14" i="8"/>
  <c r="I14" i="9" s="1"/>
  <c r="C18" i="3"/>
  <c r="E15" i="8"/>
  <c r="I15" i="9" s="1"/>
  <c r="C19" i="3"/>
  <c r="E16" i="8"/>
  <c r="C20" i="3"/>
  <c r="E17" i="8"/>
  <c r="I17" i="9" s="1"/>
  <c r="C21" i="3"/>
  <c r="E18" i="8"/>
  <c r="I18" i="9" s="1"/>
  <c r="C22" i="3"/>
  <c r="E19" i="8"/>
  <c r="C23" i="3"/>
  <c r="E20" i="8"/>
  <c r="I20" i="9" s="1"/>
  <c r="C24" i="3"/>
  <c r="E21" i="8"/>
  <c r="I21" i="9" s="1"/>
  <c r="C25" i="3"/>
  <c r="E22" i="8"/>
  <c r="I22" i="9" s="1"/>
  <c r="C26" i="3"/>
  <c r="E23" i="8"/>
  <c r="I23" i="9" s="1"/>
  <c r="C27" i="3"/>
  <c r="E24" i="8"/>
  <c r="I24" i="9" s="1"/>
  <c r="C28" i="3"/>
  <c r="E25" i="8"/>
  <c r="I25" i="9" s="1"/>
  <c r="C29" i="3"/>
  <c r="E26" i="8"/>
  <c r="I26" i="9" s="1"/>
  <c r="C30" i="3"/>
  <c r="E27" i="8"/>
  <c r="I27" i="9" s="1"/>
  <c r="C31" i="3"/>
  <c r="E28" i="8"/>
  <c r="I28" i="9" s="1"/>
  <c r="C32" i="3"/>
  <c r="E29" i="8"/>
  <c r="I29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Q25" i="8"/>
  <c r="O15" i="8"/>
  <c r="E2" i="8"/>
  <c r="I2" i="9" s="1"/>
  <c r="F22" i="8"/>
  <c r="F18" i="8"/>
  <c r="F5" i="8"/>
  <c r="E7" i="8"/>
  <c r="I7" i="9" s="1"/>
  <c r="T27" i="8"/>
  <c r="V19" i="8"/>
  <c r="V30" i="8"/>
  <c r="I11" i="4"/>
  <c r="F14" i="8"/>
  <c r="L25" i="8"/>
  <c r="I27" i="4"/>
  <c r="F2" i="8"/>
  <c r="I32" i="4"/>
  <c r="S31" i="8"/>
  <c r="F4" i="8"/>
  <c r="C35" i="3"/>
  <c r="I2" i="8"/>
  <c r="I19" i="4"/>
  <c r="I8" i="4"/>
  <c r="E35" i="3"/>
  <c r="I16" i="9"/>
  <c r="I19" i="9"/>
  <c r="I3" i="9"/>
  <c r="T23" i="8"/>
  <c r="O21" i="8"/>
  <c r="I24" i="4"/>
  <c r="I13" i="4"/>
  <c r="I14" i="4"/>
  <c r="I35" i="4"/>
  <c r="H36" i="4"/>
  <c r="H2" i="8" l="1"/>
  <c r="F36" i="4"/>
  <c r="K3" i="8"/>
  <c r="G31" i="9"/>
  <c r="AH28" i="5"/>
  <c r="G24" i="9"/>
  <c r="G25" i="9"/>
  <c r="L27" i="8"/>
  <c r="AH29" i="5"/>
  <c r="AH4" i="5"/>
  <c r="AH6" i="5"/>
  <c r="AH7" i="5"/>
  <c r="AH8" i="5"/>
  <c r="AH11" i="5"/>
  <c r="AH14" i="5"/>
  <c r="AH15" i="5"/>
  <c r="AH16" i="5"/>
  <c r="AH19" i="5"/>
  <c r="AH22" i="5"/>
  <c r="AH23" i="5"/>
  <c r="AH24" i="5"/>
  <c r="AH27" i="5"/>
  <c r="AH30" i="5"/>
  <c r="AH31" i="5"/>
  <c r="AH32" i="5"/>
  <c r="AH5" i="5"/>
  <c r="AH12" i="5"/>
  <c r="AH13" i="5"/>
  <c r="AH20" i="5"/>
  <c r="AH21" i="5"/>
  <c r="I29" i="4"/>
  <c r="I26" i="4"/>
  <c r="I25" i="4"/>
  <c r="I18" i="4"/>
  <c r="I10" i="4"/>
  <c r="E2" i="9"/>
  <c r="I34" i="4"/>
  <c r="G3" i="9"/>
  <c r="G11" i="9"/>
  <c r="G19" i="9"/>
  <c r="G27" i="9"/>
  <c r="G21" i="9"/>
  <c r="G18" i="9"/>
  <c r="G4" i="9"/>
  <c r="G12" i="9"/>
  <c r="G20" i="9"/>
  <c r="G5" i="9"/>
  <c r="G13" i="9"/>
  <c r="G26" i="9"/>
  <c r="G29" i="9"/>
  <c r="G22" i="9"/>
  <c r="G10" i="9"/>
  <c r="G6" i="9"/>
  <c r="G7" i="9"/>
  <c r="G15" i="9"/>
  <c r="G30" i="9"/>
  <c r="G23" i="9"/>
  <c r="G8" i="9"/>
  <c r="G16" i="9"/>
  <c r="AH33" i="5"/>
  <c r="AH10" i="5"/>
  <c r="AH18" i="5"/>
  <c r="AH26" i="5"/>
  <c r="AH9" i="5"/>
  <c r="AH25" i="5"/>
  <c r="AH17" i="5"/>
  <c r="O14" i="8"/>
  <c r="G14" i="9" s="1"/>
  <c r="I20" i="4"/>
  <c r="I31" i="4"/>
  <c r="I23" i="4"/>
  <c r="I7" i="4"/>
  <c r="I12" i="4"/>
  <c r="I15" i="4"/>
  <c r="I30" i="4"/>
  <c r="I16" i="4"/>
  <c r="D36" i="4"/>
  <c r="G2" i="8"/>
  <c r="I6" i="4"/>
  <c r="I22" i="4"/>
  <c r="I9" i="4"/>
  <c r="I17" i="4"/>
  <c r="I21" i="4"/>
  <c r="E28" i="9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I28" i="4"/>
  <c r="I33" i="4"/>
  <c r="I36" i="4" l="1"/>
</calcChain>
</file>

<file path=xl/sharedStrings.xml><?xml version="1.0" encoding="utf-8"?>
<sst xmlns="http://schemas.openxmlformats.org/spreadsheetml/2006/main" count="174" uniqueCount="73">
  <si>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</si>
  <si>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</si>
  <si>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</si>
  <si>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</si>
  <si>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</si>
  <si>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</si>
  <si>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</si>
  <si>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</si>
  <si>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</si>
  <si>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</si>
  <si>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</si>
  <si>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</si>
  <si>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</si>
  <si>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</si>
  <si>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</si>
  <si>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</si>
  <si>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</si>
  <si>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Marina 1 - KWh</t>
  </si>
  <si>
    <t>Marina 2 - KWh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</si>
  <si>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</si>
  <si>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</si>
  <si>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</si>
  <si>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</si>
  <si>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</si>
  <si>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</si>
  <si>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</si>
  <si>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</si>
  <si>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</si>
  <si>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</si>
  <si>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</si>
  <si>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</si>
  <si>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</si>
  <si>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</si>
  <si>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Beach Kitchen - m3</t>
  </si>
  <si>
    <t>Beach Laundry - m3</t>
  </si>
  <si>
    <t>Room Night</t>
  </si>
  <si>
    <t>Hotel SEP 2022</t>
  </si>
  <si>
    <t>Main Reading</t>
  </si>
  <si>
    <t>Cons.</t>
  </si>
  <si>
    <t>Beach Water</t>
  </si>
  <si>
    <t>Last</t>
  </si>
  <si>
    <t>Total</t>
  </si>
  <si>
    <t>Feeders and transformers Electrity cons.  SEP 22</t>
  </si>
  <si>
    <t>Hotel</t>
  </si>
  <si>
    <t>Room Sold</t>
  </si>
  <si>
    <t>Trans-1</t>
  </si>
  <si>
    <t>Trans-2</t>
  </si>
  <si>
    <t>Trans-3</t>
  </si>
  <si>
    <t>Marina 1</t>
  </si>
  <si>
    <t>Marina 2</t>
  </si>
  <si>
    <t>Readings</t>
  </si>
  <si>
    <t>Reading</t>
  </si>
  <si>
    <t>Cons</t>
  </si>
  <si>
    <t>Gas Con. SEP 2022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</si>
  <si>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</si>
  <si>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</si>
  <si>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</si>
  <si>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</si>
  <si>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</si>
  <si>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</si>
  <si>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</si>
  <si>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</si>
  <si>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</si>
  <si>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</si>
  <si>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</si>
  <si>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</si>
  <si>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</si>
  <si>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</si>
  <si>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Beach Kitchen</t>
  </si>
  <si>
    <t>Beach Laundry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</si>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</sst>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CCFFFF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2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3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31" fillId="10" borderId="54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2" xfId="2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6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32" fillId="11" borderId="39" xfId="2" applyFont="1" applyFill="1" applyBorder="1" applyAlignment="1">
      <alignment horizontal="center" vertical="center"/>
    </xf>
    <xf numFmtId="0" fontId="32" fillId="11" borderId="40" xfId="2" applyFont="1" applyFill="1" applyBorder="1" applyAlignment="1">
      <alignment horizontal="center" vertical="center"/>
    </xf>
    <xf numFmtId="0" fontId="32" fillId="11" borderId="41" xfId="2" applyFont="1" applyFill="1" applyBorder="1" applyAlignment="1">
      <alignment horizontal="center" vertical="center"/>
    </xf>
    <xf numFmtId="0" fontId="33" fillId="11" borderId="37" xfId="2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8" fillId="11" borderId="45" xfId="2" applyFont="1" applyFill="1" applyBorder="1" applyAlignment="1">
      <alignment horizontal="center" vertical="center"/>
    </xf>
    <xf numFmtId="0" fontId="8" fillId="11" borderId="46" xfId="2" applyFont="1" applyFill="1" applyBorder="1" applyAlignment="1">
      <alignment horizontal="center" vertical="center"/>
    </xf>
    <xf numFmtId="0" fontId="8" fillId="11" borderId="47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center"/>
    </xf>
    <xf numFmtId="0" fontId="14" fillId="0" borderId="49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164" fontId="5" fillId="0" borderId="48" xfId="0" applyNumberFormat="1" applyFont="1" applyBorder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6" fillId="12" borderId="55" xfId="0" applyFont="1" applyFill="1" applyBorder="1" applyAlignment="1"/>
    <xf numFmtId="0" fontId="35" fillId="12" borderId="55" xfId="0" applyFont="1" applyFill="1" applyBorder="1" applyAlignment="1"/>
    <xf numFmtId="0" fontId="34" fillId="13" borderId="52" xfId="0" applyFont="1" applyFill="1" applyBorder="1" applyAlignment="1"/>
    <xf numFmtId="0" fontId="37" fillId="0" borderId="52" xfId="0" applyFont="1" applyBorder="1" applyAlignment="1"/>
    <xf numFmtId="0" fontId="35" fillId="0" borderId="2" xfId="0" applyFont="1" applyBorder="1" applyAlignment="1"/>
    <xf numFmtId="0" fontId="35" fillId="0" borderId="56" xfId="0" applyFont="1" applyBorder="1" applyAlignment="1"/>
    <xf numFmtId="0" fontId="35" fillId="12" borderId="56" xfId="0" applyFont="1" applyFill="1" applyBorder="1" applyAlignment="1"/>
    <xf numFmtId="0" fontId="38" fillId="0" borderId="0" xfId="0" applyFont="1" applyBorder="1" applyAlignment="1"/>
    <xf numFmtId="0" fontId="35" fillId="0" borderId="52" xfId="0" applyFont="1" applyBorder="1" applyAlignment="1"/>
    <xf numFmtId="0" fontId="19" fillId="0" borderId="52" xfId="0" applyFont="1" applyBorder="1" applyAlignment="1"/>
    <xf numFmtId="0" fontId="11" fillId="7" borderId="57" xfId="0" applyFont="1" applyFill="1" applyBorder="1" applyAlignment="1">
      <alignment horizontal="center" vertical="center"/>
    </xf>
    <xf numFmtId="0" fontId="11" fillId="7" borderId="49" xfId="0" applyFont="1" applyFill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1"/>
  <sheetViews>
    <sheetView zoomScale="85" zoomScaleNormal="85" workbookViewId="0">
      <selection activeCell="A32" sqref="A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9</v>
      </c>
      <c r="D2" s="14">
        <v>2022</v>
      </c>
      <c r="E2" s="7">
        <f>ELECT.!D6+ELECT.!F6+ELECT.!H6</f>
        <v>20856</v>
      </c>
      <c r="F2" s="19">
        <v>1.56</v>
      </c>
      <c r="G2" s="7">
        <f>Submetering!L2+Submetering!M2+Submetering!N2+Submetering!O2+Submetering!P2+Submetering!Q2+Submetering!R2+Submetering!S2+Submetering!T2+Submetering!U2+Submetering!V2+Submetering!W2+Submetering!X2+Submetering!Y2+Submetering!Z2+Submetering!AA2</f>
        <v>1944</v>
      </c>
      <c r="H2" s="20">
        <v>3.6</v>
      </c>
      <c r="I2" s="7">
        <f>Submetering!E2+Water!E5</f>
        <v>758</v>
      </c>
      <c r="J2" s="20">
        <v>9.1</v>
      </c>
      <c r="K2" s="7">
        <f>ELECT.!B6</f>
        <v>124</v>
      </c>
    </row>
    <row r="3" spans="1:11">
      <c r="A3" s="11" t="s">
        <v>11</v>
      </c>
      <c r="B3" s="14">
        <f>B2+1</f>
        <v>2</v>
      </c>
      <c r="C3" s="14">
        <v>9</v>
      </c>
      <c r="D3" s="14">
        <v>2022</v>
      </c>
      <c r="E3" s="7">
        <f>ELECT.!D7+ELECT.!F7+ELECT.!H7</f>
        <v>20643</v>
      </c>
      <c r="F3" s="19">
        <v>1.56</v>
      </c>
      <c r="G3" s="7">
        <f>Submetering!L3+Submetering!M3+Submetering!N3+Submetering!O3+Submetering!P3+Submetering!Q3+Submetering!R3+Submetering!S3+Submetering!T3+Submetering!U3+Submetering!V3+Submetering!W3+Submetering!X3+Submetering!Y3+Submetering!Z3+Submetering!AA3</f>
        <v>1915</v>
      </c>
      <c r="H3" s="20">
        <v>3.6</v>
      </c>
      <c r="I3" s="7">
        <f>Submetering!E3+Water!E6</f>
        <v>722</v>
      </c>
      <c r="J3" s="20">
        <v>9.1</v>
      </c>
      <c r="K3" s="7">
        <f>ELECT.!B7</f>
        <v>124</v>
      </c>
    </row>
    <row r="4" spans="1:11">
      <c r="A4" s="11" t="s">
        <v>11</v>
      </c>
      <c r="B4" s="14">
        <f t="shared" ref="B4:B31" si="0">B3+1</f>
        <v>3</v>
      </c>
      <c r="C4" s="14">
        <v>9</v>
      </c>
      <c r="D4" s="14">
        <v>2022</v>
      </c>
      <c r="E4" s="7">
        <f>ELECT.!D8+ELECT.!F8+ELECT.!H8</f>
        <v>20309</v>
      </c>
      <c r="F4" s="19">
        <v>1.56</v>
      </c>
      <c r="G4" s="7">
        <f>Submetering!L4+Submetering!M4+Submetering!N4+Submetering!O4+Submetering!P4+Submetering!Q4+Submetering!R4+Submetering!S4+Submetering!T4+Submetering!U4+Submetering!V4+Submetering!W4+Submetering!X4+Submetering!Y4+Submetering!Z4+Submetering!AA4</f>
        <v>1817</v>
      </c>
      <c r="H4" s="20">
        <v>3.6</v>
      </c>
      <c r="I4" s="7">
        <f>Submetering!E4+Water!E7</f>
        <v>735</v>
      </c>
      <c r="J4" s="20">
        <v>9.1</v>
      </c>
      <c r="K4" s="7">
        <f>ELECT.!B8</f>
        <v>111</v>
      </c>
    </row>
    <row r="5" spans="1:11">
      <c r="A5" s="11" t="s">
        <v>11</v>
      </c>
      <c r="B5" s="14">
        <f t="shared" si="0"/>
        <v>4</v>
      </c>
      <c r="C5" s="14">
        <v>9</v>
      </c>
      <c r="D5" s="14">
        <v>2022</v>
      </c>
      <c r="E5" s="7">
        <f>ELECT.!D9+ELECT.!F9+ELECT.!H9</f>
        <v>21032</v>
      </c>
      <c r="F5" s="19">
        <v>1.56</v>
      </c>
      <c r="G5" s="7">
        <f>Submetering!L5+Submetering!M5+Submetering!N5+Submetering!O5+Submetering!P5+Submetering!Q5+Submetering!R5+Submetering!S5+Submetering!T5+Submetering!U5+Submetering!V5+Submetering!W5+Submetering!X5+Submetering!Y5+Submetering!Z5+Submetering!AA5</f>
        <v>1862</v>
      </c>
      <c r="H5" s="20">
        <v>3.6</v>
      </c>
      <c r="I5" s="7">
        <f>Submetering!E5+Water!E8</f>
        <v>732</v>
      </c>
      <c r="J5" s="20">
        <v>9.1</v>
      </c>
      <c r="K5" s="7">
        <f>ELECT.!B9</f>
        <v>101</v>
      </c>
    </row>
    <row r="6" spans="1:11">
      <c r="A6" s="11" t="s">
        <v>11</v>
      </c>
      <c r="B6" s="14">
        <f t="shared" si="0"/>
        <v>5</v>
      </c>
      <c r="C6" s="14">
        <v>9</v>
      </c>
      <c r="D6" s="14">
        <v>2022</v>
      </c>
      <c r="E6" s="7">
        <f>ELECT.!D10+ELECT.!F10+ELECT.!H10</f>
        <v>21564</v>
      </c>
      <c r="F6" s="19">
        <v>1.56</v>
      </c>
      <c r="G6" s="7">
        <f>Submetering!L6+Submetering!M6+Submetering!N6+Submetering!O6+Submetering!P6+Submetering!Q6+Submetering!R6+Submetering!S6+Submetering!T6+Submetering!U6+Submetering!V6+Submetering!W6+Submetering!X6+Submetering!Y6+Submetering!Z6+Submetering!AA6</f>
        <v>1795</v>
      </c>
      <c r="H6" s="20">
        <v>3.6</v>
      </c>
      <c r="I6" s="7">
        <f>Submetering!E6+Water!E9</f>
        <v>859</v>
      </c>
      <c r="J6" s="20">
        <v>9.1</v>
      </c>
      <c r="K6" s="7">
        <f>ELECT.!B10</f>
        <v>92</v>
      </c>
    </row>
    <row r="7" spans="1:11">
      <c r="A7" s="11" t="s">
        <v>11</v>
      </c>
      <c r="B7" s="14">
        <f t="shared" si="0"/>
        <v>6</v>
      </c>
      <c r="C7" s="14">
        <v>9</v>
      </c>
      <c r="D7" s="14">
        <v>2022</v>
      </c>
      <c r="E7" s="7">
        <f>ELECT.!D11+ELECT.!F11+ELECT.!H11</f>
        <v>21954</v>
      </c>
      <c r="F7" s="19">
        <v>1.56</v>
      </c>
      <c r="G7" s="7">
        <f>Submetering!L7+Submetering!M7+Submetering!N7+Submetering!O7+Submetering!P7+Submetering!Q7+Submetering!R7+Submetering!S7+Submetering!T7+Submetering!U7+Submetering!V7+Submetering!W7+Submetering!X7+Submetering!Y7+Submetering!Z7+Submetering!AA7</f>
        <v>1935</v>
      </c>
      <c r="H7" s="20">
        <v>3.6</v>
      </c>
      <c r="I7" s="7">
        <f>Submetering!E7+Water!E10</f>
        <v>801</v>
      </c>
      <c r="J7" s="20">
        <v>9.1</v>
      </c>
      <c r="K7" s="7">
        <f>ELECT.!B11</f>
        <v>110</v>
      </c>
    </row>
    <row r="8" spans="1:11">
      <c r="A8" s="11" t="s">
        <v>11</v>
      </c>
      <c r="B8" s="14">
        <f t="shared" si="0"/>
        <v>7</v>
      </c>
      <c r="C8" s="14">
        <v>9</v>
      </c>
      <c r="D8" s="14">
        <v>2022</v>
      </c>
      <c r="E8" s="7">
        <f>ELECT.!D12+ELECT.!F12+ELECT.!H12</f>
        <v>20820</v>
      </c>
      <c r="F8" s="19">
        <v>1.56</v>
      </c>
      <c r="G8" s="7">
        <f>Submetering!L8+Submetering!M8+Submetering!N8+Submetering!O8+Submetering!P8+Submetering!Q8+Submetering!R8+Submetering!S8+Submetering!T8+Submetering!U8+Submetering!V8+Submetering!W8+Submetering!X8+Submetering!Y8+Submetering!Z8+Submetering!AA8</f>
        <v>1857</v>
      </c>
      <c r="H8" s="20">
        <v>3.6</v>
      </c>
      <c r="I8" s="7">
        <f>Submetering!E8+Water!E11</f>
        <v>735</v>
      </c>
      <c r="J8" s="20">
        <v>9.1</v>
      </c>
      <c r="K8" s="7">
        <f>ELECT.!B12</f>
        <v>110</v>
      </c>
    </row>
    <row r="9" spans="1:11">
      <c r="A9" s="11" t="s">
        <v>11</v>
      </c>
      <c r="B9" s="14">
        <f t="shared" si="0"/>
        <v>8</v>
      </c>
      <c r="C9" s="14">
        <v>9</v>
      </c>
      <c r="D9" s="14">
        <v>2022</v>
      </c>
      <c r="E9" s="7">
        <f>ELECT.!D13+ELECT.!F13+ELECT.!H13</f>
        <v>21192</v>
      </c>
      <c r="F9" s="19">
        <v>1.56</v>
      </c>
      <c r="G9" s="7">
        <f>Submetering!L9+Submetering!M9+Submetering!N9+Submetering!O9+Submetering!P9+Submetering!Q9+Submetering!R9+Submetering!S9+Submetering!T9+Submetering!U9+Submetering!V9+Submetering!W9+Submetering!X9+Submetering!Y9+Submetering!Z9+Submetering!AA9</f>
        <v>2082</v>
      </c>
      <c r="H9" s="20">
        <v>3.6</v>
      </c>
      <c r="I9" s="7">
        <f>Submetering!E9+Water!E12</f>
        <v>777</v>
      </c>
      <c r="J9" s="20">
        <v>9.1</v>
      </c>
      <c r="K9" s="7">
        <f>ELECT.!B13</f>
        <v>133</v>
      </c>
    </row>
    <row r="10" spans="1:11">
      <c r="A10" s="11" t="s">
        <v>11</v>
      </c>
      <c r="B10" s="14">
        <f t="shared" si="0"/>
        <v>9</v>
      </c>
      <c r="C10" s="14">
        <v>9</v>
      </c>
      <c r="D10" s="14">
        <v>2022</v>
      </c>
      <c r="E10" s="7">
        <f>ELECT.!D14+ELECT.!F14+ELECT.!H14</f>
        <v>22221</v>
      </c>
      <c r="F10" s="19">
        <v>1.56</v>
      </c>
      <c r="G10" s="7">
        <f>Submetering!L10+Submetering!M10+Submetering!N10+Submetering!O10+Submetering!P10+Submetering!Q10+Submetering!R10+Submetering!S10+Submetering!T10+Submetering!U10+Submetering!V10+Submetering!W10+Submetering!X10+Submetering!Y10+Submetering!Z10+Submetering!AA10</f>
        <v>1912</v>
      </c>
      <c r="H10" s="20">
        <v>3.6</v>
      </c>
      <c r="I10" s="7">
        <f>Submetering!E10+Water!E13</f>
        <v>798</v>
      </c>
      <c r="J10" s="20">
        <v>9.1</v>
      </c>
      <c r="K10" s="7">
        <f>ELECT.!B14</f>
        <v>142</v>
      </c>
    </row>
    <row r="11" spans="1:11">
      <c r="A11" s="11" t="s">
        <v>11</v>
      </c>
      <c r="B11" s="14">
        <f t="shared" si="0"/>
        <v>10</v>
      </c>
      <c r="C11" s="14">
        <v>9</v>
      </c>
      <c r="D11" s="14">
        <v>2022</v>
      </c>
      <c r="E11" s="7">
        <f>ELECT.!D15+ELECT.!F15+ELECT.!H15</f>
        <v>24200</v>
      </c>
      <c r="F11" s="19">
        <v>1.56</v>
      </c>
      <c r="G11" s="7">
        <f>Submetering!L11+Submetering!M11+Submetering!N11+Submetering!O11+Submetering!P11+Submetering!Q11+Submetering!R11+Submetering!S11+Submetering!T11+Submetering!U11+Submetering!V11+Submetering!W11+Submetering!X11+Submetering!Y11+Submetering!Z11+Submetering!AA11</f>
        <v>2024</v>
      </c>
      <c r="H11" s="20">
        <v>3.6</v>
      </c>
      <c r="I11" s="7">
        <f>Submetering!E11+Water!E14</f>
        <v>755</v>
      </c>
      <c r="J11" s="20">
        <v>9.1</v>
      </c>
      <c r="K11" s="7">
        <f>ELECT.!B15</f>
        <v>135</v>
      </c>
    </row>
    <row r="12" spans="1:11">
      <c r="A12" s="11" t="s">
        <v>11</v>
      </c>
      <c r="B12" s="14">
        <f t="shared" si="0"/>
        <v>11</v>
      </c>
      <c r="C12" s="14">
        <v>9</v>
      </c>
      <c r="D12" s="14">
        <v>2022</v>
      </c>
      <c r="E12" s="7">
        <f>ELECT.!D16+ELECT.!F16+ELECT.!H16</f>
        <v>20490</v>
      </c>
      <c r="F12" s="19">
        <v>1.56</v>
      </c>
      <c r="G12" s="7">
        <f>Submetering!L12+Submetering!M12+Submetering!N12+Submetering!O12+Submetering!P12+Submetering!Q12+Submetering!R12+Submetering!S12+Submetering!T12+Submetering!U12+Submetering!V12+Submetering!W12+Submetering!X12+Submetering!Y12+Submetering!Z12+Submetering!AA12</f>
        <v>1984</v>
      </c>
      <c r="H12" s="20">
        <v>3.6</v>
      </c>
      <c r="I12" s="7">
        <f>Submetering!E12+Water!E15</f>
        <v>687</v>
      </c>
      <c r="J12" s="20">
        <v>9.1</v>
      </c>
      <c r="K12" s="7">
        <f>ELECT.!B16</f>
        <v>118</v>
      </c>
    </row>
    <row r="13" spans="1:11">
      <c r="A13" s="11" t="s">
        <v>11</v>
      </c>
      <c r="B13" s="14">
        <f t="shared" si="0"/>
        <v>12</v>
      </c>
      <c r="C13" s="14">
        <v>9</v>
      </c>
      <c r="D13" s="14">
        <v>2022</v>
      </c>
      <c r="E13" s="7">
        <f>ELECT.!D17+ELECT.!F17+ELECT.!H17</f>
        <v>18629</v>
      </c>
      <c r="F13" s="19">
        <v>1.56</v>
      </c>
      <c r="G13" s="7">
        <f>Submetering!L13+Submetering!M13+Submetering!N13+Submetering!O13+Submetering!P13+Submetering!Q13+Submetering!R13+Submetering!S13+Submetering!T13+Submetering!U13+Submetering!V13+Submetering!W13+Submetering!X13+Submetering!Y13+Submetering!Z13+Submetering!AA13</f>
        <v>1685</v>
      </c>
      <c r="H13" s="20">
        <v>3.6</v>
      </c>
      <c r="I13" s="7">
        <f>Submetering!E13+Water!E16</f>
        <v>719</v>
      </c>
      <c r="J13" s="20">
        <v>9.1</v>
      </c>
      <c r="K13" s="7">
        <f>ELECT.!B17</f>
        <v>89</v>
      </c>
    </row>
    <row r="14" spans="1:11">
      <c r="A14" s="11" t="s">
        <v>11</v>
      </c>
      <c r="B14" s="14">
        <f t="shared" si="0"/>
        <v>13</v>
      </c>
      <c r="C14" s="14">
        <v>9</v>
      </c>
      <c r="D14" s="14">
        <v>2022</v>
      </c>
      <c r="E14" s="7">
        <f>ELECT.!D18+ELECT.!F18+ELECT.!H18</f>
        <v>18795</v>
      </c>
      <c r="F14" s="19">
        <v>1.56</v>
      </c>
      <c r="G14" s="7">
        <f>Submetering!L14+Submetering!M14+Submetering!N14+Submetering!O14+Submetering!P14+Submetering!Q14+Submetering!R14+Submetering!S14+Submetering!T14+Submetering!U14+Submetering!V14+Submetering!W14+Submetering!X14+Submetering!Y14+Submetering!Z14+Submetering!AA14</f>
        <v>1829</v>
      </c>
      <c r="H14" s="20">
        <v>3.6</v>
      </c>
      <c r="I14" s="7">
        <f>Submetering!E14+Water!E17</f>
        <v>780</v>
      </c>
      <c r="J14" s="20">
        <v>9.1</v>
      </c>
      <c r="K14" s="7">
        <f>ELECT.!B18</f>
        <v>105</v>
      </c>
    </row>
    <row r="15" spans="1:11">
      <c r="A15" s="11" t="s">
        <v>11</v>
      </c>
      <c r="B15" s="14">
        <f t="shared" si="0"/>
        <v>14</v>
      </c>
      <c r="C15" s="14">
        <v>9</v>
      </c>
      <c r="D15" s="14">
        <v>2022</v>
      </c>
      <c r="E15" s="7">
        <f>ELECT.!D19+ELECT.!F19+ELECT.!H19</f>
        <v>19853</v>
      </c>
      <c r="F15" s="19">
        <v>1.56</v>
      </c>
      <c r="G15" s="7">
        <f>Submetering!L15+Submetering!M15+Submetering!N15+Submetering!O15+Submetering!P15+Submetering!Q15+Submetering!R15+Submetering!S15+Submetering!T15+Submetering!U15+Submetering!V15+Submetering!W15+Submetering!X15+Submetering!Y15+Submetering!Z15+Submetering!AA15</f>
        <v>1752</v>
      </c>
      <c r="H15" s="20">
        <v>3.6</v>
      </c>
      <c r="I15" s="7">
        <f>Submetering!E15+Water!E18</f>
        <v>906</v>
      </c>
      <c r="J15" s="20">
        <v>9.1</v>
      </c>
      <c r="K15" s="7">
        <f>ELECT.!B19</f>
        <v>115</v>
      </c>
    </row>
    <row r="16" spans="1:11">
      <c r="A16" s="11" t="s">
        <v>11</v>
      </c>
      <c r="B16" s="14">
        <f t="shared" si="0"/>
        <v>15</v>
      </c>
      <c r="C16" s="14">
        <v>9</v>
      </c>
      <c r="D16" s="14">
        <v>2022</v>
      </c>
      <c r="E16" s="7">
        <f>ELECT.!D20+ELECT.!F20+ELECT.!H20</f>
        <v>22900</v>
      </c>
      <c r="F16" s="19">
        <v>1.56</v>
      </c>
      <c r="G16" s="7">
        <f>Submetering!L16+Submetering!M16+Submetering!N16+Submetering!O16+Submetering!P16+Submetering!Q16+Submetering!R16+Submetering!S16+Submetering!T16+Submetering!U16+Submetering!V16+Submetering!W16+Submetering!X16+Submetering!Y16+Submetering!Z16+Submetering!AA16</f>
        <v>2074</v>
      </c>
      <c r="H16" s="20">
        <v>3.6</v>
      </c>
      <c r="I16" s="7">
        <f>Submetering!E16+Water!E19</f>
        <v>658</v>
      </c>
      <c r="J16" s="20">
        <v>9.1</v>
      </c>
      <c r="K16" s="7">
        <f>ELECT.!B20</f>
        <v>123</v>
      </c>
    </row>
    <row r="17" spans="1:11">
      <c r="A17" s="11" t="s">
        <v>11</v>
      </c>
      <c r="B17" s="14">
        <f t="shared" si="0"/>
        <v>16</v>
      </c>
      <c r="C17" s="14">
        <v>9</v>
      </c>
      <c r="D17" s="14">
        <v>2022</v>
      </c>
      <c r="E17" s="7">
        <f>ELECT.!D21+ELECT.!F21+ELECT.!H21</f>
        <v>19824</v>
      </c>
      <c r="F17" s="19">
        <v>1.56</v>
      </c>
      <c r="G17" s="7">
        <f>Submetering!L17+Submetering!M17+Submetering!N17+Submetering!O17+Submetering!P17+Submetering!Q17+Submetering!R17+Submetering!S17+Submetering!T17+Submetering!U17+Submetering!V17+Submetering!W17+Submetering!X17+Submetering!Y17+Submetering!Z17+Submetering!AA17</f>
        <v>1942</v>
      </c>
      <c r="H17" s="20">
        <v>3.6</v>
      </c>
      <c r="I17" s="7">
        <f>Submetering!E17+Water!E20</f>
        <v>670</v>
      </c>
      <c r="J17" s="20">
        <v>9.1</v>
      </c>
      <c r="K17" s="7">
        <f>ELECT.!B21</f>
        <v>143</v>
      </c>
    </row>
    <row r="18" spans="1:11">
      <c r="A18" s="11" t="s">
        <v>11</v>
      </c>
      <c r="B18" s="14">
        <f t="shared" si="0"/>
        <v>17</v>
      </c>
      <c r="C18" s="14">
        <v>9</v>
      </c>
      <c r="D18" s="14">
        <v>2022</v>
      </c>
      <c r="E18" s="7">
        <f>ELECT.!D22+ELECT.!F22+ELECT.!H22</f>
        <v>18414</v>
      </c>
      <c r="F18" s="19">
        <v>1.56</v>
      </c>
      <c r="G18" s="7">
        <f>Submetering!L18+Submetering!M18+Submetering!N18+Submetering!O18+Submetering!P18+Submetering!Q18+Submetering!R18+Submetering!S18+Submetering!T18+Submetering!U18+Submetering!V18+Submetering!W18+Submetering!X18+Submetering!Y18+Submetering!Z18+Submetering!AA18</f>
        <v>1809</v>
      </c>
      <c r="H18" s="20">
        <v>3.6</v>
      </c>
      <c r="I18" s="7">
        <f>Submetering!E18+Water!E21</f>
        <v>928</v>
      </c>
      <c r="J18" s="20">
        <v>9.1</v>
      </c>
      <c r="K18" s="7">
        <f>ELECT.!B22</f>
        <v>112</v>
      </c>
    </row>
    <row r="19" spans="1:11">
      <c r="A19" s="11" t="s">
        <v>11</v>
      </c>
      <c r="B19" s="14">
        <f t="shared" si="0"/>
        <v>18</v>
      </c>
      <c r="C19" s="14">
        <v>9</v>
      </c>
      <c r="D19" s="14">
        <v>2022</v>
      </c>
      <c r="E19" s="7">
        <f>ELECT.!D23+ELECT.!F23+ELECT.!H23</f>
        <v>19212</v>
      </c>
      <c r="F19" s="19">
        <v>1.56</v>
      </c>
      <c r="G19" s="7">
        <f>Submetering!L19+Submetering!M19+Submetering!N19+Submetering!O19+Submetering!P19+Submetering!Q19+Submetering!R19+Submetering!S19+Submetering!T19+Submetering!U19+Submetering!V19+Submetering!W19+Submetering!X19+Submetering!Y19+Submetering!Z19+Submetering!AA19</f>
        <v>1793</v>
      </c>
      <c r="H19" s="20">
        <v>3.6</v>
      </c>
      <c r="I19" s="7">
        <f>Submetering!E19+Water!E22</f>
        <v>688</v>
      </c>
      <c r="J19" s="20">
        <v>9.1</v>
      </c>
      <c r="K19" s="7">
        <f>ELECT.!B23</f>
        <v>113</v>
      </c>
    </row>
    <row r="20" spans="1:11">
      <c r="A20" s="11" t="s">
        <v>11</v>
      </c>
      <c r="B20" s="14">
        <f t="shared" si="0"/>
        <v>19</v>
      </c>
      <c r="C20" s="14">
        <v>9</v>
      </c>
      <c r="D20" s="14">
        <v>2022</v>
      </c>
      <c r="E20" s="7">
        <f>ELECT.!D24+ELECT.!F24+ELECT.!H24</f>
        <v>21084</v>
      </c>
      <c r="F20" s="19">
        <v>1.56</v>
      </c>
      <c r="G20" s="7">
        <f>Submetering!L20+Submetering!M20+Submetering!N20+Submetering!O20+Submetering!P20+Submetering!Q20+Submetering!R20+Submetering!S20+Submetering!T20+Submetering!U20+Submetering!V20+Submetering!W20+Submetering!X20+Submetering!Y20+Submetering!Z20+Submetering!AA20</f>
        <v>1762</v>
      </c>
      <c r="H20" s="20">
        <v>3.6</v>
      </c>
      <c r="I20" s="7">
        <f>Submetering!E20+Water!E23</f>
        <v>601</v>
      </c>
      <c r="J20" s="20">
        <v>9.1</v>
      </c>
      <c r="K20" s="7">
        <f>ELECT.!B24</f>
        <v>121</v>
      </c>
    </row>
    <row r="21" spans="1:11">
      <c r="A21" s="11" t="s">
        <v>11</v>
      </c>
      <c r="B21" s="14">
        <f t="shared" si="0"/>
        <v>20</v>
      </c>
      <c r="C21" s="14">
        <v>9</v>
      </c>
      <c r="D21" s="14">
        <v>2022</v>
      </c>
      <c r="E21" s="7">
        <f>ELECT.!D25+ELECT.!F25+ELECT.!H25</f>
        <v>17127</v>
      </c>
      <c r="F21" s="19">
        <v>1.56</v>
      </c>
      <c r="G21" s="7">
        <f>Submetering!L21+Submetering!M21+Submetering!N21+Submetering!O21+Submetering!P21+Submetering!Q21+Submetering!R21+Submetering!S21+Submetering!T21+Submetering!U21+Submetering!V21+Submetering!W21+Submetering!X21+Submetering!Y21+Submetering!Z21+Submetering!AA21</f>
        <v>1796</v>
      </c>
      <c r="H21" s="20">
        <v>3.6</v>
      </c>
      <c r="I21" s="7">
        <f>Submetering!E21+Water!E24</f>
        <v>804</v>
      </c>
      <c r="J21" s="20">
        <v>9.1</v>
      </c>
      <c r="K21" s="7">
        <f>ELECT.!B25</f>
        <v>114</v>
      </c>
    </row>
    <row r="22" spans="1:11">
      <c r="A22" s="11" t="s">
        <v>11</v>
      </c>
      <c r="B22" s="14">
        <f t="shared" si="0"/>
        <v>21</v>
      </c>
      <c r="C22" s="14">
        <v>9</v>
      </c>
      <c r="D22" s="14">
        <v>2022</v>
      </c>
      <c r="E22" s="7">
        <f>ELECT.!D26+ELECT.!F26+ELECT.!H26</f>
        <v>20010</v>
      </c>
      <c r="F22" s="19">
        <v>1.56</v>
      </c>
      <c r="G22" s="7">
        <f>Submetering!L22+Submetering!M22+Submetering!N22+Submetering!O22+Submetering!P22+Submetering!Q22+Submetering!R22+Submetering!S22+Submetering!T22+Submetering!U22+Submetering!V22+Submetering!W22+Submetering!X22+Submetering!Y22+Submetering!Z22+Submetering!AA22</f>
        <v>1669</v>
      </c>
      <c r="H22" s="20">
        <v>3.6</v>
      </c>
      <c r="I22" s="7">
        <f>Submetering!E22+Water!E25</f>
        <v>745</v>
      </c>
      <c r="J22" s="20">
        <v>9.1</v>
      </c>
      <c r="K22" s="7">
        <f>ELECT.!B26</f>
        <v>117</v>
      </c>
    </row>
    <row r="23" spans="1:11">
      <c r="A23" s="11" t="s">
        <v>11</v>
      </c>
      <c r="B23" s="14">
        <f t="shared" si="0"/>
        <v>22</v>
      </c>
      <c r="C23" s="14">
        <v>9</v>
      </c>
      <c r="D23" s="14">
        <v>2022</v>
      </c>
      <c r="E23" s="7">
        <f>ELECT.!D27+ELECT.!F27+ELECT.!H27</f>
        <v>19692</v>
      </c>
      <c r="F23" s="19">
        <v>1.56</v>
      </c>
      <c r="G23" s="7">
        <f>Submetering!L23+Submetering!M23+Submetering!N23+Submetering!O23+Submetering!P23+Submetering!Q23+Submetering!R23+Submetering!S23+Submetering!T23+Submetering!U23+Submetering!V23+Submetering!W23+Submetering!X23+Submetering!Y23+Submetering!Z23+Submetering!AA23</f>
        <v>1881</v>
      </c>
      <c r="H23" s="20">
        <v>3.6</v>
      </c>
      <c r="I23" s="7">
        <f>Submetering!E23+Water!E26</f>
        <v>696</v>
      </c>
      <c r="J23" s="20">
        <v>9.1</v>
      </c>
      <c r="K23" s="7">
        <f>ELECT.!B27</f>
        <v>139</v>
      </c>
    </row>
    <row r="24" spans="1:11">
      <c r="A24" s="11" t="s">
        <v>11</v>
      </c>
      <c r="B24" s="14">
        <f t="shared" si="0"/>
        <v>23</v>
      </c>
      <c r="C24" s="14">
        <v>9</v>
      </c>
      <c r="D24" s="14">
        <v>2022</v>
      </c>
      <c r="E24" s="7">
        <f>ELECT.!D28+ELECT.!F28+ELECT.!H28</f>
        <v>19309</v>
      </c>
      <c r="F24" s="19">
        <v>1.56</v>
      </c>
      <c r="G24" s="7">
        <f>Submetering!L24+Submetering!M24+Submetering!N24+Submetering!O24+Submetering!P24+Submetering!Q24+Submetering!R24+Submetering!S24+Submetering!T24+Submetering!U24+Submetering!V24+Submetering!W24+Submetering!X24+Submetering!Y24+Submetering!Z24+Submetering!AA24</f>
        <v>2093</v>
      </c>
      <c r="H24" s="20">
        <v>3.6</v>
      </c>
      <c r="I24" s="7">
        <f>Submetering!E24+Water!E27</f>
        <v>755</v>
      </c>
      <c r="J24" s="20">
        <v>9.1</v>
      </c>
      <c r="K24" s="7">
        <f>ELECT.!B28</f>
        <v>161</v>
      </c>
    </row>
    <row r="25" spans="1:11">
      <c r="A25" s="11" t="s">
        <v>11</v>
      </c>
      <c r="B25" s="14">
        <f t="shared" si="0"/>
        <v>24</v>
      </c>
      <c r="C25" s="14">
        <v>9</v>
      </c>
      <c r="D25" s="14">
        <v>2022</v>
      </c>
      <c r="E25" s="7">
        <f>ELECT.!D29+ELECT.!F29+ELECT.!H29</f>
        <v>23052</v>
      </c>
      <c r="F25" s="19">
        <v>1.56</v>
      </c>
      <c r="G25" s="7">
        <f>Submetering!L25+Submetering!M25+Submetering!N25+Submetering!O25+Submetering!P25+Submetering!Q25+Submetering!R25+Submetering!S25+Submetering!T25+Submetering!U25+Submetering!V25+Submetering!W25+Submetering!X25+Submetering!Y25+Submetering!Z25+Submetering!AA25</f>
        <v>1873</v>
      </c>
      <c r="H25" s="20">
        <v>3.6</v>
      </c>
      <c r="I25" s="7">
        <f>Submetering!E25+Water!E28</f>
        <v>750</v>
      </c>
      <c r="J25" s="20">
        <v>9.1</v>
      </c>
      <c r="K25" s="7">
        <f>ELECT.!B29</f>
        <v>104</v>
      </c>
    </row>
    <row r="26" spans="1:11">
      <c r="A26" s="11" t="s">
        <v>11</v>
      </c>
      <c r="B26" s="14">
        <f>B25+1</f>
        <v>25</v>
      </c>
      <c r="C26" s="14">
        <v>9</v>
      </c>
      <c r="D26" s="14">
        <v>2022</v>
      </c>
      <c r="E26" s="7">
        <f>ELECT.!D30+ELECT.!F30+ELECT.!H30</f>
        <v>18071</v>
      </c>
      <c r="F26" s="19">
        <v>1.56</v>
      </c>
      <c r="G26" s="7">
        <f>Submetering!L26+Submetering!M26+Submetering!N26+Submetering!O26+Submetering!P26+Submetering!Q26+Submetering!R26+Submetering!S26+Submetering!T26+Submetering!U26+Submetering!V26+Submetering!W26+Submetering!X26+Submetering!Y26+Submetering!Z26+Submetering!AA26</f>
        <v>1998</v>
      </c>
      <c r="H26" s="20">
        <v>3.6</v>
      </c>
      <c r="I26" s="7">
        <f>Submetering!E26+Water!E29</f>
        <v>833</v>
      </c>
      <c r="J26" s="20">
        <v>9.1</v>
      </c>
      <c r="K26" s="7">
        <f>ELECT.!B30</f>
        <v>81</v>
      </c>
    </row>
    <row r="27" spans="1:11">
      <c r="A27" s="11" t="s">
        <v>11</v>
      </c>
      <c r="B27" s="14">
        <f t="shared" si="0"/>
        <v>26</v>
      </c>
      <c r="C27" s="14">
        <v>9</v>
      </c>
      <c r="D27" s="14">
        <v>2022</v>
      </c>
      <c r="E27" s="7">
        <f>ELECT.!D31+ELECT.!F31+ELECT.!H31</f>
        <v>20126</v>
      </c>
      <c r="F27" s="19">
        <v>1.56</v>
      </c>
      <c r="G27" s="7">
        <f>Submetering!L27+Submetering!M27+Submetering!N27+Submetering!O27+Submetering!P27+Submetering!Q27+Submetering!R27+Submetering!S27+Submetering!T27+Submetering!U27+Submetering!V27+Submetering!W27+Submetering!X27+Submetering!Y27+Submetering!Z27+Submetering!AA27</f>
        <v>1654</v>
      </c>
      <c r="H27" s="20">
        <v>3.6</v>
      </c>
      <c r="I27" s="7">
        <f>Submetering!E27+Water!E30</f>
        <v>644</v>
      </c>
      <c r="J27" s="20">
        <v>9.1</v>
      </c>
      <c r="K27" s="7">
        <f>ELECT.!B31</f>
        <v>75</v>
      </c>
    </row>
    <row r="28" spans="1:11">
      <c r="A28" s="11" t="s">
        <v>11</v>
      </c>
      <c r="B28" s="14">
        <f t="shared" si="0"/>
        <v>27</v>
      </c>
      <c r="C28" s="14">
        <v>9</v>
      </c>
      <c r="D28" s="14">
        <v>2022</v>
      </c>
      <c r="E28" s="7">
        <f>ELECT.!D32+ELECT.!F32+ELECT.!H32</f>
        <v>19596</v>
      </c>
      <c r="F28" s="19">
        <v>1.56</v>
      </c>
      <c r="G28" s="7">
        <f>Submetering!L28+Submetering!M28+Submetering!N28+Submetering!O28+Submetering!P28+Submetering!Q28+Submetering!R28+Submetering!S28+Submetering!T28+Submetering!U28+Submetering!V28+Submetering!W28+Submetering!X28+Submetering!Y28+Submetering!Z28+Submetering!AA28</f>
        <v>1943</v>
      </c>
      <c r="H28" s="20">
        <v>3.6</v>
      </c>
      <c r="I28" s="7">
        <f>Submetering!E28+Water!E31</f>
        <v>621</v>
      </c>
      <c r="J28" s="20">
        <v>9.1</v>
      </c>
      <c r="K28" s="7">
        <f>ELECT.!B32</f>
        <v>77</v>
      </c>
    </row>
    <row r="29" spans="1:11">
      <c r="A29" s="11" t="s">
        <v>11</v>
      </c>
      <c r="B29" s="14">
        <f t="shared" si="0"/>
        <v>28</v>
      </c>
      <c r="C29" s="14">
        <v>9</v>
      </c>
      <c r="D29" s="14">
        <v>2022</v>
      </c>
      <c r="E29" s="7">
        <f>ELECT.!D33+ELECT.!F33+ELECT.!H33</f>
        <v>18532</v>
      </c>
      <c r="F29" s="19">
        <v>1.56</v>
      </c>
      <c r="G29" s="7">
        <f>Submetering!L29+Submetering!M29+Submetering!N29+Submetering!O29+Submetering!P29+Submetering!Q29+Submetering!R29+Submetering!S29+Submetering!T29+Submetering!U29+Submetering!V29+Submetering!W29+Submetering!X29+Submetering!Y29+Submetering!Z29+Submetering!AA29</f>
        <v>1881</v>
      </c>
      <c r="H29" s="20">
        <v>3.6</v>
      </c>
      <c r="I29" s="7">
        <f>Submetering!E29+Water!E32</f>
        <v>561</v>
      </c>
      <c r="J29" s="20">
        <v>9.1</v>
      </c>
      <c r="K29" s="7">
        <f>ELECT.!B33</f>
        <v>73</v>
      </c>
    </row>
    <row r="30" spans="1:11">
      <c r="A30" s="11" t="s">
        <v>11</v>
      </c>
      <c r="B30" s="14">
        <f t="shared" si="0"/>
        <v>29</v>
      </c>
      <c r="C30" s="14">
        <v>9</v>
      </c>
      <c r="D30" s="14">
        <v>2022</v>
      </c>
      <c r="E30" s="7">
        <f>ELECT.!D34+ELECT.!F34+ELECT.!H34</f>
        <v>22237</v>
      </c>
      <c r="F30" s="19">
        <v>1.56</v>
      </c>
      <c r="G30" s="7">
        <f>Submetering!L30+Submetering!M30+Submetering!N30+Submetering!O30+Submetering!P30+Submetering!Q30+Submetering!R30+Submetering!S30+Submetering!T30+Submetering!U30+Submetering!V30+Submetering!W30+Submetering!X30+Submetering!Y30+Submetering!Z30+Submetering!AA30</f>
        <v>1865</v>
      </c>
      <c r="H30" s="20">
        <v>3.6</v>
      </c>
      <c r="I30" s="7">
        <f>Submetering!E30+Water!E33</f>
        <v>761</v>
      </c>
      <c r="J30" s="20">
        <v>9.1</v>
      </c>
      <c r="K30" s="7">
        <f>ELECT.!B34</f>
        <v>91</v>
      </c>
    </row>
    <row r="31" spans="1:11">
      <c r="A31" s="11" t="s">
        <v>11</v>
      </c>
      <c r="B31" s="14">
        <f t="shared" si="0"/>
        <v>30</v>
      </c>
      <c r="C31" s="14">
        <v>9</v>
      </c>
      <c r="D31" s="14">
        <v>2022</v>
      </c>
      <c r="E31" s="7">
        <f>ELECT.!D35+ELECT.!F35+ELECT.!H35</f>
        <v>20415</v>
      </c>
      <c r="F31" s="19">
        <v>1.56</v>
      </c>
      <c r="G31" s="7">
        <f>Submetering!L31+Submetering!M31+Submetering!N31+Submetering!O31+Submetering!P31+Submetering!Q31+Submetering!R31+Submetering!S31+Submetering!T31+Submetering!U31+Submetering!V31+Submetering!W31+Submetering!X31+Submetering!Y31+Submetering!Z31+Submetering!AA31</f>
        <v>1918</v>
      </c>
      <c r="H31" s="20">
        <v>3.6</v>
      </c>
      <c r="I31" s="7">
        <f>Submetering!E31+Water!E34</f>
        <v>856</v>
      </c>
      <c r="J31" s="20">
        <v>9.1</v>
      </c>
      <c r="K31" s="7">
        <f>ELECT.!B35</f>
        <v>110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31"/>
  <sheetViews>
    <sheetView topLeftCell="C2" zoomScale="85" zoomScaleNormal="85" workbookViewId="0">
      <selection activeCell="C2" sqref="C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11" width="12.5703125" style="7" customWidth="1"/>
    <col min="12" max="12" width="11.42578125" style="8" customWidth="1"/>
    <col min="13" max="14" width="12.5703125" style="8" customWidth="1"/>
    <col min="15" max="15" width="11.5703125" style="6"/>
  </cols>
  <sheetData>
    <row r="1" spans="1:28" s="5" customFormat="1" ht="45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</row>
    <row r="2" spans="1:28">
      <c r="A2" s="11" t="s">
        <v>11</v>
      </c>
      <c r="B2" s="14">
        <v>1</v>
      </c>
      <c r="C2" s="14">
        <v>9</v>
      </c>
      <c r="D2" s="14">
        <v>2022</v>
      </c>
      <c r="E2" s="7">
        <f>Water!C5</f>
        <v>300</v>
      </c>
      <c r="F2" s="7">
        <f>Water!E5</f>
        <v>458</v>
      </c>
      <c r="G2" s="7">
        <f>ELECT.!D6</f>
        <v>4935</v>
      </c>
      <c r="H2" s="7">
        <f>ELECT.!F6</f>
        <v>9274</v>
      </c>
      <c r="I2" s="7">
        <f>ELECT.!H6</f>
        <v>6647</v>
      </c>
      <c r="J2" s="7">
        <f>ELECT.!K6</f>
        <v>6830</v>
      </c>
      <c r="K2" s="7">
        <f>ELECT.!M6</f>
        <v>137</v>
      </c>
      <c r="L2" s="8">
        <f>Gas!C4</f>
        <v>378</v>
      </c>
      <c r="M2" s="8">
        <f>Gas!E4</f>
        <v>613</v>
      </c>
      <c r="N2" s="8">
        <f>Gas!G4</f>
        <v>142</v>
      </c>
      <c r="O2" s="16">
        <f>Gas!I4</f>
        <v>33</v>
      </c>
      <c r="P2" s="16">
        <f>Gas!K4</f>
        <v>0</v>
      </c>
      <c r="Q2" s="8">
        <f>Gas!M4</f>
        <v>53</v>
      </c>
      <c r="R2" s="8">
        <f>Gas!O4</f>
        <v>105</v>
      </c>
      <c r="S2" s="8">
        <f>Gas!Q4</f>
        <v>0</v>
      </c>
      <c r="T2" s="8">
        <f>Gas!S4</f>
        <v>285</v>
      </c>
      <c r="U2" s="8">
        <f>Gas!U4</f>
        <v>32</v>
      </c>
      <c r="V2" s="8">
        <f>Gas!W4</f>
        <v>0</v>
      </c>
      <c r="W2" s="8">
        <f>Gas!Y4</f>
        <v>26</v>
      </c>
      <c r="X2" s="8">
        <f>Gas!AA4</f>
        <v>76</v>
      </c>
      <c r="Y2" s="8">
        <f>Gas!AC4</f>
        <v>0</v>
      </c>
      <c r="Z2" s="8">
        <f>Gas!AE4</f>
        <v>201</v>
      </c>
      <c r="AA2" s="8">
        <f>Gas!AG4</f>
        <v>0</v>
      </c>
      <c r="AB2" s="7">
        <f>ELECT.!B6</f>
        <v>124</v>
      </c>
    </row>
    <row r="3" spans="1:28">
      <c r="A3" s="11" t="s">
        <v>11</v>
      </c>
      <c r="B3" s="14">
        <f>B2+1</f>
        <v>2</v>
      </c>
      <c r="C3" s="14">
        <v>9</v>
      </c>
      <c r="D3" s="14">
        <v>2022</v>
      </c>
      <c r="E3" s="7">
        <f>Water!C6</f>
        <v>240</v>
      </c>
      <c r="F3" s="7">
        <f>Water!E6</f>
        <v>482</v>
      </c>
      <c r="G3" s="7">
        <f>ELECT.!D7</f>
        <v>4971</v>
      </c>
      <c r="H3" s="7">
        <f>ELECT.!F7</f>
        <v>9260</v>
      </c>
      <c r="I3" s="7">
        <f>ELECT.!H7</f>
        <v>6412</v>
      </c>
      <c r="J3" s="7">
        <f>ELECT.!K7</f>
        <v>7570</v>
      </c>
      <c r="K3" s="7">
        <f>ELECT.!M7</f>
        <v>163</v>
      </c>
      <c r="L3" s="8">
        <f>Gas!C5</f>
        <v>227</v>
      </c>
      <c r="M3" s="8">
        <f>Gas!E5</f>
        <v>651</v>
      </c>
      <c r="N3" s="8">
        <f>Gas!G5</f>
        <v>137</v>
      </c>
      <c r="O3" s="16">
        <f>Gas!I5</f>
        <v>25</v>
      </c>
      <c r="P3" s="16">
        <f>Gas!K5</f>
        <v>0</v>
      </c>
      <c r="Q3" s="8">
        <f>Gas!M5</f>
        <v>64</v>
      </c>
      <c r="R3" s="8">
        <f>Gas!O5</f>
        <v>88</v>
      </c>
      <c r="S3" s="8">
        <f>Gas!Q5</f>
        <v>0</v>
      </c>
      <c r="T3" s="8">
        <f>Gas!S5</f>
        <v>326</v>
      </c>
      <c r="U3" s="8">
        <f>Gas!U5</f>
        <v>39</v>
      </c>
      <c r="V3" s="8">
        <f>Gas!W5</f>
        <v>0</v>
      </c>
      <c r="W3" s="8">
        <f>Gas!Y5</f>
        <v>34</v>
      </c>
      <c r="X3" s="8">
        <f>Gas!AA5</f>
        <v>87</v>
      </c>
      <c r="Y3" s="8">
        <f>Gas!AC5</f>
        <v>0</v>
      </c>
      <c r="Z3" s="8">
        <f>Gas!AE5</f>
        <v>237</v>
      </c>
      <c r="AA3" s="8">
        <f>Gas!AG5</f>
        <v>0</v>
      </c>
      <c r="AB3" s="7">
        <f>ELECT.!B7</f>
        <v>124</v>
      </c>
    </row>
    <row r="4" spans="1:28">
      <c r="A4" s="11" t="s">
        <v>11</v>
      </c>
      <c r="B4" s="14">
        <f t="shared" ref="B4:B31" si="0">B3+1</f>
        <v>3</v>
      </c>
      <c r="C4" s="14">
        <v>9</v>
      </c>
      <c r="D4" s="14">
        <v>2022</v>
      </c>
      <c r="E4" s="7">
        <f>Water!C7</f>
        <v>260</v>
      </c>
      <c r="F4" s="7">
        <f>Water!E7</f>
        <v>475</v>
      </c>
      <c r="G4" s="7">
        <f>ELECT.!D8</f>
        <v>4962</v>
      </c>
      <c r="H4" s="7">
        <f>ELECT.!F8</f>
        <v>9193</v>
      </c>
      <c r="I4" s="7">
        <f>ELECT.!H8</f>
        <v>6154</v>
      </c>
      <c r="J4" s="7">
        <f>ELECT.!K8</f>
        <v>7500</v>
      </c>
      <c r="K4" s="7">
        <f>ELECT.!M8</f>
        <v>162</v>
      </c>
      <c r="L4" s="8">
        <f>Gas!C6</f>
        <v>263</v>
      </c>
      <c r="M4" s="8">
        <f>Gas!E6</f>
        <v>605</v>
      </c>
      <c r="N4" s="8">
        <f>Gas!G6</f>
        <v>133</v>
      </c>
      <c r="O4" s="16">
        <f>Gas!I6</f>
        <v>34</v>
      </c>
      <c r="P4" s="16">
        <f>Gas!K6</f>
        <v>0</v>
      </c>
      <c r="Q4" s="8">
        <f>Gas!M6</f>
        <v>41</v>
      </c>
      <c r="R4" s="8">
        <f>Gas!O6</f>
        <v>51</v>
      </c>
      <c r="S4" s="8">
        <f>Gas!Q6</f>
        <v>0</v>
      </c>
      <c r="T4" s="8">
        <f>Gas!S6</f>
        <v>292</v>
      </c>
      <c r="U4" s="8">
        <f>Gas!U6</f>
        <v>29</v>
      </c>
      <c r="V4" s="8">
        <f>Gas!W6</f>
        <v>0</v>
      </c>
      <c r="W4" s="8">
        <f>Gas!Y6</f>
        <v>46</v>
      </c>
      <c r="X4" s="8">
        <f>Gas!AA6</f>
        <v>94</v>
      </c>
      <c r="Y4" s="8">
        <f>Gas!AC6</f>
        <v>0</v>
      </c>
      <c r="Z4" s="8">
        <f>Gas!AE6</f>
        <v>229</v>
      </c>
      <c r="AA4" s="8">
        <f>Gas!AG6</f>
        <v>0</v>
      </c>
      <c r="AB4" s="7">
        <f>ELECT.!B8</f>
        <v>111</v>
      </c>
    </row>
    <row r="5" spans="1:28">
      <c r="A5" s="11" t="s">
        <v>11</v>
      </c>
      <c r="B5" s="14">
        <f t="shared" si="0"/>
        <v>4</v>
      </c>
      <c r="C5" s="14">
        <v>9</v>
      </c>
      <c r="D5" s="14">
        <v>2022</v>
      </c>
      <c r="E5" s="7">
        <f>Water!C8</f>
        <v>260</v>
      </c>
      <c r="F5" s="7">
        <f>Water!E8</f>
        <v>472</v>
      </c>
      <c r="G5" s="7">
        <f>ELECT.!D9</f>
        <v>5086</v>
      </c>
      <c r="H5" s="7">
        <f>ELECT.!F9</f>
        <v>9307</v>
      </c>
      <c r="I5" s="7">
        <f>ELECT.!H9</f>
        <v>6639</v>
      </c>
      <c r="J5" s="7">
        <f>ELECT.!K9</f>
        <v>6900</v>
      </c>
      <c r="K5" s="7">
        <f>ELECT.!M9</f>
        <v>154</v>
      </c>
      <c r="L5" s="8">
        <f>Gas!C7</f>
        <v>231</v>
      </c>
      <c r="M5" s="8">
        <f>Gas!E7</f>
        <v>728</v>
      </c>
      <c r="N5" s="8">
        <f>Gas!G7</f>
        <v>125</v>
      </c>
      <c r="O5" s="16">
        <f>Gas!I7</f>
        <v>23</v>
      </c>
      <c r="P5" s="16">
        <f>Gas!K7</f>
        <v>0</v>
      </c>
      <c r="Q5" s="8">
        <f>Gas!M7</f>
        <v>47</v>
      </c>
      <c r="R5" s="8">
        <f>Gas!O7</f>
        <v>148</v>
      </c>
      <c r="S5" s="8">
        <f>Gas!Q7</f>
        <v>0</v>
      </c>
      <c r="T5" s="8">
        <f>Gas!S7</f>
        <v>286</v>
      </c>
      <c r="U5" s="8">
        <f>Gas!U7</f>
        <v>25</v>
      </c>
      <c r="V5" s="8">
        <f>Gas!W7</f>
        <v>0</v>
      </c>
      <c r="W5" s="8">
        <f>Gas!Y7</f>
        <v>26</v>
      </c>
      <c r="X5" s="8">
        <f>Gas!AA7</f>
        <v>25</v>
      </c>
      <c r="Y5" s="8">
        <f>Gas!AC7</f>
        <v>0</v>
      </c>
      <c r="Z5" s="8">
        <f>Gas!AE7</f>
        <v>198</v>
      </c>
      <c r="AA5" s="8">
        <f>Gas!AG7</f>
        <v>0</v>
      </c>
      <c r="AB5" s="7">
        <f>ELECT.!B9</f>
        <v>101</v>
      </c>
    </row>
    <row r="6" spans="1:28">
      <c r="A6" s="11" t="s">
        <v>11</v>
      </c>
      <c r="B6" s="14">
        <f t="shared" si="0"/>
        <v>5</v>
      </c>
      <c r="C6" s="14">
        <v>9</v>
      </c>
      <c r="D6" s="14">
        <v>2022</v>
      </c>
      <c r="E6" s="7">
        <f>Water!C9</f>
        <v>360</v>
      </c>
      <c r="F6" s="7">
        <f>Water!E9</f>
        <v>499</v>
      </c>
      <c r="G6" s="7">
        <f>ELECT.!D10</f>
        <v>5231</v>
      </c>
      <c r="H6" s="7">
        <f>ELECT.!F10</f>
        <v>9704</v>
      </c>
      <c r="I6" s="7">
        <f>ELECT.!H10</f>
        <v>6629</v>
      </c>
      <c r="J6" s="7">
        <f>ELECT.!K10</f>
        <v>7200</v>
      </c>
      <c r="K6" s="7">
        <f>ELECT.!M10</f>
        <v>150</v>
      </c>
      <c r="L6" s="8">
        <f>Gas!C8</f>
        <v>209</v>
      </c>
      <c r="M6" s="8">
        <f>Gas!E8</f>
        <v>687</v>
      </c>
      <c r="N6" s="8">
        <f>Gas!G8</f>
        <v>127</v>
      </c>
      <c r="O6" s="16">
        <f>Gas!I8</f>
        <v>26</v>
      </c>
      <c r="P6" s="16">
        <f>Gas!K8</f>
        <v>4</v>
      </c>
      <c r="Q6" s="8">
        <f>Gas!M8</f>
        <v>52</v>
      </c>
      <c r="R6" s="8">
        <f>Gas!O8</f>
        <v>124</v>
      </c>
      <c r="S6" s="8">
        <f>Gas!Q8</f>
        <v>0</v>
      </c>
      <c r="T6" s="8">
        <f>Gas!S8</f>
        <v>298</v>
      </c>
      <c r="U6" s="8">
        <f>Gas!U8</f>
        <v>37</v>
      </c>
      <c r="V6" s="8">
        <f>Gas!W8</f>
        <v>0</v>
      </c>
      <c r="W6" s="8">
        <f>Gas!Y8</f>
        <v>38</v>
      </c>
      <c r="X6" s="8">
        <f>Gas!AA8</f>
        <v>28</v>
      </c>
      <c r="Y6" s="8">
        <f>Gas!AC8</f>
        <v>0</v>
      </c>
      <c r="Z6" s="8">
        <f>Gas!AE8</f>
        <v>165</v>
      </c>
      <c r="AA6" s="8">
        <f>Gas!AG8</f>
        <v>0</v>
      </c>
      <c r="AB6" s="7">
        <f>ELECT.!B10</f>
        <v>92</v>
      </c>
    </row>
    <row r="7" spans="1:28">
      <c r="A7" s="11" t="s">
        <v>11</v>
      </c>
      <c r="B7" s="14">
        <f t="shared" si="0"/>
        <v>6</v>
      </c>
      <c r="C7" s="14">
        <v>9</v>
      </c>
      <c r="D7" s="14">
        <v>2022</v>
      </c>
      <c r="E7" s="7">
        <f>Water!C10</f>
        <v>230</v>
      </c>
      <c r="F7" s="7">
        <f>Water!E10</f>
        <v>571</v>
      </c>
      <c r="G7" s="7">
        <f>ELECT.!D11</f>
        <v>5244</v>
      </c>
      <c r="H7" s="7">
        <f>ELECT.!F11</f>
        <v>9849</v>
      </c>
      <c r="I7" s="7">
        <f>ELECT.!H11</f>
        <v>6861</v>
      </c>
      <c r="J7" s="7">
        <f>ELECT.!K11</f>
        <v>8000</v>
      </c>
      <c r="K7" s="7">
        <f>ELECT.!M11</f>
        <v>168</v>
      </c>
      <c r="L7" s="8">
        <f>Gas!C9</f>
        <v>255</v>
      </c>
      <c r="M7" s="8">
        <f>Gas!E9</f>
        <v>706</v>
      </c>
      <c r="N7" s="8">
        <f>Gas!G9</f>
        <v>141</v>
      </c>
      <c r="O7" s="16">
        <f>Gas!I9</f>
        <v>26</v>
      </c>
      <c r="P7" s="16">
        <f>Gas!K9</f>
        <v>1</v>
      </c>
      <c r="Q7" s="8">
        <f>Gas!M9</f>
        <v>51</v>
      </c>
      <c r="R7" s="8">
        <f>Gas!O9</f>
        <v>150</v>
      </c>
      <c r="S7" s="8">
        <f>Gas!Q9</f>
        <v>0</v>
      </c>
      <c r="T7" s="8">
        <f>Gas!S9</f>
        <v>268</v>
      </c>
      <c r="U7" s="8">
        <f>Gas!U9</f>
        <v>33</v>
      </c>
      <c r="V7" s="8">
        <f>Gas!W9</f>
        <v>0</v>
      </c>
      <c r="W7" s="8">
        <f>Gas!Y9</f>
        <v>36</v>
      </c>
      <c r="X7" s="8">
        <f>Gas!AA9</f>
        <v>57</v>
      </c>
      <c r="Y7" s="8">
        <f>Gas!AC9</f>
        <v>0</v>
      </c>
      <c r="Z7" s="8">
        <f>Gas!AE9</f>
        <v>211</v>
      </c>
      <c r="AA7" s="8">
        <f>Gas!AG9</f>
        <v>0</v>
      </c>
      <c r="AB7" s="7">
        <f>ELECT.!B11</f>
        <v>110</v>
      </c>
    </row>
    <row r="8" spans="1:28">
      <c r="A8" s="11" t="s">
        <v>11</v>
      </c>
      <c r="B8" s="14">
        <f t="shared" si="0"/>
        <v>7</v>
      </c>
      <c r="C8" s="14">
        <v>9</v>
      </c>
      <c r="D8" s="14">
        <v>2022</v>
      </c>
      <c r="E8" s="7">
        <f>Water!C11</f>
        <v>260</v>
      </c>
      <c r="F8" s="7">
        <f>Water!E11</f>
        <v>475</v>
      </c>
      <c r="G8" s="7">
        <f>ELECT.!D12</f>
        <v>4938</v>
      </c>
      <c r="H8" s="7">
        <f>ELECT.!F12</f>
        <v>9496</v>
      </c>
      <c r="I8" s="7">
        <f>ELECT.!H12</f>
        <v>6386</v>
      </c>
      <c r="J8" s="7">
        <f>ELECT.!K12</f>
        <v>6400</v>
      </c>
      <c r="K8" s="7">
        <f>ELECT.!M12</f>
        <v>140</v>
      </c>
      <c r="L8" s="8">
        <f>Gas!C10</f>
        <v>229</v>
      </c>
      <c r="M8" s="8">
        <f>Gas!E10</f>
        <v>636</v>
      </c>
      <c r="N8" s="8">
        <f>Gas!G10</f>
        <v>146</v>
      </c>
      <c r="O8" s="16">
        <f>Gas!I10</f>
        <v>29</v>
      </c>
      <c r="P8" s="16">
        <f>Gas!K10</f>
        <v>1</v>
      </c>
      <c r="Q8" s="8">
        <f>Gas!M10</f>
        <v>55</v>
      </c>
      <c r="R8" s="8">
        <f>Gas!O10</f>
        <v>142</v>
      </c>
      <c r="S8" s="8">
        <f>Gas!Q10</f>
        <v>0</v>
      </c>
      <c r="T8" s="8">
        <f>Gas!S10</f>
        <v>254</v>
      </c>
      <c r="U8" s="8">
        <f>Gas!U10</f>
        <v>44</v>
      </c>
      <c r="V8" s="8">
        <f>Gas!W10</f>
        <v>0</v>
      </c>
      <c r="W8" s="8">
        <f>Gas!Y10</f>
        <v>34</v>
      </c>
      <c r="X8" s="8">
        <f>Gas!AA10</f>
        <v>84</v>
      </c>
      <c r="Y8" s="8">
        <f>Gas!AC10</f>
        <v>0</v>
      </c>
      <c r="Z8" s="8">
        <f>Gas!AE10</f>
        <v>203</v>
      </c>
      <c r="AA8" s="8">
        <f>Gas!AG10</f>
        <v>0</v>
      </c>
      <c r="AB8" s="7">
        <f>ELECT.!B12</f>
        <v>110</v>
      </c>
    </row>
    <row r="9" spans="1:28">
      <c r="A9" s="11" t="s">
        <v>11</v>
      </c>
      <c r="B9" s="14">
        <f t="shared" si="0"/>
        <v>8</v>
      </c>
      <c r="C9" s="14">
        <v>9</v>
      </c>
      <c r="D9" s="14">
        <v>2022</v>
      </c>
      <c r="E9" s="7">
        <f>Water!C12</f>
        <v>300</v>
      </c>
      <c r="F9" s="7">
        <f>Water!E12</f>
        <v>477</v>
      </c>
      <c r="G9" s="7">
        <f>ELECT.!D13</f>
        <v>5090</v>
      </c>
      <c r="H9" s="7">
        <f>ELECT.!F13</f>
        <v>9745</v>
      </c>
      <c r="I9" s="7">
        <f>ELECT.!H13</f>
        <v>6357</v>
      </c>
      <c r="J9" s="7">
        <f>ELECT.!K13</f>
        <v>7900</v>
      </c>
      <c r="K9" s="7">
        <f>ELECT.!M13</f>
        <v>175</v>
      </c>
      <c r="L9" s="8">
        <f>Gas!C11</f>
        <v>238</v>
      </c>
      <c r="M9" s="8">
        <f>Gas!E11</f>
        <v>699</v>
      </c>
      <c r="N9" s="8">
        <f>Gas!G11</f>
        <v>149</v>
      </c>
      <c r="O9" s="16">
        <f>Gas!I11</f>
        <v>33</v>
      </c>
      <c r="P9" s="16">
        <f>Gas!K11</f>
        <v>1</v>
      </c>
      <c r="Q9" s="8">
        <f>Gas!M11</f>
        <v>58</v>
      </c>
      <c r="R9" s="8">
        <f>Gas!O11</f>
        <v>170</v>
      </c>
      <c r="S9" s="8">
        <f>Gas!Q11</f>
        <v>0</v>
      </c>
      <c r="T9" s="8">
        <f>Gas!S11</f>
        <v>331</v>
      </c>
      <c r="U9" s="8">
        <f>Gas!U11</f>
        <v>35</v>
      </c>
      <c r="V9" s="8">
        <f>Gas!W11</f>
        <v>0</v>
      </c>
      <c r="W9" s="8">
        <f>Gas!Y11</f>
        <v>39</v>
      </c>
      <c r="X9" s="8">
        <f>Gas!AA11</f>
        <v>91</v>
      </c>
      <c r="Y9" s="8">
        <f>Gas!AC11</f>
        <v>0</v>
      </c>
      <c r="Z9" s="8">
        <f>Gas!AE11</f>
        <v>238</v>
      </c>
      <c r="AA9" s="8">
        <f>Gas!AG11</f>
        <v>0</v>
      </c>
      <c r="AB9" s="7">
        <f>ELECT.!B13</f>
        <v>133</v>
      </c>
    </row>
    <row r="10" spans="1:28">
      <c r="A10" s="11" t="s">
        <v>11</v>
      </c>
      <c r="B10" s="14">
        <f t="shared" si="0"/>
        <v>9</v>
      </c>
      <c r="C10" s="14">
        <v>9</v>
      </c>
      <c r="D10" s="14">
        <v>2022</v>
      </c>
      <c r="E10" s="7">
        <f>Water!C13</f>
        <v>270</v>
      </c>
      <c r="F10" s="7">
        <f>Water!E13</f>
        <v>528</v>
      </c>
      <c r="G10" s="7">
        <f>ELECT.!D14</f>
        <v>5298</v>
      </c>
      <c r="H10" s="7">
        <f>ELECT.!F14</f>
        <v>10098</v>
      </c>
      <c r="I10" s="7">
        <f>ELECT.!H14</f>
        <v>6825</v>
      </c>
      <c r="J10" s="7">
        <f>ELECT.!K14</f>
        <v>6100</v>
      </c>
      <c r="K10" s="7">
        <f>ELECT.!M14</f>
        <v>128</v>
      </c>
      <c r="L10" s="8">
        <f>Gas!C12</f>
        <v>231</v>
      </c>
      <c r="M10" s="8">
        <f>Gas!E12</f>
        <v>677</v>
      </c>
      <c r="N10" s="8">
        <f>Gas!G12</f>
        <v>129</v>
      </c>
      <c r="O10" s="16">
        <f>Gas!I12</f>
        <v>25</v>
      </c>
      <c r="P10" s="16">
        <f>Gas!K12</f>
        <v>1</v>
      </c>
      <c r="Q10" s="8">
        <f>Gas!M12</f>
        <v>56</v>
      </c>
      <c r="R10" s="8">
        <f>Gas!O12</f>
        <v>185</v>
      </c>
      <c r="S10" s="8">
        <f>Gas!Q12</f>
        <v>0</v>
      </c>
      <c r="T10" s="8">
        <f>Gas!S12</f>
        <v>247</v>
      </c>
      <c r="U10" s="8">
        <f>Gas!U12</f>
        <v>32</v>
      </c>
      <c r="V10" s="8">
        <f>Gas!W12</f>
        <v>0</v>
      </c>
      <c r="W10" s="8">
        <f>Gas!Y12</f>
        <v>30</v>
      </c>
      <c r="X10" s="8">
        <f>Gas!AA12</f>
        <v>82</v>
      </c>
      <c r="Y10" s="8">
        <f>Gas!AC12</f>
        <v>0</v>
      </c>
      <c r="Z10" s="8">
        <f>Gas!AE12</f>
        <v>217</v>
      </c>
      <c r="AA10" s="8">
        <f>Gas!AG12</f>
        <v>0</v>
      </c>
      <c r="AB10" s="7">
        <f>ELECT.!B14</f>
        <v>142</v>
      </c>
    </row>
    <row r="11" spans="1:28">
      <c r="A11" s="11" t="s">
        <v>11</v>
      </c>
      <c r="B11" s="14">
        <f t="shared" si="0"/>
        <v>10</v>
      </c>
      <c r="C11" s="14">
        <v>9</v>
      </c>
      <c r="D11" s="14">
        <v>2022</v>
      </c>
      <c r="E11" s="7">
        <f>Water!C14</f>
        <v>280</v>
      </c>
      <c r="F11" s="7">
        <f>Water!E14</f>
        <v>475</v>
      </c>
      <c r="G11" s="7">
        <f>ELECT.!D15</f>
        <v>5869</v>
      </c>
      <c r="H11" s="7">
        <f>ELECT.!F15</f>
        <v>10734</v>
      </c>
      <c r="I11" s="7">
        <f>ELECT.!H15</f>
        <v>7597</v>
      </c>
      <c r="J11" s="7">
        <f>ELECT.!K15</f>
        <v>7000</v>
      </c>
      <c r="K11" s="7">
        <f>ELECT.!M15</f>
        <v>154</v>
      </c>
      <c r="L11" s="8">
        <f>Gas!C13</f>
        <v>275</v>
      </c>
      <c r="M11" s="8">
        <f>Gas!E13</f>
        <v>691</v>
      </c>
      <c r="N11" s="8">
        <f>Gas!G13</f>
        <v>133</v>
      </c>
      <c r="O11" s="16">
        <f>Gas!I13</f>
        <v>26</v>
      </c>
      <c r="P11" s="16">
        <f>Gas!K13</f>
        <v>1</v>
      </c>
      <c r="Q11" s="8">
        <f>Gas!M13</f>
        <v>45</v>
      </c>
      <c r="R11" s="8">
        <f>Gas!O13</f>
        <v>142</v>
      </c>
      <c r="S11" s="8">
        <f>Gas!Q13</f>
        <v>0</v>
      </c>
      <c r="T11" s="8">
        <f>Gas!S13</f>
        <v>353</v>
      </c>
      <c r="U11" s="8">
        <f>Gas!U13</f>
        <v>34</v>
      </c>
      <c r="V11" s="8">
        <f>Gas!W13</f>
        <v>0</v>
      </c>
      <c r="W11" s="8">
        <f>Gas!Y13</f>
        <v>35</v>
      </c>
      <c r="X11" s="8">
        <f>Gas!AA13</f>
        <v>96</v>
      </c>
      <c r="Y11" s="8">
        <f>Gas!AC13</f>
        <v>0</v>
      </c>
      <c r="Z11" s="8">
        <f>Gas!AE13</f>
        <v>193</v>
      </c>
      <c r="AA11" s="8">
        <f>Gas!AG13</f>
        <v>0</v>
      </c>
      <c r="AB11" s="7">
        <f>ELECT.!B15</f>
        <v>135</v>
      </c>
    </row>
    <row r="12" spans="1:28">
      <c r="A12" s="11" t="s">
        <v>11</v>
      </c>
      <c r="B12" s="14">
        <f t="shared" si="0"/>
        <v>11</v>
      </c>
      <c r="C12" s="14">
        <v>9</v>
      </c>
      <c r="D12" s="14">
        <v>2022</v>
      </c>
      <c r="E12" s="7">
        <f>Water!C15</f>
        <v>200</v>
      </c>
      <c r="F12" s="7">
        <f>Water!E15</f>
        <v>487</v>
      </c>
      <c r="G12" s="7">
        <f>ELECT.!D16</f>
        <v>4830</v>
      </c>
      <c r="H12" s="7">
        <f>ELECT.!F16</f>
        <v>9013</v>
      </c>
      <c r="I12" s="7">
        <f>ELECT.!H16</f>
        <v>6647</v>
      </c>
      <c r="J12" s="7">
        <f>ELECT.!K16</f>
        <v>6800</v>
      </c>
      <c r="K12" s="7">
        <f>ELECT.!M16</f>
        <v>158</v>
      </c>
      <c r="L12" s="8">
        <f>Gas!C14</f>
        <v>244</v>
      </c>
      <c r="M12" s="8">
        <f>Gas!E14</f>
        <v>687</v>
      </c>
      <c r="N12" s="8">
        <f>Gas!G14</f>
        <v>144</v>
      </c>
      <c r="O12" s="16">
        <f>Gas!I14</f>
        <v>23</v>
      </c>
      <c r="P12" s="16">
        <f>Gas!K14</f>
        <v>3</v>
      </c>
      <c r="Q12" s="8">
        <f>Gas!M14</f>
        <v>49</v>
      </c>
      <c r="R12" s="8">
        <f>Gas!O14</f>
        <v>124</v>
      </c>
      <c r="S12" s="8">
        <f>Gas!Q14</f>
        <v>0</v>
      </c>
      <c r="T12" s="8">
        <f>Gas!S14</f>
        <v>326</v>
      </c>
      <c r="U12" s="8">
        <f>Gas!U14</f>
        <v>40</v>
      </c>
      <c r="V12" s="8">
        <f>Gas!W14</f>
        <v>0</v>
      </c>
      <c r="W12" s="8">
        <f>Gas!Y14</f>
        <v>32</v>
      </c>
      <c r="X12" s="8">
        <f>Gas!AA14</f>
        <v>90</v>
      </c>
      <c r="Y12" s="8">
        <f>Gas!AC14</f>
        <v>0</v>
      </c>
      <c r="Z12" s="8">
        <f>Gas!AE14</f>
        <v>222</v>
      </c>
      <c r="AA12" s="8">
        <f>Gas!AG14</f>
        <v>0</v>
      </c>
      <c r="AB12" s="7">
        <f>ELECT.!B16</f>
        <v>118</v>
      </c>
    </row>
    <row r="13" spans="1:28">
      <c r="A13" s="11" t="s">
        <v>11</v>
      </c>
      <c r="B13" s="14">
        <f t="shared" si="0"/>
        <v>12</v>
      </c>
      <c r="C13" s="14">
        <v>9</v>
      </c>
      <c r="D13" s="14">
        <v>2022</v>
      </c>
      <c r="E13" s="7">
        <f>Water!C16</f>
        <v>180</v>
      </c>
      <c r="F13" s="7">
        <f>Water!E16</f>
        <v>539</v>
      </c>
      <c r="G13" s="7">
        <f>ELECT.!D17</f>
        <v>4562</v>
      </c>
      <c r="H13" s="7">
        <f>ELECT.!F17</f>
        <v>8227</v>
      </c>
      <c r="I13" s="7">
        <f>ELECT.!H17</f>
        <v>5840</v>
      </c>
      <c r="J13" s="7">
        <f>ELECT.!K17</f>
        <v>7310</v>
      </c>
      <c r="K13" s="7">
        <f>ELECT.!M17</f>
        <v>167</v>
      </c>
      <c r="L13" s="8">
        <f>Gas!C15</f>
        <v>238</v>
      </c>
      <c r="M13" s="8">
        <f>Gas!E15</f>
        <v>595</v>
      </c>
      <c r="N13" s="8">
        <f>Gas!G15</f>
        <v>146</v>
      </c>
      <c r="O13" s="16">
        <f>Gas!I15</f>
        <v>20</v>
      </c>
      <c r="P13" s="16">
        <f>Gas!K15</f>
        <v>1</v>
      </c>
      <c r="Q13" s="8">
        <f>Gas!M15</f>
        <v>43</v>
      </c>
      <c r="R13" s="8">
        <f>Gas!O15</f>
        <v>21</v>
      </c>
      <c r="S13" s="8">
        <f>Gas!Q15</f>
        <v>0</v>
      </c>
      <c r="T13" s="8">
        <f>Gas!S15</f>
        <v>283</v>
      </c>
      <c r="U13" s="8">
        <f>Gas!U15</f>
        <v>37</v>
      </c>
      <c r="V13" s="8">
        <f>Gas!W15</f>
        <v>0</v>
      </c>
      <c r="W13" s="8">
        <f>Gas!Y15</f>
        <v>38</v>
      </c>
      <c r="X13" s="8">
        <f>Gas!AA15</f>
        <v>85</v>
      </c>
      <c r="Y13" s="8">
        <f>Gas!AC15</f>
        <v>0</v>
      </c>
      <c r="Z13" s="8">
        <f>Gas!AE15</f>
        <v>178</v>
      </c>
      <c r="AA13" s="8">
        <f>Gas!AG15</f>
        <v>0</v>
      </c>
      <c r="AB13" s="7">
        <f>ELECT.!B17</f>
        <v>89</v>
      </c>
    </row>
    <row r="14" spans="1:28">
      <c r="A14" s="11" t="s">
        <v>11</v>
      </c>
      <c r="B14" s="14">
        <f t="shared" si="0"/>
        <v>13</v>
      </c>
      <c r="C14" s="14">
        <v>9</v>
      </c>
      <c r="D14" s="14">
        <v>2022</v>
      </c>
      <c r="E14" s="7">
        <f>Water!C17</f>
        <v>300</v>
      </c>
      <c r="F14" s="7">
        <f>Water!E17</f>
        <v>480</v>
      </c>
      <c r="G14" s="7">
        <f>ELECT.!D18</f>
        <v>4563</v>
      </c>
      <c r="H14" s="7">
        <f>ELECT.!F18</f>
        <v>8825</v>
      </c>
      <c r="I14" s="7">
        <f>ELECT.!H18</f>
        <v>5407</v>
      </c>
      <c r="J14" s="7">
        <f>ELECT.!K18</f>
        <v>7090</v>
      </c>
      <c r="K14" s="7">
        <f>ELECT.!M18</f>
        <v>139</v>
      </c>
      <c r="L14" s="8">
        <f>Gas!C16</f>
        <v>223</v>
      </c>
      <c r="M14" s="8">
        <f>Gas!E16</f>
        <v>610</v>
      </c>
      <c r="N14" s="8">
        <f>Gas!G16</f>
        <v>96</v>
      </c>
      <c r="O14" s="16">
        <f>Gas!I16</f>
        <v>22</v>
      </c>
      <c r="P14" s="16">
        <f>Gas!K16</f>
        <v>0</v>
      </c>
      <c r="Q14" s="8">
        <f>Gas!M16</f>
        <v>56</v>
      </c>
      <c r="R14" s="8">
        <f>Gas!O16</f>
        <v>99</v>
      </c>
      <c r="S14" s="8">
        <f>Gas!Q16</f>
        <v>0</v>
      </c>
      <c r="T14" s="8">
        <f>Gas!S16</f>
        <v>287</v>
      </c>
      <c r="U14" s="8">
        <f>Gas!U16</f>
        <v>43</v>
      </c>
      <c r="V14" s="8">
        <f>Gas!W16</f>
        <v>0</v>
      </c>
      <c r="W14" s="8">
        <f>Gas!Y16</f>
        <v>25</v>
      </c>
      <c r="X14" s="8">
        <f>Gas!AA16</f>
        <v>112</v>
      </c>
      <c r="Y14" s="8">
        <f>Gas!AC16</f>
        <v>0</v>
      </c>
      <c r="Z14" s="8">
        <f>Gas!AE16</f>
        <v>256</v>
      </c>
      <c r="AA14" s="8">
        <f>Gas!AG16</f>
        <v>0</v>
      </c>
      <c r="AB14" s="7">
        <f>ELECT.!B18</f>
        <v>105</v>
      </c>
    </row>
    <row r="15" spans="1:28">
      <c r="A15" s="11" t="s">
        <v>11</v>
      </c>
      <c r="B15" s="14">
        <f t="shared" si="0"/>
        <v>14</v>
      </c>
      <c r="C15" s="14">
        <v>9</v>
      </c>
      <c r="D15" s="14">
        <v>2022</v>
      </c>
      <c r="E15" s="7">
        <f>Water!C18</f>
        <v>220</v>
      </c>
      <c r="F15" s="7">
        <f>Water!E18</f>
        <v>686</v>
      </c>
      <c r="G15" s="7">
        <f>ELECT.!D19</f>
        <v>4685</v>
      </c>
      <c r="H15" s="7">
        <f>ELECT.!F19</f>
        <v>8965</v>
      </c>
      <c r="I15" s="7">
        <f>ELECT.!H19</f>
        <v>6203</v>
      </c>
      <c r="J15" s="7">
        <f>ELECT.!K19</f>
        <v>6600</v>
      </c>
      <c r="K15" s="7">
        <f>ELECT.!M19</f>
        <v>134</v>
      </c>
      <c r="L15" s="8">
        <f>Gas!C17</f>
        <v>221</v>
      </c>
      <c r="M15" s="8">
        <f>Gas!E17</f>
        <v>675</v>
      </c>
      <c r="N15" s="8">
        <f>Gas!G17</f>
        <v>151</v>
      </c>
      <c r="O15" s="16">
        <f>Gas!I17</f>
        <v>24</v>
      </c>
      <c r="P15" s="16">
        <f>Gas!K17</f>
        <v>2</v>
      </c>
      <c r="Q15" s="8">
        <f>Gas!M17</f>
        <v>55</v>
      </c>
      <c r="R15" s="8">
        <f>Gas!O17</f>
        <v>118</v>
      </c>
      <c r="S15" s="8">
        <f>Gas!Q17</f>
        <v>0</v>
      </c>
      <c r="T15" s="8">
        <f>Gas!S17</f>
        <v>67</v>
      </c>
      <c r="U15" s="8">
        <f>Gas!U17</f>
        <v>67</v>
      </c>
      <c r="V15" s="8">
        <f>Gas!W17</f>
        <v>0</v>
      </c>
      <c r="W15" s="8">
        <f>Gas!Y17</f>
        <v>40</v>
      </c>
      <c r="X15" s="8">
        <f>Gas!AA17</f>
        <v>98</v>
      </c>
      <c r="Y15" s="8">
        <f>Gas!AC17</f>
        <v>0</v>
      </c>
      <c r="Z15" s="8">
        <f>Gas!AE17</f>
        <v>234</v>
      </c>
      <c r="AA15" s="8">
        <f>Gas!AG17</f>
        <v>0</v>
      </c>
      <c r="AB15" s="7">
        <f>ELECT.!B19</f>
        <v>115</v>
      </c>
    </row>
    <row r="16" spans="1:28">
      <c r="A16" s="11" t="s">
        <v>11</v>
      </c>
      <c r="B16" s="14">
        <f t="shared" si="0"/>
        <v>15</v>
      </c>
      <c r="C16" s="14">
        <v>9</v>
      </c>
      <c r="D16" s="14">
        <v>2022</v>
      </c>
      <c r="E16" s="7">
        <f>Water!C19</f>
        <v>240</v>
      </c>
      <c r="F16" s="7">
        <f>Water!E19</f>
        <v>418</v>
      </c>
      <c r="G16" s="7">
        <f>ELECT.!D20</f>
        <v>5180</v>
      </c>
      <c r="H16" s="7">
        <f>ELECT.!F20</f>
        <v>10351</v>
      </c>
      <c r="I16" s="7">
        <f>ELECT.!H20</f>
        <v>7369</v>
      </c>
      <c r="J16" s="7">
        <f>ELECT.!K20</f>
        <v>6900</v>
      </c>
      <c r="K16" s="7">
        <f>ELECT.!M20</f>
        <v>140</v>
      </c>
      <c r="L16" s="8">
        <f>Gas!C18</f>
        <v>223</v>
      </c>
      <c r="M16" s="8">
        <f>Gas!E18</f>
        <v>690</v>
      </c>
      <c r="N16" s="8">
        <f>Gas!G18</f>
        <v>114</v>
      </c>
      <c r="O16" s="16">
        <f>Gas!I18</f>
        <v>25</v>
      </c>
      <c r="P16" s="16">
        <f>Gas!K18</f>
        <v>0</v>
      </c>
      <c r="Q16" s="8">
        <f>Gas!M18</f>
        <v>41</v>
      </c>
      <c r="R16" s="8">
        <f>Gas!O18</f>
        <v>191</v>
      </c>
      <c r="S16" s="8">
        <f>Gas!Q18</f>
        <v>0</v>
      </c>
      <c r="T16" s="8">
        <f>Gas!S18</f>
        <v>399</v>
      </c>
      <c r="U16" s="8">
        <f>Gas!U18</f>
        <v>4</v>
      </c>
      <c r="V16" s="8">
        <f>Gas!W18</f>
        <v>0</v>
      </c>
      <c r="W16" s="8">
        <f>Gas!Y18</f>
        <v>37</v>
      </c>
      <c r="X16" s="8">
        <f>Gas!AA18</f>
        <v>132</v>
      </c>
      <c r="Y16" s="8">
        <f>Gas!AC18</f>
        <v>0</v>
      </c>
      <c r="Z16" s="8">
        <f>Gas!AE18</f>
        <v>218</v>
      </c>
      <c r="AA16" s="8">
        <f>Gas!AG18</f>
        <v>0</v>
      </c>
      <c r="AB16" s="7">
        <f>ELECT.!B20</f>
        <v>123</v>
      </c>
    </row>
    <row r="17" spans="1:28">
      <c r="A17" s="11" t="s">
        <v>11</v>
      </c>
      <c r="B17" s="14">
        <f t="shared" si="0"/>
        <v>16</v>
      </c>
      <c r="C17" s="14">
        <v>9</v>
      </c>
      <c r="D17" s="14">
        <v>2022</v>
      </c>
      <c r="E17" s="7">
        <f>Water!C20</f>
        <v>250</v>
      </c>
      <c r="F17" s="7">
        <f>Water!E20</f>
        <v>420</v>
      </c>
      <c r="G17" s="7">
        <f>ELECT.!D21</f>
        <v>4773</v>
      </c>
      <c r="H17" s="7">
        <f>ELECT.!F21</f>
        <v>8959</v>
      </c>
      <c r="I17" s="7">
        <f>ELECT.!H21</f>
        <v>6092</v>
      </c>
      <c r="J17" s="7">
        <f>ELECT.!K21</f>
        <v>7000</v>
      </c>
      <c r="K17" s="7">
        <f>ELECT.!M21</f>
        <v>131</v>
      </c>
      <c r="L17" s="8">
        <f>Gas!C19</f>
        <v>218</v>
      </c>
      <c r="M17" s="8">
        <f>Gas!E19</f>
        <v>710</v>
      </c>
      <c r="N17" s="8">
        <f>Gas!G19</f>
        <v>138</v>
      </c>
      <c r="O17" s="16">
        <f>Gas!I19</f>
        <v>27</v>
      </c>
      <c r="P17" s="16">
        <f>Gas!K19</f>
        <v>0</v>
      </c>
      <c r="Q17" s="8">
        <f>Gas!M19</f>
        <v>49</v>
      </c>
      <c r="R17" s="8">
        <f>Gas!O19</f>
        <v>179</v>
      </c>
      <c r="S17" s="8">
        <f>Gas!Q19</f>
        <v>0</v>
      </c>
      <c r="T17" s="8">
        <f>Gas!S19</f>
        <v>303</v>
      </c>
      <c r="U17" s="8">
        <f>Gas!U19</f>
        <v>22</v>
      </c>
      <c r="V17" s="8">
        <f>Gas!W19</f>
        <v>0</v>
      </c>
      <c r="W17" s="8">
        <f>Gas!Y19</f>
        <v>28</v>
      </c>
      <c r="X17" s="8">
        <f>Gas!AA19</f>
        <v>78</v>
      </c>
      <c r="Y17" s="8">
        <f>Gas!AC19</f>
        <v>0</v>
      </c>
      <c r="Z17" s="8">
        <f>Gas!AE19</f>
        <v>190</v>
      </c>
      <c r="AA17" s="8">
        <f>Gas!AG19</f>
        <v>0</v>
      </c>
      <c r="AB17" s="7">
        <f>ELECT.!B21</f>
        <v>143</v>
      </c>
    </row>
    <row r="18" spans="1:28">
      <c r="A18" s="11" t="s">
        <v>11</v>
      </c>
      <c r="B18" s="14">
        <f t="shared" si="0"/>
        <v>17</v>
      </c>
      <c r="C18" s="14">
        <v>9</v>
      </c>
      <c r="D18" s="14">
        <v>2022</v>
      </c>
      <c r="E18" s="7">
        <f>Water!C21</f>
        <v>210</v>
      </c>
      <c r="F18" s="7">
        <f>Water!E21</f>
        <v>718</v>
      </c>
      <c r="G18" s="7">
        <f>ELECT.!D22</f>
        <v>4419</v>
      </c>
      <c r="H18" s="7">
        <f>ELECT.!F22</f>
        <v>8489</v>
      </c>
      <c r="I18" s="7">
        <f>ELECT.!H22</f>
        <v>5506</v>
      </c>
      <c r="J18" s="7">
        <f>ELECT.!K22</f>
        <v>6300</v>
      </c>
      <c r="K18" s="7">
        <f>ELECT.!M22</f>
        <v>112</v>
      </c>
      <c r="L18" s="8">
        <f>Gas!C20</f>
        <v>241</v>
      </c>
      <c r="M18" s="8">
        <f>Gas!E20</f>
        <v>649</v>
      </c>
      <c r="N18" s="8">
        <f>Gas!G20</f>
        <v>142</v>
      </c>
      <c r="O18" s="16">
        <f>Gas!I20</f>
        <v>27</v>
      </c>
      <c r="P18" s="16">
        <f>Gas!K20</f>
        <v>0</v>
      </c>
      <c r="Q18" s="8">
        <f>Gas!M20</f>
        <v>53</v>
      </c>
      <c r="R18" s="8">
        <f>Gas!O20</f>
        <v>9</v>
      </c>
      <c r="S18" s="8">
        <f>Gas!Q20</f>
        <v>0</v>
      </c>
      <c r="T18" s="8">
        <f>Gas!S20</f>
        <v>288</v>
      </c>
      <c r="U18" s="8">
        <f>Gas!U20</f>
        <v>24</v>
      </c>
      <c r="V18" s="8">
        <f>Gas!W20</f>
        <v>0</v>
      </c>
      <c r="W18" s="8">
        <f>Gas!Y20</f>
        <v>30</v>
      </c>
      <c r="X18" s="8">
        <f>Gas!AA20</f>
        <v>96</v>
      </c>
      <c r="Y18" s="8">
        <f>Gas!AC20</f>
        <v>0</v>
      </c>
      <c r="Z18" s="8">
        <f>Gas!AE20</f>
        <v>250</v>
      </c>
      <c r="AA18" s="8">
        <f>Gas!AG20</f>
        <v>0</v>
      </c>
      <c r="AB18" s="7">
        <f>ELECT.!B22</f>
        <v>112</v>
      </c>
    </row>
    <row r="19" spans="1:28">
      <c r="A19" s="11" t="s">
        <v>11</v>
      </c>
      <c r="B19" s="14">
        <f t="shared" si="0"/>
        <v>18</v>
      </c>
      <c r="C19" s="14">
        <v>9</v>
      </c>
      <c r="D19" s="14">
        <v>2022</v>
      </c>
      <c r="E19" s="7">
        <f>Water!C22</f>
        <v>210</v>
      </c>
      <c r="F19" s="7">
        <f>Water!E22</f>
        <v>478</v>
      </c>
      <c r="G19" s="7">
        <f>ELECT.!D23</f>
        <v>4480</v>
      </c>
      <c r="H19" s="7">
        <f>ELECT.!F23</f>
        <v>8712</v>
      </c>
      <c r="I19" s="7">
        <f>ELECT.!H23</f>
        <v>6020</v>
      </c>
      <c r="J19" s="7">
        <f>ELECT.!K23</f>
        <v>6000</v>
      </c>
      <c r="K19" s="7">
        <f>ELECT.!M23</f>
        <v>123</v>
      </c>
      <c r="L19" s="8">
        <f>Gas!C21</f>
        <v>215</v>
      </c>
      <c r="M19" s="8">
        <f>Gas!E21</f>
        <v>713</v>
      </c>
      <c r="N19" s="8">
        <f>Gas!G21</f>
        <v>153</v>
      </c>
      <c r="O19" s="16">
        <f>Gas!I21</f>
        <v>18</v>
      </c>
      <c r="P19" s="16">
        <f>Gas!K21</f>
        <v>0</v>
      </c>
      <c r="Q19" s="8">
        <f>Gas!M21</f>
        <v>55</v>
      </c>
      <c r="R19" s="8">
        <f>Gas!O21</f>
        <v>90</v>
      </c>
      <c r="S19" s="8">
        <f>Gas!Q21</f>
        <v>0</v>
      </c>
      <c r="T19" s="8">
        <f>Gas!S21</f>
        <v>272</v>
      </c>
      <c r="U19" s="8">
        <f>Gas!U21</f>
        <v>27</v>
      </c>
      <c r="V19" s="8">
        <f>Gas!W21</f>
        <v>0</v>
      </c>
      <c r="W19" s="8">
        <f>Gas!Y21</f>
        <v>30</v>
      </c>
      <c r="X19" s="8">
        <f>Gas!AA21</f>
        <v>69</v>
      </c>
      <c r="Y19" s="8">
        <f>Gas!AC21</f>
        <v>0</v>
      </c>
      <c r="Z19" s="8">
        <f>Gas!AE21</f>
        <v>151</v>
      </c>
      <c r="AA19" s="8">
        <f>Gas!AG21</f>
        <v>0</v>
      </c>
      <c r="AB19" s="7">
        <f>ELECT.!B23</f>
        <v>113</v>
      </c>
    </row>
    <row r="20" spans="1:28">
      <c r="A20" s="11" t="s">
        <v>11</v>
      </c>
      <c r="B20" s="14">
        <f t="shared" si="0"/>
        <v>19</v>
      </c>
      <c r="C20" s="14">
        <v>9</v>
      </c>
      <c r="D20" s="14">
        <v>2022</v>
      </c>
      <c r="E20" s="7">
        <f>Water!C23</f>
        <v>230</v>
      </c>
      <c r="F20" s="7">
        <f>Water!E23</f>
        <v>371</v>
      </c>
      <c r="G20" s="7">
        <f>ELECT.!D24</f>
        <v>5171</v>
      </c>
      <c r="H20" s="7">
        <f>ELECT.!F24</f>
        <v>9561</v>
      </c>
      <c r="I20" s="7">
        <f>ELECT.!H24</f>
        <v>6352</v>
      </c>
      <c r="J20" s="7">
        <f>ELECT.!K24</f>
        <v>6900</v>
      </c>
      <c r="K20" s="7">
        <f>ELECT.!M24</f>
        <v>158</v>
      </c>
      <c r="L20" s="8">
        <f>Gas!C22</f>
        <v>242</v>
      </c>
      <c r="M20" s="8">
        <f>Gas!E22</f>
        <v>605</v>
      </c>
      <c r="N20" s="8">
        <f>Gas!G22</f>
        <v>119</v>
      </c>
      <c r="O20" s="16">
        <f>Gas!I22</f>
        <v>19</v>
      </c>
      <c r="P20" s="16">
        <f>Gas!K22</f>
        <v>0</v>
      </c>
      <c r="Q20" s="8">
        <f>Gas!M22</f>
        <v>47</v>
      </c>
      <c r="R20" s="8">
        <f>Gas!O22</f>
        <v>67</v>
      </c>
      <c r="S20" s="8">
        <f>Gas!Q22</f>
        <v>0</v>
      </c>
      <c r="T20" s="8">
        <f>Gas!S22</f>
        <v>276</v>
      </c>
      <c r="U20" s="8">
        <f>Gas!U22</f>
        <v>39</v>
      </c>
      <c r="V20" s="8">
        <f>Gas!W22</f>
        <v>0</v>
      </c>
      <c r="W20" s="8">
        <f>Gas!Y22</f>
        <v>37</v>
      </c>
      <c r="X20" s="8">
        <f>Gas!AA22</f>
        <v>126</v>
      </c>
      <c r="Y20" s="8">
        <f>Gas!AC22</f>
        <v>0</v>
      </c>
      <c r="Z20" s="8">
        <f>Gas!AE22</f>
        <v>185</v>
      </c>
      <c r="AA20" s="8">
        <f>Gas!AG22</f>
        <v>0</v>
      </c>
      <c r="AB20" s="7">
        <f>ELECT.!B24</f>
        <v>121</v>
      </c>
    </row>
    <row r="21" spans="1:28">
      <c r="A21" s="11" t="s">
        <v>11</v>
      </c>
      <c r="B21" s="14">
        <f t="shared" si="0"/>
        <v>20</v>
      </c>
      <c r="C21" s="14">
        <v>9</v>
      </c>
      <c r="D21" s="14">
        <v>2022</v>
      </c>
      <c r="E21" s="7">
        <f>Water!C24</f>
        <v>250</v>
      </c>
      <c r="F21" s="7">
        <f>Water!E24</f>
        <v>554</v>
      </c>
      <c r="G21" s="7">
        <f>ELECT.!D25</f>
        <v>4229</v>
      </c>
      <c r="H21" s="7">
        <f>ELECT.!F25</f>
        <v>7712</v>
      </c>
      <c r="I21" s="7">
        <f>ELECT.!H25</f>
        <v>5186</v>
      </c>
      <c r="J21" s="7">
        <f>ELECT.!K25</f>
        <v>6900</v>
      </c>
      <c r="K21" s="7">
        <f>ELECT.!M25</f>
        <v>155</v>
      </c>
      <c r="L21" s="8">
        <f>Gas!C23</f>
        <v>259</v>
      </c>
      <c r="M21" s="8">
        <f>Gas!E23</f>
        <v>618</v>
      </c>
      <c r="N21" s="8">
        <f>Gas!G23</f>
        <v>129</v>
      </c>
      <c r="O21" s="16">
        <f>Gas!I23</f>
        <v>17</v>
      </c>
      <c r="P21" s="16">
        <f>Gas!K23</f>
        <v>0</v>
      </c>
      <c r="Q21" s="8">
        <f>Gas!M23</f>
        <v>57</v>
      </c>
      <c r="R21" s="8">
        <f>Gas!O23</f>
        <v>99</v>
      </c>
      <c r="S21" s="8">
        <f>Gas!Q23</f>
        <v>0</v>
      </c>
      <c r="T21" s="8">
        <f>Gas!S23</f>
        <v>228</v>
      </c>
      <c r="U21" s="8">
        <f>Gas!U23</f>
        <v>34</v>
      </c>
      <c r="V21" s="8">
        <f>Gas!W23</f>
        <v>0</v>
      </c>
      <c r="W21" s="8">
        <f>Gas!Y23</f>
        <v>27</v>
      </c>
      <c r="X21" s="8">
        <f>Gas!AA23</f>
        <v>178</v>
      </c>
      <c r="Y21" s="8">
        <f>Gas!AC23</f>
        <v>0</v>
      </c>
      <c r="Z21" s="8">
        <f>Gas!AE23</f>
        <v>150</v>
      </c>
      <c r="AA21" s="8">
        <f>Gas!AG23</f>
        <v>0</v>
      </c>
      <c r="AB21" s="7">
        <f>ELECT.!B25</f>
        <v>114</v>
      </c>
    </row>
    <row r="22" spans="1:28">
      <c r="A22" s="11" t="s">
        <v>11</v>
      </c>
      <c r="B22" s="14">
        <f t="shared" si="0"/>
        <v>21</v>
      </c>
      <c r="C22" s="14">
        <v>9</v>
      </c>
      <c r="D22" s="14">
        <v>2022</v>
      </c>
      <c r="E22" s="7">
        <f>Water!C25</f>
        <v>210</v>
      </c>
      <c r="F22" s="7">
        <f>Water!E25</f>
        <v>535</v>
      </c>
      <c r="G22" s="7">
        <f>ELECT.!D26</f>
        <v>4741</v>
      </c>
      <c r="H22" s="7">
        <f>ELECT.!F26</f>
        <v>9227</v>
      </c>
      <c r="I22" s="7">
        <f>ELECT.!H26</f>
        <v>6042</v>
      </c>
      <c r="J22" s="7">
        <f>ELECT.!K26</f>
        <v>7000</v>
      </c>
      <c r="K22" s="7">
        <f>ELECT.!M26</f>
        <v>165</v>
      </c>
      <c r="L22" s="8">
        <f>Gas!C24</f>
        <v>122</v>
      </c>
      <c r="M22" s="8">
        <f>Gas!E24</f>
        <v>584</v>
      </c>
      <c r="N22" s="8">
        <f>Gas!G24</f>
        <v>119</v>
      </c>
      <c r="O22" s="16">
        <f>Gas!I24</f>
        <v>25</v>
      </c>
      <c r="P22" s="16">
        <f>Gas!K24</f>
        <v>0</v>
      </c>
      <c r="Q22" s="8">
        <f>Gas!M24</f>
        <v>48</v>
      </c>
      <c r="R22" s="8">
        <f>Gas!O24</f>
        <v>127</v>
      </c>
      <c r="S22" s="8">
        <f>Gas!Q24</f>
        <v>0</v>
      </c>
      <c r="T22" s="8">
        <f>Gas!S24</f>
        <v>197</v>
      </c>
      <c r="U22" s="8">
        <f>Gas!U24</f>
        <v>26</v>
      </c>
      <c r="V22" s="8">
        <f>Gas!W24</f>
        <v>0</v>
      </c>
      <c r="W22" s="8">
        <f>Gas!Y24</f>
        <v>29</v>
      </c>
      <c r="X22" s="8">
        <f>Gas!AA24</f>
        <v>198</v>
      </c>
      <c r="Y22" s="8">
        <f>Gas!AC24</f>
        <v>0</v>
      </c>
      <c r="Z22" s="8">
        <f>Gas!AE24</f>
        <v>194</v>
      </c>
      <c r="AA22" s="8">
        <f>Gas!AG24</f>
        <v>0</v>
      </c>
      <c r="AB22" s="7">
        <f>ELECT.!B26</f>
        <v>117</v>
      </c>
    </row>
    <row r="23" spans="1:28">
      <c r="A23" s="11" t="s">
        <v>11</v>
      </c>
      <c r="B23" s="14">
        <f t="shared" si="0"/>
        <v>22</v>
      </c>
      <c r="C23" s="14">
        <v>9</v>
      </c>
      <c r="D23" s="14">
        <v>2022</v>
      </c>
      <c r="E23" s="7">
        <f>Water!C26</f>
        <v>260</v>
      </c>
      <c r="F23" s="7">
        <f>Water!E26</f>
        <v>436</v>
      </c>
      <c r="G23" s="7">
        <f>ELECT.!D27</f>
        <v>4694</v>
      </c>
      <c r="H23" s="7">
        <f>ELECT.!F27</f>
        <v>8978</v>
      </c>
      <c r="I23" s="7">
        <f>ELECT.!H27</f>
        <v>6020</v>
      </c>
      <c r="J23" s="7">
        <f>ELECT.!K27</f>
        <v>6400</v>
      </c>
      <c r="K23" s="7">
        <f>ELECT.!M27</f>
        <v>163</v>
      </c>
      <c r="L23" s="8">
        <f>Gas!C25</f>
        <v>218</v>
      </c>
      <c r="M23" s="8">
        <f>Gas!E25</f>
        <v>669</v>
      </c>
      <c r="N23" s="8">
        <f>Gas!G25</f>
        <v>150</v>
      </c>
      <c r="O23" s="16">
        <f>Gas!I25</f>
        <v>21</v>
      </c>
      <c r="P23" s="16">
        <f>Gas!K25</f>
        <v>0</v>
      </c>
      <c r="Q23" s="8">
        <f>Gas!M25</f>
        <v>47</v>
      </c>
      <c r="R23" s="8">
        <f>Gas!O25</f>
        <v>106</v>
      </c>
      <c r="S23" s="8">
        <f>Gas!Q25</f>
        <v>0</v>
      </c>
      <c r="T23" s="8">
        <f>Gas!S25</f>
        <v>268</v>
      </c>
      <c r="U23" s="8">
        <f>Gas!U25</f>
        <v>28</v>
      </c>
      <c r="V23" s="8">
        <f>Gas!W25</f>
        <v>0</v>
      </c>
      <c r="W23" s="8">
        <f>Gas!Y25</f>
        <v>38</v>
      </c>
      <c r="X23" s="8">
        <f>Gas!AA25</f>
        <v>230</v>
      </c>
      <c r="Y23" s="8">
        <f>Gas!AC25</f>
        <v>0</v>
      </c>
      <c r="Z23" s="8">
        <f>Gas!AE25</f>
        <v>106</v>
      </c>
      <c r="AA23" s="8">
        <f>Gas!AG25</f>
        <v>0</v>
      </c>
      <c r="AB23" s="7">
        <f>ELECT.!B27</f>
        <v>139</v>
      </c>
    </row>
    <row r="24" spans="1:28">
      <c r="A24" s="11" t="s">
        <v>11</v>
      </c>
      <c r="B24" s="14">
        <f t="shared" si="0"/>
        <v>23</v>
      </c>
      <c r="C24" s="14">
        <v>9</v>
      </c>
      <c r="D24" s="14">
        <v>2022</v>
      </c>
      <c r="E24" s="7">
        <f>Water!C27</f>
        <v>270</v>
      </c>
      <c r="F24" s="7">
        <f>Water!E27</f>
        <v>485</v>
      </c>
      <c r="G24" s="7">
        <f>ELECT.!D28</f>
        <v>4883</v>
      </c>
      <c r="H24" s="7">
        <f>ELECT.!F28</f>
        <v>8905</v>
      </c>
      <c r="I24" s="7">
        <f>ELECT.!H28</f>
        <v>5521</v>
      </c>
      <c r="J24" s="7">
        <f>ELECT.!K28</f>
        <v>6300</v>
      </c>
      <c r="K24" s="7">
        <f>ELECT.!M28</f>
        <v>106</v>
      </c>
      <c r="L24" s="8">
        <f>Gas!C26</f>
        <v>269</v>
      </c>
      <c r="M24" s="8">
        <f>Gas!E26</f>
        <v>688</v>
      </c>
      <c r="N24" s="8">
        <f>Gas!G26</f>
        <v>138</v>
      </c>
      <c r="O24" s="16">
        <f>Gas!I26</f>
        <v>26</v>
      </c>
      <c r="P24" s="16">
        <f>Gas!K26</f>
        <v>0</v>
      </c>
      <c r="Q24" s="8">
        <f>Gas!M26</f>
        <v>45</v>
      </c>
      <c r="R24" s="8">
        <f>Gas!O26</f>
        <v>99</v>
      </c>
      <c r="S24" s="8">
        <f>Gas!Q26</f>
        <v>0</v>
      </c>
      <c r="T24" s="8">
        <f>Gas!S26</f>
        <v>296</v>
      </c>
      <c r="U24" s="8">
        <f>Gas!U26</f>
        <v>30</v>
      </c>
      <c r="V24" s="8">
        <f>Gas!W26</f>
        <v>0</v>
      </c>
      <c r="W24" s="8">
        <f>Gas!Y26</f>
        <v>37</v>
      </c>
      <c r="X24" s="8">
        <f>Gas!AA26</f>
        <v>187</v>
      </c>
      <c r="Y24" s="8">
        <f>Gas!AC26</f>
        <v>0</v>
      </c>
      <c r="Z24" s="8">
        <f>Gas!AE26</f>
        <v>278</v>
      </c>
      <c r="AA24" s="8">
        <f>Gas!AG26</f>
        <v>0</v>
      </c>
      <c r="AB24" s="7">
        <f>ELECT.!B28</f>
        <v>161</v>
      </c>
    </row>
    <row r="25" spans="1:28">
      <c r="A25" s="11" t="s">
        <v>11</v>
      </c>
      <c r="B25" s="14">
        <f t="shared" si="0"/>
        <v>24</v>
      </c>
      <c r="C25" s="14">
        <v>9</v>
      </c>
      <c r="D25" s="14">
        <v>2022</v>
      </c>
      <c r="E25" s="7">
        <f>Water!C28</f>
        <v>250</v>
      </c>
      <c r="F25" s="7">
        <f>Water!E28</f>
        <v>500</v>
      </c>
      <c r="G25" s="7">
        <f>ELECT.!D29</f>
        <v>5179</v>
      </c>
      <c r="H25" s="7">
        <f>ELECT.!F29</f>
        <v>10657</v>
      </c>
      <c r="I25" s="7">
        <f>ELECT.!H29</f>
        <v>7216</v>
      </c>
      <c r="J25" s="7">
        <f>ELECT.!K29</f>
        <v>6500</v>
      </c>
      <c r="K25" s="7">
        <f>ELECT.!M29</f>
        <v>152</v>
      </c>
      <c r="L25" s="8">
        <f>Gas!C27</f>
        <v>241</v>
      </c>
      <c r="M25" s="8">
        <f>Gas!E27</f>
        <v>642</v>
      </c>
      <c r="N25" s="8">
        <f>Gas!G27</f>
        <v>142</v>
      </c>
      <c r="O25" s="16">
        <f>Gas!I27</f>
        <v>21</v>
      </c>
      <c r="P25" s="16">
        <f>Gas!K27</f>
        <v>0</v>
      </c>
      <c r="Q25" s="8">
        <f>Gas!M27</f>
        <v>52</v>
      </c>
      <c r="R25" s="8">
        <f>Gas!O27</f>
        <v>162</v>
      </c>
      <c r="S25" s="8">
        <f>Gas!Q27</f>
        <v>0</v>
      </c>
      <c r="T25" s="8">
        <f>Gas!S27</f>
        <v>260</v>
      </c>
      <c r="U25" s="8">
        <f>Gas!U27</f>
        <v>18</v>
      </c>
      <c r="V25" s="8">
        <f>Gas!W27</f>
        <v>0</v>
      </c>
      <c r="W25" s="8">
        <f>Gas!Y27</f>
        <v>32</v>
      </c>
      <c r="X25" s="8">
        <f>Gas!AA27</f>
        <v>192</v>
      </c>
      <c r="Y25" s="8">
        <f>Gas!AC27</f>
        <v>0</v>
      </c>
      <c r="Z25" s="8">
        <f>Gas!AE27</f>
        <v>111</v>
      </c>
      <c r="AA25" s="8">
        <f>Gas!AG27</f>
        <v>0</v>
      </c>
      <c r="AB25" s="7">
        <f>ELECT.!B29</f>
        <v>104</v>
      </c>
    </row>
    <row r="26" spans="1:28">
      <c r="A26" s="11" t="s">
        <v>11</v>
      </c>
      <c r="B26" s="14">
        <f>B25+1</f>
        <v>25</v>
      </c>
      <c r="C26" s="14">
        <v>9</v>
      </c>
      <c r="D26" s="14">
        <v>2022</v>
      </c>
      <c r="E26" s="7">
        <f>Water!C29</f>
        <v>180</v>
      </c>
      <c r="F26" s="7">
        <f>Water!E29</f>
        <v>653</v>
      </c>
      <c r="G26" s="7">
        <f>ELECT.!D30</f>
        <v>4099</v>
      </c>
      <c r="H26" s="7">
        <f>ELECT.!F30</f>
        <v>8958</v>
      </c>
      <c r="I26" s="7">
        <f>ELECT.!H30</f>
        <v>5014</v>
      </c>
      <c r="J26" s="7">
        <f>ELECT.!K30</f>
        <v>6700</v>
      </c>
      <c r="K26" s="7">
        <f>ELECT.!M30</f>
        <v>111</v>
      </c>
      <c r="L26" s="8">
        <f>Gas!C28</f>
        <v>189</v>
      </c>
      <c r="M26" s="8">
        <f>Gas!E28</f>
        <v>733</v>
      </c>
      <c r="N26" s="8">
        <f>Gas!G28</f>
        <v>105</v>
      </c>
      <c r="O26" s="16">
        <f>Gas!I28</f>
        <v>23</v>
      </c>
      <c r="P26" s="16">
        <f>Gas!K28</f>
        <v>0</v>
      </c>
      <c r="Q26" s="8">
        <f>Gas!M28</f>
        <v>52</v>
      </c>
      <c r="R26" s="8">
        <f>Gas!O28</f>
        <v>173</v>
      </c>
      <c r="S26" s="8">
        <f>Gas!Q28</f>
        <v>0</v>
      </c>
      <c r="T26" s="8">
        <f>Gas!S28</f>
        <v>270</v>
      </c>
      <c r="U26" s="8">
        <f>Gas!U28</f>
        <v>24</v>
      </c>
      <c r="V26" s="8">
        <f>Gas!W28</f>
        <v>0</v>
      </c>
      <c r="W26" s="8">
        <f>Gas!Y28</f>
        <v>30</v>
      </c>
      <c r="X26" s="8">
        <f>Gas!AA28</f>
        <v>155</v>
      </c>
      <c r="Y26" s="8">
        <f>Gas!AC28</f>
        <v>0</v>
      </c>
      <c r="Z26" s="8">
        <f>Gas!AE28</f>
        <v>244</v>
      </c>
      <c r="AA26" s="8">
        <f>Gas!AG28</f>
        <v>0</v>
      </c>
      <c r="AB26" s="7">
        <f>ELECT.!B30</f>
        <v>81</v>
      </c>
    </row>
    <row r="27" spans="1:28">
      <c r="A27" s="11" t="s">
        <v>11</v>
      </c>
      <c r="B27" s="14">
        <f t="shared" si="0"/>
        <v>26</v>
      </c>
      <c r="C27" s="14">
        <v>9</v>
      </c>
      <c r="D27" s="14">
        <v>2022</v>
      </c>
      <c r="E27" s="7">
        <f>Water!C30</f>
        <v>200</v>
      </c>
      <c r="F27" s="7">
        <f>Water!E30</f>
        <v>444</v>
      </c>
      <c r="G27" s="7">
        <f>ELECT.!D31</f>
        <v>4555</v>
      </c>
      <c r="H27" s="7">
        <f>ELECT.!F31</f>
        <v>8649</v>
      </c>
      <c r="I27" s="7">
        <f>ELECT.!H31</f>
        <v>6922</v>
      </c>
      <c r="J27" s="7">
        <f>ELECT.!K31</f>
        <v>5800</v>
      </c>
      <c r="K27" s="7">
        <f>ELECT.!M31</f>
        <v>168</v>
      </c>
      <c r="L27" s="8">
        <f>Gas!C29</f>
        <v>191</v>
      </c>
      <c r="M27" s="8">
        <f>Gas!E29</f>
        <v>497</v>
      </c>
      <c r="N27" s="8">
        <f>Gas!G29</f>
        <v>116</v>
      </c>
      <c r="O27" s="16">
        <f>Gas!I29</f>
        <v>23</v>
      </c>
      <c r="P27" s="16">
        <f>Gas!K29</f>
        <v>7</v>
      </c>
      <c r="Q27" s="8">
        <f>Gas!M29</f>
        <v>53</v>
      </c>
      <c r="R27" s="8">
        <f>Gas!O29</f>
        <v>95</v>
      </c>
      <c r="S27" s="8">
        <f>Gas!Q29</f>
        <v>0</v>
      </c>
      <c r="T27" s="8">
        <f>Gas!S29</f>
        <v>229</v>
      </c>
      <c r="U27" s="8">
        <f>Gas!U29</f>
        <v>45</v>
      </c>
      <c r="V27" s="8">
        <f>Gas!W29</f>
        <v>0</v>
      </c>
      <c r="W27" s="8">
        <f>Gas!Y29</f>
        <v>28</v>
      </c>
      <c r="X27" s="8">
        <f>Gas!AA29</f>
        <v>206</v>
      </c>
      <c r="Y27" s="8">
        <f>Gas!AC29</f>
        <v>0</v>
      </c>
      <c r="Z27" s="8">
        <f>Gas!AE29</f>
        <v>164</v>
      </c>
      <c r="AA27" s="8">
        <f>Gas!AG29</f>
        <v>0</v>
      </c>
      <c r="AB27" s="7">
        <f>ELECT.!B31</f>
        <v>75</v>
      </c>
    </row>
    <row r="28" spans="1:28">
      <c r="A28" s="11" t="s">
        <v>11</v>
      </c>
      <c r="B28" s="14">
        <f t="shared" si="0"/>
        <v>27</v>
      </c>
      <c r="C28" s="14">
        <v>9</v>
      </c>
      <c r="D28" s="14">
        <v>2022</v>
      </c>
      <c r="E28" s="7">
        <f>Water!C31</f>
        <v>280</v>
      </c>
      <c r="F28" s="7">
        <f>Water!E31</f>
        <v>341</v>
      </c>
      <c r="G28" s="7">
        <f>ELECT.!D32</f>
        <v>4646</v>
      </c>
      <c r="H28" s="7">
        <f>ELECT.!F32</f>
        <v>9218</v>
      </c>
      <c r="I28" s="7">
        <f>ELECT.!H32</f>
        <v>5732</v>
      </c>
      <c r="J28" s="7">
        <f>ELECT.!K32</f>
        <v>7100</v>
      </c>
      <c r="K28" s="7">
        <f>ELECT.!M32</f>
        <v>178</v>
      </c>
      <c r="L28" s="8">
        <f>Gas!C30</f>
        <v>226</v>
      </c>
      <c r="M28" s="8">
        <f>Gas!E30</f>
        <v>728</v>
      </c>
      <c r="N28" s="8">
        <f>Gas!G30</f>
        <v>103</v>
      </c>
      <c r="O28" s="16">
        <f>Gas!I30</f>
        <v>23</v>
      </c>
      <c r="P28" s="16">
        <f>Gas!K30</f>
        <v>14</v>
      </c>
      <c r="Q28" s="8">
        <f>Gas!M30</f>
        <v>52</v>
      </c>
      <c r="R28" s="8">
        <f>Gas!O30</f>
        <v>110</v>
      </c>
      <c r="S28" s="8">
        <f>Gas!Q30</f>
        <v>0</v>
      </c>
      <c r="T28" s="8">
        <f>Gas!S30</f>
        <v>250</v>
      </c>
      <c r="U28" s="8">
        <f>Gas!U30</f>
        <v>27</v>
      </c>
      <c r="V28" s="8">
        <f>Gas!W30</f>
        <v>0</v>
      </c>
      <c r="W28" s="8">
        <f>Gas!Y30</f>
        <v>23</v>
      </c>
      <c r="X28" s="8">
        <f>Gas!AA30</f>
        <v>230</v>
      </c>
      <c r="Y28" s="8">
        <f>Gas!AC30</f>
        <v>0</v>
      </c>
      <c r="Z28" s="8">
        <f>Gas!AE30</f>
        <v>157</v>
      </c>
      <c r="AA28" s="8">
        <f>Gas!AG30</f>
        <v>0</v>
      </c>
      <c r="AB28" s="7">
        <f>ELECT.!B32</f>
        <v>77</v>
      </c>
    </row>
    <row r="29" spans="1:28">
      <c r="A29" s="11" t="s">
        <v>11</v>
      </c>
      <c r="B29" s="14">
        <f t="shared" si="0"/>
        <v>28</v>
      </c>
      <c r="C29" s="14">
        <v>9</v>
      </c>
      <c r="D29" s="14">
        <v>2022</v>
      </c>
      <c r="E29" s="7">
        <f>Water!C32</f>
        <v>200</v>
      </c>
      <c r="F29" s="7">
        <f>Water!E32</f>
        <v>361</v>
      </c>
      <c r="G29" s="7">
        <f>ELECT.!D33</f>
        <v>4386</v>
      </c>
      <c r="H29" s="7">
        <f>ELECT.!F33</f>
        <v>8727</v>
      </c>
      <c r="I29" s="7">
        <f>ELECT.!H33</f>
        <v>5419</v>
      </c>
      <c r="J29" s="7">
        <f>ELECT.!K33</f>
        <v>6000</v>
      </c>
      <c r="K29" s="7">
        <f>ELECT.!M33</f>
        <v>127</v>
      </c>
      <c r="L29" s="8">
        <f>Gas!C31</f>
        <v>270</v>
      </c>
      <c r="M29" s="8">
        <f>Gas!E31</f>
        <v>636</v>
      </c>
      <c r="N29" s="8">
        <f>Gas!G31</f>
        <v>103</v>
      </c>
      <c r="O29" s="16">
        <f>Gas!I31</f>
        <v>26</v>
      </c>
      <c r="P29" s="16">
        <f>Gas!K31</f>
        <v>0</v>
      </c>
      <c r="Q29" s="8">
        <f>Gas!M31</f>
        <v>45</v>
      </c>
      <c r="R29" s="8">
        <f>Gas!O31</f>
        <v>97</v>
      </c>
      <c r="S29" s="8">
        <f>Gas!Q31</f>
        <v>0</v>
      </c>
      <c r="T29" s="8">
        <f>Gas!S31</f>
        <v>224</v>
      </c>
      <c r="U29" s="8">
        <f>Gas!U31</f>
        <v>43</v>
      </c>
      <c r="V29" s="8">
        <f>Gas!W31</f>
        <v>0</v>
      </c>
      <c r="W29" s="8">
        <f>Gas!Y31</f>
        <v>26</v>
      </c>
      <c r="X29" s="8">
        <f>Gas!AA31</f>
        <v>210</v>
      </c>
      <c r="Y29" s="8">
        <f>Gas!AC31</f>
        <v>0</v>
      </c>
      <c r="Z29" s="8">
        <f>Gas!AE31</f>
        <v>201</v>
      </c>
      <c r="AA29" s="8">
        <f>Gas!AG31</f>
        <v>0</v>
      </c>
      <c r="AB29" s="7">
        <f>ELECT.!B33</f>
        <v>73</v>
      </c>
    </row>
    <row r="30" spans="1:28">
      <c r="A30" s="11" t="s">
        <v>11</v>
      </c>
      <c r="B30" s="14">
        <f t="shared" si="0"/>
        <v>29</v>
      </c>
      <c r="C30" s="14">
        <v>9</v>
      </c>
      <c r="D30" s="14">
        <v>2022</v>
      </c>
      <c r="E30" s="7">
        <f>Water!C33</f>
        <v>240</v>
      </c>
      <c r="F30" s="7">
        <f>Water!E33</f>
        <v>521</v>
      </c>
      <c r="G30" s="7">
        <f>ELECT.!D34</f>
        <v>5055</v>
      </c>
      <c r="H30" s="7">
        <f>ELECT.!F34</f>
        <v>10792</v>
      </c>
      <c r="I30" s="7">
        <f>ELECT.!H34</f>
        <v>6390</v>
      </c>
      <c r="J30" s="7">
        <f>ELECT.!K34</f>
        <v>7100</v>
      </c>
      <c r="K30" s="7">
        <f>ELECT.!M34</f>
        <v>148</v>
      </c>
      <c r="L30" s="8">
        <f>Gas!C32</f>
        <v>191</v>
      </c>
      <c r="M30" s="8">
        <f>Gas!E32</f>
        <v>609</v>
      </c>
      <c r="N30" s="8">
        <f>Gas!G32</f>
        <v>146</v>
      </c>
      <c r="O30" s="16">
        <f>Gas!I32</f>
        <v>26</v>
      </c>
      <c r="P30" s="16">
        <f>Gas!K32</f>
        <v>2</v>
      </c>
      <c r="Q30" s="8">
        <f>Gas!M32</f>
        <v>55</v>
      </c>
      <c r="R30" s="8">
        <f>Gas!O32</f>
        <v>191</v>
      </c>
      <c r="S30" s="8">
        <f>Gas!Q32</f>
        <v>0</v>
      </c>
      <c r="T30" s="8">
        <f>Gas!S32</f>
        <v>210</v>
      </c>
      <c r="U30" s="8">
        <f>Gas!U32</f>
        <v>32</v>
      </c>
      <c r="V30" s="8">
        <f>Gas!W32</f>
        <v>0</v>
      </c>
      <c r="W30" s="8">
        <f>Gas!Y32</f>
        <v>30</v>
      </c>
      <c r="X30" s="8">
        <f>Gas!AA32</f>
        <v>188</v>
      </c>
      <c r="Y30" s="8">
        <f>Gas!AC32</f>
        <v>0</v>
      </c>
      <c r="Z30" s="8">
        <f>Gas!AE32</f>
        <v>185</v>
      </c>
      <c r="AA30" s="8">
        <f>Gas!AG32</f>
        <v>0</v>
      </c>
      <c r="AB30" s="7">
        <f>ELECT.!B34</f>
        <v>91</v>
      </c>
    </row>
    <row r="31" spans="1:28">
      <c r="A31" s="11" t="s">
        <v>11</v>
      </c>
      <c r="B31" s="14">
        <f t="shared" si="0"/>
        <v>30</v>
      </c>
      <c r="C31" s="14">
        <v>9</v>
      </c>
      <c r="D31" s="14">
        <v>2022</v>
      </c>
      <c r="E31" s="7">
        <f>Water!C34</f>
        <v>270</v>
      </c>
      <c r="F31" s="7">
        <f>Water!E34</f>
        <v>586</v>
      </c>
      <c r="G31" s="7">
        <f>ELECT.!D35</f>
        <v>5288</v>
      </c>
      <c r="H31" s="7">
        <f>ELECT.!F35</f>
        <v>8540</v>
      </c>
      <c r="I31" s="7">
        <f>ELECT.!H35</f>
        <v>6587</v>
      </c>
      <c r="J31" s="7">
        <f>ELECT.!K35</f>
        <v>7700</v>
      </c>
      <c r="K31" s="7">
        <f>ELECT.!M35</f>
        <v>161</v>
      </c>
      <c r="L31" s="8">
        <f>Gas!C33</f>
        <v>214</v>
      </c>
      <c r="M31" s="8">
        <f>Gas!E33</f>
        <v>610</v>
      </c>
      <c r="N31" s="8">
        <f>Gas!G33</f>
        <v>136</v>
      </c>
      <c r="O31" s="16">
        <f>Gas!I33</f>
        <v>18</v>
      </c>
      <c r="P31" s="16">
        <f>Gas!K33</f>
        <v>0</v>
      </c>
      <c r="Q31" s="8">
        <f>Gas!M33</f>
        <v>55</v>
      </c>
      <c r="R31" s="8">
        <f>Gas!O33</f>
        <v>222</v>
      </c>
      <c r="S31" s="8">
        <f>Gas!Q33</f>
        <v>0</v>
      </c>
      <c r="T31" s="8">
        <f>Gas!S33</f>
        <v>245</v>
      </c>
      <c r="U31" s="8">
        <f>Gas!U33</f>
        <v>22</v>
      </c>
      <c r="V31" s="8">
        <f>Gas!W33</f>
        <v>0</v>
      </c>
      <c r="W31" s="8">
        <f>Gas!Y33</f>
        <v>41</v>
      </c>
      <c r="X31" s="8">
        <f>Gas!AA33</f>
        <v>138</v>
      </c>
      <c r="Y31" s="8">
        <f>Gas!AC33</f>
        <v>0</v>
      </c>
      <c r="Z31" s="8">
        <f>Gas!AE33</f>
        <v>217</v>
      </c>
      <c r="AA31" s="8">
        <f>Gas!AG33</f>
        <v>0</v>
      </c>
      <c r="AB31" s="7">
        <f>ELECT.!B35</f>
        <v>110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5"/>
  <sheetViews>
    <sheetView topLeftCell="A21" zoomScale="70" zoomScaleNormal="70" workbookViewId="0">
      <selection activeCell="I9" sqref="I9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07" t="s">
        <v>36</v>
      </c>
      <c r="B1" s="108"/>
      <c r="C1" s="108"/>
      <c r="D1" s="108"/>
      <c r="E1" s="109"/>
    </row>
    <row r="2" spans="1:5" ht="19.5" thickBot="1">
      <c r="A2" s="27" t="s">
        <v>1</v>
      </c>
      <c r="B2" s="110"/>
      <c r="C2" s="111"/>
      <c r="D2" s="111"/>
      <c r="E2" s="112"/>
    </row>
    <row r="3" spans="1:5" ht="18.75">
      <c r="A3" s="28"/>
      <c r="B3" s="29" t="s">
        <v>37</v>
      </c>
      <c r="C3" s="29" t="s">
        <v>38</v>
      </c>
      <c r="D3" s="89" t="s">
        <v>39</v>
      </c>
      <c r="E3" s="30" t="s">
        <v>38</v>
      </c>
    </row>
    <row r="4" spans="1:5" ht="20.25">
      <c r="A4" s="46" t="s">
        <v>40</v>
      </c>
      <c r="B4" s="120">
        <v>70268</v>
      </c>
      <c r="C4" s="80">
        <v>0</v>
      </c>
      <c r="D4" s="121">
        <v>702973</v>
      </c>
      <c r="E4" s="85">
        <v>0</v>
      </c>
    </row>
    <row r="5" spans="1:5" ht="20.25">
      <c r="A5" s="46">
        <v>44805</v>
      </c>
      <c r="B5" s="120">
        <v>70298</v>
      </c>
      <c r="C5" s="81">
        <f>(IF((B5-B4)&lt;0,"0",(B5-B4)))*10</f>
        <v>300</v>
      </c>
      <c r="D5" s="121">
        <v>703431</v>
      </c>
      <c r="E5" s="85">
        <f>(IF((D5-D4)&lt;0,"0",(D5-D4)))</f>
        <v>458</v>
      </c>
    </row>
    <row r="6" spans="1:5" ht="20.25">
      <c r="A6" s="46">
        <v>44806</v>
      </c>
      <c r="B6" s="120">
        <v>70322</v>
      </c>
      <c r="C6" s="81">
        <f t="shared" ref="C6:C34" si="0">(IF((B6-B5)&lt;0,"0",(B6-B5)))*10</f>
        <v>240</v>
      </c>
      <c r="D6" s="121">
        <v>703913</v>
      </c>
      <c r="E6" s="85">
        <f>(IF((D6-D5)&lt;0,"0",(D6-D5)))</f>
        <v>482</v>
      </c>
    </row>
    <row r="7" spans="1:5" ht="20.25">
      <c r="A7" s="46">
        <v>44807</v>
      </c>
      <c r="B7" s="120">
        <v>70348</v>
      </c>
      <c r="C7" s="81">
        <f t="shared" si="0"/>
        <v>260</v>
      </c>
      <c r="D7" s="121">
        <v>704388</v>
      </c>
      <c r="E7" s="85">
        <f t="shared" ref="E7:E34" si="1">(IF((D7-D6)&lt;0,"0",(D7-D6)))</f>
        <v>475</v>
      </c>
    </row>
    <row r="8" spans="1:5" ht="20.25">
      <c r="A8" s="46">
        <v>44808</v>
      </c>
      <c r="B8" s="120">
        <v>70374</v>
      </c>
      <c r="C8" s="81">
        <f t="shared" si="0"/>
        <v>260</v>
      </c>
      <c r="D8" s="121">
        <v>704860</v>
      </c>
      <c r="E8" s="85">
        <f t="shared" si="1"/>
        <v>472</v>
      </c>
    </row>
    <row r="9" spans="1:5" ht="20.25">
      <c r="A9" s="46">
        <v>44809</v>
      </c>
      <c r="B9" s="120">
        <v>70410</v>
      </c>
      <c r="C9" s="81">
        <f t="shared" si="0"/>
        <v>360</v>
      </c>
      <c r="D9" s="121">
        <v>705359</v>
      </c>
      <c r="E9" s="85">
        <f t="shared" si="1"/>
        <v>499</v>
      </c>
    </row>
    <row r="10" spans="1:5" ht="20.25">
      <c r="A10" s="46">
        <v>44810</v>
      </c>
      <c r="B10" s="120">
        <v>70433</v>
      </c>
      <c r="C10" s="81">
        <f t="shared" si="0"/>
        <v>230</v>
      </c>
      <c r="D10" s="121">
        <v>705930</v>
      </c>
      <c r="E10" s="85">
        <f t="shared" si="1"/>
        <v>571</v>
      </c>
    </row>
    <row r="11" spans="1:5" ht="20.25">
      <c r="A11" s="46">
        <v>44811</v>
      </c>
      <c r="B11" s="120">
        <v>70459</v>
      </c>
      <c r="C11" s="81">
        <f t="shared" si="0"/>
        <v>260</v>
      </c>
      <c r="D11" s="121">
        <v>706405</v>
      </c>
      <c r="E11" s="85">
        <f t="shared" si="1"/>
        <v>475</v>
      </c>
    </row>
    <row r="12" spans="1:5" ht="20.25">
      <c r="A12" s="46">
        <v>44812</v>
      </c>
      <c r="B12" s="120">
        <v>70489</v>
      </c>
      <c r="C12" s="81">
        <f t="shared" si="0"/>
        <v>300</v>
      </c>
      <c r="D12" s="121">
        <v>706882</v>
      </c>
      <c r="E12" s="85">
        <f t="shared" si="1"/>
        <v>477</v>
      </c>
    </row>
    <row r="13" spans="1:5" ht="20.25">
      <c r="A13" s="46">
        <v>44813</v>
      </c>
      <c r="B13" s="120">
        <v>70516</v>
      </c>
      <c r="C13" s="81">
        <f t="shared" si="0"/>
        <v>270</v>
      </c>
      <c r="D13" s="121">
        <v>707410</v>
      </c>
      <c r="E13" s="85">
        <f t="shared" si="1"/>
        <v>528</v>
      </c>
    </row>
    <row r="14" spans="1:5" ht="20.25">
      <c r="A14" s="46">
        <v>44814</v>
      </c>
      <c r="B14" s="120">
        <v>70544</v>
      </c>
      <c r="C14" s="81">
        <f t="shared" si="0"/>
        <v>280</v>
      </c>
      <c r="D14" s="121">
        <v>707885</v>
      </c>
      <c r="E14" s="85">
        <f t="shared" si="1"/>
        <v>475</v>
      </c>
    </row>
    <row r="15" spans="1:5" ht="20.25">
      <c r="A15" s="46">
        <v>44815</v>
      </c>
      <c r="B15" s="120">
        <v>70564</v>
      </c>
      <c r="C15" s="81">
        <f t="shared" si="0"/>
        <v>200</v>
      </c>
      <c r="D15" s="121">
        <v>708372</v>
      </c>
      <c r="E15" s="85">
        <f t="shared" si="1"/>
        <v>487</v>
      </c>
    </row>
    <row r="16" spans="1:5" ht="20.25">
      <c r="A16" s="46">
        <v>44816</v>
      </c>
      <c r="B16" s="120">
        <v>70582</v>
      </c>
      <c r="C16" s="81">
        <f t="shared" si="0"/>
        <v>180</v>
      </c>
      <c r="D16" s="121">
        <v>708911</v>
      </c>
      <c r="E16" s="86">
        <f t="shared" si="1"/>
        <v>539</v>
      </c>
    </row>
    <row r="17" spans="1:11" ht="20.25">
      <c r="A17" s="46">
        <v>44817</v>
      </c>
      <c r="B17" s="120">
        <v>70612</v>
      </c>
      <c r="C17" s="81">
        <f t="shared" si="0"/>
        <v>300</v>
      </c>
      <c r="D17" s="121">
        <v>709391</v>
      </c>
      <c r="E17" s="88">
        <f t="shared" si="1"/>
        <v>480</v>
      </c>
    </row>
    <row r="18" spans="1:11" ht="20.25">
      <c r="A18" s="46">
        <v>44818</v>
      </c>
      <c r="B18" s="120">
        <v>70634</v>
      </c>
      <c r="C18" s="81">
        <f t="shared" si="0"/>
        <v>220</v>
      </c>
      <c r="D18" s="121">
        <v>710077</v>
      </c>
      <c r="E18" s="85">
        <f t="shared" si="1"/>
        <v>686</v>
      </c>
    </row>
    <row r="19" spans="1:11" ht="20.25">
      <c r="A19" s="46">
        <v>44819</v>
      </c>
      <c r="B19" s="120">
        <v>70658</v>
      </c>
      <c r="C19" s="81">
        <f t="shared" si="0"/>
        <v>240</v>
      </c>
      <c r="D19" s="121">
        <v>710495</v>
      </c>
      <c r="E19" s="85">
        <f t="shared" si="1"/>
        <v>418</v>
      </c>
    </row>
    <row r="20" spans="1:11" ht="20.25">
      <c r="A20" s="46">
        <v>44820</v>
      </c>
      <c r="B20" s="120">
        <v>70683</v>
      </c>
      <c r="C20" s="81">
        <f t="shared" si="0"/>
        <v>250</v>
      </c>
      <c r="D20" s="121">
        <v>710915</v>
      </c>
      <c r="E20" s="85">
        <f t="shared" si="1"/>
        <v>420</v>
      </c>
    </row>
    <row r="21" spans="1:11" ht="20.25">
      <c r="A21" s="46">
        <v>44821</v>
      </c>
      <c r="B21" s="120">
        <v>70704</v>
      </c>
      <c r="C21" s="81">
        <f t="shared" si="0"/>
        <v>210</v>
      </c>
      <c r="D21" s="121">
        <v>711633</v>
      </c>
      <c r="E21" s="85">
        <f t="shared" si="1"/>
        <v>718</v>
      </c>
    </row>
    <row r="22" spans="1:11" ht="20.25">
      <c r="A22" s="46">
        <v>44822</v>
      </c>
      <c r="B22" s="120">
        <v>70725</v>
      </c>
      <c r="C22" s="81">
        <f t="shared" si="0"/>
        <v>210</v>
      </c>
      <c r="D22" s="121">
        <v>712111</v>
      </c>
      <c r="E22" s="85">
        <f t="shared" si="1"/>
        <v>478</v>
      </c>
    </row>
    <row r="23" spans="1:11" ht="20.25">
      <c r="A23" s="46">
        <v>44823</v>
      </c>
      <c r="B23" s="120">
        <v>70748</v>
      </c>
      <c r="C23" s="81">
        <f t="shared" si="0"/>
        <v>230</v>
      </c>
      <c r="D23" s="121">
        <v>712482</v>
      </c>
      <c r="E23" s="85">
        <f t="shared" si="1"/>
        <v>371</v>
      </c>
    </row>
    <row r="24" spans="1:11" ht="20.25">
      <c r="A24" s="46">
        <v>44824</v>
      </c>
      <c r="B24" s="120">
        <v>70773</v>
      </c>
      <c r="C24" s="81">
        <f t="shared" si="0"/>
        <v>250</v>
      </c>
      <c r="D24" s="121">
        <v>713036</v>
      </c>
      <c r="E24" s="85">
        <f t="shared" si="1"/>
        <v>554</v>
      </c>
    </row>
    <row r="25" spans="1:11" ht="20.25">
      <c r="A25" s="46">
        <v>44825</v>
      </c>
      <c r="B25" s="120">
        <v>70794</v>
      </c>
      <c r="C25" s="81">
        <f t="shared" si="0"/>
        <v>210</v>
      </c>
      <c r="D25" s="121">
        <v>713571</v>
      </c>
      <c r="E25" s="85">
        <f t="shared" si="1"/>
        <v>535</v>
      </c>
    </row>
    <row r="26" spans="1:11" ht="20.25">
      <c r="A26" s="46">
        <v>44826</v>
      </c>
      <c r="B26" s="120">
        <v>70820</v>
      </c>
      <c r="C26" s="81">
        <f t="shared" si="0"/>
        <v>260</v>
      </c>
      <c r="D26" s="121">
        <v>714007</v>
      </c>
      <c r="E26" s="85">
        <f t="shared" si="1"/>
        <v>436</v>
      </c>
    </row>
    <row r="27" spans="1:11" ht="20.25">
      <c r="A27" s="46">
        <v>44827</v>
      </c>
      <c r="B27" s="120">
        <v>70847</v>
      </c>
      <c r="C27" s="81">
        <f t="shared" si="0"/>
        <v>270</v>
      </c>
      <c r="D27" s="121">
        <v>714492</v>
      </c>
      <c r="E27" s="85">
        <f t="shared" si="1"/>
        <v>485</v>
      </c>
      <c r="K27" s="23"/>
    </row>
    <row r="28" spans="1:11" ht="20.25">
      <c r="A28" s="46">
        <v>44828</v>
      </c>
      <c r="B28" s="120">
        <v>70872</v>
      </c>
      <c r="C28" s="81">
        <f t="shared" si="0"/>
        <v>250</v>
      </c>
      <c r="D28" s="121">
        <v>714992</v>
      </c>
      <c r="E28" s="85">
        <f t="shared" si="1"/>
        <v>500</v>
      </c>
    </row>
    <row r="29" spans="1:11" ht="20.25">
      <c r="A29" s="46">
        <v>44829</v>
      </c>
      <c r="B29" s="120">
        <v>70890</v>
      </c>
      <c r="C29" s="81">
        <f t="shared" si="0"/>
        <v>180</v>
      </c>
      <c r="D29" s="121">
        <v>715645</v>
      </c>
      <c r="E29" s="85">
        <f t="shared" si="1"/>
        <v>653</v>
      </c>
    </row>
    <row r="30" spans="1:11" ht="20.25">
      <c r="A30" s="46">
        <v>44830</v>
      </c>
      <c r="B30" s="120">
        <v>70910</v>
      </c>
      <c r="C30" s="81">
        <f t="shared" si="0"/>
        <v>200</v>
      </c>
      <c r="D30" s="121">
        <v>716089</v>
      </c>
      <c r="E30" s="85">
        <f t="shared" si="1"/>
        <v>444</v>
      </c>
    </row>
    <row r="31" spans="1:11" ht="20.25">
      <c r="A31" s="46">
        <v>44831</v>
      </c>
      <c r="B31" s="120">
        <v>70938</v>
      </c>
      <c r="C31" s="81">
        <f t="shared" si="0"/>
        <v>280</v>
      </c>
      <c r="D31" s="121">
        <v>716430</v>
      </c>
      <c r="E31" s="85">
        <f t="shared" si="1"/>
        <v>341</v>
      </c>
    </row>
    <row r="32" spans="1:11" ht="20.25">
      <c r="A32" s="46">
        <v>44832</v>
      </c>
      <c r="B32" s="120">
        <v>70958</v>
      </c>
      <c r="C32" s="81">
        <f t="shared" si="0"/>
        <v>200</v>
      </c>
      <c r="D32" s="121">
        <v>716791</v>
      </c>
      <c r="E32" s="85">
        <f t="shared" si="1"/>
        <v>361</v>
      </c>
    </row>
    <row r="33" spans="1:5" ht="20.25">
      <c r="A33" s="46">
        <v>44833</v>
      </c>
      <c r="B33" s="120">
        <v>70982</v>
      </c>
      <c r="C33" s="81">
        <f t="shared" si="0"/>
        <v>240</v>
      </c>
      <c r="D33" s="121">
        <v>717312</v>
      </c>
      <c r="E33" s="85">
        <f t="shared" si="1"/>
        <v>521</v>
      </c>
    </row>
    <row r="34" spans="1:5" ht="20.25">
      <c r="A34" s="46">
        <v>44834</v>
      </c>
      <c r="B34" s="120">
        <v>71009</v>
      </c>
      <c r="C34" s="81">
        <f t="shared" si="0"/>
        <v>270</v>
      </c>
      <c r="D34" s="121">
        <v>717898</v>
      </c>
      <c r="E34" s="86">
        <f t="shared" si="1"/>
        <v>586</v>
      </c>
    </row>
    <row r="35" spans="1:5" ht="27">
      <c r="A35" s="82" t="s">
        <v>41</v>
      </c>
      <c r="B35" s="83"/>
      <c r="C35" s="47">
        <f>SUM(C5:C34)</f>
        <v>7410</v>
      </c>
      <c r="D35" s="84"/>
      <c r="E35" s="87">
        <f>SUM(E5:E34)</f>
        <v>14925</v>
      </c>
    </row>
  </sheetData>
  <mergeCells count="2">
    <mergeCell ref="A1:E1"/>
    <mergeCell ref="B2:E2"/>
  </mergeCells>
  <phoneticPr fontId="0" type="noConversion"/>
  <conditionalFormatting sqref="B35 C4:C34 D35 E4:E34">
    <cfRule type="cellIs" dxfId="3" priority="110" stopIfTrue="1" operator="lessThan">
      <formula>0</formula>
    </cfRule>
  </conditionalFormatting>
  <conditionalFormatting sqref="D35">
    <cfRule type="cellIs" dxfId="2" priority="108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53"/>
  <sheetViews>
    <sheetView tabSelected="1" zoomScale="60" zoomScaleNormal="60" workbookViewId="0">
      <selection activeCell="B6" sqref="B6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21.5703125" style="3" customWidth="1"/>
    <col min="14" max="16384" width="41.85546875" style="3"/>
  </cols>
  <sheetData>
    <row r="1" spans="1:13" ht="16.5" thickBot="1">
      <c r="A1" s="113" t="s">
        <v>42</v>
      </c>
      <c r="B1" s="114"/>
      <c r="C1" s="114"/>
      <c r="D1" s="114"/>
      <c r="E1" s="114"/>
      <c r="F1" s="114"/>
      <c r="G1" s="114"/>
      <c r="H1" s="114"/>
      <c r="I1" s="115"/>
    </row>
    <row r="2" spans="1:13" ht="15.75" customHeight="1" thickTop="1" thickBot="1">
      <c r="A2" s="116" t="s">
        <v>43</v>
      </c>
      <c r="B2" s="117"/>
      <c r="C2" s="117"/>
      <c r="D2" s="117"/>
      <c r="E2" s="117"/>
      <c r="F2" s="117"/>
      <c r="G2" s="117"/>
      <c r="H2" s="117"/>
      <c r="I2" s="118"/>
      <c r="J2" s="98"/>
      <c r="K2" s="99"/>
      <c r="L2" s="98"/>
      <c r="M2" s="99"/>
    </row>
    <row r="3" spans="1:13" ht="16.5" thickBot="1">
      <c r="A3" s="44" t="s">
        <v>1</v>
      </c>
      <c r="B3" s="45" t="s">
        <v>44</v>
      </c>
      <c r="C3" s="105" t="s">
        <v>45</v>
      </c>
      <c r="D3" s="38" t="s">
        <v>38</v>
      </c>
      <c r="E3" s="38" t="s">
        <v>46</v>
      </c>
      <c r="F3" s="106" t="s">
        <v>38</v>
      </c>
      <c r="G3" s="38" t="s">
        <v>47</v>
      </c>
      <c r="H3" s="31" t="s">
        <v>38</v>
      </c>
      <c r="I3" s="92" t="s">
        <v>41</v>
      </c>
      <c r="J3" s="100" t="s">
        <v>48</v>
      </c>
      <c r="K3" s="38"/>
      <c r="L3" s="100" t="s">
        <v>49</v>
      </c>
      <c r="M3" s="38"/>
    </row>
    <row r="4" spans="1:13" ht="16.5" thickBot="1">
      <c r="A4" s="43"/>
      <c r="B4" s="36"/>
      <c r="C4" s="40" t="s">
        <v>50</v>
      </c>
      <c r="D4" s="39" t="s">
        <v>38</v>
      </c>
      <c r="E4" s="39" t="s">
        <v>50</v>
      </c>
      <c r="F4" s="40" t="s">
        <v>38</v>
      </c>
      <c r="G4" s="39" t="s">
        <v>50</v>
      </c>
      <c r="H4" s="37" t="s">
        <v>38</v>
      </c>
      <c r="I4" s="93" t="s">
        <v>50</v>
      </c>
      <c r="J4" s="101" t="s">
        <v>51</v>
      </c>
      <c r="K4" s="39" t="s">
        <v>52</v>
      </c>
      <c r="L4" s="101" t="s">
        <v>51</v>
      </c>
      <c r="M4" s="39" t="s">
        <v>52</v>
      </c>
    </row>
    <row r="5" spans="1:13" ht="26.25">
      <c r="A5" s="35" t="s">
        <v>40</v>
      </c>
      <c r="B5" s="33">
        <v>132</v>
      </c>
      <c r="C5" s="122">
        <v>50583106</v>
      </c>
      <c r="D5" s="41">
        <v>0</v>
      </c>
      <c r="E5" s="122">
        <v>50926201</v>
      </c>
      <c r="F5" s="75">
        <v>0</v>
      </c>
      <c r="G5" s="122">
        <v>38395008</v>
      </c>
      <c r="H5" s="75">
        <v>0</v>
      </c>
      <c r="I5" s="94"/>
      <c r="J5" s="123">
        <v>266690</v>
      </c>
      <c r="K5" s="102"/>
      <c r="L5" s="123">
        <v>79245</v>
      </c>
      <c r="M5" s="102"/>
    </row>
    <row r="6" spans="1:13" ht="26.25">
      <c r="A6" s="32">
        <v>44805</v>
      </c>
      <c r="B6" s="34">
        <v>124</v>
      </c>
      <c r="C6" s="122">
        <v>50588041</v>
      </c>
      <c r="D6" s="42">
        <f>IF((C6-C5)&lt;0,"0",(C6-C5))</f>
        <v>4935</v>
      </c>
      <c r="E6" s="122">
        <v>50935475</v>
      </c>
      <c r="F6" s="42">
        <f>IF((E6-E5)&lt;0,"0",(E6-E5))</f>
        <v>9274</v>
      </c>
      <c r="G6" s="122">
        <v>38401655</v>
      </c>
      <c r="H6" s="42">
        <f>IF((G6-G5)&lt;0,"0",(G6-G5))</f>
        <v>6647</v>
      </c>
      <c r="I6" s="95">
        <f>D6+F6+H6</f>
        <v>20856</v>
      </c>
      <c r="J6" s="123">
        <v>267373</v>
      </c>
      <c r="K6" s="102">
        <f>IF(J6-J5&lt;0,0,J6-J5)*10</f>
        <v>6830</v>
      </c>
      <c r="L6" s="123">
        <v>79382</v>
      </c>
      <c r="M6" s="102">
        <f t="shared" ref="M6:M21" si="0">IF(L6-L5&lt;0,0,L6-L5)</f>
        <v>137</v>
      </c>
    </row>
    <row r="7" spans="1:13" ht="26.25">
      <c r="A7" s="32">
        <v>44806</v>
      </c>
      <c r="B7" s="34">
        <v>124</v>
      </c>
      <c r="C7" s="122">
        <v>50593012</v>
      </c>
      <c r="D7" s="42">
        <f t="shared" ref="D7:D32" si="1">IF((C7-C6)&lt;0,"0",(C7-C6))</f>
        <v>4971</v>
      </c>
      <c r="E7" s="122">
        <v>50944735</v>
      </c>
      <c r="F7" s="42">
        <f t="shared" ref="F7:F32" si="2">IF((E7-E6)&lt;0,"0",(E7-E6))</f>
        <v>9260</v>
      </c>
      <c r="G7" s="122">
        <v>38408067</v>
      </c>
      <c r="H7" s="42">
        <f t="shared" ref="H7:H32" si="3">IF((G7-G6)&lt;0,"0",(G7-G6))</f>
        <v>6412</v>
      </c>
      <c r="I7" s="95">
        <f t="shared" ref="I7:I36" si="4">D7+F7+H7</f>
        <v>20643</v>
      </c>
      <c r="J7" s="123">
        <v>268130</v>
      </c>
      <c r="K7" s="102">
        <f t="shared" ref="K7:K35" si="5">IF(J7-J6&lt;0,0,J7-J6)*10</f>
        <v>7570</v>
      </c>
      <c r="L7" s="123">
        <v>79545</v>
      </c>
      <c r="M7" s="102">
        <f t="shared" si="0"/>
        <v>163</v>
      </c>
    </row>
    <row r="8" spans="1:13" ht="26.25">
      <c r="A8" s="32">
        <v>44807</v>
      </c>
      <c r="B8" s="34">
        <v>111</v>
      </c>
      <c r="C8" s="122">
        <v>50597974</v>
      </c>
      <c r="D8" s="42">
        <f t="shared" si="1"/>
        <v>4962</v>
      </c>
      <c r="E8" s="122">
        <v>50953928</v>
      </c>
      <c r="F8" s="42">
        <f t="shared" si="2"/>
        <v>9193</v>
      </c>
      <c r="G8" s="122">
        <v>38414221</v>
      </c>
      <c r="H8" s="42">
        <f t="shared" si="3"/>
        <v>6154</v>
      </c>
      <c r="I8" s="95">
        <f t="shared" si="4"/>
        <v>20309</v>
      </c>
      <c r="J8" s="123">
        <v>268880</v>
      </c>
      <c r="K8" s="102">
        <f t="shared" si="5"/>
        <v>7500</v>
      </c>
      <c r="L8" s="123">
        <v>79707</v>
      </c>
      <c r="M8" s="102">
        <f t="shared" si="0"/>
        <v>162</v>
      </c>
    </row>
    <row r="9" spans="1:13" ht="26.25">
      <c r="A9" s="32">
        <v>44808</v>
      </c>
      <c r="B9" s="34">
        <v>101</v>
      </c>
      <c r="C9" s="122">
        <v>50603060</v>
      </c>
      <c r="D9" s="42">
        <f t="shared" si="1"/>
        <v>5086</v>
      </c>
      <c r="E9" s="122">
        <v>50963235</v>
      </c>
      <c r="F9" s="42">
        <f t="shared" si="2"/>
        <v>9307</v>
      </c>
      <c r="G9" s="122">
        <v>38420860</v>
      </c>
      <c r="H9" s="42">
        <f t="shared" si="3"/>
        <v>6639</v>
      </c>
      <c r="I9" s="95">
        <f t="shared" si="4"/>
        <v>21032</v>
      </c>
      <c r="J9" s="123">
        <v>269570</v>
      </c>
      <c r="K9" s="102">
        <f t="shared" si="5"/>
        <v>6900</v>
      </c>
      <c r="L9" s="123">
        <v>79861</v>
      </c>
      <c r="M9" s="102">
        <f t="shared" si="0"/>
        <v>154</v>
      </c>
    </row>
    <row r="10" spans="1:13" ht="26.25">
      <c r="A10" s="32">
        <v>44809</v>
      </c>
      <c r="B10" s="34">
        <v>92</v>
      </c>
      <c r="C10" s="122">
        <v>50608291</v>
      </c>
      <c r="D10" s="42">
        <f t="shared" si="1"/>
        <v>5231</v>
      </c>
      <c r="E10" s="122">
        <v>50972939</v>
      </c>
      <c r="F10" s="42">
        <f t="shared" si="2"/>
        <v>9704</v>
      </c>
      <c r="G10" s="122">
        <v>38427489</v>
      </c>
      <c r="H10" s="42">
        <f t="shared" si="3"/>
        <v>6629</v>
      </c>
      <c r="I10" s="95">
        <f t="shared" si="4"/>
        <v>21564</v>
      </c>
      <c r="J10" s="123">
        <v>270290</v>
      </c>
      <c r="K10" s="102">
        <f t="shared" si="5"/>
        <v>7200</v>
      </c>
      <c r="L10" s="123">
        <v>80011</v>
      </c>
      <c r="M10" s="102">
        <f t="shared" si="0"/>
        <v>150</v>
      </c>
    </row>
    <row r="11" spans="1:13" ht="26.25">
      <c r="A11" s="32">
        <v>44810</v>
      </c>
      <c r="B11" s="34">
        <v>110</v>
      </c>
      <c r="C11" s="122">
        <v>50613535</v>
      </c>
      <c r="D11" s="42">
        <f t="shared" si="1"/>
        <v>5244</v>
      </c>
      <c r="E11" s="122">
        <v>50982788</v>
      </c>
      <c r="F11" s="42">
        <f t="shared" si="2"/>
        <v>9849</v>
      </c>
      <c r="G11" s="122">
        <v>38434350</v>
      </c>
      <c r="H11" s="42">
        <f t="shared" si="3"/>
        <v>6861</v>
      </c>
      <c r="I11" s="95">
        <f t="shared" si="4"/>
        <v>21954</v>
      </c>
      <c r="J11" s="123">
        <v>271090</v>
      </c>
      <c r="K11" s="102">
        <f t="shared" si="5"/>
        <v>8000</v>
      </c>
      <c r="L11" s="123">
        <v>80179</v>
      </c>
      <c r="M11" s="102">
        <f t="shared" si="0"/>
        <v>168</v>
      </c>
    </row>
    <row r="12" spans="1:13" ht="26.25">
      <c r="A12" s="32">
        <v>44811</v>
      </c>
      <c r="B12" s="34">
        <v>110</v>
      </c>
      <c r="C12" s="122">
        <v>50618473</v>
      </c>
      <c r="D12" s="42">
        <f t="shared" si="1"/>
        <v>4938</v>
      </c>
      <c r="E12" s="122">
        <v>50992284</v>
      </c>
      <c r="F12" s="42">
        <f t="shared" si="2"/>
        <v>9496</v>
      </c>
      <c r="G12" s="122">
        <v>38440736</v>
      </c>
      <c r="H12" s="42">
        <f t="shared" si="3"/>
        <v>6386</v>
      </c>
      <c r="I12" s="95">
        <f t="shared" si="4"/>
        <v>20820</v>
      </c>
      <c r="J12" s="123">
        <v>271730</v>
      </c>
      <c r="K12" s="102">
        <f t="shared" si="5"/>
        <v>6400</v>
      </c>
      <c r="L12" s="123">
        <v>80319</v>
      </c>
      <c r="M12" s="102">
        <f t="shared" si="0"/>
        <v>140</v>
      </c>
    </row>
    <row r="13" spans="1:13" ht="26.25">
      <c r="A13" s="32">
        <v>44812</v>
      </c>
      <c r="B13" s="34">
        <v>133</v>
      </c>
      <c r="C13" s="122">
        <v>50623563</v>
      </c>
      <c r="D13" s="42">
        <f t="shared" si="1"/>
        <v>5090</v>
      </c>
      <c r="E13" s="122">
        <v>51002029</v>
      </c>
      <c r="F13" s="42">
        <f t="shared" si="2"/>
        <v>9745</v>
      </c>
      <c r="G13" s="122">
        <v>38447093</v>
      </c>
      <c r="H13" s="42">
        <f t="shared" si="3"/>
        <v>6357</v>
      </c>
      <c r="I13" s="95">
        <f t="shared" si="4"/>
        <v>21192</v>
      </c>
      <c r="J13" s="123">
        <v>272520</v>
      </c>
      <c r="K13" s="102">
        <f t="shared" si="5"/>
        <v>7900</v>
      </c>
      <c r="L13" s="123">
        <v>80494</v>
      </c>
      <c r="M13" s="102">
        <f t="shared" si="0"/>
        <v>175</v>
      </c>
    </row>
    <row r="14" spans="1:13" ht="26.25">
      <c r="A14" s="32">
        <v>44813</v>
      </c>
      <c r="B14" s="34">
        <v>142</v>
      </c>
      <c r="C14" s="122">
        <v>50628861</v>
      </c>
      <c r="D14" s="42">
        <f t="shared" si="1"/>
        <v>5298</v>
      </c>
      <c r="E14" s="122">
        <v>51012127</v>
      </c>
      <c r="F14" s="42">
        <f t="shared" si="2"/>
        <v>10098</v>
      </c>
      <c r="G14" s="122">
        <v>38453918</v>
      </c>
      <c r="H14" s="42">
        <f t="shared" si="3"/>
        <v>6825</v>
      </c>
      <c r="I14" s="95">
        <f t="shared" si="4"/>
        <v>22221</v>
      </c>
      <c r="J14" s="123">
        <v>273130</v>
      </c>
      <c r="K14" s="102">
        <f t="shared" si="5"/>
        <v>6100</v>
      </c>
      <c r="L14" s="123">
        <v>80622</v>
      </c>
      <c r="M14" s="102">
        <f t="shared" si="0"/>
        <v>128</v>
      </c>
    </row>
    <row r="15" spans="1:13" ht="26.25">
      <c r="A15" s="32">
        <v>44814</v>
      </c>
      <c r="B15" s="34">
        <v>135</v>
      </c>
      <c r="C15" s="122">
        <v>50634730</v>
      </c>
      <c r="D15" s="42">
        <f t="shared" ref="D15:D27" si="6">IF((C15-C14)&lt;0,"0",(C15-C14))</f>
        <v>5869</v>
      </c>
      <c r="E15" s="122">
        <v>51022861</v>
      </c>
      <c r="F15" s="42">
        <f t="shared" si="2"/>
        <v>10734</v>
      </c>
      <c r="G15" s="122">
        <v>38461515</v>
      </c>
      <c r="H15" s="42">
        <f t="shared" si="3"/>
        <v>7597</v>
      </c>
      <c r="I15" s="95">
        <f t="shared" si="4"/>
        <v>24200</v>
      </c>
      <c r="J15" s="123">
        <v>273830</v>
      </c>
      <c r="K15" s="102">
        <f t="shared" si="5"/>
        <v>7000</v>
      </c>
      <c r="L15" s="123">
        <v>80776</v>
      </c>
      <c r="M15" s="102">
        <f t="shared" si="0"/>
        <v>154</v>
      </c>
    </row>
    <row r="16" spans="1:13" ht="26.25">
      <c r="A16" s="32">
        <v>44815</v>
      </c>
      <c r="B16" s="34">
        <v>118</v>
      </c>
      <c r="C16" s="122">
        <v>50639560</v>
      </c>
      <c r="D16" s="42">
        <f t="shared" si="6"/>
        <v>4830</v>
      </c>
      <c r="E16" s="122">
        <v>51031874</v>
      </c>
      <c r="F16" s="42">
        <f t="shared" si="2"/>
        <v>9013</v>
      </c>
      <c r="G16" s="122">
        <v>38468162</v>
      </c>
      <c r="H16" s="42">
        <f t="shared" si="3"/>
        <v>6647</v>
      </c>
      <c r="I16" s="95">
        <f t="shared" si="4"/>
        <v>20490</v>
      </c>
      <c r="J16" s="123">
        <v>274510</v>
      </c>
      <c r="K16" s="102">
        <f t="shared" si="5"/>
        <v>6800</v>
      </c>
      <c r="L16" s="123">
        <v>80934</v>
      </c>
      <c r="M16" s="102">
        <f t="shared" si="0"/>
        <v>158</v>
      </c>
    </row>
    <row r="17" spans="1:13" ht="26.25">
      <c r="A17" s="32">
        <v>44816</v>
      </c>
      <c r="B17" s="34">
        <v>89</v>
      </c>
      <c r="C17" s="122">
        <v>50644122</v>
      </c>
      <c r="D17" s="42">
        <f t="shared" si="6"/>
        <v>4562</v>
      </c>
      <c r="E17" s="122">
        <v>51040101</v>
      </c>
      <c r="F17" s="42">
        <f t="shared" si="2"/>
        <v>8227</v>
      </c>
      <c r="G17" s="122">
        <v>38474002</v>
      </c>
      <c r="H17" s="42">
        <f t="shared" si="3"/>
        <v>5840</v>
      </c>
      <c r="I17" s="95">
        <f t="shared" si="4"/>
        <v>18629</v>
      </c>
      <c r="J17" s="123">
        <v>275241</v>
      </c>
      <c r="K17" s="102">
        <f t="shared" si="5"/>
        <v>7310</v>
      </c>
      <c r="L17" s="123">
        <v>81101</v>
      </c>
      <c r="M17" s="102">
        <f t="shared" si="0"/>
        <v>167</v>
      </c>
    </row>
    <row r="18" spans="1:13" ht="26.25">
      <c r="A18" s="32">
        <v>44817</v>
      </c>
      <c r="B18" s="34">
        <v>105</v>
      </c>
      <c r="C18" s="122">
        <v>50648685</v>
      </c>
      <c r="D18" s="42">
        <f t="shared" si="6"/>
        <v>4563</v>
      </c>
      <c r="E18" s="122">
        <v>51048926</v>
      </c>
      <c r="F18" s="42">
        <f t="shared" si="2"/>
        <v>8825</v>
      </c>
      <c r="G18" s="122">
        <v>38479409</v>
      </c>
      <c r="H18" s="42">
        <f t="shared" si="3"/>
        <v>5407</v>
      </c>
      <c r="I18" s="95">
        <f t="shared" si="4"/>
        <v>18795</v>
      </c>
      <c r="J18" s="123">
        <v>275950</v>
      </c>
      <c r="K18" s="102">
        <f t="shared" si="5"/>
        <v>7090</v>
      </c>
      <c r="L18" s="123">
        <v>81240</v>
      </c>
      <c r="M18" s="102">
        <f t="shared" si="0"/>
        <v>139</v>
      </c>
    </row>
    <row r="19" spans="1:13" ht="26.25">
      <c r="A19" s="32">
        <v>44818</v>
      </c>
      <c r="B19" s="34">
        <v>115</v>
      </c>
      <c r="C19" s="122">
        <v>50653370</v>
      </c>
      <c r="D19" s="42">
        <f t="shared" si="6"/>
        <v>4685</v>
      </c>
      <c r="E19" s="122">
        <v>51057891</v>
      </c>
      <c r="F19" s="42">
        <f t="shared" si="2"/>
        <v>8965</v>
      </c>
      <c r="G19" s="122">
        <v>38485612</v>
      </c>
      <c r="H19" s="42">
        <f t="shared" si="3"/>
        <v>6203</v>
      </c>
      <c r="I19" s="95">
        <f t="shared" si="4"/>
        <v>19853</v>
      </c>
      <c r="J19" s="123">
        <v>276610</v>
      </c>
      <c r="K19" s="102">
        <f t="shared" si="5"/>
        <v>6600</v>
      </c>
      <c r="L19" s="123">
        <v>81374</v>
      </c>
      <c r="M19" s="102">
        <f t="shared" si="0"/>
        <v>134</v>
      </c>
    </row>
    <row r="20" spans="1:13" ht="26.25">
      <c r="A20" s="32">
        <v>44819</v>
      </c>
      <c r="B20" s="34">
        <v>123</v>
      </c>
      <c r="C20" s="122">
        <v>50658550</v>
      </c>
      <c r="D20" s="42">
        <f t="shared" si="6"/>
        <v>5180</v>
      </c>
      <c r="E20" s="122">
        <v>51068242</v>
      </c>
      <c r="F20" s="42">
        <f t="shared" si="2"/>
        <v>10351</v>
      </c>
      <c r="G20" s="122">
        <v>38492981</v>
      </c>
      <c r="H20" s="42">
        <f t="shared" si="3"/>
        <v>7369</v>
      </c>
      <c r="I20" s="95">
        <f t="shared" si="4"/>
        <v>22900</v>
      </c>
      <c r="J20" s="123">
        <v>277300</v>
      </c>
      <c r="K20" s="102">
        <f t="shared" si="5"/>
        <v>6900</v>
      </c>
      <c r="L20" s="123">
        <v>81514</v>
      </c>
      <c r="M20" s="102">
        <f t="shared" si="0"/>
        <v>140</v>
      </c>
    </row>
    <row r="21" spans="1:13" ht="26.25">
      <c r="A21" s="32">
        <v>44820</v>
      </c>
      <c r="B21" s="34">
        <v>143</v>
      </c>
      <c r="C21" s="122">
        <v>50663323</v>
      </c>
      <c r="D21" s="42">
        <f t="shared" si="6"/>
        <v>4773</v>
      </c>
      <c r="E21" s="122">
        <v>51077201</v>
      </c>
      <c r="F21" s="42">
        <f t="shared" si="2"/>
        <v>8959</v>
      </c>
      <c r="G21" s="122">
        <v>38499073</v>
      </c>
      <c r="H21" s="42">
        <f t="shared" si="3"/>
        <v>6092</v>
      </c>
      <c r="I21" s="95">
        <f t="shared" si="4"/>
        <v>19824</v>
      </c>
      <c r="J21" s="123">
        <v>278000</v>
      </c>
      <c r="K21" s="102">
        <f t="shared" si="5"/>
        <v>7000</v>
      </c>
      <c r="L21" s="123">
        <v>81645</v>
      </c>
      <c r="M21" s="102">
        <f t="shared" si="0"/>
        <v>131</v>
      </c>
    </row>
    <row r="22" spans="1:13" ht="26.25">
      <c r="A22" s="32">
        <v>44821</v>
      </c>
      <c r="B22" s="34">
        <v>112</v>
      </c>
      <c r="C22" s="122">
        <v>50667742</v>
      </c>
      <c r="D22" s="42">
        <f t="shared" si="6"/>
        <v>4419</v>
      </c>
      <c r="E22" s="122">
        <v>51085690</v>
      </c>
      <c r="F22" s="42">
        <f t="shared" si="2"/>
        <v>8489</v>
      </c>
      <c r="G22" s="122">
        <v>38504579</v>
      </c>
      <c r="H22" s="42">
        <f t="shared" si="3"/>
        <v>5506</v>
      </c>
      <c r="I22" s="95">
        <f t="shared" si="4"/>
        <v>18414</v>
      </c>
      <c r="J22" s="123">
        <v>278630</v>
      </c>
      <c r="K22" s="102">
        <f t="shared" si="5"/>
        <v>6300</v>
      </c>
      <c r="L22" s="123">
        <v>81757</v>
      </c>
      <c r="M22" s="102">
        <f t="shared" ref="M22:M27" si="7">IF(L22-L21&lt;0,0,L22-L21)</f>
        <v>112</v>
      </c>
    </row>
    <row r="23" spans="1:13" ht="26.25">
      <c r="A23" s="32">
        <v>44822</v>
      </c>
      <c r="B23" s="34">
        <v>113</v>
      </c>
      <c r="C23" s="122">
        <v>50672222</v>
      </c>
      <c r="D23" s="42">
        <f t="shared" si="6"/>
        <v>4480</v>
      </c>
      <c r="E23" s="122">
        <v>51094402</v>
      </c>
      <c r="F23" s="42">
        <f t="shared" si="2"/>
        <v>8712</v>
      </c>
      <c r="G23" s="122">
        <v>38510599</v>
      </c>
      <c r="H23" s="42">
        <f t="shared" si="3"/>
        <v>6020</v>
      </c>
      <c r="I23" s="95">
        <f t="shared" si="4"/>
        <v>19212</v>
      </c>
      <c r="J23" s="123">
        <v>279230</v>
      </c>
      <c r="K23" s="102">
        <f t="shared" si="5"/>
        <v>6000</v>
      </c>
      <c r="L23" s="123">
        <v>81880</v>
      </c>
      <c r="M23" s="102">
        <f t="shared" si="7"/>
        <v>123</v>
      </c>
    </row>
    <row r="24" spans="1:13" ht="26.25">
      <c r="A24" s="32">
        <v>44823</v>
      </c>
      <c r="B24" s="34">
        <v>121</v>
      </c>
      <c r="C24" s="122">
        <v>50677393</v>
      </c>
      <c r="D24" s="42">
        <f t="shared" si="6"/>
        <v>5171</v>
      </c>
      <c r="E24" s="122">
        <v>51103963</v>
      </c>
      <c r="F24" s="42">
        <f t="shared" si="2"/>
        <v>9561</v>
      </c>
      <c r="G24" s="122">
        <v>38516951</v>
      </c>
      <c r="H24" s="42">
        <f t="shared" si="3"/>
        <v>6352</v>
      </c>
      <c r="I24" s="95">
        <f t="shared" si="4"/>
        <v>21084</v>
      </c>
      <c r="J24" s="123">
        <v>279920</v>
      </c>
      <c r="K24" s="102">
        <f t="shared" si="5"/>
        <v>6900</v>
      </c>
      <c r="L24" s="123">
        <v>82038</v>
      </c>
      <c r="M24" s="102">
        <f t="shared" si="7"/>
        <v>158</v>
      </c>
    </row>
    <row r="25" spans="1:13" ht="26.25">
      <c r="A25" s="32">
        <v>44824</v>
      </c>
      <c r="B25" s="34">
        <v>114</v>
      </c>
      <c r="C25" s="122">
        <v>50681622</v>
      </c>
      <c r="D25" s="42">
        <f t="shared" si="6"/>
        <v>4229</v>
      </c>
      <c r="E25" s="122">
        <v>51111675</v>
      </c>
      <c r="F25" s="42">
        <f t="shared" si="2"/>
        <v>7712</v>
      </c>
      <c r="G25" s="122">
        <v>38522137</v>
      </c>
      <c r="H25" s="42">
        <f t="shared" si="3"/>
        <v>5186</v>
      </c>
      <c r="I25" s="95">
        <f t="shared" si="4"/>
        <v>17127</v>
      </c>
      <c r="J25" s="123">
        <v>280610</v>
      </c>
      <c r="K25" s="102">
        <f t="shared" si="5"/>
        <v>6900</v>
      </c>
      <c r="L25" s="123">
        <v>82193</v>
      </c>
      <c r="M25" s="102">
        <f t="shared" si="7"/>
        <v>155</v>
      </c>
    </row>
    <row r="26" spans="1:13" ht="26.25">
      <c r="A26" s="32">
        <v>44825</v>
      </c>
      <c r="B26" s="34">
        <v>117</v>
      </c>
      <c r="C26" s="122">
        <v>50686363</v>
      </c>
      <c r="D26" s="42">
        <f t="shared" si="6"/>
        <v>4741</v>
      </c>
      <c r="E26" s="122">
        <v>51120902</v>
      </c>
      <c r="F26" s="42">
        <f t="shared" si="2"/>
        <v>9227</v>
      </c>
      <c r="G26" s="122">
        <v>38528179</v>
      </c>
      <c r="H26" s="42">
        <f t="shared" si="3"/>
        <v>6042</v>
      </c>
      <c r="I26" s="95">
        <f t="shared" si="4"/>
        <v>20010</v>
      </c>
      <c r="J26" s="123">
        <v>281310</v>
      </c>
      <c r="K26" s="102">
        <f t="shared" si="5"/>
        <v>7000</v>
      </c>
      <c r="L26" s="123">
        <v>82358</v>
      </c>
      <c r="M26" s="102">
        <f t="shared" si="7"/>
        <v>165</v>
      </c>
    </row>
    <row r="27" spans="1:13" ht="26.25">
      <c r="A27" s="32">
        <v>44826</v>
      </c>
      <c r="B27" s="34">
        <v>139</v>
      </c>
      <c r="C27" s="122">
        <v>50691057</v>
      </c>
      <c r="D27" s="42">
        <f t="shared" si="6"/>
        <v>4694</v>
      </c>
      <c r="E27" s="122">
        <v>51129880</v>
      </c>
      <c r="F27" s="42">
        <f t="shared" si="2"/>
        <v>8978</v>
      </c>
      <c r="G27" s="122">
        <v>38534199</v>
      </c>
      <c r="H27" s="42">
        <f t="shared" si="3"/>
        <v>6020</v>
      </c>
      <c r="I27" s="95">
        <f t="shared" si="4"/>
        <v>19692</v>
      </c>
      <c r="J27" s="123">
        <v>281950</v>
      </c>
      <c r="K27" s="102">
        <f t="shared" si="5"/>
        <v>6400</v>
      </c>
      <c r="L27" s="123">
        <v>82521</v>
      </c>
      <c r="M27" s="102">
        <f t="shared" si="7"/>
        <v>163</v>
      </c>
    </row>
    <row r="28" spans="1:13" ht="26.25">
      <c r="A28" s="32">
        <v>44827</v>
      </c>
      <c r="B28" s="34">
        <v>161</v>
      </c>
      <c r="C28" s="122">
        <v>50695940</v>
      </c>
      <c r="D28" s="42">
        <f t="shared" si="1"/>
        <v>4883</v>
      </c>
      <c r="E28" s="122">
        <v>51138785</v>
      </c>
      <c r="F28" s="42">
        <f t="shared" si="2"/>
        <v>8905</v>
      </c>
      <c r="G28" s="122">
        <v>38539720</v>
      </c>
      <c r="H28" s="42">
        <f t="shared" si="3"/>
        <v>5521</v>
      </c>
      <c r="I28" s="95">
        <f t="shared" si="4"/>
        <v>19309</v>
      </c>
      <c r="J28" s="123">
        <v>282580</v>
      </c>
      <c r="K28" s="102">
        <f t="shared" si="5"/>
        <v>6300</v>
      </c>
      <c r="L28" s="123">
        <v>82627</v>
      </c>
      <c r="M28" s="102">
        <f>IF(L28-L27&lt;0,0,L28-L27)</f>
        <v>106</v>
      </c>
    </row>
    <row r="29" spans="1:13" ht="26.25">
      <c r="A29" s="32">
        <v>44828</v>
      </c>
      <c r="B29" s="34">
        <v>104</v>
      </c>
      <c r="C29" s="122">
        <v>50701119</v>
      </c>
      <c r="D29" s="42">
        <f t="shared" si="1"/>
        <v>5179</v>
      </c>
      <c r="E29" s="122">
        <v>51149442</v>
      </c>
      <c r="F29" s="42">
        <f t="shared" si="2"/>
        <v>10657</v>
      </c>
      <c r="G29" s="122">
        <v>38546936</v>
      </c>
      <c r="H29" s="42">
        <f t="shared" si="3"/>
        <v>7216</v>
      </c>
      <c r="I29" s="95">
        <f t="shared" si="4"/>
        <v>23052</v>
      </c>
      <c r="J29" s="123">
        <v>283230</v>
      </c>
      <c r="K29" s="102">
        <f t="shared" si="5"/>
        <v>6500</v>
      </c>
      <c r="L29" s="123">
        <v>82779</v>
      </c>
      <c r="M29" s="102">
        <f>IF(L29-L28&lt;0,0,L29-L28)</f>
        <v>152</v>
      </c>
    </row>
    <row r="30" spans="1:13" ht="26.25">
      <c r="A30" s="32">
        <v>44829</v>
      </c>
      <c r="B30" s="34">
        <v>81</v>
      </c>
      <c r="C30" s="122">
        <v>50705218</v>
      </c>
      <c r="D30" s="42">
        <f t="shared" si="1"/>
        <v>4099</v>
      </c>
      <c r="E30" s="122">
        <v>51158400</v>
      </c>
      <c r="F30" s="42">
        <f t="shared" si="2"/>
        <v>8958</v>
      </c>
      <c r="G30" s="122">
        <v>38551950</v>
      </c>
      <c r="H30" s="42">
        <f t="shared" si="3"/>
        <v>5014</v>
      </c>
      <c r="I30" s="95">
        <f t="shared" si="4"/>
        <v>18071</v>
      </c>
      <c r="J30" s="123">
        <v>283900</v>
      </c>
      <c r="K30" s="102">
        <f t="shared" si="5"/>
        <v>6700</v>
      </c>
      <c r="L30" s="123">
        <v>82890</v>
      </c>
      <c r="M30" s="102">
        <f>IF(L30-L29&lt;0,0,L30-L29)</f>
        <v>111</v>
      </c>
    </row>
    <row r="31" spans="1:13" ht="26.25">
      <c r="A31" s="32">
        <v>44830</v>
      </c>
      <c r="B31" s="34">
        <v>75</v>
      </c>
      <c r="C31" s="122">
        <v>50709773</v>
      </c>
      <c r="D31" s="42">
        <f t="shared" si="1"/>
        <v>4555</v>
      </c>
      <c r="E31" s="122">
        <v>51167049</v>
      </c>
      <c r="F31" s="42">
        <f t="shared" si="2"/>
        <v>8649</v>
      </c>
      <c r="G31" s="122">
        <v>38558872</v>
      </c>
      <c r="H31" s="42">
        <f t="shared" si="3"/>
        <v>6922</v>
      </c>
      <c r="I31" s="95">
        <f t="shared" si="4"/>
        <v>20126</v>
      </c>
      <c r="J31" s="123">
        <v>284480</v>
      </c>
      <c r="K31" s="102">
        <f t="shared" si="5"/>
        <v>5800</v>
      </c>
      <c r="L31" s="123">
        <v>83058</v>
      </c>
      <c r="M31" s="102">
        <f t="shared" ref="M31" si="8">IF(L31-L30&lt;0,0,L31-L30)</f>
        <v>168</v>
      </c>
    </row>
    <row r="32" spans="1:13" ht="26.25">
      <c r="A32" s="32">
        <v>44831</v>
      </c>
      <c r="B32" s="34">
        <v>77</v>
      </c>
      <c r="C32" s="122">
        <v>50714419</v>
      </c>
      <c r="D32" s="42">
        <f t="shared" si="1"/>
        <v>4646</v>
      </c>
      <c r="E32" s="122">
        <v>51176267</v>
      </c>
      <c r="F32" s="42">
        <f t="shared" si="2"/>
        <v>9218</v>
      </c>
      <c r="G32" s="122">
        <v>38564604</v>
      </c>
      <c r="H32" s="42">
        <f t="shared" si="3"/>
        <v>5732</v>
      </c>
      <c r="I32" s="95">
        <f t="shared" si="4"/>
        <v>19596</v>
      </c>
      <c r="J32" s="123">
        <v>285190</v>
      </c>
      <c r="K32" s="102">
        <f t="shared" si="5"/>
        <v>7100</v>
      </c>
      <c r="L32" s="123">
        <v>83236</v>
      </c>
      <c r="M32" s="102">
        <f>IF(L32-L31&lt;0,0,L32-L31)</f>
        <v>178</v>
      </c>
    </row>
    <row r="33" spans="1:13" ht="26.25">
      <c r="A33" s="32">
        <v>44832</v>
      </c>
      <c r="B33" s="34">
        <v>73</v>
      </c>
      <c r="C33" s="122">
        <v>50718805</v>
      </c>
      <c r="D33" s="42">
        <f>C33-C32</f>
        <v>4386</v>
      </c>
      <c r="E33" s="122">
        <v>51184994</v>
      </c>
      <c r="F33" s="42">
        <f>IF((E33-E32)&lt;0,"0",(E33-E32))</f>
        <v>8727</v>
      </c>
      <c r="G33" s="122">
        <v>38570023</v>
      </c>
      <c r="H33" s="42">
        <f>G33-G32</f>
        <v>5419</v>
      </c>
      <c r="I33" s="95">
        <f>D33+F33+H33</f>
        <v>18532</v>
      </c>
      <c r="J33" s="123">
        <v>285790</v>
      </c>
      <c r="K33" s="102">
        <f t="shared" si="5"/>
        <v>6000</v>
      </c>
      <c r="L33" s="123">
        <v>83363</v>
      </c>
      <c r="M33" s="102">
        <f>IF(L33-L32&lt;0,0,L33-L32)</f>
        <v>127</v>
      </c>
    </row>
    <row r="34" spans="1:13" ht="26.25">
      <c r="A34" s="32">
        <v>44833</v>
      </c>
      <c r="B34" s="34">
        <v>91</v>
      </c>
      <c r="C34" s="122">
        <v>50723860</v>
      </c>
      <c r="D34" s="42">
        <f>C34-C33</f>
        <v>5055</v>
      </c>
      <c r="E34" s="122">
        <v>51195786</v>
      </c>
      <c r="F34" s="42">
        <f>IF((E34-E33)&lt;0,"0",(E34-E33))</f>
        <v>10792</v>
      </c>
      <c r="G34" s="122">
        <v>38576413</v>
      </c>
      <c r="H34" s="42">
        <f>G34-G33</f>
        <v>6390</v>
      </c>
      <c r="I34" s="95">
        <f t="shared" si="4"/>
        <v>22237</v>
      </c>
      <c r="J34" s="123">
        <v>286500</v>
      </c>
      <c r="K34" s="102">
        <f t="shared" si="5"/>
        <v>7100</v>
      </c>
      <c r="L34" s="123">
        <v>83511</v>
      </c>
      <c r="M34" s="102">
        <f>IF(L34-L33&lt;0,0,L34-L33)</f>
        <v>148</v>
      </c>
    </row>
    <row r="35" spans="1:13" ht="26.25">
      <c r="A35" s="32">
        <v>44834</v>
      </c>
      <c r="B35" s="34">
        <v>110</v>
      </c>
      <c r="C35" s="122">
        <v>50729148</v>
      </c>
      <c r="D35" s="72">
        <f>C35-C34</f>
        <v>5288</v>
      </c>
      <c r="E35" s="122">
        <v>51204326</v>
      </c>
      <c r="F35" s="76">
        <f>IF((E35-E34)&lt;0,"0",(E35-E34))</f>
        <v>8540</v>
      </c>
      <c r="G35" s="122">
        <v>38583000</v>
      </c>
      <c r="H35" s="72">
        <f>G35-G34</f>
        <v>6587</v>
      </c>
      <c r="I35" s="96">
        <f t="shared" si="4"/>
        <v>20415</v>
      </c>
      <c r="J35" s="123">
        <v>287270</v>
      </c>
      <c r="K35" s="102">
        <f t="shared" si="5"/>
        <v>7700</v>
      </c>
      <c r="L35" s="123">
        <v>83672</v>
      </c>
      <c r="M35" s="102">
        <f>IF(L35-L34&lt;0,0,L35-L34)</f>
        <v>161</v>
      </c>
    </row>
    <row r="36" spans="1:13" s="21" customFormat="1" ht="27.75" thickBot="1">
      <c r="A36" s="44" t="s">
        <v>41</v>
      </c>
      <c r="B36" s="45"/>
      <c r="C36" s="78"/>
      <c r="D36" s="73">
        <f>SUM(D5:D35)</f>
        <v>146042</v>
      </c>
      <c r="E36" s="79"/>
      <c r="F36" s="73">
        <f>SUM(F5:F35)</f>
        <v>278125</v>
      </c>
      <c r="G36" s="77"/>
      <c r="H36" s="73">
        <f>SUM(H5:H35)</f>
        <v>187992</v>
      </c>
      <c r="I36" s="97">
        <f t="shared" si="4"/>
        <v>612159</v>
      </c>
      <c r="J36" s="103"/>
      <c r="K36" s="104">
        <f>SUM(K5:K35)</f>
        <v>205800</v>
      </c>
      <c r="L36" s="103"/>
      <c r="M36" s="104">
        <f>SUM(M5:M35)*10</f>
        <v>44270</v>
      </c>
    </row>
    <row r="37" spans="1:13" ht="37.5">
      <c r="J37" s="90"/>
      <c r="K37" s="90"/>
      <c r="L37" s="90"/>
      <c r="M37" s="90"/>
    </row>
    <row r="38" spans="1:13" ht="26.25">
      <c r="A38" s="3"/>
      <c r="B38" s="25"/>
      <c r="J38"/>
      <c r="K38" s="91"/>
      <c r="L38"/>
      <c r="M38" s="91"/>
    </row>
    <row r="53" spans="1:2" ht="15">
      <c r="A53" s="3"/>
      <c r="B53" s="25"/>
    </row>
  </sheetData>
  <mergeCells count="2">
    <mergeCell ref="A1:I1"/>
    <mergeCell ref="A2:I2"/>
  </mergeCells>
  <phoneticPr fontId="0" type="noConversion"/>
  <conditionalFormatting sqref="D5:D35 F5:F35 D36:M36 A3:B36 H5:I35 K5:K35 M5:M35">
    <cfRule type="cellIs" dxfId="1" priority="21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P34"/>
  <sheetViews>
    <sheetView view="pageBreakPreview" zoomScale="50" zoomScaleNormal="55" zoomScaleSheetLayoutView="50" workbookViewId="0">
      <selection activeCell="AH35" sqref="AH35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26.140625" style="9" bestFit="1" customWidth="1"/>
    <col min="31" max="31" width="11.140625" style="9" customWidth="1"/>
    <col min="32" max="32" width="27" style="9" bestFit="1" customWidth="1"/>
    <col min="33" max="33" width="11.140625" style="9" customWidth="1"/>
    <col min="34" max="34" width="37.140625" style="9" customWidth="1"/>
    <col min="35" max="35" width="32.7109375" bestFit="1" customWidth="1"/>
    <col min="36" max="36" width="11.140625" style="9" bestFit="1" customWidth="1"/>
    <col min="37" max="38" width="8.5703125" bestFit="1" customWidth="1"/>
    <col min="40" max="40" width="8.5703125" bestFit="1" customWidth="1"/>
  </cols>
  <sheetData>
    <row r="1" spans="1:42" ht="33" customHeight="1" thickBot="1">
      <c r="A1" s="119" t="s">
        <v>53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</row>
    <row r="2" spans="1:42">
      <c r="A2" s="56" t="s">
        <v>1</v>
      </c>
      <c r="B2" s="58" t="s">
        <v>54</v>
      </c>
      <c r="C2" s="57" t="s">
        <v>38</v>
      </c>
      <c r="D2" s="57" t="s">
        <v>55</v>
      </c>
      <c r="E2" s="57" t="s">
        <v>38</v>
      </c>
      <c r="F2" s="57" t="s">
        <v>56</v>
      </c>
      <c r="G2" s="57" t="s">
        <v>38</v>
      </c>
      <c r="H2" s="57" t="s">
        <v>57</v>
      </c>
      <c r="I2" s="57" t="s">
        <v>38</v>
      </c>
      <c r="J2" s="57" t="s">
        <v>58</v>
      </c>
      <c r="K2" s="57" t="s">
        <v>38</v>
      </c>
      <c r="L2" s="57" t="s">
        <v>59</v>
      </c>
      <c r="M2" s="57" t="s">
        <v>38</v>
      </c>
      <c r="N2" s="57" t="s">
        <v>60</v>
      </c>
      <c r="O2" s="57" t="s">
        <v>38</v>
      </c>
      <c r="P2" s="57" t="s">
        <v>61</v>
      </c>
      <c r="Q2" s="57" t="s">
        <v>38</v>
      </c>
      <c r="R2" s="57" t="s">
        <v>62</v>
      </c>
      <c r="S2" s="57" t="s">
        <v>38</v>
      </c>
      <c r="T2" s="57" t="s">
        <v>63</v>
      </c>
      <c r="U2" s="57" t="s">
        <v>38</v>
      </c>
      <c r="V2" s="57" t="s">
        <v>64</v>
      </c>
      <c r="W2" s="57" t="s">
        <v>38</v>
      </c>
      <c r="X2" s="57" t="s">
        <v>65</v>
      </c>
      <c r="Y2" s="57" t="s">
        <v>38</v>
      </c>
      <c r="Z2" s="57" t="s">
        <v>66</v>
      </c>
      <c r="AA2" s="57" t="s">
        <v>38</v>
      </c>
      <c r="AB2" s="57" t="s">
        <v>67</v>
      </c>
      <c r="AC2" s="57" t="s">
        <v>38</v>
      </c>
      <c r="AD2" s="57" t="s">
        <v>68</v>
      </c>
      <c r="AE2" s="57" t="s">
        <v>38</v>
      </c>
      <c r="AF2" s="57" t="s">
        <v>69</v>
      </c>
      <c r="AG2" s="57"/>
      <c r="AH2" s="69" t="s">
        <v>70</v>
      </c>
      <c r="AI2" s="70" t="s">
        <v>71</v>
      </c>
      <c r="AJ2" s="55" t="s">
        <v>38</v>
      </c>
    </row>
    <row r="3" spans="1:42" ht="27">
      <c r="A3" s="54" t="s">
        <v>40</v>
      </c>
      <c r="B3" s="124">
        <v>1593101</v>
      </c>
      <c r="C3" s="62"/>
      <c r="D3" s="124">
        <v>33664439</v>
      </c>
      <c r="E3" s="60"/>
      <c r="F3" s="125">
        <v>76651</v>
      </c>
      <c r="G3" s="60"/>
      <c r="H3" s="125">
        <v>99261</v>
      </c>
      <c r="I3" s="59"/>
      <c r="J3" s="126">
        <v>184168</v>
      </c>
      <c r="K3" s="62"/>
      <c r="L3" s="125">
        <v>114484</v>
      </c>
      <c r="M3" s="60"/>
      <c r="N3" s="125">
        <v>651939</v>
      </c>
      <c r="O3" s="62"/>
      <c r="P3" s="125">
        <v>167764</v>
      </c>
      <c r="Q3" s="60"/>
      <c r="R3" s="125">
        <v>992108</v>
      </c>
      <c r="S3" s="62"/>
      <c r="T3" s="125">
        <v>82252</v>
      </c>
      <c r="U3" s="60"/>
      <c r="V3" s="125">
        <v>305810</v>
      </c>
      <c r="W3" s="62"/>
      <c r="X3" s="126">
        <v>32183</v>
      </c>
      <c r="Y3" s="60"/>
      <c r="Z3" s="126">
        <v>731138</v>
      </c>
      <c r="AA3" s="62"/>
      <c r="AB3" s="74">
        <v>1410</v>
      </c>
      <c r="AC3" s="60"/>
      <c r="AD3" s="128">
        <v>113400</v>
      </c>
      <c r="AE3" s="60"/>
      <c r="AF3" s="129">
        <v>1982</v>
      </c>
      <c r="AG3" s="60"/>
      <c r="AH3" s="67"/>
      <c r="AI3" s="71"/>
      <c r="AJ3" s="53"/>
    </row>
    <row r="4" spans="1:42">
      <c r="A4" s="52">
        <v>44805</v>
      </c>
      <c r="B4" s="124">
        <v>1593479</v>
      </c>
      <c r="C4" s="63">
        <f>IF((B4-B3)&lt;0,"0",(B4-B3))</f>
        <v>378</v>
      </c>
      <c r="D4" s="124">
        <v>33665052</v>
      </c>
      <c r="E4" s="60">
        <f>IF((D4-D3)&lt;0,"0",(D4-D3))</f>
        <v>613</v>
      </c>
      <c r="F4" s="125">
        <v>76793</v>
      </c>
      <c r="G4" s="60">
        <f>IF((F4-F3)&lt;0,"0",(F4-F3))</f>
        <v>142</v>
      </c>
      <c r="H4" s="125">
        <v>99294</v>
      </c>
      <c r="I4" s="60">
        <f>IF((H4-H3)&lt;0,"0",(H4-H3))</f>
        <v>33</v>
      </c>
      <c r="J4" s="126">
        <v>184168</v>
      </c>
      <c r="K4" s="63">
        <f>IF((J4-J3)&lt;0,"0",(J4-J3))</f>
        <v>0</v>
      </c>
      <c r="L4" s="125">
        <v>114537</v>
      </c>
      <c r="M4" s="60">
        <f>IF((L4-L3)&lt;0,"0",(L4-L3))</f>
        <v>53</v>
      </c>
      <c r="N4" s="125">
        <v>652044</v>
      </c>
      <c r="O4" s="63">
        <f>IF((N4-N3)&lt;0,"0",(N4-N3))</f>
        <v>105</v>
      </c>
      <c r="P4" s="125">
        <v>167764</v>
      </c>
      <c r="Q4" s="60">
        <f>IF((P4-P3)&lt;0,"0",(P4-P3))</f>
        <v>0</v>
      </c>
      <c r="R4" s="125">
        <v>992393</v>
      </c>
      <c r="S4" s="63">
        <f>IF((R4-R3)&lt;0,"0",(R4-R3))</f>
        <v>285</v>
      </c>
      <c r="T4" s="125">
        <v>82284</v>
      </c>
      <c r="U4" s="60">
        <f>IF((T4-T3)&lt;0,"0",(T4-T3))</f>
        <v>32</v>
      </c>
      <c r="V4" s="125">
        <v>305810</v>
      </c>
      <c r="W4" s="63">
        <f>IF((V4-V3)&lt;0,"0",(V4-V3))</f>
        <v>0</v>
      </c>
      <c r="X4" s="126">
        <v>32209</v>
      </c>
      <c r="Y4" s="60">
        <f>IF((X4-X3)&lt;0,"0",(X4-X3))</f>
        <v>26</v>
      </c>
      <c r="Z4" s="126">
        <v>731214</v>
      </c>
      <c r="AA4" s="63">
        <f>IF((Z4-Z3)&lt;0,"0",(Z4-Z3))</f>
        <v>76</v>
      </c>
      <c r="AB4" s="74">
        <v>1410</v>
      </c>
      <c r="AC4" s="60">
        <f>IF((AB4-AB3)&lt;0,"0",(AB4-AB3))</f>
        <v>0</v>
      </c>
      <c r="AD4" s="128">
        <v>113601</v>
      </c>
      <c r="AE4" s="60">
        <f>IF((AD4-AD3)&lt;0,"0",(AD4-AD3))</f>
        <v>201</v>
      </c>
      <c r="AF4" s="128">
        <v>1982</v>
      </c>
      <c r="AG4" s="60">
        <f t="shared" ref="AC4:AG33" si="0">IF((AF4-AF3)&lt;0,"0",(AF4-AF3))</f>
        <v>0</v>
      </c>
      <c r="AH4" s="68">
        <f>C4+E4+G4+I4+K4+M4+O4+Q4+S4+U4+W4+Y4+AA4+AC4+AE4+AG4</f>
        <v>1944</v>
      </c>
      <c r="AI4" s="18">
        <v>0</v>
      </c>
      <c r="AJ4" s="53">
        <f>IF((AI4-AI3)&lt;0,"0",(AI4-AI3))</f>
        <v>0</v>
      </c>
    </row>
    <row r="5" spans="1:42">
      <c r="A5" s="52">
        <v>44806</v>
      </c>
      <c r="B5" s="124">
        <v>1593706</v>
      </c>
      <c r="C5" s="63">
        <f t="shared" ref="C5:C33" si="1">IF((B5-B4)&lt;0,"0",(B5-B4))</f>
        <v>227</v>
      </c>
      <c r="D5" s="124">
        <v>33665703</v>
      </c>
      <c r="E5" s="60">
        <f t="shared" ref="E5:E33" si="2">IF((D5-D4)&lt;0,"0",(D5-D4))</f>
        <v>651</v>
      </c>
      <c r="F5" s="125">
        <v>76930</v>
      </c>
      <c r="G5" s="60">
        <f t="shared" ref="G5:G33" si="3">IF((F5-F4)&lt;0,"0",(F5-F4))</f>
        <v>137</v>
      </c>
      <c r="H5" s="125">
        <v>99319</v>
      </c>
      <c r="I5" s="60">
        <f t="shared" ref="I5:I33" si="4">IF((H5-H4)&lt;0,"0",(H5-H4))</f>
        <v>25</v>
      </c>
      <c r="J5" s="126">
        <v>184168</v>
      </c>
      <c r="K5" s="63">
        <f t="shared" ref="K5:K33" si="5">IF((J5-J4)&lt;0,"0",(J5-J4))</f>
        <v>0</v>
      </c>
      <c r="L5" s="125">
        <v>114601</v>
      </c>
      <c r="M5" s="60">
        <f t="shared" ref="M5:M33" si="6">IF((L5-L4)&lt;0,"0",(L5-L4))</f>
        <v>64</v>
      </c>
      <c r="N5" s="125">
        <v>652132</v>
      </c>
      <c r="O5" s="63">
        <f t="shared" ref="O5:O33" si="7">IF((N5-N4)&lt;0,"0",(N5-N4))</f>
        <v>88</v>
      </c>
      <c r="P5" s="125">
        <v>167764</v>
      </c>
      <c r="Q5" s="60">
        <f t="shared" ref="Q5:Q33" si="8">IF((P5-P4)&lt;0,"0",(P5-P4))</f>
        <v>0</v>
      </c>
      <c r="R5" s="125">
        <v>992719</v>
      </c>
      <c r="S5" s="63">
        <f t="shared" ref="S5:S33" si="9">IF((R5-R4)&lt;0,"0",(R5-R4))</f>
        <v>326</v>
      </c>
      <c r="T5" s="125">
        <v>82323</v>
      </c>
      <c r="U5" s="60">
        <f t="shared" ref="U5:U33" si="10">IF((T5-T4)&lt;0,"0",(T5-T4))</f>
        <v>39</v>
      </c>
      <c r="V5" s="125">
        <v>305810</v>
      </c>
      <c r="W5" s="63">
        <f t="shared" ref="W5:W33" si="11">IF((V5-V4)&lt;0,"0",(V5-V4))</f>
        <v>0</v>
      </c>
      <c r="X5" s="126">
        <v>32243</v>
      </c>
      <c r="Y5" s="60">
        <f t="shared" ref="Y5:Y33" si="12">IF((X5-X4)&lt;0,"0",(X5-X4))</f>
        <v>34</v>
      </c>
      <c r="Z5" s="126">
        <v>731301</v>
      </c>
      <c r="AA5" s="63">
        <f t="shared" ref="AA5:AA33" si="13">IF((Z5-Z4)&lt;0,"0",(Z5-Z4))</f>
        <v>87</v>
      </c>
      <c r="AB5" s="74">
        <v>1410</v>
      </c>
      <c r="AC5" s="60">
        <f t="shared" si="0"/>
        <v>0</v>
      </c>
      <c r="AD5" s="128">
        <v>113838</v>
      </c>
      <c r="AE5" s="60">
        <f t="shared" si="0"/>
        <v>237</v>
      </c>
      <c r="AF5" s="128">
        <v>1982</v>
      </c>
      <c r="AG5" s="60">
        <f t="shared" si="0"/>
        <v>0</v>
      </c>
      <c r="AH5" s="68">
        <f t="shared" ref="AH5:AH33" si="14">C5+E5+G5+I5+K5+M5+O5+Q5+S5+U5+W5+Y5+AA5+AC5+AE5+AG5</f>
        <v>1915</v>
      </c>
      <c r="AI5" s="18">
        <v>0</v>
      </c>
      <c r="AJ5" s="53">
        <f t="shared" ref="AJ5:AJ33" si="15">IF((AI5-AI4)&lt;0,"0",(AI5-AI4))</f>
        <v>0</v>
      </c>
    </row>
    <row r="6" spans="1:42">
      <c r="A6" s="52">
        <v>44807</v>
      </c>
      <c r="B6" s="124">
        <v>1593969</v>
      </c>
      <c r="C6" s="63">
        <f t="shared" si="1"/>
        <v>263</v>
      </c>
      <c r="D6" s="124">
        <v>33666308</v>
      </c>
      <c r="E6" s="60">
        <f t="shared" si="2"/>
        <v>605</v>
      </c>
      <c r="F6" s="125">
        <v>77063</v>
      </c>
      <c r="G6" s="60">
        <f t="shared" si="3"/>
        <v>133</v>
      </c>
      <c r="H6" s="125">
        <v>99353</v>
      </c>
      <c r="I6" s="60">
        <f t="shared" si="4"/>
        <v>34</v>
      </c>
      <c r="J6" s="126">
        <v>184168</v>
      </c>
      <c r="K6" s="63">
        <f t="shared" si="5"/>
        <v>0</v>
      </c>
      <c r="L6" s="125">
        <v>114642</v>
      </c>
      <c r="M6" s="60">
        <f t="shared" si="6"/>
        <v>41</v>
      </c>
      <c r="N6" s="125">
        <v>652183</v>
      </c>
      <c r="O6" s="63">
        <f t="shared" si="7"/>
        <v>51</v>
      </c>
      <c r="P6" s="125">
        <v>167764</v>
      </c>
      <c r="Q6" s="60">
        <f t="shared" si="8"/>
        <v>0</v>
      </c>
      <c r="R6" s="125">
        <v>993011</v>
      </c>
      <c r="S6" s="63">
        <f t="shared" si="9"/>
        <v>292</v>
      </c>
      <c r="T6" s="125">
        <v>82352</v>
      </c>
      <c r="U6" s="60">
        <f t="shared" si="10"/>
        <v>29</v>
      </c>
      <c r="V6" s="125">
        <v>305810</v>
      </c>
      <c r="W6" s="63">
        <f t="shared" si="11"/>
        <v>0</v>
      </c>
      <c r="X6" s="126">
        <v>32289</v>
      </c>
      <c r="Y6" s="60">
        <f t="shared" si="12"/>
        <v>46</v>
      </c>
      <c r="Z6" s="126">
        <v>731395</v>
      </c>
      <c r="AA6" s="63">
        <f t="shared" si="13"/>
        <v>94</v>
      </c>
      <c r="AB6" s="74">
        <v>1410</v>
      </c>
      <c r="AC6" s="60">
        <f t="shared" si="0"/>
        <v>0</v>
      </c>
      <c r="AD6" s="128">
        <v>114067</v>
      </c>
      <c r="AE6" s="60">
        <f t="shared" si="0"/>
        <v>229</v>
      </c>
      <c r="AF6" s="128">
        <v>1982</v>
      </c>
      <c r="AG6" s="60">
        <f t="shared" si="0"/>
        <v>0</v>
      </c>
      <c r="AH6" s="68">
        <f t="shared" si="14"/>
        <v>1817</v>
      </c>
      <c r="AI6" s="18">
        <v>0</v>
      </c>
      <c r="AJ6" s="53">
        <f t="shared" si="15"/>
        <v>0</v>
      </c>
    </row>
    <row r="7" spans="1:42">
      <c r="A7" s="52">
        <v>44808</v>
      </c>
      <c r="B7" s="124">
        <v>1594200</v>
      </c>
      <c r="C7" s="63">
        <f t="shared" si="1"/>
        <v>231</v>
      </c>
      <c r="D7" s="124">
        <v>33667036</v>
      </c>
      <c r="E7" s="60">
        <f t="shared" si="2"/>
        <v>728</v>
      </c>
      <c r="F7" s="125">
        <v>77188</v>
      </c>
      <c r="G7" s="60">
        <f t="shared" si="3"/>
        <v>125</v>
      </c>
      <c r="H7" s="125">
        <v>99376</v>
      </c>
      <c r="I7" s="60">
        <f t="shared" si="4"/>
        <v>23</v>
      </c>
      <c r="J7" s="126">
        <v>184168</v>
      </c>
      <c r="K7" s="63">
        <f t="shared" si="5"/>
        <v>0</v>
      </c>
      <c r="L7" s="125">
        <v>114689</v>
      </c>
      <c r="M7" s="60">
        <f t="shared" si="6"/>
        <v>47</v>
      </c>
      <c r="N7" s="125">
        <v>652331</v>
      </c>
      <c r="O7" s="63">
        <f t="shared" si="7"/>
        <v>148</v>
      </c>
      <c r="P7" s="125">
        <v>167764</v>
      </c>
      <c r="Q7" s="60">
        <f t="shared" si="8"/>
        <v>0</v>
      </c>
      <c r="R7" s="125">
        <v>993297</v>
      </c>
      <c r="S7" s="63">
        <f t="shared" si="9"/>
        <v>286</v>
      </c>
      <c r="T7" s="125">
        <v>82377</v>
      </c>
      <c r="U7" s="60">
        <f t="shared" si="10"/>
        <v>25</v>
      </c>
      <c r="V7" s="125">
        <v>305810</v>
      </c>
      <c r="W7" s="63">
        <f t="shared" si="11"/>
        <v>0</v>
      </c>
      <c r="X7" s="126">
        <v>32315</v>
      </c>
      <c r="Y7" s="60">
        <f t="shared" si="12"/>
        <v>26</v>
      </c>
      <c r="Z7" s="126">
        <v>731420</v>
      </c>
      <c r="AA7" s="63">
        <f t="shared" si="13"/>
        <v>25</v>
      </c>
      <c r="AB7" s="74">
        <v>1410</v>
      </c>
      <c r="AC7" s="60">
        <f t="shared" si="0"/>
        <v>0</v>
      </c>
      <c r="AD7" s="128">
        <v>114265</v>
      </c>
      <c r="AE7" s="60">
        <f t="shared" si="0"/>
        <v>198</v>
      </c>
      <c r="AF7" s="128">
        <v>1982</v>
      </c>
      <c r="AG7" s="60">
        <f t="shared" si="0"/>
        <v>0</v>
      </c>
      <c r="AH7" s="68">
        <f t="shared" si="14"/>
        <v>1862</v>
      </c>
      <c r="AI7" s="18">
        <v>0</v>
      </c>
      <c r="AJ7" s="53">
        <f t="shared" si="15"/>
        <v>0</v>
      </c>
    </row>
    <row r="8" spans="1:42">
      <c r="A8" s="52">
        <v>44809</v>
      </c>
      <c r="B8" s="124">
        <v>1594409</v>
      </c>
      <c r="C8" s="63">
        <f t="shared" si="1"/>
        <v>209</v>
      </c>
      <c r="D8" s="124">
        <v>33667723</v>
      </c>
      <c r="E8" s="60">
        <f t="shared" si="2"/>
        <v>687</v>
      </c>
      <c r="F8" s="125">
        <v>77315</v>
      </c>
      <c r="G8" s="60">
        <f t="shared" si="3"/>
        <v>127</v>
      </c>
      <c r="H8" s="125">
        <v>99402</v>
      </c>
      <c r="I8" s="60">
        <f t="shared" si="4"/>
        <v>26</v>
      </c>
      <c r="J8" s="126">
        <v>184172</v>
      </c>
      <c r="K8" s="63">
        <f t="shared" si="5"/>
        <v>4</v>
      </c>
      <c r="L8" s="125">
        <v>114741</v>
      </c>
      <c r="M8" s="60">
        <f t="shared" si="6"/>
        <v>52</v>
      </c>
      <c r="N8" s="125">
        <v>652455</v>
      </c>
      <c r="O8" s="63">
        <f t="shared" si="7"/>
        <v>124</v>
      </c>
      <c r="P8" s="125">
        <v>167764</v>
      </c>
      <c r="Q8" s="60">
        <f t="shared" si="8"/>
        <v>0</v>
      </c>
      <c r="R8" s="125">
        <v>993595</v>
      </c>
      <c r="S8" s="63">
        <f t="shared" si="9"/>
        <v>298</v>
      </c>
      <c r="T8" s="125">
        <v>82414</v>
      </c>
      <c r="U8" s="60">
        <f t="shared" si="10"/>
        <v>37</v>
      </c>
      <c r="V8" s="125">
        <v>305810</v>
      </c>
      <c r="W8" s="63">
        <f t="shared" si="11"/>
        <v>0</v>
      </c>
      <c r="X8" s="126">
        <v>32353</v>
      </c>
      <c r="Y8" s="60">
        <f t="shared" si="12"/>
        <v>38</v>
      </c>
      <c r="Z8" s="126">
        <v>731448</v>
      </c>
      <c r="AA8" s="63">
        <f t="shared" si="13"/>
        <v>28</v>
      </c>
      <c r="AB8" s="74">
        <v>1410</v>
      </c>
      <c r="AC8" s="60">
        <f t="shared" si="0"/>
        <v>0</v>
      </c>
      <c r="AD8" s="128">
        <v>114430</v>
      </c>
      <c r="AE8" s="60">
        <f t="shared" si="0"/>
        <v>165</v>
      </c>
      <c r="AF8" s="128">
        <v>1982</v>
      </c>
      <c r="AG8" s="60">
        <f t="shared" si="0"/>
        <v>0</v>
      </c>
      <c r="AH8" s="68">
        <f t="shared" si="14"/>
        <v>1795</v>
      </c>
      <c r="AI8" s="18">
        <v>0</v>
      </c>
      <c r="AJ8" s="53">
        <f t="shared" si="15"/>
        <v>0</v>
      </c>
    </row>
    <row r="9" spans="1:42">
      <c r="A9" s="52">
        <v>44810</v>
      </c>
      <c r="B9" s="124">
        <v>1594664</v>
      </c>
      <c r="C9" s="63">
        <f t="shared" si="1"/>
        <v>255</v>
      </c>
      <c r="D9" s="124">
        <v>33668429</v>
      </c>
      <c r="E9" s="60">
        <f t="shared" si="2"/>
        <v>706</v>
      </c>
      <c r="F9" s="125">
        <v>77456</v>
      </c>
      <c r="G9" s="60">
        <f t="shared" si="3"/>
        <v>141</v>
      </c>
      <c r="H9" s="125">
        <v>99428</v>
      </c>
      <c r="I9" s="60">
        <f t="shared" si="4"/>
        <v>26</v>
      </c>
      <c r="J9" s="126">
        <v>184173</v>
      </c>
      <c r="K9" s="63">
        <f t="shared" si="5"/>
        <v>1</v>
      </c>
      <c r="L9" s="125">
        <v>114792</v>
      </c>
      <c r="M9" s="60">
        <f t="shared" si="6"/>
        <v>51</v>
      </c>
      <c r="N9" s="125">
        <v>652605</v>
      </c>
      <c r="O9" s="63">
        <f t="shared" si="7"/>
        <v>150</v>
      </c>
      <c r="P9" s="125">
        <v>167764</v>
      </c>
      <c r="Q9" s="60">
        <f t="shared" si="8"/>
        <v>0</v>
      </c>
      <c r="R9" s="125">
        <v>993863</v>
      </c>
      <c r="S9" s="63">
        <f t="shared" si="9"/>
        <v>268</v>
      </c>
      <c r="T9" s="125">
        <v>82447</v>
      </c>
      <c r="U9" s="60">
        <f t="shared" si="10"/>
        <v>33</v>
      </c>
      <c r="V9" s="125">
        <v>305810</v>
      </c>
      <c r="W9" s="63">
        <f t="shared" si="11"/>
        <v>0</v>
      </c>
      <c r="X9" s="126">
        <v>32389</v>
      </c>
      <c r="Y9" s="60">
        <f t="shared" si="12"/>
        <v>36</v>
      </c>
      <c r="Z9" s="126">
        <v>731505</v>
      </c>
      <c r="AA9" s="63">
        <f t="shared" si="13"/>
        <v>57</v>
      </c>
      <c r="AB9" s="74">
        <v>1410</v>
      </c>
      <c r="AC9" s="60">
        <f t="shared" si="0"/>
        <v>0</v>
      </c>
      <c r="AD9" s="128">
        <v>114641</v>
      </c>
      <c r="AE9" s="60">
        <f t="shared" si="0"/>
        <v>211</v>
      </c>
      <c r="AF9" s="128">
        <v>1982</v>
      </c>
      <c r="AG9" s="60">
        <f t="shared" si="0"/>
        <v>0</v>
      </c>
      <c r="AH9" s="68">
        <f t="shared" si="14"/>
        <v>1935</v>
      </c>
      <c r="AI9" s="18">
        <v>0</v>
      </c>
      <c r="AJ9" s="53">
        <f t="shared" si="15"/>
        <v>0</v>
      </c>
    </row>
    <row r="10" spans="1:42">
      <c r="A10" s="52">
        <v>44811</v>
      </c>
      <c r="B10" s="124">
        <v>1594893</v>
      </c>
      <c r="C10" s="63">
        <f t="shared" si="1"/>
        <v>229</v>
      </c>
      <c r="D10" s="124">
        <v>33669065</v>
      </c>
      <c r="E10" s="60">
        <f t="shared" si="2"/>
        <v>636</v>
      </c>
      <c r="F10" s="125">
        <v>77602</v>
      </c>
      <c r="G10" s="60">
        <f t="shared" si="3"/>
        <v>146</v>
      </c>
      <c r="H10" s="125">
        <v>99457</v>
      </c>
      <c r="I10" s="60">
        <f t="shared" si="4"/>
        <v>29</v>
      </c>
      <c r="J10" s="126">
        <v>184174</v>
      </c>
      <c r="K10" s="63">
        <f t="shared" si="5"/>
        <v>1</v>
      </c>
      <c r="L10" s="125">
        <v>114847</v>
      </c>
      <c r="M10" s="60">
        <f t="shared" si="6"/>
        <v>55</v>
      </c>
      <c r="N10" s="125">
        <v>652747</v>
      </c>
      <c r="O10" s="63">
        <f t="shared" si="7"/>
        <v>142</v>
      </c>
      <c r="P10" s="125">
        <v>167764</v>
      </c>
      <c r="Q10" s="60">
        <f t="shared" si="8"/>
        <v>0</v>
      </c>
      <c r="R10" s="125">
        <v>994117</v>
      </c>
      <c r="S10" s="63">
        <f t="shared" si="9"/>
        <v>254</v>
      </c>
      <c r="T10" s="125">
        <v>82491</v>
      </c>
      <c r="U10" s="60">
        <f t="shared" si="10"/>
        <v>44</v>
      </c>
      <c r="V10" s="125">
        <v>305810</v>
      </c>
      <c r="W10" s="63">
        <f t="shared" si="11"/>
        <v>0</v>
      </c>
      <c r="X10" s="126">
        <v>32423</v>
      </c>
      <c r="Y10" s="60">
        <f t="shared" si="12"/>
        <v>34</v>
      </c>
      <c r="Z10" s="126">
        <v>731589</v>
      </c>
      <c r="AA10" s="63">
        <f t="shared" si="13"/>
        <v>84</v>
      </c>
      <c r="AB10" s="74">
        <v>1410</v>
      </c>
      <c r="AC10" s="60">
        <f t="shared" si="0"/>
        <v>0</v>
      </c>
      <c r="AD10" s="128">
        <v>114844</v>
      </c>
      <c r="AE10" s="60">
        <f t="shared" si="0"/>
        <v>203</v>
      </c>
      <c r="AF10" s="128">
        <v>1982</v>
      </c>
      <c r="AG10" s="60">
        <f t="shared" si="0"/>
        <v>0</v>
      </c>
      <c r="AH10" s="68">
        <f t="shared" si="14"/>
        <v>1857</v>
      </c>
      <c r="AI10" s="18">
        <v>0</v>
      </c>
      <c r="AJ10" s="53">
        <f t="shared" si="15"/>
        <v>0</v>
      </c>
    </row>
    <row r="11" spans="1:42">
      <c r="A11" s="52">
        <v>44812</v>
      </c>
      <c r="B11" s="124">
        <v>1595131</v>
      </c>
      <c r="C11" s="63">
        <f t="shared" si="1"/>
        <v>238</v>
      </c>
      <c r="D11" s="124">
        <v>33669764</v>
      </c>
      <c r="E11" s="60">
        <f>IF((D11-D10)&lt;0,"0",(D11-D10))</f>
        <v>699</v>
      </c>
      <c r="F11" s="125">
        <v>77751</v>
      </c>
      <c r="G11" s="60">
        <f t="shared" si="3"/>
        <v>149</v>
      </c>
      <c r="H11" s="125">
        <v>99490</v>
      </c>
      <c r="I11" s="60">
        <f t="shared" si="4"/>
        <v>33</v>
      </c>
      <c r="J11" s="126">
        <v>184175</v>
      </c>
      <c r="K11" s="63">
        <f t="shared" si="5"/>
        <v>1</v>
      </c>
      <c r="L11" s="125">
        <v>114905</v>
      </c>
      <c r="M11" s="60">
        <f t="shared" si="6"/>
        <v>58</v>
      </c>
      <c r="N11" s="125">
        <v>652917</v>
      </c>
      <c r="O11" s="63">
        <f t="shared" si="7"/>
        <v>170</v>
      </c>
      <c r="P11" s="125">
        <v>167764</v>
      </c>
      <c r="Q11" s="60">
        <f t="shared" si="8"/>
        <v>0</v>
      </c>
      <c r="R11" s="125">
        <v>994448</v>
      </c>
      <c r="S11" s="63">
        <f t="shared" si="9"/>
        <v>331</v>
      </c>
      <c r="T11" s="125">
        <v>82526</v>
      </c>
      <c r="U11" s="60">
        <f t="shared" si="10"/>
        <v>35</v>
      </c>
      <c r="V11" s="125">
        <v>305810</v>
      </c>
      <c r="W11" s="63">
        <f t="shared" si="11"/>
        <v>0</v>
      </c>
      <c r="X11" s="126">
        <v>32462</v>
      </c>
      <c r="Y11" s="60">
        <f t="shared" si="12"/>
        <v>39</v>
      </c>
      <c r="Z11" s="126">
        <v>731680</v>
      </c>
      <c r="AA11" s="63">
        <f t="shared" si="13"/>
        <v>91</v>
      </c>
      <c r="AB11" s="74">
        <v>1410</v>
      </c>
      <c r="AC11" s="60">
        <f t="shared" si="0"/>
        <v>0</v>
      </c>
      <c r="AD11" s="128">
        <v>115082</v>
      </c>
      <c r="AE11" s="60">
        <f t="shared" si="0"/>
        <v>238</v>
      </c>
      <c r="AF11" s="128">
        <v>1982</v>
      </c>
      <c r="AG11" s="60">
        <f t="shared" si="0"/>
        <v>0</v>
      </c>
      <c r="AH11" s="68">
        <f t="shared" si="14"/>
        <v>2082</v>
      </c>
      <c r="AI11" s="18">
        <v>0</v>
      </c>
      <c r="AJ11" s="53">
        <f t="shared" si="15"/>
        <v>0</v>
      </c>
    </row>
    <row r="12" spans="1:42">
      <c r="A12" s="52">
        <v>44813</v>
      </c>
      <c r="B12" s="124">
        <v>1595362</v>
      </c>
      <c r="C12" s="63">
        <f t="shared" si="1"/>
        <v>231</v>
      </c>
      <c r="D12" s="124">
        <v>33670441</v>
      </c>
      <c r="E12" s="60">
        <f>IF((D12-D11)&lt;0,"0",(D12-D11))</f>
        <v>677</v>
      </c>
      <c r="F12" s="125">
        <v>77880</v>
      </c>
      <c r="G12" s="60">
        <f t="shared" si="3"/>
        <v>129</v>
      </c>
      <c r="H12" s="125">
        <v>99515</v>
      </c>
      <c r="I12" s="60">
        <f t="shared" si="4"/>
        <v>25</v>
      </c>
      <c r="J12" s="126">
        <v>184176</v>
      </c>
      <c r="K12" s="63">
        <f t="shared" si="5"/>
        <v>1</v>
      </c>
      <c r="L12" s="125">
        <v>114961</v>
      </c>
      <c r="M12" s="60">
        <f t="shared" si="6"/>
        <v>56</v>
      </c>
      <c r="N12" s="125">
        <v>653102</v>
      </c>
      <c r="O12" s="63">
        <f t="shared" si="7"/>
        <v>185</v>
      </c>
      <c r="P12" s="125">
        <v>167764</v>
      </c>
      <c r="Q12" s="60">
        <f t="shared" si="8"/>
        <v>0</v>
      </c>
      <c r="R12" s="125">
        <v>994695</v>
      </c>
      <c r="S12" s="63">
        <f t="shared" si="9"/>
        <v>247</v>
      </c>
      <c r="T12" s="125">
        <v>82558</v>
      </c>
      <c r="U12" s="60">
        <f t="shared" si="10"/>
        <v>32</v>
      </c>
      <c r="V12" s="125">
        <v>305810</v>
      </c>
      <c r="W12" s="63">
        <f t="shared" si="11"/>
        <v>0</v>
      </c>
      <c r="X12" s="126">
        <v>32492</v>
      </c>
      <c r="Y12" s="60">
        <f t="shared" si="12"/>
        <v>30</v>
      </c>
      <c r="Z12" s="126">
        <v>731762</v>
      </c>
      <c r="AA12" s="63">
        <f t="shared" si="13"/>
        <v>82</v>
      </c>
      <c r="AB12" s="74">
        <v>1410</v>
      </c>
      <c r="AC12" s="60">
        <f t="shared" si="0"/>
        <v>0</v>
      </c>
      <c r="AD12" s="128">
        <v>115299</v>
      </c>
      <c r="AE12" s="60">
        <f t="shared" si="0"/>
        <v>217</v>
      </c>
      <c r="AF12" s="128">
        <v>1982</v>
      </c>
      <c r="AG12" s="60">
        <f t="shared" si="0"/>
        <v>0</v>
      </c>
      <c r="AH12" s="68">
        <f t="shared" si="14"/>
        <v>1912</v>
      </c>
      <c r="AI12" s="18">
        <v>0</v>
      </c>
      <c r="AJ12" s="53">
        <f t="shared" si="15"/>
        <v>0</v>
      </c>
    </row>
    <row r="13" spans="1:42">
      <c r="A13" s="52">
        <v>44814</v>
      </c>
      <c r="B13" s="124">
        <v>1595637</v>
      </c>
      <c r="C13" s="63">
        <f t="shared" si="1"/>
        <v>275</v>
      </c>
      <c r="D13" s="124">
        <v>33671132</v>
      </c>
      <c r="E13" s="60">
        <f>IF((D13-D12)&lt;0,"0",(D13-D12))</f>
        <v>691</v>
      </c>
      <c r="F13" s="125">
        <v>78013</v>
      </c>
      <c r="G13" s="60">
        <f t="shared" si="3"/>
        <v>133</v>
      </c>
      <c r="H13" s="125">
        <v>99541</v>
      </c>
      <c r="I13" s="60">
        <f t="shared" si="4"/>
        <v>26</v>
      </c>
      <c r="J13" s="126">
        <v>184177</v>
      </c>
      <c r="K13" s="63">
        <f t="shared" si="5"/>
        <v>1</v>
      </c>
      <c r="L13" s="125">
        <v>115006</v>
      </c>
      <c r="M13" s="60">
        <f t="shared" si="6"/>
        <v>45</v>
      </c>
      <c r="N13" s="125">
        <v>653244</v>
      </c>
      <c r="O13" s="63">
        <f t="shared" si="7"/>
        <v>142</v>
      </c>
      <c r="P13" s="125">
        <v>167764</v>
      </c>
      <c r="Q13" s="60">
        <f t="shared" si="8"/>
        <v>0</v>
      </c>
      <c r="R13" s="125">
        <v>995048</v>
      </c>
      <c r="S13" s="63">
        <f t="shared" si="9"/>
        <v>353</v>
      </c>
      <c r="T13" s="125">
        <v>82592</v>
      </c>
      <c r="U13" s="60">
        <f t="shared" si="10"/>
        <v>34</v>
      </c>
      <c r="V13" s="125">
        <v>305810</v>
      </c>
      <c r="W13" s="63">
        <f t="shared" si="11"/>
        <v>0</v>
      </c>
      <c r="X13" s="126">
        <v>32527</v>
      </c>
      <c r="Y13" s="60">
        <f t="shared" si="12"/>
        <v>35</v>
      </c>
      <c r="Z13" s="126">
        <v>731858</v>
      </c>
      <c r="AA13" s="63">
        <f t="shared" si="13"/>
        <v>96</v>
      </c>
      <c r="AB13" s="74">
        <v>1410</v>
      </c>
      <c r="AC13" s="60">
        <f t="shared" si="0"/>
        <v>0</v>
      </c>
      <c r="AD13" s="128">
        <v>115492</v>
      </c>
      <c r="AE13" s="60">
        <f t="shared" si="0"/>
        <v>193</v>
      </c>
      <c r="AF13" s="128">
        <v>1982</v>
      </c>
      <c r="AG13" s="60">
        <f t="shared" si="0"/>
        <v>0</v>
      </c>
      <c r="AH13" s="68">
        <f t="shared" si="14"/>
        <v>2024</v>
      </c>
      <c r="AI13" s="18">
        <v>0</v>
      </c>
      <c r="AJ13" s="53">
        <f t="shared" si="15"/>
        <v>0</v>
      </c>
    </row>
    <row r="14" spans="1:42">
      <c r="A14" s="52">
        <v>44815</v>
      </c>
      <c r="B14" s="124">
        <v>1595881</v>
      </c>
      <c r="C14" s="63">
        <f t="shared" si="1"/>
        <v>244</v>
      </c>
      <c r="D14" s="124">
        <v>33671819</v>
      </c>
      <c r="E14" s="60">
        <f t="shared" si="2"/>
        <v>687</v>
      </c>
      <c r="F14" s="125">
        <v>78157</v>
      </c>
      <c r="G14" s="60">
        <f t="shared" si="3"/>
        <v>144</v>
      </c>
      <c r="H14" s="125">
        <v>99564</v>
      </c>
      <c r="I14" s="60">
        <f t="shared" si="4"/>
        <v>23</v>
      </c>
      <c r="J14" s="126">
        <v>184180</v>
      </c>
      <c r="K14" s="63">
        <f t="shared" si="5"/>
        <v>3</v>
      </c>
      <c r="L14" s="125">
        <v>115055</v>
      </c>
      <c r="M14" s="60">
        <f t="shared" si="6"/>
        <v>49</v>
      </c>
      <c r="N14" s="125">
        <v>653368</v>
      </c>
      <c r="O14" s="63">
        <f t="shared" si="7"/>
        <v>124</v>
      </c>
      <c r="P14" s="125">
        <v>167764</v>
      </c>
      <c r="Q14" s="60">
        <f t="shared" si="8"/>
        <v>0</v>
      </c>
      <c r="R14" s="125">
        <v>995374</v>
      </c>
      <c r="S14" s="63">
        <f t="shared" si="9"/>
        <v>326</v>
      </c>
      <c r="T14" s="125">
        <v>82632</v>
      </c>
      <c r="U14" s="60">
        <f t="shared" si="10"/>
        <v>40</v>
      </c>
      <c r="V14" s="125">
        <v>305810</v>
      </c>
      <c r="W14" s="63">
        <f t="shared" si="11"/>
        <v>0</v>
      </c>
      <c r="X14" s="126">
        <v>32559</v>
      </c>
      <c r="Y14" s="60">
        <f t="shared" si="12"/>
        <v>32</v>
      </c>
      <c r="Z14" s="126">
        <v>731948</v>
      </c>
      <c r="AA14" s="63">
        <f t="shared" si="13"/>
        <v>90</v>
      </c>
      <c r="AB14" s="74">
        <v>1410</v>
      </c>
      <c r="AC14" s="60">
        <f t="shared" si="0"/>
        <v>0</v>
      </c>
      <c r="AD14" s="128">
        <v>115714</v>
      </c>
      <c r="AE14" s="60">
        <f t="shared" si="0"/>
        <v>222</v>
      </c>
      <c r="AF14" s="128">
        <v>1982</v>
      </c>
      <c r="AG14" s="60">
        <f t="shared" si="0"/>
        <v>0</v>
      </c>
      <c r="AH14" s="68">
        <f t="shared" si="14"/>
        <v>1984</v>
      </c>
      <c r="AI14" s="18">
        <v>0</v>
      </c>
      <c r="AJ14" s="53">
        <f t="shared" si="15"/>
        <v>0</v>
      </c>
    </row>
    <row r="15" spans="1:42">
      <c r="A15" s="52">
        <v>44816</v>
      </c>
      <c r="B15" s="124">
        <v>1596119</v>
      </c>
      <c r="C15" s="63">
        <f t="shared" si="1"/>
        <v>238</v>
      </c>
      <c r="D15" s="124">
        <v>33672414</v>
      </c>
      <c r="E15" s="60">
        <f t="shared" si="2"/>
        <v>595</v>
      </c>
      <c r="F15" s="125">
        <v>78303</v>
      </c>
      <c r="G15" s="60">
        <f t="shared" si="3"/>
        <v>146</v>
      </c>
      <c r="H15" s="125">
        <v>99584</v>
      </c>
      <c r="I15" s="60">
        <f t="shared" si="4"/>
        <v>20</v>
      </c>
      <c r="J15" s="126">
        <v>184181</v>
      </c>
      <c r="K15" s="63">
        <f t="shared" si="5"/>
        <v>1</v>
      </c>
      <c r="L15" s="125">
        <v>115098</v>
      </c>
      <c r="M15" s="60">
        <f t="shared" si="6"/>
        <v>43</v>
      </c>
      <c r="N15" s="125">
        <v>653389</v>
      </c>
      <c r="O15" s="63">
        <f t="shared" si="7"/>
        <v>21</v>
      </c>
      <c r="P15" s="125">
        <v>167764</v>
      </c>
      <c r="Q15" s="60">
        <f t="shared" si="8"/>
        <v>0</v>
      </c>
      <c r="R15" s="125">
        <v>995657</v>
      </c>
      <c r="S15" s="63">
        <f t="shared" si="9"/>
        <v>283</v>
      </c>
      <c r="T15" s="125">
        <v>82669</v>
      </c>
      <c r="U15" s="60">
        <f t="shared" si="10"/>
        <v>37</v>
      </c>
      <c r="V15" s="125">
        <v>305810</v>
      </c>
      <c r="W15" s="63">
        <f t="shared" si="11"/>
        <v>0</v>
      </c>
      <c r="X15" s="126">
        <v>32597</v>
      </c>
      <c r="Y15" s="60">
        <f t="shared" si="12"/>
        <v>38</v>
      </c>
      <c r="Z15" s="126">
        <v>732033</v>
      </c>
      <c r="AA15" s="63">
        <f t="shared" si="13"/>
        <v>85</v>
      </c>
      <c r="AB15" s="74">
        <v>1410</v>
      </c>
      <c r="AC15" s="60">
        <f t="shared" si="0"/>
        <v>0</v>
      </c>
      <c r="AD15" s="128">
        <v>115892</v>
      </c>
      <c r="AE15" s="60">
        <f t="shared" si="0"/>
        <v>178</v>
      </c>
      <c r="AF15" s="128">
        <v>1982</v>
      </c>
      <c r="AG15" s="60">
        <f t="shared" si="0"/>
        <v>0</v>
      </c>
      <c r="AH15" s="68">
        <f t="shared" si="14"/>
        <v>1685</v>
      </c>
      <c r="AI15" s="18">
        <v>0</v>
      </c>
      <c r="AJ15" s="53">
        <f t="shared" si="15"/>
        <v>0</v>
      </c>
    </row>
    <row r="16" spans="1:42">
      <c r="A16" s="52">
        <v>44817</v>
      </c>
      <c r="B16" s="124">
        <v>1596342</v>
      </c>
      <c r="C16" s="63">
        <f t="shared" si="1"/>
        <v>223</v>
      </c>
      <c r="D16" s="124">
        <v>33673024</v>
      </c>
      <c r="E16" s="60">
        <f t="shared" si="2"/>
        <v>610</v>
      </c>
      <c r="F16" s="125">
        <v>78399</v>
      </c>
      <c r="G16" s="60">
        <f t="shared" si="3"/>
        <v>96</v>
      </c>
      <c r="H16" s="125">
        <v>99606</v>
      </c>
      <c r="I16" s="60">
        <f t="shared" si="4"/>
        <v>22</v>
      </c>
      <c r="J16" s="126">
        <v>184181</v>
      </c>
      <c r="K16" s="63">
        <f t="shared" si="5"/>
        <v>0</v>
      </c>
      <c r="L16" s="125">
        <v>115154</v>
      </c>
      <c r="M16" s="60">
        <f t="shared" si="6"/>
        <v>56</v>
      </c>
      <c r="N16" s="125">
        <v>653488</v>
      </c>
      <c r="O16" s="63">
        <f t="shared" si="7"/>
        <v>99</v>
      </c>
      <c r="P16" s="125">
        <v>167764</v>
      </c>
      <c r="Q16" s="60">
        <f t="shared" si="8"/>
        <v>0</v>
      </c>
      <c r="R16" s="125">
        <v>995944</v>
      </c>
      <c r="S16" s="63">
        <f t="shared" si="9"/>
        <v>287</v>
      </c>
      <c r="T16" s="125">
        <v>82712</v>
      </c>
      <c r="U16" s="60">
        <f t="shared" si="10"/>
        <v>43</v>
      </c>
      <c r="V16" s="125">
        <v>305810</v>
      </c>
      <c r="W16" s="63">
        <f t="shared" si="11"/>
        <v>0</v>
      </c>
      <c r="X16" s="126">
        <v>32622</v>
      </c>
      <c r="Y16" s="60">
        <f t="shared" si="12"/>
        <v>25</v>
      </c>
      <c r="Z16" s="126">
        <v>732145</v>
      </c>
      <c r="AA16" s="63">
        <f t="shared" si="13"/>
        <v>112</v>
      </c>
      <c r="AB16" s="74">
        <v>1410</v>
      </c>
      <c r="AC16" s="60">
        <f t="shared" si="0"/>
        <v>0</v>
      </c>
      <c r="AD16" s="128">
        <v>116148</v>
      </c>
      <c r="AE16" s="60">
        <f t="shared" si="0"/>
        <v>256</v>
      </c>
      <c r="AF16" s="128">
        <v>1982</v>
      </c>
      <c r="AG16" s="60">
        <f t="shared" si="0"/>
        <v>0</v>
      </c>
      <c r="AH16" s="68">
        <f t="shared" si="14"/>
        <v>1829</v>
      </c>
      <c r="AI16" s="18">
        <v>0</v>
      </c>
      <c r="AJ16" s="53">
        <f t="shared" si="15"/>
        <v>0</v>
      </c>
      <c r="AP16" t="s">
        <v>72</v>
      </c>
    </row>
    <row r="17" spans="1:42">
      <c r="A17" s="52">
        <v>44818</v>
      </c>
      <c r="B17" s="124">
        <v>1596563</v>
      </c>
      <c r="C17" s="63">
        <f t="shared" si="1"/>
        <v>221</v>
      </c>
      <c r="D17" s="124">
        <v>33673699</v>
      </c>
      <c r="E17" s="60">
        <f t="shared" si="2"/>
        <v>675</v>
      </c>
      <c r="F17" s="125">
        <v>78550</v>
      </c>
      <c r="G17" s="60">
        <f t="shared" si="3"/>
        <v>151</v>
      </c>
      <c r="H17" s="125">
        <v>99630</v>
      </c>
      <c r="I17" s="60">
        <f t="shared" si="4"/>
        <v>24</v>
      </c>
      <c r="J17" s="126">
        <v>184183</v>
      </c>
      <c r="K17" s="63">
        <f t="shared" si="5"/>
        <v>2</v>
      </c>
      <c r="L17" s="125">
        <v>115209</v>
      </c>
      <c r="M17" s="60">
        <f t="shared" si="6"/>
        <v>55</v>
      </c>
      <c r="N17" s="125">
        <v>653606</v>
      </c>
      <c r="O17" s="63">
        <f t="shared" si="7"/>
        <v>118</v>
      </c>
      <c r="P17" s="125">
        <v>167764</v>
      </c>
      <c r="Q17" s="60">
        <f t="shared" si="8"/>
        <v>0</v>
      </c>
      <c r="R17" s="125">
        <v>996011</v>
      </c>
      <c r="S17" s="63">
        <f t="shared" si="9"/>
        <v>67</v>
      </c>
      <c r="T17" s="125">
        <v>82779</v>
      </c>
      <c r="U17" s="60">
        <f t="shared" si="10"/>
        <v>67</v>
      </c>
      <c r="V17" s="125">
        <v>305810</v>
      </c>
      <c r="W17" s="63">
        <f t="shared" si="11"/>
        <v>0</v>
      </c>
      <c r="X17" s="126">
        <v>32662</v>
      </c>
      <c r="Y17" s="60">
        <f t="shared" si="12"/>
        <v>40</v>
      </c>
      <c r="Z17" s="126">
        <v>732243</v>
      </c>
      <c r="AA17" s="63">
        <f t="shared" si="13"/>
        <v>98</v>
      </c>
      <c r="AB17" s="74">
        <v>1410</v>
      </c>
      <c r="AC17" s="60">
        <f t="shared" si="0"/>
        <v>0</v>
      </c>
      <c r="AD17" s="128">
        <v>116382</v>
      </c>
      <c r="AE17" s="60">
        <f t="shared" si="0"/>
        <v>234</v>
      </c>
      <c r="AF17" s="128">
        <v>1982</v>
      </c>
      <c r="AG17" s="60">
        <f t="shared" si="0"/>
        <v>0</v>
      </c>
      <c r="AH17" s="68">
        <f t="shared" si="14"/>
        <v>1752</v>
      </c>
      <c r="AI17" s="18">
        <v>0</v>
      </c>
      <c r="AJ17" s="53">
        <f t="shared" si="15"/>
        <v>0</v>
      </c>
    </row>
    <row r="18" spans="1:42">
      <c r="A18" s="52">
        <v>44819</v>
      </c>
      <c r="B18" s="124">
        <v>1596786</v>
      </c>
      <c r="C18" s="63">
        <f t="shared" si="1"/>
        <v>223</v>
      </c>
      <c r="D18" s="124">
        <v>33674389</v>
      </c>
      <c r="E18" s="60">
        <f t="shared" si="2"/>
        <v>690</v>
      </c>
      <c r="F18" s="125">
        <v>78664</v>
      </c>
      <c r="G18" s="60">
        <f t="shared" si="3"/>
        <v>114</v>
      </c>
      <c r="H18" s="125">
        <v>99655</v>
      </c>
      <c r="I18" s="60">
        <f t="shared" si="4"/>
        <v>25</v>
      </c>
      <c r="J18" s="126">
        <v>184183</v>
      </c>
      <c r="K18" s="63">
        <f t="shared" si="5"/>
        <v>0</v>
      </c>
      <c r="L18" s="127">
        <v>115250</v>
      </c>
      <c r="M18" s="60">
        <f t="shared" si="6"/>
        <v>41</v>
      </c>
      <c r="N18" s="125">
        <v>653797</v>
      </c>
      <c r="O18" s="63">
        <f t="shared" si="7"/>
        <v>191</v>
      </c>
      <c r="P18" s="125">
        <v>167764</v>
      </c>
      <c r="Q18" s="60">
        <f t="shared" si="8"/>
        <v>0</v>
      </c>
      <c r="R18" s="125">
        <v>996410</v>
      </c>
      <c r="S18" s="63">
        <f t="shared" si="9"/>
        <v>399</v>
      </c>
      <c r="T18" s="125">
        <v>82783</v>
      </c>
      <c r="U18" s="60">
        <f t="shared" si="10"/>
        <v>4</v>
      </c>
      <c r="V18" s="125">
        <v>305810</v>
      </c>
      <c r="W18" s="63">
        <f t="shared" si="11"/>
        <v>0</v>
      </c>
      <c r="X18" s="126">
        <v>32699</v>
      </c>
      <c r="Y18" s="60">
        <f t="shared" si="12"/>
        <v>37</v>
      </c>
      <c r="Z18" s="126">
        <v>732375</v>
      </c>
      <c r="AA18" s="63">
        <f t="shared" si="13"/>
        <v>132</v>
      </c>
      <c r="AB18" s="74">
        <v>1410</v>
      </c>
      <c r="AC18" s="60">
        <f t="shared" si="0"/>
        <v>0</v>
      </c>
      <c r="AD18" s="128">
        <v>116600</v>
      </c>
      <c r="AE18" s="60">
        <f t="shared" si="0"/>
        <v>218</v>
      </c>
      <c r="AF18" s="128">
        <v>1982</v>
      </c>
      <c r="AG18" s="60">
        <f t="shared" si="0"/>
        <v>0</v>
      </c>
      <c r="AH18" s="68">
        <f t="shared" si="14"/>
        <v>2074</v>
      </c>
      <c r="AI18" s="18">
        <v>0</v>
      </c>
      <c r="AJ18" s="53">
        <f t="shared" si="15"/>
        <v>0</v>
      </c>
    </row>
    <row r="19" spans="1:42">
      <c r="A19" s="52">
        <v>44820</v>
      </c>
      <c r="B19" s="124">
        <v>1597004</v>
      </c>
      <c r="C19" s="63">
        <f t="shared" si="1"/>
        <v>218</v>
      </c>
      <c r="D19" s="124">
        <v>33675099</v>
      </c>
      <c r="E19" s="60">
        <f t="shared" si="2"/>
        <v>710</v>
      </c>
      <c r="F19" s="125">
        <v>78802</v>
      </c>
      <c r="G19" s="60">
        <f t="shared" si="3"/>
        <v>138</v>
      </c>
      <c r="H19" s="125">
        <v>99682</v>
      </c>
      <c r="I19" s="60">
        <f t="shared" si="4"/>
        <v>27</v>
      </c>
      <c r="J19" s="126">
        <v>184183</v>
      </c>
      <c r="K19" s="63">
        <f t="shared" si="5"/>
        <v>0</v>
      </c>
      <c r="L19" s="125">
        <v>115299</v>
      </c>
      <c r="M19" s="60">
        <f t="shared" si="6"/>
        <v>49</v>
      </c>
      <c r="N19" s="125">
        <v>653976</v>
      </c>
      <c r="O19" s="63">
        <f t="shared" si="7"/>
        <v>179</v>
      </c>
      <c r="P19" s="125">
        <v>167764</v>
      </c>
      <c r="Q19" s="60">
        <f t="shared" si="8"/>
        <v>0</v>
      </c>
      <c r="R19" s="125">
        <v>996713</v>
      </c>
      <c r="S19" s="63">
        <f t="shared" si="9"/>
        <v>303</v>
      </c>
      <c r="T19" s="125">
        <v>82805</v>
      </c>
      <c r="U19" s="60">
        <f t="shared" si="10"/>
        <v>22</v>
      </c>
      <c r="V19" s="125">
        <v>305810</v>
      </c>
      <c r="W19" s="63">
        <f t="shared" si="11"/>
        <v>0</v>
      </c>
      <c r="X19" s="126">
        <v>32727</v>
      </c>
      <c r="Y19" s="60">
        <f t="shared" si="12"/>
        <v>28</v>
      </c>
      <c r="Z19" s="126">
        <v>732453</v>
      </c>
      <c r="AA19" s="63">
        <f t="shared" si="13"/>
        <v>78</v>
      </c>
      <c r="AB19" s="74">
        <v>1410</v>
      </c>
      <c r="AC19" s="60">
        <f t="shared" si="0"/>
        <v>0</v>
      </c>
      <c r="AD19" s="128">
        <v>116790</v>
      </c>
      <c r="AE19" s="60">
        <f t="shared" si="0"/>
        <v>190</v>
      </c>
      <c r="AF19" s="128">
        <v>1982</v>
      </c>
      <c r="AG19" s="60">
        <f t="shared" si="0"/>
        <v>0</v>
      </c>
      <c r="AH19" s="68">
        <f t="shared" si="14"/>
        <v>1942</v>
      </c>
      <c r="AI19" s="18">
        <v>0</v>
      </c>
      <c r="AJ19" s="53">
        <f t="shared" si="15"/>
        <v>0</v>
      </c>
    </row>
    <row r="20" spans="1:42">
      <c r="A20" s="52">
        <v>44821</v>
      </c>
      <c r="B20" s="124">
        <v>1597245</v>
      </c>
      <c r="C20" s="63">
        <f t="shared" si="1"/>
        <v>241</v>
      </c>
      <c r="D20" s="124">
        <v>33675748</v>
      </c>
      <c r="E20" s="60">
        <f t="shared" si="2"/>
        <v>649</v>
      </c>
      <c r="F20" s="125">
        <v>78944</v>
      </c>
      <c r="G20" s="60">
        <f t="shared" si="3"/>
        <v>142</v>
      </c>
      <c r="H20" s="125">
        <v>99709</v>
      </c>
      <c r="I20" s="60">
        <f t="shared" si="4"/>
        <v>27</v>
      </c>
      <c r="J20" s="126">
        <v>184183</v>
      </c>
      <c r="K20" s="63">
        <f t="shared" si="5"/>
        <v>0</v>
      </c>
      <c r="L20" s="125">
        <v>115352</v>
      </c>
      <c r="M20" s="60">
        <f t="shared" si="6"/>
        <v>53</v>
      </c>
      <c r="N20" s="125">
        <v>653985</v>
      </c>
      <c r="O20" s="63">
        <f t="shared" si="7"/>
        <v>9</v>
      </c>
      <c r="P20" s="125">
        <v>167764</v>
      </c>
      <c r="Q20" s="60">
        <f t="shared" si="8"/>
        <v>0</v>
      </c>
      <c r="R20" s="125">
        <v>997001</v>
      </c>
      <c r="S20" s="63">
        <f t="shared" si="9"/>
        <v>288</v>
      </c>
      <c r="T20" s="125">
        <v>82829</v>
      </c>
      <c r="U20" s="60">
        <f t="shared" si="10"/>
        <v>24</v>
      </c>
      <c r="V20" s="125">
        <v>305810</v>
      </c>
      <c r="W20" s="63">
        <f t="shared" si="11"/>
        <v>0</v>
      </c>
      <c r="X20" s="126">
        <v>32757</v>
      </c>
      <c r="Y20" s="60">
        <f t="shared" si="12"/>
        <v>30</v>
      </c>
      <c r="Z20" s="126">
        <v>732549</v>
      </c>
      <c r="AA20" s="63">
        <f t="shared" si="13"/>
        <v>96</v>
      </c>
      <c r="AB20" s="74">
        <v>1410</v>
      </c>
      <c r="AC20" s="60">
        <f t="shared" si="0"/>
        <v>0</v>
      </c>
      <c r="AD20" s="128">
        <v>117040</v>
      </c>
      <c r="AE20" s="60">
        <f t="shared" si="0"/>
        <v>250</v>
      </c>
      <c r="AF20" s="128">
        <v>1982</v>
      </c>
      <c r="AG20" s="60">
        <f t="shared" si="0"/>
        <v>0</v>
      </c>
      <c r="AH20" s="68">
        <f t="shared" si="14"/>
        <v>1809</v>
      </c>
      <c r="AI20" s="18">
        <v>0</v>
      </c>
      <c r="AJ20" s="53">
        <f t="shared" si="15"/>
        <v>0</v>
      </c>
    </row>
    <row r="21" spans="1:42">
      <c r="A21" s="52">
        <v>44822</v>
      </c>
      <c r="B21" s="124">
        <v>1597460</v>
      </c>
      <c r="C21" s="63">
        <f t="shared" si="1"/>
        <v>215</v>
      </c>
      <c r="D21" s="124">
        <v>33676461</v>
      </c>
      <c r="E21" s="60">
        <f t="shared" si="2"/>
        <v>713</v>
      </c>
      <c r="F21" s="125">
        <v>79097</v>
      </c>
      <c r="G21" s="60">
        <f t="shared" si="3"/>
        <v>153</v>
      </c>
      <c r="H21" s="125">
        <v>99727</v>
      </c>
      <c r="I21" s="60">
        <f t="shared" si="4"/>
        <v>18</v>
      </c>
      <c r="J21" s="126">
        <v>184183</v>
      </c>
      <c r="K21" s="63">
        <f t="shared" si="5"/>
        <v>0</v>
      </c>
      <c r="L21" s="125">
        <v>115407</v>
      </c>
      <c r="M21" s="60">
        <f t="shared" si="6"/>
        <v>55</v>
      </c>
      <c r="N21" s="125">
        <v>654075</v>
      </c>
      <c r="O21" s="63">
        <f t="shared" si="7"/>
        <v>90</v>
      </c>
      <c r="P21" s="125">
        <v>167764</v>
      </c>
      <c r="Q21" s="60">
        <f t="shared" si="8"/>
        <v>0</v>
      </c>
      <c r="R21" s="125">
        <v>997273</v>
      </c>
      <c r="S21" s="63">
        <f t="shared" si="9"/>
        <v>272</v>
      </c>
      <c r="T21" s="125">
        <v>82856</v>
      </c>
      <c r="U21" s="60">
        <f t="shared" si="10"/>
        <v>27</v>
      </c>
      <c r="V21" s="125">
        <v>305810</v>
      </c>
      <c r="W21" s="63">
        <f t="shared" si="11"/>
        <v>0</v>
      </c>
      <c r="X21" s="126">
        <v>32787</v>
      </c>
      <c r="Y21" s="60">
        <f t="shared" si="12"/>
        <v>30</v>
      </c>
      <c r="Z21" s="126">
        <v>732618</v>
      </c>
      <c r="AA21" s="63">
        <f t="shared" si="13"/>
        <v>69</v>
      </c>
      <c r="AB21" s="74">
        <v>1410</v>
      </c>
      <c r="AC21" s="60">
        <f t="shared" si="0"/>
        <v>0</v>
      </c>
      <c r="AD21" s="128">
        <v>117191</v>
      </c>
      <c r="AE21" s="60">
        <f t="shared" si="0"/>
        <v>151</v>
      </c>
      <c r="AF21" s="128">
        <v>1982</v>
      </c>
      <c r="AG21" s="60">
        <f t="shared" si="0"/>
        <v>0</v>
      </c>
      <c r="AH21" s="68">
        <f t="shared" si="14"/>
        <v>1793</v>
      </c>
      <c r="AI21" s="18">
        <v>0</v>
      </c>
      <c r="AJ21" s="53">
        <f t="shared" si="15"/>
        <v>0</v>
      </c>
    </row>
    <row r="22" spans="1:42">
      <c r="A22" s="52">
        <v>44823</v>
      </c>
      <c r="B22" s="124">
        <v>1597702</v>
      </c>
      <c r="C22" s="63">
        <f t="shared" si="1"/>
        <v>242</v>
      </c>
      <c r="D22" s="124">
        <v>33677066</v>
      </c>
      <c r="E22" s="60">
        <f t="shared" si="2"/>
        <v>605</v>
      </c>
      <c r="F22" s="125">
        <v>79216</v>
      </c>
      <c r="G22" s="60">
        <f t="shared" si="3"/>
        <v>119</v>
      </c>
      <c r="H22" s="125">
        <v>99746</v>
      </c>
      <c r="I22" s="60">
        <f t="shared" si="4"/>
        <v>19</v>
      </c>
      <c r="J22" s="126">
        <v>184183</v>
      </c>
      <c r="K22" s="63">
        <f t="shared" si="5"/>
        <v>0</v>
      </c>
      <c r="L22" s="125">
        <v>115454</v>
      </c>
      <c r="M22" s="60">
        <f t="shared" si="6"/>
        <v>47</v>
      </c>
      <c r="N22" s="125">
        <v>654142</v>
      </c>
      <c r="O22" s="63">
        <f t="shared" si="7"/>
        <v>67</v>
      </c>
      <c r="P22" s="125">
        <v>167764</v>
      </c>
      <c r="Q22" s="60">
        <f t="shared" si="8"/>
        <v>0</v>
      </c>
      <c r="R22" s="125">
        <v>997549</v>
      </c>
      <c r="S22" s="63">
        <f t="shared" si="9"/>
        <v>276</v>
      </c>
      <c r="T22" s="125">
        <v>82895</v>
      </c>
      <c r="U22" s="60">
        <f t="shared" si="10"/>
        <v>39</v>
      </c>
      <c r="V22" s="125">
        <v>305810</v>
      </c>
      <c r="W22" s="63">
        <f t="shared" si="11"/>
        <v>0</v>
      </c>
      <c r="X22" s="126">
        <v>32824</v>
      </c>
      <c r="Y22" s="60">
        <f t="shared" si="12"/>
        <v>37</v>
      </c>
      <c r="Z22" s="126">
        <v>732744</v>
      </c>
      <c r="AA22" s="63">
        <f t="shared" si="13"/>
        <v>126</v>
      </c>
      <c r="AB22" s="74">
        <v>1410</v>
      </c>
      <c r="AC22" s="60">
        <f t="shared" si="0"/>
        <v>0</v>
      </c>
      <c r="AD22" s="128">
        <v>117376</v>
      </c>
      <c r="AE22" s="60">
        <f t="shared" si="0"/>
        <v>185</v>
      </c>
      <c r="AF22" s="128">
        <v>1982</v>
      </c>
      <c r="AG22" s="60">
        <f t="shared" si="0"/>
        <v>0</v>
      </c>
      <c r="AH22" s="68">
        <f t="shared" si="14"/>
        <v>1762</v>
      </c>
      <c r="AI22" s="18">
        <v>0</v>
      </c>
      <c r="AJ22" s="53">
        <f t="shared" si="15"/>
        <v>0</v>
      </c>
    </row>
    <row r="23" spans="1:42">
      <c r="A23" s="52">
        <v>44824</v>
      </c>
      <c r="B23" s="124">
        <v>1597961</v>
      </c>
      <c r="C23" s="63">
        <f t="shared" si="1"/>
        <v>259</v>
      </c>
      <c r="D23" s="124">
        <v>33677684</v>
      </c>
      <c r="E23" s="60">
        <f t="shared" si="2"/>
        <v>618</v>
      </c>
      <c r="F23" s="125">
        <v>79345</v>
      </c>
      <c r="G23" s="60">
        <f t="shared" si="3"/>
        <v>129</v>
      </c>
      <c r="H23" s="125">
        <v>99763</v>
      </c>
      <c r="I23" s="60">
        <f t="shared" si="4"/>
        <v>17</v>
      </c>
      <c r="J23" s="126">
        <v>184183</v>
      </c>
      <c r="K23" s="63">
        <f t="shared" si="5"/>
        <v>0</v>
      </c>
      <c r="L23" s="125">
        <v>115511</v>
      </c>
      <c r="M23" s="60">
        <f t="shared" si="6"/>
        <v>57</v>
      </c>
      <c r="N23" s="125">
        <v>654241</v>
      </c>
      <c r="O23" s="63">
        <f t="shared" si="7"/>
        <v>99</v>
      </c>
      <c r="P23" s="125">
        <v>167764</v>
      </c>
      <c r="Q23" s="60">
        <f t="shared" si="8"/>
        <v>0</v>
      </c>
      <c r="R23" s="125">
        <v>997777</v>
      </c>
      <c r="S23" s="63">
        <f t="shared" si="9"/>
        <v>228</v>
      </c>
      <c r="T23" s="125">
        <v>82929</v>
      </c>
      <c r="U23" s="60">
        <f t="shared" si="10"/>
        <v>34</v>
      </c>
      <c r="V23" s="125">
        <v>305810</v>
      </c>
      <c r="W23" s="63">
        <f t="shared" si="11"/>
        <v>0</v>
      </c>
      <c r="X23" s="126">
        <v>32851</v>
      </c>
      <c r="Y23" s="60">
        <f t="shared" si="12"/>
        <v>27</v>
      </c>
      <c r="Z23" s="126">
        <v>732922</v>
      </c>
      <c r="AA23" s="63">
        <f t="shared" si="13"/>
        <v>178</v>
      </c>
      <c r="AB23" s="74">
        <v>1410</v>
      </c>
      <c r="AC23" s="60">
        <f t="shared" si="0"/>
        <v>0</v>
      </c>
      <c r="AD23" s="128">
        <v>117526</v>
      </c>
      <c r="AE23" s="60">
        <f t="shared" si="0"/>
        <v>150</v>
      </c>
      <c r="AF23" s="128">
        <v>1982</v>
      </c>
      <c r="AG23" s="60">
        <f t="shared" si="0"/>
        <v>0</v>
      </c>
      <c r="AH23" s="68">
        <f t="shared" si="14"/>
        <v>1796</v>
      </c>
      <c r="AI23" s="18">
        <v>0</v>
      </c>
      <c r="AJ23" s="53">
        <f t="shared" si="15"/>
        <v>0</v>
      </c>
    </row>
    <row r="24" spans="1:42">
      <c r="A24" s="52">
        <v>44825</v>
      </c>
      <c r="B24" s="124">
        <v>1598083</v>
      </c>
      <c r="C24" s="63">
        <f t="shared" si="1"/>
        <v>122</v>
      </c>
      <c r="D24" s="124">
        <v>33678268</v>
      </c>
      <c r="E24" s="60">
        <f t="shared" si="2"/>
        <v>584</v>
      </c>
      <c r="F24" s="125">
        <v>79464</v>
      </c>
      <c r="G24" s="60">
        <f t="shared" si="3"/>
        <v>119</v>
      </c>
      <c r="H24" s="125">
        <v>99788</v>
      </c>
      <c r="I24" s="60">
        <f t="shared" si="4"/>
        <v>25</v>
      </c>
      <c r="J24" s="126">
        <v>184183</v>
      </c>
      <c r="K24" s="63">
        <f t="shared" si="5"/>
        <v>0</v>
      </c>
      <c r="L24" s="125">
        <v>115559</v>
      </c>
      <c r="M24" s="60">
        <f t="shared" si="6"/>
        <v>48</v>
      </c>
      <c r="N24" s="125">
        <v>654368</v>
      </c>
      <c r="O24" s="63">
        <f t="shared" si="7"/>
        <v>127</v>
      </c>
      <c r="P24" s="125">
        <v>167764</v>
      </c>
      <c r="Q24" s="60">
        <f t="shared" si="8"/>
        <v>0</v>
      </c>
      <c r="R24" s="125">
        <v>997974</v>
      </c>
      <c r="S24" s="63">
        <f t="shared" si="9"/>
        <v>197</v>
      </c>
      <c r="T24" s="125">
        <v>82955</v>
      </c>
      <c r="U24" s="60">
        <f t="shared" si="10"/>
        <v>26</v>
      </c>
      <c r="V24" s="125">
        <v>305810</v>
      </c>
      <c r="W24" s="63">
        <f t="shared" si="11"/>
        <v>0</v>
      </c>
      <c r="X24" s="126">
        <v>32880</v>
      </c>
      <c r="Y24" s="60">
        <f t="shared" si="12"/>
        <v>29</v>
      </c>
      <c r="Z24" s="126">
        <v>733120</v>
      </c>
      <c r="AA24" s="63">
        <f t="shared" si="13"/>
        <v>198</v>
      </c>
      <c r="AB24" s="74">
        <v>1410</v>
      </c>
      <c r="AC24" s="60">
        <f t="shared" si="0"/>
        <v>0</v>
      </c>
      <c r="AD24" s="128">
        <v>117720</v>
      </c>
      <c r="AE24" s="60">
        <f t="shared" si="0"/>
        <v>194</v>
      </c>
      <c r="AF24" s="128">
        <v>1982</v>
      </c>
      <c r="AG24" s="60">
        <f t="shared" si="0"/>
        <v>0</v>
      </c>
      <c r="AH24" s="68">
        <f t="shared" si="14"/>
        <v>1669</v>
      </c>
      <c r="AI24" s="18">
        <v>0</v>
      </c>
      <c r="AJ24" s="53">
        <f t="shared" si="15"/>
        <v>0</v>
      </c>
      <c r="AM24" t="s">
        <v>72</v>
      </c>
    </row>
    <row r="25" spans="1:42">
      <c r="A25" s="52">
        <v>44826</v>
      </c>
      <c r="B25" s="124">
        <v>1598301</v>
      </c>
      <c r="C25" s="63">
        <f t="shared" si="1"/>
        <v>218</v>
      </c>
      <c r="D25" s="124">
        <v>33678937</v>
      </c>
      <c r="E25" s="60">
        <f t="shared" si="2"/>
        <v>669</v>
      </c>
      <c r="F25" s="125">
        <v>79614</v>
      </c>
      <c r="G25" s="60">
        <f t="shared" si="3"/>
        <v>150</v>
      </c>
      <c r="H25" s="125">
        <v>99809</v>
      </c>
      <c r="I25" s="60">
        <f t="shared" si="4"/>
        <v>21</v>
      </c>
      <c r="J25" s="126">
        <v>184183</v>
      </c>
      <c r="K25" s="63">
        <f t="shared" si="5"/>
        <v>0</v>
      </c>
      <c r="L25" s="125">
        <v>115606</v>
      </c>
      <c r="M25" s="60">
        <f t="shared" si="6"/>
        <v>47</v>
      </c>
      <c r="N25" s="125">
        <v>654474</v>
      </c>
      <c r="O25" s="63">
        <f t="shared" si="7"/>
        <v>106</v>
      </c>
      <c r="P25" s="125">
        <v>167764</v>
      </c>
      <c r="Q25" s="60">
        <f t="shared" si="8"/>
        <v>0</v>
      </c>
      <c r="R25" s="125">
        <v>998242</v>
      </c>
      <c r="S25" s="63">
        <f t="shared" si="9"/>
        <v>268</v>
      </c>
      <c r="T25" s="125">
        <v>82983</v>
      </c>
      <c r="U25" s="60">
        <f t="shared" si="10"/>
        <v>28</v>
      </c>
      <c r="V25" s="125">
        <v>305810</v>
      </c>
      <c r="W25" s="63">
        <f t="shared" si="11"/>
        <v>0</v>
      </c>
      <c r="X25" s="126">
        <v>32918</v>
      </c>
      <c r="Y25" s="60">
        <f t="shared" si="12"/>
        <v>38</v>
      </c>
      <c r="Z25" s="126">
        <v>733350</v>
      </c>
      <c r="AA25" s="63">
        <f t="shared" si="13"/>
        <v>230</v>
      </c>
      <c r="AB25" s="74">
        <v>1410</v>
      </c>
      <c r="AC25" s="60">
        <f t="shared" si="0"/>
        <v>0</v>
      </c>
      <c r="AD25" s="128">
        <v>117826</v>
      </c>
      <c r="AE25" s="60">
        <f t="shared" si="0"/>
        <v>106</v>
      </c>
      <c r="AF25" s="128">
        <v>1982</v>
      </c>
      <c r="AG25" s="60">
        <f t="shared" si="0"/>
        <v>0</v>
      </c>
      <c r="AH25" s="68">
        <f t="shared" si="14"/>
        <v>1881</v>
      </c>
      <c r="AI25" s="18">
        <v>0</v>
      </c>
      <c r="AJ25" s="53">
        <f t="shared" si="15"/>
        <v>0</v>
      </c>
      <c r="AL25" t="s">
        <v>72</v>
      </c>
    </row>
    <row r="26" spans="1:42">
      <c r="A26" s="52">
        <v>44827</v>
      </c>
      <c r="B26" s="124">
        <v>1598570</v>
      </c>
      <c r="C26" s="63">
        <f t="shared" si="1"/>
        <v>269</v>
      </c>
      <c r="D26" s="124">
        <v>33679625</v>
      </c>
      <c r="E26" s="60">
        <f t="shared" si="2"/>
        <v>688</v>
      </c>
      <c r="F26" s="125">
        <v>79752</v>
      </c>
      <c r="G26" s="60">
        <f t="shared" si="3"/>
        <v>138</v>
      </c>
      <c r="H26" s="125">
        <v>99835</v>
      </c>
      <c r="I26" s="60">
        <f t="shared" si="4"/>
        <v>26</v>
      </c>
      <c r="J26" s="126">
        <v>184183</v>
      </c>
      <c r="K26" s="63">
        <f t="shared" si="5"/>
        <v>0</v>
      </c>
      <c r="L26" s="125">
        <v>115651</v>
      </c>
      <c r="M26" s="60">
        <f t="shared" si="6"/>
        <v>45</v>
      </c>
      <c r="N26" s="125">
        <v>654573</v>
      </c>
      <c r="O26" s="63">
        <f t="shared" si="7"/>
        <v>99</v>
      </c>
      <c r="P26" s="125">
        <v>167764</v>
      </c>
      <c r="Q26" s="60">
        <f t="shared" si="8"/>
        <v>0</v>
      </c>
      <c r="R26" s="125">
        <v>998538</v>
      </c>
      <c r="S26" s="63">
        <f t="shared" si="9"/>
        <v>296</v>
      </c>
      <c r="T26" s="125">
        <v>83013</v>
      </c>
      <c r="U26" s="60">
        <f t="shared" si="10"/>
        <v>30</v>
      </c>
      <c r="V26" s="125">
        <v>305810</v>
      </c>
      <c r="W26" s="63">
        <f t="shared" si="11"/>
        <v>0</v>
      </c>
      <c r="X26" s="126">
        <v>32955</v>
      </c>
      <c r="Y26" s="60">
        <f t="shared" si="12"/>
        <v>37</v>
      </c>
      <c r="Z26" s="126">
        <v>733537</v>
      </c>
      <c r="AA26" s="63">
        <f t="shared" si="13"/>
        <v>187</v>
      </c>
      <c r="AB26" s="74">
        <v>1410</v>
      </c>
      <c r="AC26" s="60">
        <f t="shared" si="0"/>
        <v>0</v>
      </c>
      <c r="AD26" s="128">
        <v>118104</v>
      </c>
      <c r="AE26" s="60">
        <f t="shared" si="0"/>
        <v>278</v>
      </c>
      <c r="AF26" s="128">
        <v>1982</v>
      </c>
      <c r="AG26" s="60">
        <f t="shared" si="0"/>
        <v>0</v>
      </c>
      <c r="AH26" s="68">
        <f t="shared" si="14"/>
        <v>2093</v>
      </c>
      <c r="AI26" s="18">
        <v>0</v>
      </c>
      <c r="AJ26" s="53">
        <f t="shared" si="15"/>
        <v>0</v>
      </c>
    </row>
    <row r="27" spans="1:42">
      <c r="A27" s="52">
        <v>44828</v>
      </c>
      <c r="B27" s="124">
        <v>1598811</v>
      </c>
      <c r="C27" s="63">
        <f t="shared" si="1"/>
        <v>241</v>
      </c>
      <c r="D27" s="124">
        <v>33680267</v>
      </c>
      <c r="E27" s="60">
        <f t="shared" si="2"/>
        <v>642</v>
      </c>
      <c r="F27" s="125">
        <v>79894</v>
      </c>
      <c r="G27" s="60">
        <f t="shared" si="3"/>
        <v>142</v>
      </c>
      <c r="H27" s="125">
        <v>99856</v>
      </c>
      <c r="I27" s="60">
        <f t="shared" si="4"/>
        <v>21</v>
      </c>
      <c r="J27" s="126">
        <v>184183</v>
      </c>
      <c r="K27" s="63">
        <f t="shared" si="5"/>
        <v>0</v>
      </c>
      <c r="L27" s="125">
        <v>115703</v>
      </c>
      <c r="M27" s="60">
        <f t="shared" si="6"/>
        <v>52</v>
      </c>
      <c r="N27" s="125">
        <v>654735</v>
      </c>
      <c r="O27" s="63">
        <f t="shared" si="7"/>
        <v>162</v>
      </c>
      <c r="P27" s="125">
        <v>167764</v>
      </c>
      <c r="Q27" s="60">
        <f t="shared" si="8"/>
        <v>0</v>
      </c>
      <c r="R27" s="125">
        <v>998798</v>
      </c>
      <c r="S27" s="63">
        <f t="shared" si="9"/>
        <v>260</v>
      </c>
      <c r="T27" s="125">
        <v>83031</v>
      </c>
      <c r="U27" s="60">
        <f t="shared" si="10"/>
        <v>18</v>
      </c>
      <c r="V27" s="125">
        <v>305810</v>
      </c>
      <c r="W27" s="63">
        <f t="shared" si="11"/>
        <v>0</v>
      </c>
      <c r="X27" s="126">
        <v>32987</v>
      </c>
      <c r="Y27" s="60">
        <f t="shared" si="12"/>
        <v>32</v>
      </c>
      <c r="Z27" s="126">
        <v>733729</v>
      </c>
      <c r="AA27" s="63">
        <f t="shared" si="13"/>
        <v>192</v>
      </c>
      <c r="AB27" s="74">
        <v>1410</v>
      </c>
      <c r="AC27" s="60">
        <f t="shared" si="0"/>
        <v>0</v>
      </c>
      <c r="AD27" s="128">
        <v>118215</v>
      </c>
      <c r="AE27" s="60">
        <f t="shared" si="0"/>
        <v>111</v>
      </c>
      <c r="AF27" s="128">
        <v>1982</v>
      </c>
      <c r="AG27" s="60">
        <f t="shared" si="0"/>
        <v>0</v>
      </c>
      <c r="AH27" s="68">
        <f t="shared" si="14"/>
        <v>1873</v>
      </c>
      <c r="AI27" s="18">
        <v>0</v>
      </c>
      <c r="AJ27" s="53">
        <f t="shared" si="15"/>
        <v>0</v>
      </c>
    </row>
    <row r="28" spans="1:42">
      <c r="A28" s="52">
        <v>44829</v>
      </c>
      <c r="B28" s="124">
        <v>1599000</v>
      </c>
      <c r="C28" s="63">
        <f t="shared" si="1"/>
        <v>189</v>
      </c>
      <c r="D28" s="124">
        <v>33681000</v>
      </c>
      <c r="E28" s="60">
        <f t="shared" si="2"/>
        <v>733</v>
      </c>
      <c r="F28" s="125">
        <v>79999</v>
      </c>
      <c r="G28" s="60">
        <f t="shared" si="3"/>
        <v>105</v>
      </c>
      <c r="H28" s="125">
        <v>99879</v>
      </c>
      <c r="I28" s="60">
        <f t="shared" si="4"/>
        <v>23</v>
      </c>
      <c r="J28" s="126">
        <v>184183</v>
      </c>
      <c r="K28" s="63">
        <f t="shared" si="5"/>
        <v>0</v>
      </c>
      <c r="L28" s="125">
        <v>115755</v>
      </c>
      <c r="M28" s="60">
        <f t="shared" si="6"/>
        <v>52</v>
      </c>
      <c r="N28" s="125">
        <v>654908</v>
      </c>
      <c r="O28" s="63">
        <f t="shared" si="7"/>
        <v>173</v>
      </c>
      <c r="P28" s="125">
        <v>167764</v>
      </c>
      <c r="Q28" s="60">
        <f t="shared" si="8"/>
        <v>0</v>
      </c>
      <c r="R28" s="125">
        <v>999068</v>
      </c>
      <c r="S28" s="63">
        <f t="shared" si="9"/>
        <v>270</v>
      </c>
      <c r="T28" s="125">
        <v>83055</v>
      </c>
      <c r="U28" s="60">
        <f t="shared" si="10"/>
        <v>24</v>
      </c>
      <c r="V28" s="125">
        <v>305810</v>
      </c>
      <c r="W28" s="63">
        <f t="shared" si="11"/>
        <v>0</v>
      </c>
      <c r="X28" s="126">
        <v>33017</v>
      </c>
      <c r="Y28" s="60">
        <f t="shared" si="12"/>
        <v>30</v>
      </c>
      <c r="Z28" s="126">
        <v>733884</v>
      </c>
      <c r="AA28" s="63">
        <f t="shared" si="13"/>
        <v>155</v>
      </c>
      <c r="AB28" s="74">
        <v>1410</v>
      </c>
      <c r="AC28" s="60">
        <f t="shared" si="0"/>
        <v>0</v>
      </c>
      <c r="AD28" s="128">
        <v>118459</v>
      </c>
      <c r="AE28" s="60">
        <f t="shared" si="0"/>
        <v>244</v>
      </c>
      <c r="AF28" s="128">
        <v>1982</v>
      </c>
      <c r="AG28" s="60">
        <f t="shared" si="0"/>
        <v>0</v>
      </c>
      <c r="AH28" s="68">
        <f t="shared" si="14"/>
        <v>1998</v>
      </c>
      <c r="AI28" s="18">
        <v>0</v>
      </c>
      <c r="AJ28" s="53">
        <f t="shared" si="15"/>
        <v>0</v>
      </c>
    </row>
    <row r="29" spans="1:42">
      <c r="A29" s="52">
        <v>44830</v>
      </c>
      <c r="B29" s="124">
        <v>1599191</v>
      </c>
      <c r="C29" s="63">
        <f t="shared" si="1"/>
        <v>191</v>
      </c>
      <c r="D29" s="124">
        <v>33681497</v>
      </c>
      <c r="E29" s="60">
        <f t="shared" si="2"/>
        <v>497</v>
      </c>
      <c r="F29" s="125">
        <v>80115</v>
      </c>
      <c r="G29" s="60">
        <f t="shared" si="3"/>
        <v>116</v>
      </c>
      <c r="H29" s="125">
        <v>99902</v>
      </c>
      <c r="I29" s="60">
        <f t="shared" si="4"/>
        <v>23</v>
      </c>
      <c r="J29" s="126">
        <v>184190</v>
      </c>
      <c r="K29" s="63">
        <f t="shared" si="5"/>
        <v>7</v>
      </c>
      <c r="L29" s="125">
        <v>115808</v>
      </c>
      <c r="M29" s="60">
        <f t="shared" si="6"/>
        <v>53</v>
      </c>
      <c r="N29" s="125">
        <v>655003</v>
      </c>
      <c r="O29" s="63">
        <f t="shared" si="7"/>
        <v>95</v>
      </c>
      <c r="P29" s="125">
        <v>167764</v>
      </c>
      <c r="Q29" s="60">
        <f t="shared" si="8"/>
        <v>0</v>
      </c>
      <c r="R29" s="125">
        <v>999297</v>
      </c>
      <c r="S29" s="63">
        <f t="shared" si="9"/>
        <v>229</v>
      </c>
      <c r="T29" s="125">
        <v>83100</v>
      </c>
      <c r="U29" s="60">
        <f t="shared" si="10"/>
        <v>45</v>
      </c>
      <c r="V29" s="125">
        <v>305810</v>
      </c>
      <c r="W29" s="63">
        <f t="shared" si="11"/>
        <v>0</v>
      </c>
      <c r="X29" s="126">
        <v>33045</v>
      </c>
      <c r="Y29" s="60">
        <f t="shared" si="12"/>
        <v>28</v>
      </c>
      <c r="Z29" s="126">
        <v>734090</v>
      </c>
      <c r="AA29" s="63">
        <f t="shared" si="13"/>
        <v>206</v>
      </c>
      <c r="AB29" s="74">
        <v>1410</v>
      </c>
      <c r="AC29" s="60">
        <f t="shared" si="0"/>
        <v>0</v>
      </c>
      <c r="AD29" s="128">
        <v>118623</v>
      </c>
      <c r="AE29" s="60">
        <f t="shared" si="0"/>
        <v>164</v>
      </c>
      <c r="AF29" s="128">
        <v>1982</v>
      </c>
      <c r="AG29" s="60">
        <f t="shared" si="0"/>
        <v>0</v>
      </c>
      <c r="AH29" s="68">
        <f t="shared" si="14"/>
        <v>1654</v>
      </c>
      <c r="AI29" s="18">
        <v>0</v>
      </c>
      <c r="AJ29" s="53">
        <f t="shared" si="15"/>
        <v>0</v>
      </c>
      <c r="AP29" t="s">
        <v>72</v>
      </c>
    </row>
    <row r="30" spans="1:42">
      <c r="A30" s="52">
        <v>44831</v>
      </c>
      <c r="B30" s="124">
        <v>1599417</v>
      </c>
      <c r="C30" s="63">
        <f t="shared" si="1"/>
        <v>226</v>
      </c>
      <c r="D30" s="124">
        <v>33682225</v>
      </c>
      <c r="E30" s="60">
        <f t="shared" si="2"/>
        <v>728</v>
      </c>
      <c r="F30" s="125">
        <v>80218</v>
      </c>
      <c r="G30" s="60">
        <f t="shared" si="3"/>
        <v>103</v>
      </c>
      <c r="H30" s="125">
        <v>99925</v>
      </c>
      <c r="I30" s="60">
        <f t="shared" si="4"/>
        <v>23</v>
      </c>
      <c r="J30" s="126">
        <v>184204</v>
      </c>
      <c r="K30" s="63">
        <f t="shared" si="5"/>
        <v>14</v>
      </c>
      <c r="L30" s="125">
        <v>115860</v>
      </c>
      <c r="M30" s="60">
        <f t="shared" si="6"/>
        <v>52</v>
      </c>
      <c r="N30" s="125">
        <v>655113</v>
      </c>
      <c r="O30" s="63">
        <f t="shared" si="7"/>
        <v>110</v>
      </c>
      <c r="P30" s="125">
        <v>167764</v>
      </c>
      <c r="Q30" s="60">
        <f t="shared" si="8"/>
        <v>0</v>
      </c>
      <c r="R30" s="125">
        <v>999547</v>
      </c>
      <c r="S30" s="63">
        <f t="shared" si="9"/>
        <v>250</v>
      </c>
      <c r="T30" s="125">
        <v>83127</v>
      </c>
      <c r="U30" s="60">
        <f t="shared" si="10"/>
        <v>27</v>
      </c>
      <c r="V30" s="125">
        <v>305810</v>
      </c>
      <c r="W30" s="63">
        <f t="shared" si="11"/>
        <v>0</v>
      </c>
      <c r="X30" s="126">
        <v>33068</v>
      </c>
      <c r="Y30" s="60">
        <f t="shared" si="12"/>
        <v>23</v>
      </c>
      <c r="Z30" s="126">
        <v>734320</v>
      </c>
      <c r="AA30" s="63">
        <f t="shared" si="13"/>
        <v>230</v>
      </c>
      <c r="AB30" s="74">
        <v>1410</v>
      </c>
      <c r="AC30" s="60">
        <f t="shared" si="0"/>
        <v>0</v>
      </c>
      <c r="AD30" s="128">
        <v>118780</v>
      </c>
      <c r="AE30" s="60">
        <f t="shared" si="0"/>
        <v>157</v>
      </c>
      <c r="AF30" s="128">
        <v>1982</v>
      </c>
      <c r="AG30" s="60">
        <f t="shared" si="0"/>
        <v>0</v>
      </c>
      <c r="AH30" s="68">
        <f t="shared" si="14"/>
        <v>1943</v>
      </c>
      <c r="AI30" s="18">
        <v>0</v>
      </c>
      <c r="AJ30" s="53">
        <f t="shared" si="15"/>
        <v>0</v>
      </c>
    </row>
    <row r="31" spans="1:42">
      <c r="A31" s="52">
        <v>44832</v>
      </c>
      <c r="B31" s="124">
        <v>1599687</v>
      </c>
      <c r="C31" s="63">
        <f t="shared" si="1"/>
        <v>270</v>
      </c>
      <c r="D31" s="124">
        <v>33682861</v>
      </c>
      <c r="E31" s="60">
        <f t="shared" si="2"/>
        <v>636</v>
      </c>
      <c r="F31" s="125">
        <v>80321</v>
      </c>
      <c r="G31" s="60">
        <f t="shared" si="3"/>
        <v>103</v>
      </c>
      <c r="H31" s="125">
        <v>99951</v>
      </c>
      <c r="I31" s="60">
        <f t="shared" si="4"/>
        <v>26</v>
      </c>
      <c r="J31" s="126">
        <v>184204</v>
      </c>
      <c r="K31" s="63">
        <f t="shared" si="5"/>
        <v>0</v>
      </c>
      <c r="L31" s="125">
        <v>115905</v>
      </c>
      <c r="M31" s="60">
        <f t="shared" si="6"/>
        <v>45</v>
      </c>
      <c r="N31" s="125">
        <v>655210</v>
      </c>
      <c r="O31" s="63">
        <f t="shared" si="7"/>
        <v>97</v>
      </c>
      <c r="P31" s="125">
        <v>167764</v>
      </c>
      <c r="Q31" s="60">
        <f t="shared" si="8"/>
        <v>0</v>
      </c>
      <c r="R31" s="125">
        <v>999771</v>
      </c>
      <c r="S31" s="63">
        <f t="shared" si="9"/>
        <v>224</v>
      </c>
      <c r="T31" s="125">
        <v>83170</v>
      </c>
      <c r="U31" s="60">
        <f t="shared" si="10"/>
        <v>43</v>
      </c>
      <c r="V31" s="125">
        <v>305810</v>
      </c>
      <c r="W31" s="63">
        <f t="shared" si="11"/>
        <v>0</v>
      </c>
      <c r="X31" s="126">
        <v>33094</v>
      </c>
      <c r="Y31" s="60">
        <f t="shared" si="12"/>
        <v>26</v>
      </c>
      <c r="Z31" s="126">
        <v>734530</v>
      </c>
      <c r="AA31" s="63">
        <f t="shared" si="13"/>
        <v>210</v>
      </c>
      <c r="AB31" s="74">
        <v>1410</v>
      </c>
      <c r="AC31" s="60">
        <f t="shared" si="0"/>
        <v>0</v>
      </c>
      <c r="AD31" s="128">
        <v>118981</v>
      </c>
      <c r="AE31" s="60">
        <f t="shared" si="0"/>
        <v>201</v>
      </c>
      <c r="AF31" s="128">
        <v>1982</v>
      </c>
      <c r="AG31" s="60">
        <f t="shared" si="0"/>
        <v>0</v>
      </c>
      <c r="AH31" s="68">
        <f t="shared" si="14"/>
        <v>1881</v>
      </c>
      <c r="AI31" s="18">
        <v>0</v>
      </c>
      <c r="AJ31" s="53">
        <f t="shared" si="15"/>
        <v>0</v>
      </c>
    </row>
    <row r="32" spans="1:42">
      <c r="A32" s="52">
        <v>44833</v>
      </c>
      <c r="B32" s="124">
        <v>1599878</v>
      </c>
      <c r="C32" s="64">
        <f t="shared" si="1"/>
        <v>191</v>
      </c>
      <c r="D32" s="124">
        <v>33683470</v>
      </c>
      <c r="E32" s="60">
        <f t="shared" si="2"/>
        <v>609</v>
      </c>
      <c r="F32" s="125">
        <v>80467</v>
      </c>
      <c r="G32" s="60">
        <f t="shared" si="3"/>
        <v>146</v>
      </c>
      <c r="H32" s="125">
        <v>99977</v>
      </c>
      <c r="I32" s="60">
        <f t="shared" si="4"/>
        <v>26</v>
      </c>
      <c r="J32" s="126">
        <v>184206</v>
      </c>
      <c r="K32" s="63">
        <f t="shared" si="5"/>
        <v>2</v>
      </c>
      <c r="L32" s="125">
        <v>115960</v>
      </c>
      <c r="M32" s="60">
        <f t="shared" si="6"/>
        <v>55</v>
      </c>
      <c r="N32" s="125">
        <v>655401</v>
      </c>
      <c r="O32" s="63">
        <f t="shared" si="7"/>
        <v>191</v>
      </c>
      <c r="P32" s="125">
        <v>167764</v>
      </c>
      <c r="Q32" s="60">
        <f t="shared" si="8"/>
        <v>0</v>
      </c>
      <c r="R32" s="125">
        <v>999981</v>
      </c>
      <c r="S32" s="63">
        <f t="shared" si="9"/>
        <v>210</v>
      </c>
      <c r="T32" s="125">
        <v>83202</v>
      </c>
      <c r="U32" s="60">
        <f t="shared" si="10"/>
        <v>32</v>
      </c>
      <c r="V32" s="125">
        <v>305810</v>
      </c>
      <c r="W32" s="63">
        <f t="shared" si="11"/>
        <v>0</v>
      </c>
      <c r="X32" s="126">
        <v>33124</v>
      </c>
      <c r="Y32" s="60">
        <f t="shared" si="12"/>
        <v>30</v>
      </c>
      <c r="Z32" s="126">
        <v>734718</v>
      </c>
      <c r="AA32" s="63">
        <f t="shared" si="13"/>
        <v>188</v>
      </c>
      <c r="AB32" s="74">
        <v>1410</v>
      </c>
      <c r="AC32" s="60">
        <f t="shared" si="0"/>
        <v>0</v>
      </c>
      <c r="AD32" s="128">
        <v>119166</v>
      </c>
      <c r="AE32" s="60">
        <f t="shared" si="0"/>
        <v>185</v>
      </c>
      <c r="AF32" s="128">
        <v>1982</v>
      </c>
      <c r="AG32" s="60">
        <f t="shared" si="0"/>
        <v>0</v>
      </c>
      <c r="AH32" s="131">
        <f t="shared" si="14"/>
        <v>1865</v>
      </c>
      <c r="AI32" s="18">
        <v>0</v>
      </c>
      <c r="AJ32" s="53">
        <f t="shared" si="15"/>
        <v>0</v>
      </c>
    </row>
    <row r="33" spans="1:36">
      <c r="A33" s="52">
        <v>44834</v>
      </c>
      <c r="B33" s="124">
        <v>1600092</v>
      </c>
      <c r="C33" s="65">
        <f t="shared" si="1"/>
        <v>214</v>
      </c>
      <c r="D33" s="124">
        <v>33684080</v>
      </c>
      <c r="E33" s="61">
        <f t="shared" si="2"/>
        <v>610</v>
      </c>
      <c r="F33" s="125">
        <v>80603</v>
      </c>
      <c r="G33" s="60">
        <f t="shared" si="3"/>
        <v>136</v>
      </c>
      <c r="H33" s="125">
        <v>99995</v>
      </c>
      <c r="I33" s="61">
        <f t="shared" si="4"/>
        <v>18</v>
      </c>
      <c r="J33" s="126">
        <v>184206</v>
      </c>
      <c r="K33" s="64">
        <f t="shared" si="5"/>
        <v>0</v>
      </c>
      <c r="L33" s="125">
        <v>116015</v>
      </c>
      <c r="M33" s="61">
        <f t="shared" si="6"/>
        <v>55</v>
      </c>
      <c r="N33" s="125">
        <v>655623</v>
      </c>
      <c r="O33" s="64">
        <f t="shared" si="7"/>
        <v>222</v>
      </c>
      <c r="P33" s="125">
        <v>167764</v>
      </c>
      <c r="Q33" s="61">
        <f t="shared" si="8"/>
        <v>0</v>
      </c>
      <c r="R33" s="125">
        <v>1000226</v>
      </c>
      <c r="S33" s="63">
        <f t="shared" si="9"/>
        <v>245</v>
      </c>
      <c r="T33" s="125">
        <v>83224</v>
      </c>
      <c r="U33" s="60">
        <f t="shared" si="10"/>
        <v>22</v>
      </c>
      <c r="V33" s="125">
        <v>305810</v>
      </c>
      <c r="W33" s="63">
        <f t="shared" si="11"/>
        <v>0</v>
      </c>
      <c r="X33" s="126">
        <v>33165</v>
      </c>
      <c r="Y33" s="60">
        <f t="shared" si="12"/>
        <v>41</v>
      </c>
      <c r="Z33" s="126">
        <v>734856</v>
      </c>
      <c r="AA33" s="63">
        <f t="shared" si="13"/>
        <v>138</v>
      </c>
      <c r="AB33" s="74">
        <v>1410</v>
      </c>
      <c r="AC33" s="60">
        <f t="shared" si="0"/>
        <v>0</v>
      </c>
      <c r="AD33" s="128">
        <v>119383</v>
      </c>
      <c r="AE33" s="60">
        <f t="shared" si="0"/>
        <v>217</v>
      </c>
      <c r="AF33" s="128">
        <v>1982</v>
      </c>
      <c r="AG33" s="63">
        <f>IF((AF33-AF32)&lt;0,"0",(AF33-AF32))</f>
        <v>0</v>
      </c>
      <c r="AH33" s="130">
        <f t="shared" si="14"/>
        <v>1918</v>
      </c>
      <c r="AI33" s="66">
        <v>0</v>
      </c>
      <c r="AJ33" s="53">
        <f t="shared" si="15"/>
        <v>0</v>
      </c>
    </row>
    <row r="34" spans="1:36">
      <c r="C34" s="17"/>
      <c r="E34" s="17"/>
      <c r="G34" s="17"/>
      <c r="I34" s="17"/>
      <c r="K34" s="17"/>
      <c r="M34" s="17"/>
      <c r="O34" s="17"/>
      <c r="Q34" s="17"/>
      <c r="S34" s="17"/>
      <c r="U34" s="17"/>
      <c r="W34" s="17"/>
      <c r="Y34" s="17"/>
      <c r="AA34" s="17"/>
      <c r="AC34" s="17"/>
      <c r="AD34" s="17"/>
      <c r="AE34" s="17"/>
      <c r="AF34" s="17"/>
      <c r="AG34" s="17"/>
      <c r="AJ34" s="17"/>
    </row>
  </sheetData>
  <mergeCells count="1">
    <mergeCell ref="A1:AJ1"/>
  </mergeCells>
  <phoneticPr fontId="0" type="noConversion"/>
  <conditionalFormatting sqref="AH3 C3:C33 I3:I33 K3:K33 M3:M33 O3:O33 Q3:Q33 S3:S33 U3:U33 W3:W33 G3:G33 E3:E33 Y3:Y33 AH4:AI33 AA3:AC33 A2:A33 AE3:AE33 AG3:AG33">
    <cfRule type="cellIs" dxfId="0" priority="340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5" ma:contentTypeDescription="Create a new document." ma:contentTypeScope="" ma:versionID="3ef84a2ea14c76d28649e2f379f65ab4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4f8fd83ac234093313865e3b5cd9b979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9af1a0-7e35-4d9c-ae9b-a76c9248c791}" ma:internalName="TaxCatchAll" ma:showField="CatchAllData" ma:web="2d8748ec-992c-4be6-818f-09daf1d5c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4b4a5-31e9-439c-ad4b-ef06b9d19991">
      <Terms xmlns="http://schemas.microsoft.com/office/infopath/2007/PartnerControls"/>
    </lcf76f155ced4ddcb4097134ff3c332f>
    <TaxCatchAll xmlns="2d8748ec-992c-4be6-818f-09daf1d5c913" xsi:nil="true"/>
  </documentManagement>
</p:properties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58BF515C-4528-4ED8-AEAC-76A2769501A2}"/>
</file>

<file path=customXml/itemProps3.xml><?xml version="1.0" encoding="utf-8"?>
<ds:datastoreItem xmlns:ds="http://schemas.openxmlformats.org/officeDocument/2006/customXml" ds:itemID="{7E82F225-777A-4888-9A31-0A32E8766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2022-10-04T09:39:17Z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  <property fmtid="{D5CDD505-2E9C-101B-9397-08002B2CF9AE}" pid="3" name="MediaServiceImageTags">
    <vt:lpwstr/>
  </property>
</Properties>
</file>