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1" l="1"/>
  <c r="K30" i="1"/>
  <c r="B31" i="1"/>
  <c r="B32" i="1" s="1"/>
  <c r="K31" i="1"/>
  <c r="K32" i="1"/>
  <c r="B30" i="2"/>
  <c r="K30" i="2"/>
  <c r="B31" i="2"/>
  <c r="K31" i="2"/>
  <c r="B32" i="2"/>
  <c r="K32" i="2"/>
  <c r="D37" i="3" l="1"/>
  <c r="E30" i="2" s="1"/>
  <c r="F37" i="3"/>
  <c r="F30" i="2" s="1"/>
  <c r="H37" i="3"/>
  <c r="G30" i="2" s="1"/>
  <c r="N37" i="3"/>
  <c r="H30" i="2" s="1"/>
  <c r="P37" i="3"/>
  <c r="I30" i="2" s="1"/>
  <c r="U37" i="3"/>
  <c r="D38" i="3"/>
  <c r="E31" i="2" s="1"/>
  <c r="F38" i="3"/>
  <c r="F31" i="2" s="1"/>
  <c r="H38" i="3"/>
  <c r="G31" i="2" s="1"/>
  <c r="N38" i="3"/>
  <c r="H31" i="2" s="1"/>
  <c r="G31" i="1" s="1"/>
  <c r="P38" i="3"/>
  <c r="I31" i="2" s="1"/>
  <c r="U38" i="3"/>
  <c r="D39" i="3"/>
  <c r="E32" i="2" s="1"/>
  <c r="F39" i="3"/>
  <c r="F32" i="2" s="1"/>
  <c r="H39" i="3"/>
  <c r="G32" i="2" s="1"/>
  <c r="N39" i="3"/>
  <c r="H32" i="2" s="1"/>
  <c r="P39" i="3"/>
  <c r="I32" i="2" s="1"/>
  <c r="U39" i="3"/>
  <c r="Y40" i="3"/>
  <c r="V38" i="3" l="1"/>
  <c r="J31" i="2"/>
  <c r="I31" i="1" s="1"/>
  <c r="V39" i="3"/>
  <c r="J32" i="2"/>
  <c r="I32" i="1" s="1"/>
  <c r="V37" i="3"/>
  <c r="J30" i="2"/>
  <c r="I30" i="1" s="1"/>
  <c r="G32" i="1"/>
  <c r="G30" i="1"/>
  <c r="E31" i="1"/>
  <c r="E32" i="1"/>
  <c r="E30" i="1"/>
  <c r="Q39" i="3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K27" i="2"/>
  <c r="K28" i="2"/>
  <c r="K29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K9" i="3" s="1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K40" i="3" l="1"/>
  <c r="G2" i="1"/>
  <c r="E2" i="1"/>
  <c r="V40" i="3"/>
  <c r="R40" i="3"/>
  <c r="Q40" i="3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<sst xmlns="http://schemas.openxmlformats.org/spreadsheetml/2006/main" count="310" uniqueCount="123">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</sst>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" workbookViewId="0">
      <selection activeCell="C3" sqref="C3:C32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6</v>
      </c>
      <c r="D2" s="6">
        <v>2022</v>
      </c>
      <c r="E2" s="8">
        <f>Submetring!E2+Submetring!F2+Submetring!G2</f>
        <v>12324</v>
      </c>
      <c r="F2" s="6">
        <v>0.25700000000000001</v>
      </c>
      <c r="G2" s="8">
        <f>Submetring!H2+Submetring!I2</f>
        <v>1116</v>
      </c>
      <c r="H2" s="6">
        <v>0.56711199999999995</v>
      </c>
      <c r="I2" s="8">
        <f>Submetring!J2</f>
        <v>422</v>
      </c>
      <c r="J2" s="6">
        <v>3.03</v>
      </c>
      <c r="K2" s="8">
        <f>Hotel!Y9</f>
        <v>164</v>
      </c>
    </row>
    <row r="3" spans="1:11" x14ac:dyDescent="0.25">
      <c r="A3" s="6" t="s">
        <v>11</v>
      </c>
      <c r="B3" s="9">
        <f>B2+1</f>
        <v>2</v>
      </c>
      <c r="C3" s="7">
        <v>6</v>
      </c>
      <c r="D3" s="6">
        <v>2022</v>
      </c>
      <c r="E3" s="8">
        <f>Submetring!E3+Submetring!F3+Submetring!G3</f>
        <v>13135</v>
      </c>
      <c r="F3" s="6">
        <v>0.25700000000000001</v>
      </c>
      <c r="G3" s="8">
        <f>Submetring!H3+Submetring!I3</f>
        <v>1165</v>
      </c>
      <c r="H3" s="6">
        <v>0.56711199999999995</v>
      </c>
      <c r="I3" s="8">
        <f>Submetring!J3</f>
        <v>512</v>
      </c>
      <c r="J3" s="6">
        <v>3.03</v>
      </c>
      <c r="K3" s="8">
        <f>Hotel!Y10</f>
        <v>166</v>
      </c>
    </row>
    <row r="4" spans="1:11" x14ac:dyDescent="0.25">
      <c r="A4" s="6" t="s">
        <v>11</v>
      </c>
      <c r="B4" s="9">
        <f t="shared" ref="B4:B32" si="0">B3+1</f>
        <v>3</v>
      </c>
      <c r="C4" s="7">
        <v>6</v>
      </c>
      <c r="D4" s="6">
        <v>2022</v>
      </c>
      <c r="E4" s="8">
        <f>Submetring!E4+Submetring!F4+Submetring!G4</f>
        <v>13373</v>
      </c>
      <c r="F4" s="6">
        <v>0.25700000000000001</v>
      </c>
      <c r="G4" s="8">
        <f>Submetring!H4+Submetring!I4</f>
        <v>1164</v>
      </c>
      <c r="H4" s="6">
        <v>0.56711199999999995</v>
      </c>
      <c r="I4" s="8">
        <f>Submetring!J4</f>
        <v>476</v>
      </c>
      <c r="J4" s="6">
        <v>3.03</v>
      </c>
      <c r="K4" s="8">
        <f>Hotel!Y11</f>
        <v>181</v>
      </c>
    </row>
    <row r="5" spans="1:11" x14ac:dyDescent="0.25">
      <c r="A5" s="6" t="s">
        <v>11</v>
      </c>
      <c r="B5" s="9">
        <f t="shared" si="0"/>
        <v>4</v>
      </c>
      <c r="C5" s="7">
        <v>6</v>
      </c>
      <c r="D5" s="6">
        <v>2022</v>
      </c>
      <c r="E5" s="8">
        <f>Submetring!E5+Submetring!F5+Submetring!G5</f>
        <v>14195</v>
      </c>
      <c r="F5" s="6">
        <v>0.25700000000000001</v>
      </c>
      <c r="G5" s="8">
        <f>Submetring!H5+Submetring!I5</f>
        <v>1287</v>
      </c>
      <c r="H5" s="6">
        <v>0.56711199999999995</v>
      </c>
      <c r="I5" s="8">
        <f>Submetring!J5</f>
        <v>468</v>
      </c>
      <c r="J5" s="6">
        <v>3.03</v>
      </c>
      <c r="K5" s="8">
        <f>Hotel!Y12</f>
        <v>173</v>
      </c>
    </row>
    <row r="6" spans="1:11" x14ac:dyDescent="0.25">
      <c r="A6" s="6" t="s">
        <v>11</v>
      </c>
      <c r="B6" s="9">
        <f t="shared" si="0"/>
        <v>5</v>
      </c>
      <c r="C6" s="7">
        <v>6</v>
      </c>
      <c r="D6" s="6">
        <v>2022</v>
      </c>
      <c r="E6" s="8">
        <f>Submetring!E6+Submetring!F6+Submetring!G6</f>
        <v>15228</v>
      </c>
      <c r="F6" s="6">
        <v>0.25700000000000001</v>
      </c>
      <c r="G6" s="8">
        <f>Submetring!H6+Submetring!I6</f>
        <v>1241</v>
      </c>
      <c r="H6" s="6">
        <v>0.56711199999999995</v>
      </c>
      <c r="I6" s="8">
        <f>Submetring!J6</f>
        <v>457</v>
      </c>
      <c r="J6" s="6">
        <v>3.03</v>
      </c>
      <c r="K6" s="8">
        <f>Hotel!Y13</f>
        <v>168</v>
      </c>
    </row>
    <row r="7" spans="1:11" x14ac:dyDescent="0.25">
      <c r="A7" s="6" t="s">
        <v>11</v>
      </c>
      <c r="B7" s="9">
        <f t="shared" si="0"/>
        <v>6</v>
      </c>
      <c r="C7" s="7">
        <v>6</v>
      </c>
      <c r="D7" s="6">
        <v>2022</v>
      </c>
      <c r="E7" s="8">
        <f>Submetring!E7+Submetring!F7+Submetring!G7</f>
        <v>14038</v>
      </c>
      <c r="F7" s="6">
        <v>0.25700000000000001</v>
      </c>
      <c r="G7" s="8">
        <f>Submetring!H7+Submetring!I7</f>
        <v>1113</v>
      </c>
      <c r="H7" s="6">
        <v>0.56711199999999995</v>
      </c>
      <c r="I7" s="8">
        <f>Submetring!J7</f>
        <v>441</v>
      </c>
      <c r="J7" s="6">
        <v>3.03</v>
      </c>
      <c r="K7" s="8">
        <f>Hotel!Y14</f>
        <v>157</v>
      </c>
    </row>
    <row r="8" spans="1:11" x14ac:dyDescent="0.25">
      <c r="A8" s="6" t="s">
        <v>11</v>
      </c>
      <c r="B8" s="9">
        <f t="shared" si="0"/>
        <v>7</v>
      </c>
      <c r="C8" s="7">
        <v>6</v>
      </c>
      <c r="D8" s="6">
        <v>2022</v>
      </c>
      <c r="E8" s="8">
        <f>Submetring!E8+Submetring!F8+Submetring!G8</f>
        <v>13927</v>
      </c>
      <c r="F8" s="6">
        <v>0.25700000000000001</v>
      </c>
      <c r="G8" s="8">
        <f>Submetring!H8+Submetring!I8</f>
        <v>1119</v>
      </c>
      <c r="H8" s="6">
        <v>0.56711199999999995</v>
      </c>
      <c r="I8" s="8">
        <f>Submetring!J8</f>
        <v>451</v>
      </c>
      <c r="J8" s="6">
        <v>3.03</v>
      </c>
      <c r="K8" s="8">
        <f>Hotel!Y15</f>
        <v>135</v>
      </c>
    </row>
    <row r="9" spans="1:11" x14ac:dyDescent="0.25">
      <c r="A9" s="6" t="s">
        <v>11</v>
      </c>
      <c r="B9" s="9">
        <f t="shared" si="0"/>
        <v>8</v>
      </c>
      <c r="C9" s="7">
        <v>6</v>
      </c>
      <c r="D9" s="6">
        <v>2022</v>
      </c>
      <c r="E9" s="8">
        <f>Submetring!E9+Submetring!F9+Submetring!G9</f>
        <v>13714</v>
      </c>
      <c r="F9" s="6">
        <v>0.25700000000000001</v>
      </c>
      <c r="G9" s="8">
        <f>Submetring!H9+Submetring!I9</f>
        <v>1074</v>
      </c>
      <c r="H9" s="6">
        <v>0.56711199999999995</v>
      </c>
      <c r="I9" s="8">
        <f>Submetring!J9</f>
        <v>237</v>
      </c>
      <c r="J9" s="6">
        <v>3.03</v>
      </c>
      <c r="K9" s="8">
        <f>Hotel!Y16</f>
        <v>139</v>
      </c>
    </row>
    <row r="10" spans="1:11" x14ac:dyDescent="0.25">
      <c r="A10" s="6" t="s">
        <v>11</v>
      </c>
      <c r="B10" s="9">
        <f t="shared" si="0"/>
        <v>9</v>
      </c>
      <c r="C10" s="7">
        <v>6</v>
      </c>
      <c r="D10" s="6">
        <v>2022</v>
      </c>
      <c r="E10" s="8">
        <f>Submetring!E10+Submetring!F10+Submetring!G10</f>
        <v>12819</v>
      </c>
      <c r="F10" s="6">
        <v>0.25700000000000001</v>
      </c>
      <c r="G10" s="8">
        <f>Submetring!H10+Submetring!I10</f>
        <v>1021</v>
      </c>
      <c r="H10" s="6">
        <v>0.56711199999999995</v>
      </c>
      <c r="I10" s="8">
        <f>Submetring!J10</f>
        <v>419</v>
      </c>
      <c r="J10" s="6">
        <v>3.03</v>
      </c>
      <c r="K10" s="8">
        <f>Hotel!Y17</f>
        <v>135</v>
      </c>
    </row>
    <row r="11" spans="1:11" x14ac:dyDescent="0.25">
      <c r="A11" s="6" t="s">
        <v>11</v>
      </c>
      <c r="B11" s="9">
        <f t="shared" si="0"/>
        <v>10</v>
      </c>
      <c r="C11" s="7">
        <v>6</v>
      </c>
      <c r="D11" s="6">
        <v>2022</v>
      </c>
      <c r="E11" s="8">
        <f>Submetring!E11+Submetring!F11+Submetring!G11</f>
        <v>13121</v>
      </c>
      <c r="F11" s="6">
        <v>0.25700000000000001</v>
      </c>
      <c r="G11" s="8">
        <f>Submetring!H11+Submetring!I11</f>
        <v>1092</v>
      </c>
      <c r="H11" s="6">
        <v>0.56711199999999995</v>
      </c>
      <c r="I11" s="8">
        <f>Submetring!J11</f>
        <v>242</v>
      </c>
      <c r="J11" s="6">
        <v>3.03</v>
      </c>
      <c r="K11" s="8">
        <f>Hotel!Y18</f>
        <v>152</v>
      </c>
    </row>
    <row r="12" spans="1:11" x14ac:dyDescent="0.25">
      <c r="A12" s="6" t="s">
        <v>11</v>
      </c>
      <c r="B12" s="9">
        <f t="shared" si="0"/>
        <v>11</v>
      </c>
      <c r="C12" s="7">
        <v>6</v>
      </c>
      <c r="D12" s="6">
        <v>2022</v>
      </c>
      <c r="E12" s="8">
        <f>Submetring!E12+Submetring!F12+Submetring!G12</f>
        <v>12584</v>
      </c>
      <c r="F12" s="6">
        <v>0.25700000000000001</v>
      </c>
      <c r="G12" s="8">
        <f>Submetring!H12+Submetring!I12</f>
        <v>1105</v>
      </c>
      <c r="H12" s="6">
        <v>0.56711199999999995</v>
      </c>
      <c r="I12" s="8">
        <f>Submetring!J12</f>
        <v>242</v>
      </c>
      <c r="J12" s="6">
        <v>3.03</v>
      </c>
      <c r="K12" s="8">
        <f>Hotel!Y19</f>
        <v>122</v>
      </c>
    </row>
    <row r="13" spans="1:11" x14ac:dyDescent="0.25">
      <c r="A13" s="6" t="s">
        <v>11</v>
      </c>
      <c r="B13" s="9">
        <f t="shared" si="0"/>
        <v>12</v>
      </c>
      <c r="C13" s="7">
        <v>6</v>
      </c>
      <c r="D13" s="6">
        <v>2022</v>
      </c>
      <c r="E13" s="8">
        <f>Submetring!E13+Submetring!F13+Submetring!G13</f>
        <v>0</v>
      </c>
      <c r="F13" s="6">
        <v>0.25700000000000001</v>
      </c>
      <c r="G13" s="8">
        <f>Submetring!H13+Submetring!I13</f>
        <v>0</v>
      </c>
      <c r="H13" s="6">
        <v>0.56711199999999995</v>
      </c>
      <c r="I13" s="8" t="str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6</v>
      </c>
      <c r="D14" s="6">
        <v>2022</v>
      </c>
      <c r="E14" s="8">
        <f>Submetring!E14+Submetring!F14+Submetring!G14</f>
        <v>0</v>
      </c>
      <c r="F14" s="6">
        <v>0.25700000000000001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6</v>
      </c>
      <c r="D15" s="6">
        <v>2022</v>
      </c>
      <c r="E15" s="8">
        <f>Submetring!E15+Submetring!F15+Submetring!G15</f>
        <v>0</v>
      </c>
      <c r="F15" s="6">
        <v>0.25700000000000001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6</v>
      </c>
      <c r="D16" s="6">
        <v>2022</v>
      </c>
      <c r="E16" s="8">
        <f>Submetring!E16+Submetring!F16+Submetring!G16</f>
        <v>0</v>
      </c>
      <c r="F16" s="6">
        <v>0.25700000000000001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6</v>
      </c>
      <c r="D17" s="6">
        <v>2022</v>
      </c>
      <c r="E17" s="8">
        <f>Submetring!E17+Submetring!F17+Submetring!G17</f>
        <v>0</v>
      </c>
      <c r="F17" s="6">
        <v>0.25700000000000001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6</v>
      </c>
      <c r="D18" s="6">
        <v>2022</v>
      </c>
      <c r="E18" s="8">
        <f>Submetring!E18+Submetring!F18+Submetring!G18</f>
        <v>0</v>
      </c>
      <c r="F18" s="6">
        <v>0.25700000000000001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6</v>
      </c>
      <c r="D19" s="6">
        <v>2022</v>
      </c>
      <c r="E19" s="8">
        <f>Submetring!E19+Submetring!F19+Submetring!G19</f>
        <v>0</v>
      </c>
      <c r="F19" s="6">
        <v>0.25700000000000001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6</v>
      </c>
      <c r="D20" s="6">
        <v>2022</v>
      </c>
      <c r="E20" s="8">
        <f>Submetring!E20+Submetring!F20+Submetring!G20</f>
        <v>0</v>
      </c>
      <c r="F20" s="6">
        <v>0.25700000000000001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6</v>
      </c>
      <c r="D21" s="6">
        <v>2022</v>
      </c>
      <c r="E21" s="8">
        <f>Submetring!E21+Submetring!F21+Submetring!G21</f>
        <v>0</v>
      </c>
      <c r="F21" s="6">
        <v>0.25700000000000001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6</v>
      </c>
      <c r="D22" s="6">
        <v>2022</v>
      </c>
      <c r="E22" s="8">
        <f>Submetring!E22+Submetring!F22+Submetring!G22</f>
        <v>0</v>
      </c>
      <c r="F22" s="6">
        <v>0.25700000000000001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6</v>
      </c>
      <c r="D23" s="6">
        <v>2022</v>
      </c>
      <c r="E23" s="8">
        <f>Submetring!E23+Submetring!F23+Submetring!G23</f>
        <v>0</v>
      </c>
      <c r="F23" s="6">
        <v>0.25700000000000001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6</v>
      </c>
      <c r="D24" s="6">
        <v>2022</v>
      </c>
      <c r="E24" s="8">
        <f>Submetring!E24+Submetring!F24+Submetring!G24</f>
        <v>0</v>
      </c>
      <c r="F24" s="6">
        <v>0.25700000000000001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6</v>
      </c>
      <c r="D25" s="6">
        <v>2022</v>
      </c>
      <c r="E25" s="8">
        <f>Submetring!E25+Submetring!F25+Submetring!G25</f>
        <v>0</v>
      </c>
      <c r="F25" s="6">
        <v>0.25700000000000001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6</v>
      </c>
      <c r="D26" s="6">
        <v>2022</v>
      </c>
      <c r="E26" s="8">
        <f>Submetring!E26+Submetring!F26+Submetring!G26</f>
        <v>0</v>
      </c>
      <c r="F26" s="6">
        <v>0.25700000000000001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6</v>
      </c>
      <c r="D27" s="6">
        <v>2022</v>
      </c>
      <c r="E27" s="8">
        <f>Submetring!E27+Submetring!F27+Submetring!G27</f>
        <v>0</v>
      </c>
      <c r="F27" s="6">
        <v>0.25700000000000001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6</v>
      </c>
      <c r="D28" s="6">
        <v>2022</v>
      </c>
      <c r="E28" s="8">
        <f>Submetring!E28+Submetring!F28+Submetring!G28</f>
        <v>0</v>
      </c>
      <c r="F28" s="6">
        <v>0.25700000000000001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6</v>
      </c>
      <c r="D29" s="6">
        <v>2022</v>
      </c>
      <c r="E29" s="8">
        <f>Submetring!E29+Submetring!F29+Submetring!G29</f>
        <v>0</v>
      </c>
      <c r="F29" s="6">
        <v>0.25700000000000001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6</v>
      </c>
      <c r="D30" s="6">
        <v>2022</v>
      </c>
      <c r="E30" s="8">
        <f>Submetring!E30+Submetring!F30+Submetring!G30</f>
        <v>0</v>
      </c>
      <c r="F30" s="6">
        <v>0.25700000000000001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6</v>
      </c>
      <c r="D31" s="6">
        <v>2022</v>
      </c>
      <c r="E31" s="8">
        <f>Submetring!E31+Submetring!F31+Submetring!G31</f>
        <v>0</v>
      </c>
      <c r="F31" s="6">
        <v>0.25700000000000001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6</v>
      </c>
      <c r="D32" s="6">
        <v>2022</v>
      </c>
      <c r="E32" s="8">
        <f>Submetring!E32+Submetring!F32+Submetring!G32</f>
        <v>0</v>
      </c>
      <c r="F32" s="6">
        <v>0.25700000000000001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topLeftCell="A2" workbookViewId="0">
      <selection activeCell="Q18" sqref="Q18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6</v>
      </c>
      <c r="D2" s="10">
        <v>2022</v>
      </c>
      <c r="E2" s="11">
        <f>Hotel!D9</f>
        <v>3881</v>
      </c>
      <c r="F2" s="11">
        <f>Hotel!F9</f>
        <v>4266</v>
      </c>
      <c r="G2" s="11">
        <f>Hotel!H9</f>
        <v>4177</v>
      </c>
      <c r="H2" s="11">
        <f>Hotel!N9</f>
        <v>120</v>
      </c>
      <c r="I2" s="11">
        <f>Hotel!P9</f>
        <v>996</v>
      </c>
      <c r="J2" s="11">
        <f>Hotel!U9</f>
        <v>422</v>
      </c>
      <c r="K2" s="11">
        <f>Hotel!Y9</f>
        <v>164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6</v>
      </c>
      <c r="D3" s="10">
        <v>2022</v>
      </c>
      <c r="E3" s="11">
        <f>Hotel!D10</f>
        <v>4764</v>
      </c>
      <c r="F3" s="11">
        <f>Hotel!F10</f>
        <v>4291</v>
      </c>
      <c r="G3" s="11">
        <f>Hotel!H10</f>
        <v>4080</v>
      </c>
      <c r="H3" s="11">
        <f>Hotel!N10</f>
        <v>146</v>
      </c>
      <c r="I3" s="11">
        <f>Hotel!P10</f>
        <v>1019</v>
      </c>
      <c r="J3" s="11">
        <f>Hotel!U10</f>
        <v>512</v>
      </c>
      <c r="K3" s="11">
        <f>Hotel!Y10</f>
        <v>166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6</v>
      </c>
      <c r="D4" s="10">
        <v>2022</v>
      </c>
      <c r="E4" s="11">
        <f>Hotel!D11</f>
        <v>4533</v>
      </c>
      <c r="F4" s="11">
        <f>Hotel!F11</f>
        <v>4489</v>
      </c>
      <c r="G4" s="11">
        <f>Hotel!H11</f>
        <v>4351</v>
      </c>
      <c r="H4" s="11">
        <f>Hotel!N11</f>
        <v>138</v>
      </c>
      <c r="I4" s="11">
        <f>Hotel!P11</f>
        <v>1026</v>
      </c>
      <c r="J4" s="11">
        <f>Hotel!U11</f>
        <v>476</v>
      </c>
      <c r="K4" s="11">
        <f>Hotel!Y11</f>
        <v>181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6</v>
      </c>
      <c r="D5" s="10">
        <v>2022</v>
      </c>
      <c r="E5" s="11">
        <f>Hotel!D12</f>
        <v>4808</v>
      </c>
      <c r="F5" s="11">
        <f>Hotel!F12</f>
        <v>4753</v>
      </c>
      <c r="G5" s="11">
        <f>Hotel!H12</f>
        <v>4634</v>
      </c>
      <c r="H5" s="11">
        <f>Hotel!N12</f>
        <v>157</v>
      </c>
      <c r="I5" s="11">
        <f>Hotel!P12</f>
        <v>1130</v>
      </c>
      <c r="J5" s="11">
        <f>Hotel!U12</f>
        <v>468</v>
      </c>
      <c r="K5" s="11">
        <f>Hotel!Y12</f>
        <v>173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6</v>
      </c>
      <c r="D6" s="10">
        <v>2022</v>
      </c>
      <c r="E6" s="11">
        <f>Hotel!D13</f>
        <v>5167</v>
      </c>
      <c r="F6" s="11">
        <f>Hotel!F13</f>
        <v>5091</v>
      </c>
      <c r="G6" s="11">
        <f>Hotel!H13</f>
        <v>4970</v>
      </c>
      <c r="H6" s="11">
        <f>Hotel!N13</f>
        <v>158</v>
      </c>
      <c r="I6" s="11">
        <f>Hotel!P13</f>
        <v>1083</v>
      </c>
      <c r="J6" s="11">
        <f>Hotel!U13</f>
        <v>457</v>
      </c>
      <c r="K6" s="11">
        <f>Hotel!Y13</f>
        <v>168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6</v>
      </c>
      <c r="D7" s="10">
        <v>2022</v>
      </c>
      <c r="E7" s="11">
        <f>Hotel!D14</f>
        <v>4772</v>
      </c>
      <c r="F7" s="11">
        <f>Hotel!F14</f>
        <v>4719</v>
      </c>
      <c r="G7" s="11">
        <f>Hotel!H14</f>
        <v>4547</v>
      </c>
      <c r="H7" s="11">
        <f>Hotel!N14</f>
        <v>164</v>
      </c>
      <c r="I7" s="11">
        <f>Hotel!P14</f>
        <v>949</v>
      </c>
      <c r="J7" s="11">
        <f>Hotel!U14</f>
        <v>441</v>
      </c>
      <c r="K7" s="11">
        <f>Hotel!Y14</f>
        <v>157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6</v>
      </c>
      <c r="D8" s="10">
        <v>2022</v>
      </c>
      <c r="E8" s="11">
        <f>Hotel!D15</f>
        <v>4738</v>
      </c>
      <c r="F8" s="11">
        <f>Hotel!F15</f>
        <v>4683</v>
      </c>
      <c r="G8" s="11">
        <f>Hotel!H15</f>
        <v>4506</v>
      </c>
      <c r="H8" s="11">
        <f>Hotel!N15</f>
        <v>127</v>
      </c>
      <c r="I8" s="11">
        <f>Hotel!P15</f>
        <v>992</v>
      </c>
      <c r="J8" s="11">
        <f>Hotel!U15</f>
        <v>451</v>
      </c>
      <c r="K8" s="11">
        <f>Hotel!Y15</f>
        <v>135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6</v>
      </c>
      <c r="D9" s="10">
        <v>2022</v>
      </c>
      <c r="E9" s="11">
        <f>Hotel!D16</f>
        <v>4678</v>
      </c>
      <c r="F9" s="11">
        <f>Hotel!F16</f>
        <v>4596</v>
      </c>
      <c r="G9" s="11">
        <f>Hotel!H16</f>
        <v>4440</v>
      </c>
      <c r="H9" s="11">
        <f>Hotel!N16</f>
        <v>124</v>
      </c>
      <c r="I9" s="11">
        <f>Hotel!P16</f>
        <v>950</v>
      </c>
      <c r="J9" s="11">
        <f>Hotel!U16</f>
        <v>237</v>
      </c>
      <c r="K9" s="11">
        <f>Hotel!Y16</f>
        <v>139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6</v>
      </c>
      <c r="D10" s="10">
        <v>2022</v>
      </c>
      <c r="E10" s="11">
        <f>Hotel!D17</f>
        <v>4379</v>
      </c>
      <c r="F10" s="11">
        <f>Hotel!F17</f>
        <v>4302</v>
      </c>
      <c r="G10" s="11">
        <f>Hotel!H17</f>
        <v>4138</v>
      </c>
      <c r="H10" s="11">
        <f>Hotel!N17</f>
        <v>141</v>
      </c>
      <c r="I10" s="11">
        <f>Hotel!P17</f>
        <v>880</v>
      </c>
      <c r="J10" s="11">
        <f>Hotel!U17</f>
        <v>419</v>
      </c>
      <c r="K10" s="11">
        <f>Hotel!Y17</f>
        <v>135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6</v>
      </c>
      <c r="D11" s="10">
        <v>2022</v>
      </c>
      <c r="E11" s="11">
        <f>Hotel!D18</f>
        <v>4472</v>
      </c>
      <c r="F11" s="11">
        <f>Hotel!F18</f>
        <v>4425</v>
      </c>
      <c r="G11" s="11">
        <f>Hotel!H18</f>
        <v>4224</v>
      </c>
      <c r="H11" s="11">
        <f>Hotel!N18</f>
        <v>161</v>
      </c>
      <c r="I11" s="11">
        <f>Hotel!P18</f>
        <v>931</v>
      </c>
      <c r="J11" s="11">
        <f>Hotel!U18</f>
        <v>242</v>
      </c>
      <c r="K11" s="11">
        <f>Hotel!Y18</f>
        <v>152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6</v>
      </c>
      <c r="D12" s="10">
        <v>2022</v>
      </c>
      <c r="E12" s="11">
        <f>Hotel!D19</f>
        <v>4291</v>
      </c>
      <c r="F12" s="11">
        <f>Hotel!F19</f>
        <v>4232</v>
      </c>
      <c r="G12" s="11">
        <f>Hotel!H19</f>
        <v>4061</v>
      </c>
      <c r="H12" s="11">
        <f>Hotel!N19</f>
        <v>157</v>
      </c>
      <c r="I12" s="11">
        <f>Hotel!P19</f>
        <v>948</v>
      </c>
      <c r="J12" s="11">
        <f>Hotel!U19</f>
        <v>242</v>
      </c>
      <c r="K12" s="11">
        <f>Hotel!Y19</f>
        <v>122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6</v>
      </c>
      <c r="D13" s="10">
        <v>2022</v>
      </c>
      <c r="E13" s="11" t="str">
        <f>Hotel!D20</f>
        <v>0</v>
      </c>
      <c r="F13" s="11" t="str">
        <f>Hotel!F20</f>
        <v>0</v>
      </c>
      <c r="G13" s="11" t="str">
        <f>Hotel!H20</f>
        <v>0</v>
      </c>
      <c r="H13" s="11" t="str">
        <f>Hotel!N20</f>
        <v>0</v>
      </c>
      <c r="I13" s="11" t="str">
        <f>Hotel!P20</f>
        <v>0</v>
      </c>
      <c r="J13" s="11" t="str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6</v>
      </c>
      <c r="D14" s="10">
        <v>2022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6</v>
      </c>
      <c r="D15" s="10">
        <v>2022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6</v>
      </c>
      <c r="D16" s="10">
        <v>2022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6</v>
      </c>
      <c r="D17" s="10">
        <v>2022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6</v>
      </c>
      <c r="D18" s="10">
        <v>2022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6</v>
      </c>
      <c r="D19" s="10">
        <v>2022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6</v>
      </c>
      <c r="D20" s="10">
        <v>2022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6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6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6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6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6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6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6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6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6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6</v>
      </c>
      <c r="D30" s="10">
        <v>2022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6</v>
      </c>
      <c r="D31" s="10">
        <v>2022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6</v>
      </c>
      <c r="D32" s="10">
        <v>2022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U23" sqref="U23"/>
    </sheetView>
  </sheetViews>
  <sheetFormatPr defaultRowHeight="15" x14ac:dyDescent="0.25"/>
  <cols>
    <col min="4" max="4" width="9.28515625" bestFit="1" customWidth="1"/>
    <col min="11" max="11" width="10" bestFit="1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0"/>
      <c r="C1" s="130"/>
      <c r="D1" s="130"/>
      <c r="E1" s="130"/>
      <c r="F1" s="131" t="s">
        <v>95</v>
      </c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31" t="s">
        <v>122</v>
      </c>
      <c r="X1" s="132"/>
      <c r="Y1" s="132"/>
      <c r="Z1" s="133"/>
    </row>
    <row r="2" spans="1:27" x14ac:dyDescent="0.25">
      <c r="A2" s="10"/>
      <c r="B2" s="130"/>
      <c r="C2" s="130"/>
      <c r="D2" s="130"/>
      <c r="E2" s="130"/>
      <c r="F2" s="134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6"/>
      <c r="W2" s="134"/>
      <c r="X2" s="135"/>
      <c r="Y2" s="135"/>
      <c r="Z2" s="136"/>
    </row>
    <row r="3" spans="1:27" x14ac:dyDescent="0.25">
      <c r="A3" s="10"/>
      <c r="B3" s="130"/>
      <c r="C3" s="130"/>
      <c r="D3" s="130"/>
      <c r="E3" s="130"/>
      <c r="F3" s="134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6"/>
      <c r="W3" s="134">
        <v>2022</v>
      </c>
      <c r="X3" s="135"/>
      <c r="Y3" s="135"/>
      <c r="Z3" s="136"/>
    </row>
    <row r="4" spans="1:27" x14ac:dyDescent="0.25">
      <c r="A4" s="10"/>
      <c r="B4" s="130"/>
      <c r="C4" s="130"/>
      <c r="D4" s="130"/>
      <c r="E4" s="130"/>
      <c r="F4" s="137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9"/>
      <c r="W4" s="137"/>
      <c r="X4" s="138"/>
      <c r="Y4" s="138"/>
      <c r="Z4" s="139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6717759</v>
      </c>
      <c r="D6" s="28"/>
      <c r="E6" s="29">
        <v>6664313</v>
      </c>
      <c r="F6" s="30"/>
      <c r="G6" s="122">
        <v>6294343</v>
      </c>
      <c r="H6" s="31">
        <f>G6-G5</f>
        <v>6294343</v>
      </c>
      <c r="I6" s="32"/>
      <c r="J6" s="33">
        <f>D6+F6+H6</f>
        <v>6294343</v>
      </c>
      <c r="K6" s="33" t="e">
        <f>D6*0.152+F6*0.238+H6*0.115+#REF!*0.218</f>
        <v>#REF!</v>
      </c>
      <c r="L6" s="34"/>
      <c r="M6" s="35">
        <v>185936</v>
      </c>
      <c r="N6" s="31" t="e">
        <f>M6-#REF!</f>
        <v>#REF!</v>
      </c>
      <c r="O6" s="36">
        <v>2767330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368104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0" t="s">
        <v>97</v>
      </c>
      <c r="D7" s="141"/>
      <c r="E7" s="141"/>
      <c r="F7" s="141"/>
      <c r="G7" s="141"/>
      <c r="H7" s="141"/>
      <c r="I7" s="141"/>
      <c r="J7" s="141"/>
      <c r="K7" s="142"/>
      <c r="L7" s="41"/>
      <c r="M7" s="140" t="s">
        <v>98</v>
      </c>
      <c r="N7" s="141"/>
      <c r="O7" s="141"/>
      <c r="P7" s="141"/>
      <c r="Q7" s="141"/>
      <c r="R7" s="142"/>
      <c r="S7" s="41"/>
      <c r="T7" s="143" t="s">
        <v>99</v>
      </c>
      <c r="U7" s="143"/>
      <c r="V7" s="144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6721640</v>
      </c>
      <c r="D9" s="61">
        <f>IF((C9-C6&lt;0), "0",C9-C6)</f>
        <v>3881</v>
      </c>
      <c r="E9" s="62">
        <v>6668579</v>
      </c>
      <c r="F9" s="61">
        <f>IF((E9-E6&lt;0), "0",E9-E6)</f>
        <v>4266</v>
      </c>
      <c r="G9" s="63">
        <v>6298520</v>
      </c>
      <c r="H9" s="61">
        <f>IF((G9-G6&lt;0), "0",G9-G6)</f>
        <v>4177</v>
      </c>
      <c r="I9" s="60">
        <f>H9+F9+D9</f>
        <v>12324</v>
      </c>
      <c r="J9" s="64">
        <v>0.99</v>
      </c>
      <c r="K9" s="65">
        <f>I9*0.257</f>
        <v>3167.268</v>
      </c>
      <c r="L9" s="66"/>
      <c r="M9" s="60">
        <v>186056</v>
      </c>
      <c r="N9" s="61">
        <f>IF((M9-M6&lt;0), "0",M9-M6)</f>
        <v>120</v>
      </c>
      <c r="O9" s="60">
        <v>2768326</v>
      </c>
      <c r="P9" s="61">
        <f>IF((O9-O6&lt;0), "0",O9-O6)</f>
        <v>996</v>
      </c>
      <c r="Q9" s="67">
        <f t="shared" ref="Q9:Q39" si="0">N9+P9</f>
        <v>1116</v>
      </c>
      <c r="R9" s="68">
        <f>(P9+N9*1.2285)*0.056*10.127</f>
        <v>648.44720304000009</v>
      </c>
      <c r="S9" s="69"/>
      <c r="T9" s="70">
        <v>368526</v>
      </c>
      <c r="U9" s="61">
        <f>IF((T9-T6&lt;0), "0",T9-T6)</f>
        <v>422</v>
      </c>
      <c r="V9" s="71">
        <f>U9*(1.315+1.54)</f>
        <v>1204.81</v>
      </c>
      <c r="W9" s="72"/>
      <c r="X9" s="73">
        <f t="shared" ref="X9:X39" si="1">K9+R9+V9</f>
        <v>5020.5252030400006</v>
      </c>
      <c r="Y9" s="74">
        <v>164</v>
      </c>
      <c r="Z9" s="75">
        <f>X9/Y9</f>
        <v>30.612958555121956</v>
      </c>
    </row>
    <row r="10" spans="1:27" x14ac:dyDescent="0.25">
      <c r="A10" s="10" t="s">
        <v>120</v>
      </c>
      <c r="B10" s="59">
        <f>B9+1</f>
        <v>2</v>
      </c>
      <c r="C10" s="62">
        <v>6726404</v>
      </c>
      <c r="D10" s="61">
        <f t="shared" ref="D10:D39" si="2">IF((C10-C9&lt;0), "0",C10-C9)</f>
        <v>4764</v>
      </c>
      <c r="E10" s="62">
        <v>6672870</v>
      </c>
      <c r="F10" s="61">
        <f>IF((E10-E9&lt;0), "0",E10-E9)</f>
        <v>4291</v>
      </c>
      <c r="G10" s="63">
        <v>6302600</v>
      </c>
      <c r="H10" s="61">
        <f t="shared" ref="H10:H39" si="3">IF((G10-G9&lt;0), "0",G10-G9)</f>
        <v>4080</v>
      </c>
      <c r="I10" s="60">
        <f t="shared" ref="I10:I39" si="4">H10+F10+D10</f>
        <v>13135</v>
      </c>
      <c r="J10" s="64">
        <v>0.99</v>
      </c>
      <c r="K10" s="65">
        <f t="shared" ref="K10:K39" si="5">I10*0.257</f>
        <v>3375.6950000000002</v>
      </c>
      <c r="L10" s="66"/>
      <c r="M10" s="60">
        <v>186202</v>
      </c>
      <c r="N10" s="61">
        <f>IF((M10-M9&lt;0), "0",M10-M9)</f>
        <v>146</v>
      </c>
      <c r="O10" s="60">
        <v>2769345</v>
      </c>
      <c r="P10" s="61">
        <f>IF((O10-O9&lt;0), "0",O10-O9)</f>
        <v>1019</v>
      </c>
      <c r="Q10" s="67">
        <f t="shared" si="0"/>
        <v>1165</v>
      </c>
      <c r="R10" s="68">
        <f t="shared" ref="R10:R39" si="6">(P10+N10*1.2285)*0.056*10.127</f>
        <v>679.60490343200001</v>
      </c>
      <c r="S10" s="69"/>
      <c r="T10" s="70">
        <v>369038</v>
      </c>
      <c r="U10" s="61">
        <f>IF((T10-T9&lt;0), "0",T10-T9)</f>
        <v>512</v>
      </c>
      <c r="V10" s="71">
        <f t="shared" ref="V10:V39" si="7">U10*(1.315+1.54)</f>
        <v>1461.76</v>
      </c>
      <c r="W10" s="72"/>
      <c r="X10" s="77">
        <f t="shared" si="1"/>
        <v>5517.0599034320003</v>
      </c>
      <c r="Y10" s="78">
        <v>166</v>
      </c>
      <c r="Z10" s="79">
        <f t="shared" ref="Z10:Z39" si="8">X10/Y10</f>
        <v>33.235300623084342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6730937</v>
      </c>
      <c r="D11" s="61">
        <f t="shared" si="2"/>
        <v>4533</v>
      </c>
      <c r="E11" s="62">
        <v>6677359</v>
      </c>
      <c r="F11" s="61">
        <f t="shared" ref="F11:F39" si="10">IF((E11-E10&lt;0), "0",E11-E10)</f>
        <v>4489</v>
      </c>
      <c r="G11" s="63">
        <v>6306951</v>
      </c>
      <c r="H11" s="61">
        <f t="shared" si="3"/>
        <v>4351</v>
      </c>
      <c r="I11" s="60">
        <f t="shared" si="4"/>
        <v>13373</v>
      </c>
      <c r="J11" s="64">
        <v>0.99</v>
      </c>
      <c r="K11" s="65">
        <f t="shared" si="5"/>
        <v>3436.8609999999999</v>
      </c>
      <c r="L11" s="66"/>
      <c r="M11" s="60">
        <v>186340</v>
      </c>
      <c r="N11" s="61">
        <f t="shared" ref="N11:N39" si="11">IF((M11-M10&lt;0), "0",M11-M10)</f>
        <v>138</v>
      </c>
      <c r="O11" s="60">
        <v>2770371</v>
      </c>
      <c r="P11" s="61">
        <f t="shared" ref="P11:P39" si="12">IF((O11-O10&lt;0), "0",O11-O10)</f>
        <v>1026</v>
      </c>
      <c r="Q11" s="67">
        <f t="shared" si="0"/>
        <v>1164</v>
      </c>
      <c r="R11" s="68">
        <f t="shared" si="6"/>
        <v>678.00111069600007</v>
      </c>
      <c r="S11" s="69"/>
      <c r="T11" s="70">
        <v>369514</v>
      </c>
      <c r="U11" s="61">
        <f t="shared" ref="U11:U39" si="13">IF((T11-T10&lt;0), "0",T11-T10)</f>
        <v>476</v>
      </c>
      <c r="V11" s="71">
        <f t="shared" si="7"/>
        <v>1358.98</v>
      </c>
      <c r="W11" s="72"/>
      <c r="X11" s="77">
        <f t="shared" si="1"/>
        <v>5473.8421106959995</v>
      </c>
      <c r="Y11" s="78">
        <v>181</v>
      </c>
      <c r="Z11" s="79">
        <f t="shared" si="8"/>
        <v>30.242221606055246</v>
      </c>
    </row>
    <row r="12" spans="1:27" x14ac:dyDescent="0.25">
      <c r="A12" s="10" t="s">
        <v>96</v>
      </c>
      <c r="B12" s="59">
        <f t="shared" si="9"/>
        <v>4</v>
      </c>
      <c r="C12" s="62">
        <v>6735745</v>
      </c>
      <c r="D12" s="61">
        <f t="shared" si="2"/>
        <v>4808</v>
      </c>
      <c r="E12" s="62">
        <v>6682112</v>
      </c>
      <c r="F12" s="61">
        <f t="shared" si="10"/>
        <v>4753</v>
      </c>
      <c r="G12" s="63">
        <v>6311585</v>
      </c>
      <c r="H12" s="61">
        <f t="shared" si="3"/>
        <v>4634</v>
      </c>
      <c r="I12" s="60">
        <f t="shared" si="4"/>
        <v>14195</v>
      </c>
      <c r="J12" s="64">
        <v>0.99</v>
      </c>
      <c r="K12" s="65">
        <f t="shared" si="5"/>
        <v>3648.1150000000002</v>
      </c>
      <c r="L12" s="66"/>
      <c r="M12" s="60">
        <v>186497</v>
      </c>
      <c r="N12" s="61">
        <f t="shared" si="11"/>
        <v>157</v>
      </c>
      <c r="O12" s="60">
        <v>2771501</v>
      </c>
      <c r="P12" s="61">
        <f t="shared" si="12"/>
        <v>1130</v>
      </c>
      <c r="Q12" s="67">
        <f t="shared" si="0"/>
        <v>1287</v>
      </c>
      <c r="R12" s="68">
        <f t="shared" si="6"/>
        <v>750.21800344400003</v>
      </c>
      <c r="S12" s="69"/>
      <c r="T12" s="70">
        <v>369982</v>
      </c>
      <c r="U12" s="61">
        <f t="shared" si="13"/>
        <v>468</v>
      </c>
      <c r="V12" s="71">
        <f t="shared" si="7"/>
        <v>1336.14</v>
      </c>
      <c r="W12" s="72"/>
      <c r="X12" s="77">
        <f t="shared" si="1"/>
        <v>5734.4730034440008</v>
      </c>
      <c r="Y12" s="78">
        <v>173</v>
      </c>
      <c r="Z12" s="79">
        <f t="shared" si="8"/>
        <v>33.147242794473996</v>
      </c>
    </row>
    <row r="13" spans="1:27" x14ac:dyDescent="0.25">
      <c r="A13" s="10" t="s">
        <v>116</v>
      </c>
      <c r="B13" s="59">
        <f t="shared" si="9"/>
        <v>5</v>
      </c>
      <c r="C13" s="62">
        <v>6740912</v>
      </c>
      <c r="D13" s="61">
        <f t="shared" si="2"/>
        <v>5167</v>
      </c>
      <c r="E13" s="62">
        <v>6687203</v>
      </c>
      <c r="F13" s="61">
        <f t="shared" si="10"/>
        <v>5091</v>
      </c>
      <c r="G13" s="63">
        <v>6316555</v>
      </c>
      <c r="H13" s="61">
        <f t="shared" si="3"/>
        <v>4970</v>
      </c>
      <c r="I13" s="60">
        <f t="shared" si="4"/>
        <v>15228</v>
      </c>
      <c r="J13" s="64">
        <v>0.99</v>
      </c>
      <c r="K13" s="65">
        <f t="shared" si="5"/>
        <v>3913.596</v>
      </c>
      <c r="L13" s="66"/>
      <c r="M13" s="60">
        <v>186655</v>
      </c>
      <c r="N13" s="61">
        <f t="shared" si="11"/>
        <v>158</v>
      </c>
      <c r="O13" s="60">
        <v>2772584</v>
      </c>
      <c r="P13" s="61">
        <f t="shared" si="12"/>
        <v>1083</v>
      </c>
      <c r="Q13" s="67">
        <f t="shared" si="0"/>
        <v>1241</v>
      </c>
      <c r="R13" s="68">
        <f t="shared" si="6"/>
        <v>724.26043653600004</v>
      </c>
      <c r="S13" s="69"/>
      <c r="T13" s="70">
        <v>370439</v>
      </c>
      <c r="U13" s="61">
        <f t="shared" si="13"/>
        <v>457</v>
      </c>
      <c r="V13" s="71">
        <f t="shared" si="7"/>
        <v>1304.7349999999999</v>
      </c>
      <c r="W13" s="72"/>
      <c r="X13" s="77">
        <f t="shared" si="1"/>
        <v>5942.5914365359995</v>
      </c>
      <c r="Y13" s="78">
        <v>168</v>
      </c>
      <c r="Z13" s="79">
        <f t="shared" si="8"/>
        <v>35.372568074619046</v>
      </c>
    </row>
    <row r="14" spans="1:27" x14ac:dyDescent="0.25">
      <c r="A14" s="10" t="s">
        <v>117</v>
      </c>
      <c r="B14" s="59">
        <f t="shared" si="9"/>
        <v>6</v>
      </c>
      <c r="C14" s="62">
        <v>6745684</v>
      </c>
      <c r="D14" s="61">
        <f t="shared" si="2"/>
        <v>4772</v>
      </c>
      <c r="E14" s="62">
        <v>6691922</v>
      </c>
      <c r="F14" s="61">
        <f t="shared" si="10"/>
        <v>4719</v>
      </c>
      <c r="G14" s="63">
        <v>6321102</v>
      </c>
      <c r="H14" s="61">
        <f t="shared" si="3"/>
        <v>4547</v>
      </c>
      <c r="I14" s="60">
        <f t="shared" si="4"/>
        <v>14038</v>
      </c>
      <c r="J14" s="64">
        <v>0.99</v>
      </c>
      <c r="K14" s="65">
        <f t="shared" si="5"/>
        <v>3607.7660000000001</v>
      </c>
      <c r="L14" s="66"/>
      <c r="M14" s="60">
        <v>186819</v>
      </c>
      <c r="N14" s="61">
        <f t="shared" si="11"/>
        <v>164</v>
      </c>
      <c r="O14" s="60">
        <v>2773533</v>
      </c>
      <c r="P14" s="61">
        <f t="shared" si="12"/>
        <v>949</v>
      </c>
      <c r="Q14" s="67">
        <f t="shared" si="0"/>
        <v>1113</v>
      </c>
      <c r="R14" s="68">
        <f t="shared" si="6"/>
        <v>652.44761108799992</v>
      </c>
      <c r="S14" s="69"/>
      <c r="T14" s="70">
        <v>370880</v>
      </c>
      <c r="U14" s="61">
        <f t="shared" si="13"/>
        <v>441</v>
      </c>
      <c r="V14" s="71">
        <f t="shared" si="7"/>
        <v>1259.0550000000001</v>
      </c>
      <c r="W14" s="72"/>
      <c r="X14" s="77">
        <f t="shared" si="1"/>
        <v>5519.2686110880004</v>
      </c>
      <c r="Y14" s="78">
        <v>157</v>
      </c>
      <c r="Z14" s="79">
        <f t="shared" si="8"/>
        <v>35.154577140687898</v>
      </c>
    </row>
    <row r="15" spans="1:27" x14ac:dyDescent="0.25">
      <c r="A15" s="10" t="s">
        <v>118</v>
      </c>
      <c r="B15" s="59">
        <f t="shared" si="9"/>
        <v>7</v>
      </c>
      <c r="C15" s="62">
        <v>6750422</v>
      </c>
      <c r="D15" s="61">
        <f t="shared" si="2"/>
        <v>4738</v>
      </c>
      <c r="E15" s="62">
        <v>6696605</v>
      </c>
      <c r="F15" s="61">
        <f t="shared" si="10"/>
        <v>4683</v>
      </c>
      <c r="G15" s="63">
        <v>6325608</v>
      </c>
      <c r="H15" s="61">
        <f t="shared" si="3"/>
        <v>4506</v>
      </c>
      <c r="I15" s="60">
        <f t="shared" si="4"/>
        <v>13927</v>
      </c>
      <c r="J15" s="64">
        <v>0.99</v>
      </c>
      <c r="K15" s="65">
        <f t="shared" si="5"/>
        <v>3579.239</v>
      </c>
      <c r="L15" s="66"/>
      <c r="M15" s="60">
        <v>186946</v>
      </c>
      <c r="N15" s="61">
        <f t="shared" si="11"/>
        <v>127</v>
      </c>
      <c r="O15" s="60">
        <v>2774525</v>
      </c>
      <c r="P15" s="61">
        <f t="shared" si="12"/>
        <v>992</v>
      </c>
      <c r="Q15" s="67">
        <f t="shared" si="0"/>
        <v>1119</v>
      </c>
      <c r="R15" s="68">
        <f t="shared" si="6"/>
        <v>651.05563468399998</v>
      </c>
      <c r="S15" s="69"/>
      <c r="T15" s="70">
        <v>371331</v>
      </c>
      <c r="U15" s="61">
        <f t="shared" si="13"/>
        <v>451</v>
      </c>
      <c r="V15" s="71">
        <f t="shared" si="7"/>
        <v>1287.605</v>
      </c>
      <c r="W15" s="72"/>
      <c r="X15" s="77">
        <f t="shared" si="1"/>
        <v>5517.8996346839995</v>
      </c>
      <c r="Y15" s="78">
        <v>135</v>
      </c>
      <c r="Z15" s="79">
        <f t="shared" si="8"/>
        <v>40.873330627288887</v>
      </c>
    </row>
    <row r="16" spans="1:27" x14ac:dyDescent="0.25">
      <c r="A16" s="10" t="s">
        <v>119</v>
      </c>
      <c r="B16" s="59">
        <f t="shared" si="9"/>
        <v>8</v>
      </c>
      <c r="C16" s="62">
        <v>6755100</v>
      </c>
      <c r="D16" s="61">
        <f t="shared" si="2"/>
        <v>4678</v>
      </c>
      <c r="E16" s="62">
        <v>6701201</v>
      </c>
      <c r="F16" s="61">
        <f t="shared" si="10"/>
        <v>4596</v>
      </c>
      <c r="G16" s="63">
        <v>6330048</v>
      </c>
      <c r="H16" s="61">
        <f t="shared" si="3"/>
        <v>4440</v>
      </c>
      <c r="I16" s="60">
        <f t="shared" si="4"/>
        <v>13714</v>
      </c>
      <c r="J16" s="64">
        <v>0.99</v>
      </c>
      <c r="K16" s="65">
        <f t="shared" si="5"/>
        <v>3524.498</v>
      </c>
      <c r="L16" s="66"/>
      <c r="M16" s="60">
        <v>187070</v>
      </c>
      <c r="N16" s="61">
        <f t="shared" si="11"/>
        <v>124</v>
      </c>
      <c r="O16" s="60">
        <v>2775475</v>
      </c>
      <c r="P16" s="61">
        <f t="shared" si="12"/>
        <v>950</v>
      </c>
      <c r="Q16" s="67">
        <f t="shared" si="0"/>
        <v>1074</v>
      </c>
      <c r="R16" s="68">
        <f t="shared" si="6"/>
        <v>625.14683940800012</v>
      </c>
      <c r="S16" s="69"/>
      <c r="T16" s="70">
        <v>371568</v>
      </c>
      <c r="U16" s="61">
        <f t="shared" si="13"/>
        <v>237</v>
      </c>
      <c r="V16" s="71">
        <f t="shared" si="7"/>
        <v>676.63499999999999</v>
      </c>
      <c r="W16" s="72"/>
      <c r="X16" s="77">
        <f t="shared" si="1"/>
        <v>4826.279839408</v>
      </c>
      <c r="Y16" s="78">
        <v>139</v>
      </c>
      <c r="Z16" s="79">
        <f t="shared" si="8"/>
        <v>34.721437693582736</v>
      </c>
    </row>
    <row r="17" spans="1:26" x14ac:dyDescent="0.25">
      <c r="A17" s="10" t="s">
        <v>120</v>
      </c>
      <c r="B17" s="59">
        <v>9</v>
      </c>
      <c r="C17" s="62">
        <v>6759479</v>
      </c>
      <c r="D17" s="61">
        <f t="shared" si="2"/>
        <v>4379</v>
      </c>
      <c r="E17" s="62">
        <v>6705503</v>
      </c>
      <c r="F17" s="61">
        <f t="shared" si="10"/>
        <v>4302</v>
      </c>
      <c r="G17" s="63">
        <v>6334186</v>
      </c>
      <c r="H17" s="61">
        <f t="shared" si="3"/>
        <v>4138</v>
      </c>
      <c r="I17" s="60">
        <f t="shared" si="4"/>
        <v>12819</v>
      </c>
      <c r="J17" s="64">
        <v>0.99</v>
      </c>
      <c r="K17" s="65">
        <f t="shared" si="5"/>
        <v>3294.4830000000002</v>
      </c>
      <c r="L17" s="66"/>
      <c r="M17" s="60">
        <v>187211</v>
      </c>
      <c r="N17" s="61">
        <f t="shared" si="11"/>
        <v>141</v>
      </c>
      <c r="O17" s="60">
        <v>2776355</v>
      </c>
      <c r="P17" s="61">
        <f t="shared" si="12"/>
        <v>880</v>
      </c>
      <c r="Q17" s="67">
        <f t="shared" si="0"/>
        <v>1021</v>
      </c>
      <c r="R17" s="68">
        <f t="shared" si="6"/>
        <v>597.292849972</v>
      </c>
      <c r="S17" s="69"/>
      <c r="T17" s="70">
        <v>371987</v>
      </c>
      <c r="U17" s="61">
        <f t="shared" si="13"/>
        <v>419</v>
      </c>
      <c r="V17" s="71">
        <f t="shared" si="7"/>
        <v>1196.2449999999999</v>
      </c>
      <c r="W17" s="72"/>
      <c r="X17" s="77">
        <f t="shared" si="1"/>
        <v>5088.0208499720002</v>
      </c>
      <c r="Y17" s="78">
        <v>135</v>
      </c>
      <c r="Z17" s="79">
        <f t="shared" si="8"/>
        <v>37.68904333312593</v>
      </c>
    </row>
    <row r="18" spans="1:26" x14ac:dyDescent="0.25">
      <c r="A18" s="10" t="s">
        <v>121</v>
      </c>
      <c r="B18" s="80">
        <f t="shared" si="9"/>
        <v>10</v>
      </c>
      <c r="C18" s="62">
        <v>6763951</v>
      </c>
      <c r="D18" s="61">
        <f t="shared" si="2"/>
        <v>4472</v>
      </c>
      <c r="E18" s="62">
        <v>6709928</v>
      </c>
      <c r="F18" s="61">
        <f t="shared" si="10"/>
        <v>4425</v>
      </c>
      <c r="G18" s="63">
        <v>6338410</v>
      </c>
      <c r="H18" s="61">
        <f t="shared" si="3"/>
        <v>4224</v>
      </c>
      <c r="I18" s="60">
        <f t="shared" si="4"/>
        <v>13121</v>
      </c>
      <c r="J18" s="64">
        <v>0.99</v>
      </c>
      <c r="K18" s="65">
        <f t="shared" si="5"/>
        <v>3372.0970000000002</v>
      </c>
      <c r="L18" s="81"/>
      <c r="M18" s="60">
        <v>187372</v>
      </c>
      <c r="N18" s="61">
        <f t="shared" si="11"/>
        <v>161</v>
      </c>
      <c r="O18" s="60">
        <v>2777286</v>
      </c>
      <c r="P18" s="61">
        <f t="shared" si="12"/>
        <v>931</v>
      </c>
      <c r="Q18" s="67">
        <f t="shared" si="0"/>
        <v>1092</v>
      </c>
      <c r="R18" s="68">
        <f t="shared" si="6"/>
        <v>640.14950381200015</v>
      </c>
      <c r="S18" s="82"/>
      <c r="T18" s="70">
        <v>372229</v>
      </c>
      <c r="U18" s="61">
        <f t="shared" si="13"/>
        <v>242</v>
      </c>
      <c r="V18" s="71">
        <f t="shared" si="7"/>
        <v>690.91</v>
      </c>
      <c r="W18" s="72"/>
      <c r="X18" s="77">
        <f t="shared" si="1"/>
        <v>4703.1565038120007</v>
      </c>
      <c r="Y18" s="78">
        <v>152</v>
      </c>
      <c r="Z18" s="83">
        <f t="shared" si="8"/>
        <v>30.941819104026319</v>
      </c>
    </row>
    <row r="19" spans="1:26" x14ac:dyDescent="0.25">
      <c r="A19" s="10" t="s">
        <v>96</v>
      </c>
      <c r="B19" s="84">
        <f t="shared" si="9"/>
        <v>11</v>
      </c>
      <c r="C19" s="62">
        <v>6768242</v>
      </c>
      <c r="D19" s="61">
        <f t="shared" si="2"/>
        <v>4291</v>
      </c>
      <c r="E19" s="62">
        <v>6714160</v>
      </c>
      <c r="F19" s="61">
        <f t="shared" si="10"/>
        <v>4232</v>
      </c>
      <c r="G19" s="63">
        <v>6342471</v>
      </c>
      <c r="H19" s="61">
        <f t="shared" si="3"/>
        <v>4061</v>
      </c>
      <c r="I19" s="60">
        <f t="shared" si="4"/>
        <v>12584</v>
      </c>
      <c r="J19" s="64">
        <v>0.99</v>
      </c>
      <c r="K19" s="65">
        <f t="shared" si="5"/>
        <v>3234.0880000000002</v>
      </c>
      <c r="L19" s="66"/>
      <c r="M19" s="60">
        <v>187529</v>
      </c>
      <c r="N19" s="61">
        <f t="shared" si="11"/>
        <v>157</v>
      </c>
      <c r="O19" s="60">
        <v>2778234</v>
      </c>
      <c r="P19" s="61">
        <f t="shared" si="12"/>
        <v>948</v>
      </c>
      <c r="Q19" s="67">
        <f t="shared" si="0"/>
        <v>1105</v>
      </c>
      <c r="R19" s="68">
        <f t="shared" si="6"/>
        <v>647.00361944400004</v>
      </c>
      <c r="S19" s="69"/>
      <c r="T19" s="70">
        <v>372471</v>
      </c>
      <c r="U19" s="61">
        <f t="shared" si="13"/>
        <v>242</v>
      </c>
      <c r="V19" s="71">
        <f t="shared" si="7"/>
        <v>690.91</v>
      </c>
      <c r="W19" s="72"/>
      <c r="X19" s="77">
        <f t="shared" si="1"/>
        <v>4572.0016194440004</v>
      </c>
      <c r="Y19" s="78">
        <v>122</v>
      </c>
      <c r="Z19" s="75">
        <f t="shared" si="8"/>
        <v>37.475423110196722</v>
      </c>
    </row>
    <row r="20" spans="1:26" x14ac:dyDescent="0.25">
      <c r="A20" s="10" t="s">
        <v>116</v>
      </c>
      <c r="B20" s="59">
        <f t="shared" si="9"/>
        <v>12</v>
      </c>
      <c r="C20" s="62"/>
      <c r="D20" s="61" t="str">
        <f t="shared" si="2"/>
        <v>0</v>
      </c>
      <c r="E20" s="62"/>
      <c r="F20" s="61" t="str">
        <f t="shared" si="10"/>
        <v>0</v>
      </c>
      <c r="G20" s="63"/>
      <c r="H20" s="61" t="str">
        <f t="shared" si="3"/>
        <v>0</v>
      </c>
      <c r="I20" s="60">
        <f t="shared" si="4"/>
        <v>0</v>
      </c>
      <c r="J20" s="64">
        <v>0.99</v>
      </c>
      <c r="K20" s="65">
        <f t="shared" si="5"/>
        <v>0</v>
      </c>
      <c r="L20" s="66"/>
      <c r="M20" s="60"/>
      <c r="N20" s="61" t="str">
        <f t="shared" si="11"/>
        <v>0</v>
      </c>
      <c r="O20" s="60"/>
      <c r="P20" s="61" t="str">
        <f t="shared" si="12"/>
        <v>0</v>
      </c>
      <c r="Q20" s="67">
        <f t="shared" si="0"/>
        <v>0</v>
      </c>
      <c r="R20" s="68">
        <f t="shared" si="6"/>
        <v>0</v>
      </c>
      <c r="S20" s="69"/>
      <c r="T20" s="70"/>
      <c r="U20" s="61" t="str">
        <f t="shared" si="13"/>
        <v>0</v>
      </c>
      <c r="V20" s="71">
        <f t="shared" si="7"/>
        <v>0</v>
      </c>
      <c r="W20" s="72"/>
      <c r="X20" s="77">
        <f t="shared" si="1"/>
        <v>0</v>
      </c>
      <c r="Y20" s="78"/>
      <c r="Z20" s="79" t="e">
        <f t="shared" si="8"/>
        <v>#DIV/0!</v>
      </c>
    </row>
    <row r="21" spans="1:26" x14ac:dyDescent="0.25">
      <c r="A21" s="10" t="s">
        <v>117</v>
      </c>
      <c r="B21" s="59">
        <f t="shared" si="9"/>
        <v>13</v>
      </c>
      <c r="C21" s="62"/>
      <c r="D21" s="61">
        <f t="shared" si="2"/>
        <v>0</v>
      </c>
      <c r="E21" s="62"/>
      <c r="F21" s="61">
        <f t="shared" si="10"/>
        <v>0</v>
      </c>
      <c r="G21" s="63"/>
      <c r="H21" s="61">
        <f t="shared" si="3"/>
        <v>0</v>
      </c>
      <c r="I21" s="60">
        <f t="shared" si="4"/>
        <v>0</v>
      </c>
      <c r="J21" s="64">
        <v>0.99</v>
      </c>
      <c r="K21" s="65">
        <f t="shared" si="5"/>
        <v>0</v>
      </c>
      <c r="L21" s="66"/>
      <c r="M21" s="60"/>
      <c r="N21" s="61">
        <f t="shared" si="11"/>
        <v>0</v>
      </c>
      <c r="O21" s="60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70"/>
      <c r="U21" s="61">
        <f t="shared" si="13"/>
        <v>0</v>
      </c>
      <c r="V21" s="71">
        <f t="shared" si="7"/>
        <v>0</v>
      </c>
      <c r="W21" s="72"/>
      <c r="X21" s="77">
        <f t="shared" si="1"/>
        <v>0</v>
      </c>
      <c r="Y21" s="78"/>
      <c r="Z21" s="79" t="e">
        <f t="shared" si="8"/>
        <v>#DIV/0!</v>
      </c>
    </row>
    <row r="22" spans="1:26" x14ac:dyDescent="0.25">
      <c r="A22" s="10" t="s">
        <v>118</v>
      </c>
      <c r="B22" s="59">
        <f t="shared" si="9"/>
        <v>14</v>
      </c>
      <c r="C22" s="62"/>
      <c r="D22" s="61">
        <f t="shared" si="2"/>
        <v>0</v>
      </c>
      <c r="E22" s="62"/>
      <c r="F22" s="61">
        <f t="shared" si="10"/>
        <v>0</v>
      </c>
      <c r="G22" s="63"/>
      <c r="H22" s="61">
        <f t="shared" si="3"/>
        <v>0</v>
      </c>
      <c r="I22" s="60">
        <f t="shared" si="4"/>
        <v>0</v>
      </c>
      <c r="J22" s="64">
        <v>0.99</v>
      </c>
      <c r="K22" s="65">
        <f t="shared" si="5"/>
        <v>0</v>
      </c>
      <c r="L22" s="66"/>
      <c r="M22" s="60"/>
      <c r="N22" s="61">
        <f t="shared" si="11"/>
        <v>0</v>
      </c>
      <c r="O22" s="60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70"/>
      <c r="U22" s="61">
        <f t="shared" si="13"/>
        <v>0</v>
      </c>
      <c r="V22" s="71">
        <f t="shared" si="7"/>
        <v>0</v>
      </c>
      <c r="W22" s="72"/>
      <c r="X22" s="77">
        <f t="shared" si="1"/>
        <v>0</v>
      </c>
      <c r="Y22" s="78"/>
      <c r="Z22" s="79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62"/>
      <c r="D23" s="61">
        <f t="shared" si="2"/>
        <v>0</v>
      </c>
      <c r="E23" s="62"/>
      <c r="F23" s="61">
        <f t="shared" si="10"/>
        <v>0</v>
      </c>
      <c r="G23" s="63"/>
      <c r="H23" s="61">
        <f t="shared" si="3"/>
        <v>0</v>
      </c>
      <c r="I23" s="60">
        <f t="shared" si="4"/>
        <v>0</v>
      </c>
      <c r="J23" s="64">
        <v>0.99</v>
      </c>
      <c r="K23" s="65">
        <f t="shared" si="5"/>
        <v>0</v>
      </c>
      <c r="L23" s="66"/>
      <c r="M23" s="60"/>
      <c r="N23" s="61">
        <f t="shared" si="11"/>
        <v>0</v>
      </c>
      <c r="O23" s="60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70"/>
      <c r="U23" s="61">
        <f t="shared" si="13"/>
        <v>0</v>
      </c>
      <c r="V23" s="71">
        <f t="shared" si="7"/>
        <v>0</v>
      </c>
      <c r="W23" s="72"/>
      <c r="X23" s="77">
        <f t="shared" si="1"/>
        <v>0</v>
      </c>
      <c r="Y23" s="78"/>
      <c r="Z23" s="79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62"/>
      <c r="D24" s="61">
        <f t="shared" si="2"/>
        <v>0</v>
      </c>
      <c r="E24" s="62"/>
      <c r="F24" s="61">
        <f t="shared" si="10"/>
        <v>0</v>
      </c>
      <c r="G24" s="63"/>
      <c r="H24" s="61">
        <f t="shared" si="3"/>
        <v>0</v>
      </c>
      <c r="I24" s="60">
        <f t="shared" si="4"/>
        <v>0</v>
      </c>
      <c r="J24" s="64">
        <v>0.99</v>
      </c>
      <c r="K24" s="65">
        <f t="shared" si="5"/>
        <v>0</v>
      </c>
      <c r="L24" s="66"/>
      <c r="M24" s="60"/>
      <c r="N24" s="61">
        <f t="shared" si="11"/>
        <v>0</v>
      </c>
      <c r="O24" s="60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70"/>
      <c r="U24" s="61">
        <f t="shared" si="13"/>
        <v>0</v>
      </c>
      <c r="V24" s="71">
        <f t="shared" si="7"/>
        <v>0</v>
      </c>
      <c r="W24" s="72"/>
      <c r="X24" s="77">
        <f t="shared" si="1"/>
        <v>0</v>
      </c>
      <c r="Y24" s="78"/>
      <c r="Z24" s="79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62"/>
      <c r="D25" s="61">
        <f t="shared" si="2"/>
        <v>0</v>
      </c>
      <c r="E25" s="62"/>
      <c r="F25" s="61">
        <f t="shared" si="10"/>
        <v>0</v>
      </c>
      <c r="G25" s="63"/>
      <c r="H25" s="61">
        <f t="shared" si="3"/>
        <v>0</v>
      </c>
      <c r="I25" s="60">
        <f t="shared" si="4"/>
        <v>0</v>
      </c>
      <c r="J25" s="64">
        <v>0.99</v>
      </c>
      <c r="K25" s="65">
        <f t="shared" si="5"/>
        <v>0</v>
      </c>
      <c r="L25" s="66"/>
      <c r="M25" s="60"/>
      <c r="N25" s="61">
        <f t="shared" si="11"/>
        <v>0</v>
      </c>
      <c r="O25" s="60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70"/>
      <c r="U25" s="61">
        <f t="shared" si="13"/>
        <v>0</v>
      </c>
      <c r="V25" s="71">
        <f t="shared" si="7"/>
        <v>0</v>
      </c>
      <c r="W25" s="72"/>
      <c r="X25" s="77">
        <f t="shared" si="1"/>
        <v>0</v>
      </c>
      <c r="Y25" s="78"/>
      <c r="Z25" s="79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62"/>
      <c r="D26" s="61">
        <f t="shared" si="2"/>
        <v>0</v>
      </c>
      <c r="E26" s="62"/>
      <c r="F26" s="61">
        <f t="shared" si="10"/>
        <v>0</v>
      </c>
      <c r="G26" s="63"/>
      <c r="H26" s="61">
        <f t="shared" si="3"/>
        <v>0</v>
      </c>
      <c r="I26" s="60">
        <f t="shared" si="4"/>
        <v>0</v>
      </c>
      <c r="J26" s="64">
        <v>0.99</v>
      </c>
      <c r="K26" s="65">
        <f t="shared" si="5"/>
        <v>0</v>
      </c>
      <c r="L26" s="66"/>
      <c r="M26" s="60"/>
      <c r="N26" s="61">
        <f t="shared" si="11"/>
        <v>0</v>
      </c>
      <c r="O26" s="60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70"/>
      <c r="U26" s="61">
        <f t="shared" si="13"/>
        <v>0</v>
      </c>
      <c r="V26" s="71">
        <f t="shared" si="7"/>
        <v>0</v>
      </c>
      <c r="W26" s="72"/>
      <c r="X26" s="77">
        <f t="shared" si="1"/>
        <v>0</v>
      </c>
      <c r="Y26" s="78"/>
      <c r="Z26" s="79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62"/>
      <c r="D27" s="61">
        <f t="shared" si="2"/>
        <v>0</v>
      </c>
      <c r="E27" s="62"/>
      <c r="F27" s="61">
        <f t="shared" si="10"/>
        <v>0</v>
      </c>
      <c r="G27" s="63"/>
      <c r="H27" s="61">
        <f t="shared" si="3"/>
        <v>0</v>
      </c>
      <c r="I27" s="60">
        <f t="shared" si="4"/>
        <v>0</v>
      </c>
      <c r="J27" s="64">
        <v>0.99</v>
      </c>
      <c r="K27" s="65">
        <f t="shared" si="5"/>
        <v>0</v>
      </c>
      <c r="L27" s="85"/>
      <c r="M27" s="60"/>
      <c r="N27" s="61">
        <f t="shared" si="11"/>
        <v>0</v>
      </c>
      <c r="O27" s="60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70"/>
      <c r="U27" s="61">
        <f t="shared" si="13"/>
        <v>0</v>
      </c>
      <c r="V27" s="71">
        <f t="shared" si="7"/>
        <v>0</v>
      </c>
      <c r="W27" s="72"/>
      <c r="X27" s="77">
        <f t="shared" si="1"/>
        <v>0</v>
      </c>
      <c r="Y27" s="78"/>
      <c r="Z27" s="79" t="e">
        <f t="shared" si="8"/>
        <v>#DIV/0!</v>
      </c>
    </row>
    <row r="28" spans="1:26" x14ac:dyDescent="0.25">
      <c r="A28" s="10" t="s">
        <v>117</v>
      </c>
      <c r="B28" s="80">
        <f t="shared" si="9"/>
        <v>20</v>
      </c>
      <c r="C28" s="62"/>
      <c r="D28" s="61">
        <f t="shared" si="2"/>
        <v>0</v>
      </c>
      <c r="E28" s="62"/>
      <c r="F28" s="61">
        <f t="shared" si="10"/>
        <v>0</v>
      </c>
      <c r="G28" s="63"/>
      <c r="H28" s="61">
        <f t="shared" si="3"/>
        <v>0</v>
      </c>
      <c r="I28" s="60">
        <f t="shared" si="4"/>
        <v>0</v>
      </c>
      <c r="J28" s="64">
        <v>0.99</v>
      </c>
      <c r="K28" s="65">
        <f t="shared" si="5"/>
        <v>0</v>
      </c>
      <c r="L28" s="86"/>
      <c r="M28" s="60"/>
      <c r="N28" s="61">
        <f t="shared" si="11"/>
        <v>0</v>
      </c>
      <c r="O28" s="60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70"/>
      <c r="U28" s="61">
        <f t="shared" si="13"/>
        <v>0</v>
      </c>
      <c r="V28" s="71">
        <f t="shared" si="7"/>
        <v>0</v>
      </c>
      <c r="W28" s="72"/>
      <c r="X28" s="87">
        <f t="shared" si="1"/>
        <v>0</v>
      </c>
      <c r="Y28" s="78"/>
      <c r="Z28" s="83" t="e">
        <f t="shared" si="8"/>
        <v>#DIV/0!</v>
      </c>
    </row>
    <row r="29" spans="1:26" x14ac:dyDescent="0.25">
      <c r="A29" s="10" t="s">
        <v>118</v>
      </c>
      <c r="B29" s="84">
        <f t="shared" si="9"/>
        <v>21</v>
      </c>
      <c r="C29" s="62"/>
      <c r="D29" s="61">
        <f t="shared" si="2"/>
        <v>0</v>
      </c>
      <c r="E29" s="62"/>
      <c r="F29" s="61">
        <f t="shared" si="10"/>
        <v>0</v>
      </c>
      <c r="G29" s="63"/>
      <c r="H29" s="61">
        <f t="shared" si="3"/>
        <v>0</v>
      </c>
      <c r="I29" s="60">
        <f t="shared" si="4"/>
        <v>0</v>
      </c>
      <c r="J29" s="64">
        <v>0.99</v>
      </c>
      <c r="K29" s="65">
        <f t="shared" si="5"/>
        <v>0</v>
      </c>
      <c r="L29" s="66"/>
      <c r="M29" s="60"/>
      <c r="N29" s="61">
        <f t="shared" si="11"/>
        <v>0</v>
      </c>
      <c r="O29" s="60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70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78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62"/>
      <c r="D30" s="61">
        <f t="shared" si="2"/>
        <v>0</v>
      </c>
      <c r="E30" s="62"/>
      <c r="F30" s="61">
        <f t="shared" si="10"/>
        <v>0</v>
      </c>
      <c r="G30" s="63"/>
      <c r="H30" s="61">
        <f t="shared" si="3"/>
        <v>0</v>
      </c>
      <c r="I30" s="60">
        <f t="shared" si="4"/>
        <v>0</v>
      </c>
      <c r="J30" s="64">
        <v>0.99</v>
      </c>
      <c r="K30" s="65">
        <f t="shared" si="5"/>
        <v>0</v>
      </c>
      <c r="L30" s="66"/>
      <c r="M30" s="60"/>
      <c r="N30" s="61">
        <f t="shared" si="11"/>
        <v>0</v>
      </c>
      <c r="O30" s="60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70"/>
      <c r="U30" s="61">
        <f t="shared" si="13"/>
        <v>0</v>
      </c>
      <c r="V30" s="71">
        <f t="shared" si="7"/>
        <v>0</v>
      </c>
      <c r="W30" s="72"/>
      <c r="X30" s="77">
        <f t="shared" si="1"/>
        <v>0</v>
      </c>
      <c r="Y30" s="78"/>
      <c r="Z30" s="79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62"/>
      <c r="D31" s="61">
        <f t="shared" si="2"/>
        <v>0</v>
      </c>
      <c r="E31" s="62"/>
      <c r="F31" s="61">
        <f t="shared" si="10"/>
        <v>0</v>
      </c>
      <c r="G31" s="63"/>
      <c r="H31" s="61">
        <f t="shared" si="3"/>
        <v>0</v>
      </c>
      <c r="I31" s="60">
        <f t="shared" si="4"/>
        <v>0</v>
      </c>
      <c r="J31" s="64">
        <v>0.99</v>
      </c>
      <c r="K31" s="65">
        <f t="shared" si="5"/>
        <v>0</v>
      </c>
      <c r="L31" s="66"/>
      <c r="M31" s="60"/>
      <c r="N31" s="61">
        <f t="shared" si="11"/>
        <v>0</v>
      </c>
      <c r="O31" s="60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70"/>
      <c r="U31" s="61">
        <f t="shared" si="13"/>
        <v>0</v>
      </c>
      <c r="V31" s="71">
        <f t="shared" si="7"/>
        <v>0</v>
      </c>
      <c r="W31" s="72"/>
      <c r="X31" s="88">
        <f t="shared" si="1"/>
        <v>0</v>
      </c>
      <c r="Y31" s="78"/>
      <c r="Z31" s="79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62"/>
      <c r="D32" s="61">
        <f t="shared" si="2"/>
        <v>0</v>
      </c>
      <c r="E32" s="62"/>
      <c r="F32" s="61">
        <f t="shared" si="10"/>
        <v>0</v>
      </c>
      <c r="G32" s="63"/>
      <c r="H32" s="61">
        <f t="shared" si="3"/>
        <v>0</v>
      </c>
      <c r="I32" s="60">
        <f t="shared" si="4"/>
        <v>0</v>
      </c>
      <c r="J32" s="64">
        <v>0.99</v>
      </c>
      <c r="K32" s="65">
        <f t="shared" si="5"/>
        <v>0</v>
      </c>
      <c r="L32" s="66"/>
      <c r="M32" s="60"/>
      <c r="N32" s="61">
        <f t="shared" si="11"/>
        <v>0</v>
      </c>
      <c r="O32" s="60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70"/>
      <c r="U32" s="61">
        <f t="shared" si="13"/>
        <v>0</v>
      </c>
      <c r="V32" s="71">
        <f t="shared" si="7"/>
        <v>0</v>
      </c>
      <c r="W32" s="72"/>
      <c r="X32" s="88">
        <f t="shared" si="1"/>
        <v>0</v>
      </c>
      <c r="Y32" s="78"/>
      <c r="Z32" s="79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62"/>
      <c r="D33" s="61">
        <f t="shared" si="2"/>
        <v>0</v>
      </c>
      <c r="E33" s="62"/>
      <c r="F33" s="61">
        <f t="shared" si="10"/>
        <v>0</v>
      </c>
      <c r="G33" s="63"/>
      <c r="H33" s="61">
        <f t="shared" si="3"/>
        <v>0</v>
      </c>
      <c r="I33" s="60">
        <f t="shared" si="4"/>
        <v>0</v>
      </c>
      <c r="J33" s="64">
        <v>0.99</v>
      </c>
      <c r="K33" s="65">
        <f t="shared" si="5"/>
        <v>0</v>
      </c>
      <c r="L33" s="66"/>
      <c r="M33" s="60"/>
      <c r="N33" s="61">
        <f t="shared" si="11"/>
        <v>0</v>
      </c>
      <c r="O33" s="60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70"/>
      <c r="U33" s="61">
        <f t="shared" si="13"/>
        <v>0</v>
      </c>
      <c r="V33" s="71">
        <f t="shared" si="7"/>
        <v>0</v>
      </c>
      <c r="W33" s="72"/>
      <c r="X33" s="88">
        <f t="shared" si="1"/>
        <v>0</v>
      </c>
      <c r="Y33" s="78"/>
      <c r="Z33" s="79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62"/>
      <c r="D34" s="61">
        <f t="shared" si="2"/>
        <v>0</v>
      </c>
      <c r="E34" s="62"/>
      <c r="F34" s="61">
        <f t="shared" si="10"/>
        <v>0</v>
      </c>
      <c r="G34" s="63"/>
      <c r="H34" s="61">
        <f t="shared" si="3"/>
        <v>0</v>
      </c>
      <c r="I34" s="60">
        <f t="shared" si="4"/>
        <v>0</v>
      </c>
      <c r="J34" s="64">
        <v>0.99</v>
      </c>
      <c r="K34" s="65">
        <f t="shared" si="5"/>
        <v>0</v>
      </c>
      <c r="L34" s="66"/>
      <c r="M34" s="60"/>
      <c r="N34" s="61">
        <f t="shared" si="11"/>
        <v>0</v>
      </c>
      <c r="O34" s="60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70"/>
      <c r="U34" s="61">
        <f t="shared" si="13"/>
        <v>0</v>
      </c>
      <c r="V34" s="71">
        <f t="shared" si="7"/>
        <v>0</v>
      </c>
      <c r="W34" s="72"/>
      <c r="X34" s="88">
        <f t="shared" si="1"/>
        <v>0</v>
      </c>
      <c r="Y34" s="78"/>
      <c r="Z34" s="79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62"/>
      <c r="D35" s="61">
        <f t="shared" si="2"/>
        <v>0</v>
      </c>
      <c r="E35" s="62"/>
      <c r="F35" s="61">
        <f t="shared" si="10"/>
        <v>0</v>
      </c>
      <c r="G35" s="63"/>
      <c r="H35" s="61">
        <f t="shared" si="3"/>
        <v>0</v>
      </c>
      <c r="I35" s="60">
        <f t="shared" si="4"/>
        <v>0</v>
      </c>
      <c r="J35" s="64">
        <v>0.99</v>
      </c>
      <c r="K35" s="65">
        <f t="shared" si="5"/>
        <v>0</v>
      </c>
      <c r="L35" s="66"/>
      <c r="M35" s="60"/>
      <c r="N35" s="61">
        <f t="shared" si="11"/>
        <v>0</v>
      </c>
      <c r="O35" s="60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70"/>
      <c r="U35" s="61">
        <f t="shared" si="13"/>
        <v>0</v>
      </c>
      <c r="V35" s="71">
        <f t="shared" si="7"/>
        <v>0</v>
      </c>
      <c r="W35" s="72"/>
      <c r="X35" s="88">
        <f t="shared" si="1"/>
        <v>0</v>
      </c>
      <c r="Y35" s="78"/>
      <c r="Z35" s="79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62"/>
      <c r="D36" s="61">
        <f t="shared" si="2"/>
        <v>0</v>
      </c>
      <c r="E36" s="62"/>
      <c r="F36" s="61">
        <f t="shared" si="10"/>
        <v>0</v>
      </c>
      <c r="G36" s="63"/>
      <c r="H36" s="61">
        <f t="shared" si="3"/>
        <v>0</v>
      </c>
      <c r="I36" s="60">
        <f t="shared" si="4"/>
        <v>0</v>
      </c>
      <c r="J36" s="64">
        <v>0.99</v>
      </c>
      <c r="K36" s="65">
        <f t="shared" si="5"/>
        <v>0</v>
      </c>
      <c r="L36" s="66"/>
      <c r="M36" s="60"/>
      <c r="N36" s="61">
        <f t="shared" si="11"/>
        <v>0</v>
      </c>
      <c r="O36" s="60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0"/>
      <c r="U36" s="61">
        <f t="shared" si="13"/>
        <v>0</v>
      </c>
      <c r="V36" s="71">
        <f t="shared" si="7"/>
        <v>0</v>
      </c>
      <c r="W36" s="72"/>
      <c r="X36" s="88">
        <f t="shared" si="1"/>
        <v>0</v>
      </c>
      <c r="Y36" s="78"/>
      <c r="Z36" s="79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2"/>
      <c r="D37" s="61">
        <f t="shared" si="2"/>
        <v>0</v>
      </c>
      <c r="E37" s="62"/>
      <c r="F37" s="61">
        <f t="shared" si="10"/>
        <v>0</v>
      </c>
      <c r="G37" s="63"/>
      <c r="H37" s="61">
        <f t="shared" si="3"/>
        <v>0</v>
      </c>
      <c r="I37" s="60">
        <f t="shared" si="4"/>
        <v>0</v>
      </c>
      <c r="J37" s="64">
        <v>0.99</v>
      </c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88">
        <f t="shared" si="1"/>
        <v>0</v>
      </c>
      <c r="Y37" s="101"/>
      <c r="Z37" s="79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2"/>
      <c r="D38" s="61">
        <f t="shared" si="2"/>
        <v>0</v>
      </c>
      <c r="E38" s="62"/>
      <c r="F38" s="61">
        <f t="shared" si="10"/>
        <v>0</v>
      </c>
      <c r="G38" s="63"/>
      <c r="H38" s="61">
        <f t="shared" si="3"/>
        <v>0</v>
      </c>
      <c r="I38" s="60">
        <f t="shared" si="4"/>
        <v>0</v>
      </c>
      <c r="J38" s="64">
        <v>0.99</v>
      </c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88">
        <f t="shared" si="1"/>
        <v>0</v>
      </c>
      <c r="Y38" s="101"/>
      <c r="Z38" s="79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2"/>
      <c r="D39" s="61">
        <f t="shared" si="2"/>
        <v>0</v>
      </c>
      <c r="E39" s="62"/>
      <c r="F39" s="61">
        <f t="shared" si="10"/>
        <v>0</v>
      </c>
      <c r="G39" s="63"/>
      <c r="H39" s="61">
        <f t="shared" si="3"/>
        <v>0</v>
      </c>
      <c r="I39" s="60">
        <f t="shared" si="4"/>
        <v>0</v>
      </c>
      <c r="J39" s="64">
        <v>0.99</v>
      </c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88">
        <f t="shared" si="1"/>
        <v>0</v>
      </c>
      <c r="Y39" s="101"/>
      <c r="Z39" s="79" t="e">
        <f t="shared" si="8"/>
        <v>#DIV/0!</v>
      </c>
    </row>
    <row r="40" spans="1:26" x14ac:dyDescent="0.25">
      <c r="A40" s="10"/>
      <c r="B40" s="89"/>
      <c r="C40" s="90">
        <f>SUMIF(D9:D36,"&gt;0")</f>
        <v>50483</v>
      </c>
      <c r="D40" s="91"/>
      <c r="E40" s="125">
        <f>SUMIF(F9:F36,"&gt;0")</f>
        <v>49847</v>
      </c>
      <c r="F40" s="126"/>
      <c r="G40" s="127">
        <f>SUMIF(H9:H36,"&gt;0")</f>
        <v>48128</v>
      </c>
      <c r="H40" s="126"/>
      <c r="I40" s="92">
        <f>SUMIF(I9:I36,"&gt;0")</f>
        <v>148458</v>
      </c>
      <c r="J40" s="93"/>
      <c r="K40" s="94">
        <f>SUMIF(K9:K39,"&gt;0")</f>
        <v>38153.706000000006</v>
      </c>
      <c r="L40" s="92"/>
      <c r="M40" s="127">
        <f>SUMIF(N9:N36,"&gt;0")</f>
        <v>1593</v>
      </c>
      <c r="N40" s="126"/>
      <c r="O40" s="127">
        <f>SUMIF(P9:P36,"&gt;0")</f>
        <v>10904</v>
      </c>
      <c r="P40" s="126"/>
      <c r="Q40" s="93">
        <f>SUMIF(Q9:Q36,"&gt;0")</f>
        <v>12497</v>
      </c>
      <c r="R40" s="94">
        <f>SUMIF(R9:R36,"&gt;0")</f>
        <v>7293.627715556001</v>
      </c>
      <c r="S40" s="95"/>
      <c r="T40" s="128">
        <f>SUMIF(U9:U36,"&gt;0")</f>
        <v>4367</v>
      </c>
      <c r="U40" s="129"/>
      <c r="V40" s="96">
        <f>SUMIF(V9:V36,"&gt;0")</f>
        <v>12467.785</v>
      </c>
      <c r="W40" s="97"/>
      <c r="X40" s="98">
        <f>SUMIF(X9:X36,"&gt;0")</f>
        <v>57915.118715556011</v>
      </c>
      <c r="Y40" s="99">
        <f>SUM(Y9:Y39)</f>
        <v>1692</v>
      </c>
      <c r="Z40" s="100">
        <f>(SUMIF(Z9:Z36,"&gt;0")/31)</f>
        <v>12.240836214911713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B8" sqref="B8:BI35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4"/>
      <c r="AM8" s="113"/>
      <c r="AN8" s="115"/>
      <c r="AO8" s="115"/>
      <c r="AP8" s="115"/>
      <c r="AQ8" s="113"/>
      <c r="AR8" s="113"/>
      <c r="AS8" s="113"/>
      <c r="AT8" s="113"/>
      <c r="AU8" s="113"/>
      <c r="AV8" s="113"/>
      <c r="AW8" s="113"/>
      <c r="AX8" s="113"/>
      <c r="AY8" s="124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17"/>
      <c r="AM9" s="103"/>
      <c r="AN9" s="107"/>
      <c r="AO9" s="107"/>
      <c r="AP9" s="107"/>
      <c r="AQ9" s="103"/>
      <c r="AR9" s="103"/>
      <c r="AS9" s="103"/>
      <c r="AT9" s="103"/>
      <c r="AU9" s="103"/>
      <c r="AV9" s="103"/>
      <c r="AW9" s="103"/>
      <c r="AX9" s="103"/>
      <c r="AY9" s="103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17"/>
      <c r="AM10" s="103"/>
      <c r="AN10" s="107"/>
      <c r="AO10" s="107"/>
      <c r="AP10" s="107"/>
      <c r="AQ10" s="103"/>
      <c r="AR10" s="103"/>
      <c r="AS10" s="103"/>
      <c r="AT10" s="103"/>
      <c r="AU10" s="103"/>
      <c r="AV10" s="103"/>
      <c r="AW10" s="103"/>
      <c r="AX10" s="103"/>
      <c r="AY10" s="103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23"/>
      <c r="AJ11" s="103"/>
      <c r="AK11" s="103"/>
      <c r="AL11" s="103"/>
      <c r="AM11" s="123"/>
      <c r="AN11" s="117"/>
      <c r="AO11" s="103"/>
      <c r="AP11" s="107"/>
      <c r="AQ11" s="107"/>
      <c r="AR11" s="103"/>
      <c r="AS11" s="123"/>
      <c r="AT11" s="103"/>
      <c r="AU11" s="103"/>
      <c r="AV11" s="103"/>
      <c r="AW11" s="103"/>
      <c r="AX11" s="103"/>
      <c r="AY11" s="103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2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17"/>
      <c r="AM13" s="103"/>
      <c r="AN13" s="107"/>
      <c r="AO13" s="107"/>
      <c r="AP13" s="107"/>
      <c r="AQ13" s="103"/>
      <c r="AR13" s="103"/>
      <c r="AS13" s="103"/>
      <c r="AT13" s="103"/>
      <c r="AU13" s="103"/>
      <c r="AV13" s="103"/>
      <c r="AW13" s="103"/>
      <c r="AX13" s="103"/>
      <c r="AY13" s="103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17"/>
      <c r="AM14" s="103"/>
      <c r="AN14" s="107"/>
      <c r="AO14" s="107"/>
      <c r="AP14" s="107"/>
      <c r="AQ14" s="103"/>
      <c r="AR14" s="103"/>
      <c r="AS14" s="103"/>
      <c r="AT14" s="103"/>
      <c r="AU14" s="103"/>
      <c r="AV14" s="103"/>
      <c r="AW14" s="103"/>
      <c r="AX14" s="103"/>
      <c r="AY14" s="103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17"/>
      <c r="AM15" s="103"/>
      <c r="AN15" s="107"/>
      <c r="AO15" s="107"/>
      <c r="AP15" s="107"/>
      <c r="AQ15" s="103"/>
      <c r="AR15" s="103"/>
      <c r="AS15" s="103"/>
      <c r="AT15" s="103"/>
      <c r="AU15" s="103"/>
      <c r="AV15" s="103"/>
      <c r="AW15" s="103"/>
      <c r="AX15" s="103"/>
      <c r="AY15" s="103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17"/>
      <c r="AM16" s="103"/>
      <c r="AN16" s="107"/>
      <c r="AO16" s="107"/>
      <c r="AP16" s="107"/>
      <c r="AQ16" s="103"/>
      <c r="AR16" s="103"/>
      <c r="AS16" s="103"/>
      <c r="AT16" s="103"/>
      <c r="AU16" s="103"/>
      <c r="AV16" s="103"/>
      <c r="AW16" s="103"/>
      <c r="AX16" s="103"/>
      <c r="AY16" s="103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17"/>
      <c r="AM17" s="103"/>
      <c r="AN17" s="107"/>
      <c r="AO17" s="107"/>
      <c r="AP17" s="107"/>
      <c r="AQ17" s="103"/>
      <c r="AR17" s="103"/>
      <c r="AS17" s="103"/>
      <c r="AT17" s="103"/>
      <c r="AU17" s="103"/>
      <c r="AV17" s="103"/>
      <c r="AW17" s="103"/>
      <c r="AX17" s="103"/>
      <c r="AY17" s="103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/>
      <c r="C18" s="103"/>
      <c r="D18" s="103"/>
      <c r="E18" s="103"/>
      <c r="F18" s="103"/>
      <c r="G18" s="103"/>
      <c r="H18" s="103"/>
      <c r="I18" s="103"/>
      <c r="J18" s="12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2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17"/>
      <c r="AM18" s="103"/>
      <c r="AN18" s="107"/>
      <c r="AO18" s="107"/>
      <c r="AP18" s="107"/>
      <c r="AQ18" s="103"/>
      <c r="AR18" s="103"/>
      <c r="AS18" s="103"/>
      <c r="AT18" s="103"/>
      <c r="AU18" s="103"/>
      <c r="AV18" s="103"/>
      <c r="AW18" s="103"/>
      <c r="AX18" s="103"/>
      <c r="AY18" s="103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/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17"/>
      <c r="AM19" s="103"/>
      <c r="AN19" s="107"/>
      <c r="AO19" s="107"/>
      <c r="AP19" s="107"/>
      <c r="AQ19" s="103"/>
      <c r="AR19" s="103"/>
      <c r="AS19" s="103"/>
      <c r="AT19" s="103"/>
      <c r="AU19" s="103"/>
      <c r="AV19" s="103"/>
      <c r="AW19" s="103"/>
      <c r="AX19" s="103"/>
      <c r="AY19" s="103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7"/>
      <c r="AK20" s="107"/>
      <c r="AL20" s="11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7"/>
      <c r="AK21" s="107"/>
      <c r="AL21" s="11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7"/>
      <c r="AK22" s="107"/>
      <c r="AL22" s="11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17"/>
      <c r="AM23" s="103"/>
      <c r="AN23" s="107"/>
      <c r="AO23" s="107"/>
      <c r="AP23" s="107"/>
      <c r="AQ23" s="103"/>
      <c r="AR23" s="103"/>
      <c r="AS23" s="103"/>
      <c r="AT23" s="103"/>
      <c r="AU23" s="103"/>
      <c r="AV23" s="103"/>
      <c r="AW23" s="103"/>
      <c r="AX23" s="103"/>
      <c r="AY23" s="103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2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23"/>
      <c r="AF24" s="103"/>
      <c r="AG24" s="103"/>
      <c r="AH24" s="103"/>
      <c r="AI24" s="103"/>
      <c r="AJ24" s="103"/>
      <c r="AK24" s="103"/>
      <c r="AL24" s="103"/>
      <c r="AM24" s="117"/>
      <c r="AN24" s="103"/>
      <c r="AO24" s="107"/>
      <c r="AP24" s="107"/>
      <c r="AQ24" s="103"/>
      <c r="AR24" s="103"/>
      <c r="AS24" s="103"/>
      <c r="AT24" s="103"/>
      <c r="AU24" s="103"/>
      <c r="AV24" s="103"/>
      <c r="AW24" s="103"/>
      <c r="AX24" s="103"/>
      <c r="AY24" s="103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17"/>
      <c r="AM25" s="103"/>
      <c r="AN25" s="107"/>
      <c r="AO25" s="107"/>
      <c r="AP25" s="107"/>
      <c r="AQ25" s="103"/>
      <c r="AR25" s="103"/>
      <c r="AS25" s="103"/>
      <c r="AT25" s="103"/>
      <c r="AU25" s="103"/>
      <c r="AV25" s="103"/>
      <c r="AW25" s="103"/>
      <c r="AX25" s="103"/>
      <c r="AY25" s="103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17"/>
      <c r="AM26" s="103"/>
      <c r="AN26" s="107"/>
      <c r="AO26" s="107"/>
      <c r="AP26" s="107"/>
      <c r="AQ26" s="103"/>
      <c r="AR26" s="103"/>
      <c r="AS26" s="103"/>
      <c r="AT26" s="103"/>
      <c r="AU26" s="103"/>
      <c r="AV26" s="103"/>
      <c r="AW26" s="103"/>
      <c r="AX26" s="103"/>
      <c r="AY26" s="103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17"/>
      <c r="AM27" s="103"/>
      <c r="AN27" s="107"/>
      <c r="AO27" s="107"/>
      <c r="AP27" s="107"/>
      <c r="AQ27" s="103"/>
      <c r="AR27" s="103"/>
      <c r="AS27" s="103"/>
      <c r="AT27" s="103"/>
      <c r="AU27" s="103"/>
      <c r="AV27" s="103"/>
      <c r="AW27" s="103"/>
      <c r="AX27" s="103"/>
      <c r="AY27" s="103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17"/>
      <c r="AM28" s="123"/>
      <c r="AN28" s="103"/>
      <c r="AO28" s="107"/>
      <c r="AP28" s="107"/>
      <c r="AQ28" s="103"/>
      <c r="AR28" s="103"/>
      <c r="AS28" s="103"/>
      <c r="AT28" s="103"/>
      <c r="AU28" s="103"/>
      <c r="AV28" s="103"/>
      <c r="AW28" s="103"/>
      <c r="AX28" s="103"/>
      <c r="AY28" s="103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17"/>
      <c r="AM29" s="103"/>
      <c r="AN29" s="107"/>
      <c r="AO29" s="107"/>
      <c r="AP29" s="107"/>
      <c r="AQ29" s="103"/>
      <c r="AR29" s="103"/>
      <c r="AS29" s="103"/>
      <c r="AT29" s="103"/>
      <c r="AU29" s="103"/>
      <c r="AV29" s="103"/>
      <c r="AW29" s="103"/>
      <c r="AX29" s="103"/>
      <c r="AY29" s="103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17"/>
      <c r="AM30" s="103"/>
      <c r="AN30" s="107"/>
      <c r="AO30" s="107"/>
      <c r="AP30" s="107"/>
      <c r="AQ30" s="103"/>
      <c r="AR30" s="107"/>
      <c r="AS30" s="103"/>
      <c r="AT30" s="103"/>
      <c r="AU30" s="103"/>
      <c r="AV30" s="103"/>
      <c r="AW30" s="103"/>
      <c r="AX30" s="103"/>
      <c r="AY30" s="103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17"/>
      <c r="AM31" s="103"/>
      <c r="AN31" s="107"/>
      <c r="AO31" s="107"/>
      <c r="AP31" s="107"/>
      <c r="AQ31" s="103"/>
      <c r="AR31" s="103"/>
      <c r="AS31" s="103"/>
      <c r="AT31" s="103"/>
      <c r="AU31" s="103"/>
      <c r="AV31" s="103"/>
      <c r="AW31" s="103"/>
      <c r="AX31" s="103"/>
      <c r="AY31" s="103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17"/>
      <c r="AM32" s="103"/>
      <c r="AN32" s="107"/>
      <c r="AO32" s="107"/>
      <c r="AP32" s="107"/>
      <c r="AQ32" s="103"/>
      <c r="AR32" s="103"/>
      <c r="AS32" s="103"/>
      <c r="AT32" s="103"/>
      <c r="AU32" s="103"/>
      <c r="AV32" s="103"/>
      <c r="AW32" s="103"/>
      <c r="AX32" s="103"/>
      <c r="AY32" s="103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23"/>
      <c r="AE33" s="103"/>
      <c r="AF33" s="103"/>
      <c r="AG33" s="103"/>
      <c r="AH33" s="103"/>
      <c r="AI33" s="103"/>
      <c r="AJ33" s="103"/>
      <c r="AK33" s="103"/>
      <c r="AL33" s="117"/>
      <c r="AM33" s="103"/>
      <c r="AN33" s="107"/>
      <c r="AO33" s="107"/>
      <c r="AP33" s="107"/>
      <c r="AQ33" s="103"/>
      <c r="AR33" s="103"/>
      <c r="AS33" s="103"/>
      <c r="AT33" s="103"/>
      <c r="AU33" s="103"/>
      <c r="AV33" s="103"/>
      <c r="AW33" s="103"/>
      <c r="AX33" s="103"/>
      <c r="AY33" s="103"/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9"/>
      <c r="AE34" s="103"/>
      <c r="AF34" s="103"/>
      <c r="AG34" s="103"/>
      <c r="AH34" s="103"/>
      <c r="AI34" s="103"/>
      <c r="AJ34" s="103"/>
      <c r="AK34" s="103"/>
      <c r="AL34" s="103"/>
      <c r="AM34" s="117"/>
      <c r="AN34" s="103"/>
      <c r="AO34" s="107"/>
      <c r="AP34" s="107"/>
      <c r="AQ34" s="103"/>
      <c r="AR34" s="103"/>
      <c r="AS34" s="103"/>
      <c r="AT34" s="103"/>
      <c r="AU34" s="103"/>
      <c r="AV34" s="103"/>
      <c r="AW34" s="103"/>
      <c r="AX34" s="103"/>
      <c r="AY34" s="103"/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17"/>
      <c r="AM35" s="103"/>
      <c r="AN35" s="107"/>
      <c r="AO35" s="107"/>
      <c r="AP35" s="107"/>
      <c r="AQ35" s="103"/>
      <c r="AR35" s="103"/>
      <c r="AS35" s="103"/>
      <c r="AT35" s="103"/>
      <c r="AU35" s="103"/>
      <c r="AV35" s="103"/>
      <c r="AW35" s="103"/>
      <c r="AX35" s="103"/>
      <c r="AY35" s="103"/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2022-06-14T10:44:20Z</dcterms:modified>
</cp:coreProperties>
</file>