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5" i="6" l="1"/>
  <c r="E45" i="6"/>
  <c r="C45" i="6"/>
  <c r="G40" i="4"/>
  <c r="E40" i="4"/>
  <c r="C40" i="4"/>
  <c r="G39" i="4" l="1"/>
  <c r="E39" i="4"/>
  <c r="C39" i="4"/>
  <c r="G44" i="6"/>
  <c r="E44" i="6"/>
  <c r="C44" i="6"/>
  <c r="G43" i="6" l="1"/>
  <c r="E43" i="6"/>
  <c r="C43" i="6"/>
  <c r="G38" i="4"/>
  <c r="E38" i="4"/>
  <c r="C38" i="4"/>
  <c r="G37" i="4" l="1"/>
  <c r="E37" i="4"/>
  <c r="C37" i="4"/>
  <c r="G36" i="4"/>
  <c r="E36" i="4"/>
  <c r="C36" i="4"/>
  <c r="G41" i="6"/>
  <c r="E41" i="6"/>
  <c r="C41" i="6"/>
  <c r="G42" i="6"/>
  <c r="E42" i="6"/>
  <c r="C42" i="6"/>
  <c r="G35" i="4" l="1"/>
  <c r="E35" i="4"/>
  <c r="C35" i="4"/>
  <c r="G40" i="6"/>
  <c r="E40" i="6"/>
  <c r="C40" i="6"/>
  <c r="G39" i="6" l="1"/>
  <c r="E39" i="6"/>
  <c r="C39" i="6"/>
  <c r="G34" i="4"/>
  <c r="E34" i="4"/>
  <c r="C34" i="4"/>
  <c r="G33" i="4" l="1"/>
  <c r="E33" i="4"/>
  <c r="C33" i="4"/>
  <c r="G38" i="6"/>
  <c r="E38" i="6"/>
  <c r="C38" i="6"/>
  <c r="G32" i="4" l="1"/>
  <c r="E32" i="4"/>
  <c r="C32" i="4"/>
  <c r="G37" i="6"/>
  <c r="E37" i="6"/>
  <c r="C37" i="6"/>
  <c r="G31" i="4" l="1"/>
  <c r="E31" i="4"/>
  <c r="C31" i="4"/>
  <c r="G36" i="6"/>
  <c r="E36" i="6"/>
  <c r="C36" i="6"/>
  <c r="O11" i="10" l="1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40" i="10"/>
  <c r="O10" i="10"/>
  <c r="C29" i="4"/>
  <c r="E29" i="4"/>
  <c r="C30" i="4"/>
  <c r="E30" i="4"/>
  <c r="G33" i="6" l="1"/>
  <c r="E33" i="6"/>
  <c r="C33" i="6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/>
  <c r="E27" i="6"/>
  <c r="C27" i="6"/>
  <c r="G26" i="6" l="1"/>
  <c r="E26" i="6"/>
  <c r="C26" i="6"/>
  <c r="G25" i="6" l="1"/>
  <c r="E25" i="6"/>
  <c r="C25" i="6"/>
  <c r="G24" i="6" l="1"/>
  <c r="E24" i="6"/>
  <c r="C24" i="6"/>
  <c r="G23" i="6" l="1"/>
  <c r="E23" i="6"/>
  <c r="C23" i="6"/>
  <c r="G22" i="6" l="1"/>
  <c r="E22" i="6"/>
  <c r="C22" i="6"/>
  <c r="G21" i="6"/>
  <c r="E21" i="6"/>
  <c r="C21" i="6"/>
  <c r="G20" i="6"/>
  <c r="E20" i="6"/>
  <c r="C20" i="6"/>
  <c r="G19" i="6" l="1"/>
  <c r="E19" i="6"/>
  <c r="C19" i="6"/>
  <c r="G18" i="6" l="1"/>
  <c r="E18" i="6"/>
  <c r="C18" i="6"/>
  <c r="G17" i="6" l="1"/>
  <c r="E17" i="6"/>
  <c r="C17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32" i="10"/>
  <c r="K33" i="10"/>
  <c r="J36" i="10"/>
  <c r="K37" i="10"/>
  <c r="J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37" i="10"/>
  <c r="C34" i="6"/>
  <c r="D28" i="10" s="1"/>
  <c r="E34" i="6"/>
  <c r="J28" i="10" s="1"/>
  <c r="G34" i="6"/>
  <c r="K28" i="10" s="1"/>
  <c r="C35" i="6"/>
  <c r="D29" i="10" s="1"/>
  <c r="E35" i="6"/>
  <c r="J29" i="10" s="1"/>
  <c r="G35" i="6"/>
  <c r="K29" i="10" s="1"/>
  <c r="D30" i="10"/>
  <c r="J30" i="10"/>
  <c r="K30" i="10"/>
  <c r="D31" i="10"/>
  <c r="J31" i="10"/>
  <c r="K31" i="10"/>
  <c r="D32" i="10"/>
  <c r="K32" i="10"/>
  <c r="D33" i="10"/>
  <c r="J33" i="10"/>
  <c r="D34" i="10"/>
  <c r="J34" i="10"/>
  <c r="K34" i="10"/>
  <c r="D35" i="10"/>
  <c r="J35" i="10"/>
  <c r="K35" i="10"/>
  <c r="D36" i="10"/>
  <c r="K36" i="10"/>
  <c r="J37" i="10"/>
  <c r="D38" i="10"/>
  <c r="J38" i="10"/>
  <c r="K38" i="10"/>
  <c r="D39" i="10"/>
  <c r="J39" i="10"/>
  <c r="K39" i="10"/>
  <c r="C46" i="6"/>
  <c r="D40" i="10" s="1"/>
  <c r="E46" i="6"/>
  <c r="G46" i="6"/>
  <c r="K40" i="10" s="1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G8" i="4"/>
  <c r="E8" i="4"/>
  <c r="C8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L31" i="10" s="1"/>
  <c r="O31" i="10" s="1"/>
  <c r="I38" i="6"/>
  <c r="L32" i="10" s="1"/>
  <c r="O32" i="10" s="1"/>
  <c r="I39" i="6"/>
  <c r="L33" i="10" s="1"/>
  <c r="O33" i="10" s="1"/>
  <c r="I40" i="6"/>
  <c r="L34" i="10" s="1"/>
  <c r="O34" i="10" s="1"/>
  <c r="I41" i="6"/>
  <c r="L35" i="10" s="1"/>
  <c r="O35" i="10" s="1"/>
  <c r="I42" i="6"/>
  <c r="L36" i="10" s="1"/>
  <c r="O36" i="10" s="1"/>
  <c r="I43" i="6"/>
  <c r="L37" i="10" s="1"/>
  <c r="O37" i="10" s="1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L14" i="10" s="1"/>
  <c r="I21" i="6"/>
  <c r="L15" i="10" s="1"/>
  <c r="I22" i="6"/>
  <c r="L16" i="10" s="1"/>
  <c r="I23" i="6"/>
  <c r="L17" i="10" s="1"/>
  <c r="M17" i="10" s="1"/>
  <c r="E9" i="13" s="1"/>
  <c r="I24" i="6"/>
  <c r="I25" i="6"/>
  <c r="L19" i="10" s="1"/>
  <c r="I26" i="6"/>
  <c r="L20" i="10" s="1"/>
  <c r="M20" i="10" s="1"/>
  <c r="E12" i="13" s="1"/>
  <c r="I27" i="6"/>
  <c r="L21" i="10" s="1"/>
  <c r="M21" i="10" s="1"/>
  <c r="E13" i="13" s="1"/>
  <c r="I28" i="6"/>
  <c r="L22" i="10" s="1"/>
  <c r="I29" i="6"/>
  <c r="L23" i="10" s="1"/>
  <c r="I30" i="6"/>
  <c r="L24" i="10" s="1"/>
  <c r="I31" i="6"/>
  <c r="L25" i="10" s="1"/>
  <c r="M25" i="10" s="1"/>
  <c r="E17" i="13" s="1"/>
  <c r="I32" i="6"/>
  <c r="L26" i="10" s="1"/>
  <c r="I33" i="6"/>
  <c r="L27" i="10" s="1"/>
  <c r="I34" i="6"/>
  <c r="L28" i="10" s="1"/>
  <c r="I35" i="6"/>
  <c r="I36" i="6"/>
  <c r="L30" i="10" s="1"/>
  <c r="O30" i="10" s="1"/>
  <c r="I44" i="6"/>
  <c r="L38" i="10" s="1"/>
  <c r="O38" i="10" s="1"/>
  <c r="I45" i="6"/>
  <c r="I46" i="6"/>
  <c r="L40" i="10" s="1"/>
  <c r="I47" i="6"/>
  <c r="J4" i="4"/>
  <c r="K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/>
  <c r="M8" i="4"/>
  <c r="AD8" i="4"/>
  <c r="AE8" i="4"/>
  <c r="J9" i="4"/>
  <c r="K9" i="4"/>
  <c r="L8" i="4" s="1"/>
  <c r="N8" i="4" s="1"/>
  <c r="O8" i="4" s="1"/>
  <c r="P8" i="4" s="1"/>
  <c r="M9" i="4"/>
  <c r="AC9" i="4"/>
  <c r="AD9" i="4"/>
  <c r="AE9" i="4"/>
  <c r="J10" i="4"/>
  <c r="K10" i="4" s="1"/>
  <c r="L9" i="4" s="1"/>
  <c r="N9" i="4" s="1"/>
  <c r="O9" i="4" s="1"/>
  <c r="P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Z15" i="10"/>
  <c r="F26" i="10"/>
  <c r="F29" i="10"/>
  <c r="F31" i="10"/>
  <c r="F35" i="10"/>
  <c r="K2" i="13"/>
  <c r="F27" i="10"/>
  <c r="Z10" i="10"/>
  <c r="Z11" i="10"/>
  <c r="Z31" i="10"/>
  <c r="Z36" i="10"/>
  <c r="L4" i="4"/>
  <c r="N4" i="4" s="1"/>
  <c r="O4" i="4" s="1"/>
  <c r="P4" i="4" s="1"/>
  <c r="F33" i="10"/>
  <c r="F10" i="10"/>
  <c r="B12" i="10"/>
  <c r="K7" i="13"/>
  <c r="Z17" i="10"/>
  <c r="E48" i="6"/>
  <c r="K14" i="13"/>
  <c r="K16" i="13"/>
  <c r="Z29" i="10" l="1"/>
  <c r="L6" i="4"/>
  <c r="N6" i="4" s="1"/>
  <c r="O6" i="4" s="1"/>
  <c r="P6" i="4" s="1"/>
  <c r="L5" i="4"/>
  <c r="N5" i="4" s="1"/>
  <c r="O5" i="4" s="1"/>
  <c r="P5" i="4" s="1"/>
  <c r="C22" i="4"/>
  <c r="G22" i="4"/>
  <c r="E22" i="4"/>
  <c r="I19" i="4"/>
  <c r="G19" i="4"/>
  <c r="E19" i="4"/>
  <c r="C19" i="4"/>
  <c r="G10" i="4"/>
  <c r="E10" i="4"/>
  <c r="C10" i="4"/>
  <c r="E4" i="4"/>
  <c r="C4" i="4"/>
  <c r="G4" i="4"/>
  <c r="M30" i="10"/>
  <c r="E22" i="13" s="1"/>
  <c r="L29" i="10"/>
  <c r="O29" i="10" s="1"/>
  <c r="I4" i="4"/>
  <c r="E41" i="4"/>
  <c r="G41" i="4"/>
  <c r="C41" i="4"/>
  <c r="I41" i="4"/>
  <c r="E28" i="4"/>
  <c r="C28" i="4"/>
  <c r="G28" i="4"/>
  <c r="L25" i="4"/>
  <c r="N25" i="4" s="1"/>
  <c r="O25" i="4" s="1"/>
  <c r="U24" i="10" s="1"/>
  <c r="E24" i="4"/>
  <c r="G24" i="4"/>
  <c r="C24" i="4"/>
  <c r="I21" i="4"/>
  <c r="E21" i="4"/>
  <c r="C21" i="4"/>
  <c r="G21" i="4"/>
  <c r="G43" i="4" s="1"/>
  <c r="I18" i="4"/>
  <c r="G18" i="4"/>
  <c r="C18" i="4"/>
  <c r="E18" i="4"/>
  <c r="I15" i="4"/>
  <c r="E15" i="4"/>
  <c r="G15" i="4"/>
  <c r="C15" i="4"/>
  <c r="G13" i="4"/>
  <c r="E13" i="4"/>
  <c r="C13" i="4"/>
  <c r="G6" i="4"/>
  <c r="E6" i="4"/>
  <c r="C6" i="4"/>
  <c r="M40" i="10"/>
  <c r="L39" i="10"/>
  <c r="I6" i="4"/>
  <c r="Z38" i="10"/>
  <c r="U38" i="10"/>
  <c r="G30" i="13" s="1"/>
  <c r="L36" i="4"/>
  <c r="N36" i="4" s="1"/>
  <c r="O36" i="4" s="1"/>
  <c r="U35" i="10" s="1"/>
  <c r="G27" i="13" s="1"/>
  <c r="E27" i="4"/>
  <c r="G27" i="4"/>
  <c r="C27" i="4"/>
  <c r="L24" i="4"/>
  <c r="N24" i="4" s="1"/>
  <c r="O24" i="4" s="1"/>
  <c r="E23" i="4"/>
  <c r="C23" i="4"/>
  <c r="G23" i="4"/>
  <c r="L21" i="4"/>
  <c r="N21" i="4" s="1"/>
  <c r="O21" i="4" s="1"/>
  <c r="U20" i="10" s="1"/>
  <c r="I20" i="4"/>
  <c r="E20" i="4"/>
  <c r="C20" i="4"/>
  <c r="G20" i="4"/>
  <c r="I17" i="4"/>
  <c r="G17" i="4"/>
  <c r="E17" i="4"/>
  <c r="C17" i="4"/>
  <c r="E14" i="4"/>
  <c r="C14" i="4"/>
  <c r="G14" i="4"/>
  <c r="G12" i="4"/>
  <c r="E12" i="4"/>
  <c r="C12" i="4"/>
  <c r="L7" i="4"/>
  <c r="N7" i="4" s="1"/>
  <c r="O7" i="4" s="1"/>
  <c r="P7" i="4" s="1"/>
  <c r="L40" i="4"/>
  <c r="N40" i="4" s="1"/>
  <c r="O40" i="4" s="1"/>
  <c r="I14" i="4"/>
  <c r="I10" i="4"/>
  <c r="I27" i="4"/>
  <c r="Z34" i="10"/>
  <c r="G30" i="4"/>
  <c r="G26" i="4"/>
  <c r="E26" i="4"/>
  <c r="C26" i="4"/>
  <c r="L23" i="4"/>
  <c r="N23" i="4" s="1"/>
  <c r="O23" i="4" s="1"/>
  <c r="U22" i="10" s="1"/>
  <c r="L17" i="4"/>
  <c r="N17" i="4" s="1"/>
  <c r="O17" i="4" s="1"/>
  <c r="G16" i="4"/>
  <c r="C16" i="4"/>
  <c r="E16" i="4"/>
  <c r="L12" i="4"/>
  <c r="N12" i="4" s="1"/>
  <c r="O12" i="4" s="1"/>
  <c r="C11" i="4"/>
  <c r="G11" i="4"/>
  <c r="E11" i="4"/>
  <c r="E43" i="4" s="1"/>
  <c r="AC43" i="4"/>
  <c r="K48" i="4" s="1"/>
  <c r="L48" i="4" s="1"/>
  <c r="M48" i="4" s="1"/>
  <c r="G9" i="4"/>
  <c r="C9" i="4"/>
  <c r="E9" i="4"/>
  <c r="C7" i="4"/>
  <c r="G7" i="4"/>
  <c r="E7" i="4"/>
  <c r="I5" i="4"/>
  <c r="G5" i="4"/>
  <c r="C5" i="4"/>
  <c r="E5" i="4"/>
  <c r="Z20" i="10"/>
  <c r="G29" i="4"/>
  <c r="G25" i="4"/>
  <c r="E25" i="4"/>
  <c r="C25" i="4"/>
  <c r="Z27" i="10"/>
  <c r="Z22" i="10"/>
  <c r="U23" i="10"/>
  <c r="P24" i="4"/>
  <c r="Z19" i="10"/>
  <c r="Z18" i="10"/>
  <c r="M19" i="10"/>
  <c r="E11" i="13" s="1"/>
  <c r="L18" i="10"/>
  <c r="M16" i="10"/>
  <c r="E8" i="13" s="1"/>
  <c r="P17" i="4"/>
  <c r="U16" i="10"/>
  <c r="G8" i="13" s="1"/>
  <c r="Z13" i="10"/>
  <c r="L12" i="10"/>
  <c r="M11" i="10"/>
  <c r="E3" i="13" s="1"/>
  <c r="L10" i="10"/>
  <c r="P12" i="4"/>
  <c r="U11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W20" i="10"/>
  <c r="G12" i="13"/>
  <c r="O12" i="13" s="1"/>
  <c r="L15" i="4"/>
  <c r="N15" i="4" s="1"/>
  <c r="O15" i="4" s="1"/>
  <c r="U14" i="10" s="1"/>
  <c r="L19" i="4"/>
  <c r="N19" i="4" s="1"/>
  <c r="O19" i="4" s="1"/>
  <c r="U18" i="10" s="1"/>
  <c r="W23" i="10"/>
  <c r="G15" i="13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P25" i="4"/>
  <c r="W25" i="10"/>
  <c r="G17" i="13"/>
  <c r="Z32" i="10"/>
  <c r="Z33" i="10"/>
  <c r="I25" i="13"/>
  <c r="Z28" i="10"/>
  <c r="I20" i="13"/>
  <c r="Z25" i="10"/>
  <c r="I17" i="13"/>
  <c r="Y41" i="10"/>
  <c r="Z30" i="10"/>
  <c r="I22" i="13"/>
  <c r="Z24" i="10"/>
  <c r="P33" i="4"/>
  <c r="P26" i="4"/>
  <c r="B13" i="10"/>
  <c r="M10" i="10"/>
  <c r="E2" i="13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C42" i="4"/>
  <c r="G42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M33" i="10"/>
  <c r="E25" i="13" s="1"/>
  <c r="M39" i="10" l="1"/>
  <c r="E31" i="13" s="1"/>
  <c r="O39" i="10"/>
  <c r="O30" i="13"/>
  <c r="W38" i="10"/>
  <c r="AJ38" i="10" s="1"/>
  <c r="AK38" i="10" s="1"/>
  <c r="W36" i="10"/>
  <c r="AJ36" i="10" s="1"/>
  <c r="AK36" i="10" s="1"/>
  <c r="O28" i="13"/>
  <c r="P37" i="4"/>
  <c r="P36" i="4"/>
  <c r="W35" i="10"/>
  <c r="AJ35" i="10" s="1"/>
  <c r="AK35" i="10" s="1"/>
  <c r="W34" i="10"/>
  <c r="P35" i="4"/>
  <c r="U37" i="10"/>
  <c r="G29" i="13" s="1"/>
  <c r="O29" i="13" s="1"/>
  <c r="M29" i="10"/>
  <c r="E21" i="13" s="1"/>
  <c r="P31" i="4"/>
  <c r="W32" i="10"/>
  <c r="AJ32" i="10" s="1"/>
  <c r="AK32" i="10" s="1"/>
  <c r="P23" i="4"/>
  <c r="P21" i="4"/>
  <c r="U29" i="10"/>
  <c r="W29" i="10" s="1"/>
  <c r="AJ29" i="10" s="1"/>
  <c r="AK29" i="10" s="1"/>
  <c r="P40" i="4"/>
  <c r="U39" i="10"/>
  <c r="W39" i="10" s="1"/>
  <c r="U33" i="10"/>
  <c r="G25" i="13" s="1"/>
  <c r="O25" i="13" s="1"/>
  <c r="P28" i="4"/>
  <c r="U27" i="10"/>
  <c r="G19" i="13" s="1"/>
  <c r="O19" i="13" s="1"/>
  <c r="M18" i="10"/>
  <c r="E10" i="13" s="1"/>
  <c r="W16" i="10"/>
  <c r="M12" i="10"/>
  <c r="E4" i="13" s="1"/>
  <c r="L41" i="10"/>
  <c r="G45" i="10" s="1"/>
  <c r="J45" i="10" s="1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P10" i="4"/>
  <c r="P18" i="4"/>
  <c r="P14" i="4"/>
  <c r="M15" i="10"/>
  <c r="O11" i="4"/>
  <c r="U10" i="10" s="1"/>
  <c r="G2" i="13" s="1"/>
  <c r="O2" i="13" s="1"/>
  <c r="N43" i="4"/>
  <c r="AJ39" i="10" l="1"/>
  <c r="AK39" i="10" s="1"/>
  <c r="G31" i="13"/>
  <c r="O31" i="13" s="1"/>
  <c r="W27" i="10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F41" i="10"/>
  <c r="L43" i="10"/>
  <c r="M41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P43" i="4" s="1"/>
  <c r="W10" i="10"/>
  <c r="O7" i="13" l="1"/>
  <c r="W11" i="10"/>
  <c r="AJ11" i="10" s="1"/>
  <c r="AK11" i="10" s="1"/>
  <c r="G3" i="13"/>
  <c r="O3" i="13" s="1"/>
  <c r="O32" i="13" s="1"/>
  <c r="M47" i="4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<sst xmlns="http://schemas.openxmlformats.org/spreadsheetml/2006/main" count="242" uniqueCount="86">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</sst>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2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90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70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70</c:v>
                </c:pt>
                <c:pt idx="20">
                  <c:v>50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70</c:v>
                </c:pt>
                <c:pt idx="26">
                  <c:v>70</c:v>
                </c:pt>
                <c:pt idx="27">
                  <c:v>60</c:v>
                </c:pt>
                <c:pt idx="28">
                  <c:v>60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49088"/>
        <c:axId val="139661312"/>
      </c:lineChart>
      <c:dateAx>
        <c:axId val="1394490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61312"/>
        <c:crosses val="autoZero"/>
        <c:auto val="1"/>
        <c:lblOffset val="100"/>
        <c:baseTimeUnit val="days"/>
      </c:dateAx>
      <c:valAx>
        <c:axId val="13966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490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989</c:v>
                </c:pt>
                <c:pt idx="4">
                  <c:v>973</c:v>
                </c:pt>
                <c:pt idx="5">
                  <c:v>936</c:v>
                </c:pt>
                <c:pt idx="6">
                  <c:v>907</c:v>
                </c:pt>
                <c:pt idx="7">
                  <c:v>1856</c:v>
                </c:pt>
                <c:pt idx="8">
                  <c:v>843</c:v>
                </c:pt>
                <c:pt idx="9">
                  <c:v>880</c:v>
                </c:pt>
                <c:pt idx="10">
                  <c:v>935</c:v>
                </c:pt>
                <c:pt idx="11">
                  <c:v>852</c:v>
                </c:pt>
                <c:pt idx="12">
                  <c:v>886</c:v>
                </c:pt>
                <c:pt idx="13">
                  <c:v>934</c:v>
                </c:pt>
                <c:pt idx="14">
                  <c:v>926</c:v>
                </c:pt>
                <c:pt idx="15">
                  <c:v>936</c:v>
                </c:pt>
                <c:pt idx="16">
                  <c:v>919</c:v>
                </c:pt>
                <c:pt idx="17">
                  <c:v>1065</c:v>
                </c:pt>
                <c:pt idx="18">
                  <c:v>982</c:v>
                </c:pt>
                <c:pt idx="19">
                  <c:v>917</c:v>
                </c:pt>
                <c:pt idx="20">
                  <c:v>919</c:v>
                </c:pt>
                <c:pt idx="21">
                  <c:v>1000</c:v>
                </c:pt>
                <c:pt idx="22">
                  <c:v>713</c:v>
                </c:pt>
                <c:pt idx="23">
                  <c:v>887</c:v>
                </c:pt>
                <c:pt idx="24">
                  <c:v>841</c:v>
                </c:pt>
                <c:pt idx="25">
                  <c:v>862</c:v>
                </c:pt>
                <c:pt idx="26">
                  <c:v>826</c:v>
                </c:pt>
                <c:pt idx="27">
                  <c:v>969</c:v>
                </c:pt>
                <c:pt idx="28">
                  <c:v>986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1316</c:v>
                </c:pt>
                <c:pt idx="4">
                  <c:v>1369</c:v>
                </c:pt>
                <c:pt idx="5">
                  <c:v>1331</c:v>
                </c:pt>
                <c:pt idx="6">
                  <c:v>1336</c:v>
                </c:pt>
                <c:pt idx="7">
                  <c:v>2802</c:v>
                </c:pt>
                <c:pt idx="8">
                  <c:v>1511</c:v>
                </c:pt>
                <c:pt idx="9">
                  <c:v>1347</c:v>
                </c:pt>
                <c:pt idx="10">
                  <c:v>1390</c:v>
                </c:pt>
                <c:pt idx="11">
                  <c:v>1411</c:v>
                </c:pt>
                <c:pt idx="12">
                  <c:v>1356</c:v>
                </c:pt>
                <c:pt idx="13">
                  <c:v>1302</c:v>
                </c:pt>
                <c:pt idx="14">
                  <c:v>1354</c:v>
                </c:pt>
                <c:pt idx="15">
                  <c:v>1409</c:v>
                </c:pt>
                <c:pt idx="16">
                  <c:v>1367</c:v>
                </c:pt>
                <c:pt idx="17">
                  <c:v>1301</c:v>
                </c:pt>
                <c:pt idx="18">
                  <c:v>1433</c:v>
                </c:pt>
                <c:pt idx="19">
                  <c:v>1402</c:v>
                </c:pt>
                <c:pt idx="20">
                  <c:v>1394</c:v>
                </c:pt>
                <c:pt idx="21">
                  <c:v>1339</c:v>
                </c:pt>
                <c:pt idx="22">
                  <c:v>1443</c:v>
                </c:pt>
                <c:pt idx="23">
                  <c:v>1395</c:v>
                </c:pt>
                <c:pt idx="24">
                  <c:v>1345</c:v>
                </c:pt>
                <c:pt idx="25">
                  <c:v>1381</c:v>
                </c:pt>
                <c:pt idx="26">
                  <c:v>1453</c:v>
                </c:pt>
                <c:pt idx="27">
                  <c:v>1393</c:v>
                </c:pt>
                <c:pt idx="28">
                  <c:v>1427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565</c:v>
                </c:pt>
                <c:pt idx="4">
                  <c:v>564</c:v>
                </c:pt>
                <c:pt idx="5">
                  <c:v>599</c:v>
                </c:pt>
                <c:pt idx="6">
                  <c:v>577</c:v>
                </c:pt>
                <c:pt idx="7">
                  <c:v>1266</c:v>
                </c:pt>
                <c:pt idx="8">
                  <c:v>588</c:v>
                </c:pt>
                <c:pt idx="9">
                  <c:v>555</c:v>
                </c:pt>
                <c:pt idx="10">
                  <c:v>586</c:v>
                </c:pt>
                <c:pt idx="11">
                  <c:v>561</c:v>
                </c:pt>
                <c:pt idx="12">
                  <c:v>576</c:v>
                </c:pt>
                <c:pt idx="13">
                  <c:v>575</c:v>
                </c:pt>
                <c:pt idx="14">
                  <c:v>601</c:v>
                </c:pt>
                <c:pt idx="15">
                  <c:v>584</c:v>
                </c:pt>
                <c:pt idx="16">
                  <c:v>599</c:v>
                </c:pt>
                <c:pt idx="17">
                  <c:v>599</c:v>
                </c:pt>
                <c:pt idx="18">
                  <c:v>608</c:v>
                </c:pt>
                <c:pt idx="19">
                  <c:v>576</c:v>
                </c:pt>
                <c:pt idx="20">
                  <c:v>598</c:v>
                </c:pt>
                <c:pt idx="21">
                  <c:v>591</c:v>
                </c:pt>
                <c:pt idx="22">
                  <c:v>612</c:v>
                </c:pt>
                <c:pt idx="23">
                  <c:v>588</c:v>
                </c:pt>
                <c:pt idx="24">
                  <c:v>550</c:v>
                </c:pt>
                <c:pt idx="25">
                  <c:v>621</c:v>
                </c:pt>
                <c:pt idx="26">
                  <c:v>568</c:v>
                </c:pt>
                <c:pt idx="27">
                  <c:v>624</c:v>
                </c:pt>
                <c:pt idx="28">
                  <c:v>630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65728"/>
        <c:axId val="140628352"/>
      </c:lineChart>
      <c:dateAx>
        <c:axId val="14026572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28352"/>
        <c:crosses val="autoZero"/>
        <c:auto val="1"/>
        <c:lblOffset val="100"/>
        <c:baseTimeUnit val="days"/>
      </c:dateAx>
      <c:valAx>
        <c:axId val="1406283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6572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8176"/>
        <c:axId val="149379712"/>
      </c:lineChart>
      <c:dateAx>
        <c:axId val="14937817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79712"/>
        <c:crosses val="autoZero"/>
        <c:auto val="1"/>
        <c:lblOffset val="100"/>
        <c:baseTimeUnit val="days"/>
      </c:dateAx>
      <c:valAx>
        <c:axId val="149379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7817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30" sqref="A30:XFD30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2870</v>
      </c>
      <c r="F5" s="162">
        <v>0.99</v>
      </c>
      <c r="G5" s="162">
        <f>'Consommation du 01.06 au 30.06'!U13</f>
        <v>37.1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60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3892.1339800000005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2906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60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3637.1400000000003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2866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60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3597.54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2820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50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3425.3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5924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90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7005.06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2942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60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3672.7799999999997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2782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60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3514.38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2911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60</v>
      </c>
      <c r="L12" s="162">
        <v>12.67</v>
      </c>
      <c r="M12" s="161">
        <f>'Consommation du 01.06 au 30.06'!AC20</f>
        <v>0</v>
      </c>
      <c r="N12" s="161">
        <v>0</v>
      </c>
      <c r="O12" s="162">
        <f t="shared" si="0"/>
        <v>3642.09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2824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60</v>
      </c>
      <c r="L13" s="162">
        <v>12.67</v>
      </c>
      <c r="M13" s="161">
        <f>'Consommation du 01.06 au 30.06'!AC21</f>
        <v>0</v>
      </c>
      <c r="N13" s="161">
        <v>0</v>
      </c>
      <c r="O13" s="162">
        <f t="shared" si="0"/>
        <v>3555.96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2818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60</v>
      </c>
      <c r="L14" s="162">
        <v>12.67</v>
      </c>
      <c r="M14" s="161">
        <f>'Consommation du 01.06 au 30.06'!AC22</f>
        <v>0</v>
      </c>
      <c r="N14" s="161">
        <v>0</v>
      </c>
      <c r="O14" s="162">
        <f t="shared" si="0"/>
        <v>3550.0200000000004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2811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60</v>
      </c>
      <c r="L15" s="162">
        <v>12.67</v>
      </c>
      <c r="M15" s="161">
        <f>'Consommation du 01.06 au 30.06'!AC23</f>
        <v>0</v>
      </c>
      <c r="N15" s="161">
        <v>0</v>
      </c>
      <c r="O15" s="162">
        <f t="shared" si="0"/>
        <v>3543.09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2881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60</v>
      </c>
      <c r="L16" s="162">
        <v>12.67</v>
      </c>
      <c r="M16" s="161">
        <f>'Consommation du 01.06 au 30.06'!AC24</f>
        <v>0</v>
      </c>
      <c r="N16" s="161">
        <v>0</v>
      </c>
      <c r="O16" s="162">
        <f t="shared" si="0"/>
        <v>3612.3900000000003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2929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70</v>
      </c>
      <c r="L17" s="162">
        <v>12.67</v>
      </c>
      <c r="M17" s="161">
        <f>'Consommation du 01.06 au 30.06'!AC25</f>
        <v>0</v>
      </c>
      <c r="N17" s="161">
        <v>0</v>
      </c>
      <c r="O17" s="162">
        <f t="shared" si="0"/>
        <v>3786.61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2885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60</v>
      </c>
      <c r="L18" s="162">
        <v>12.67</v>
      </c>
      <c r="M18" s="161">
        <f>'Consommation du 01.06 au 30.06'!AC26</f>
        <v>0</v>
      </c>
      <c r="N18" s="161">
        <v>0</v>
      </c>
      <c r="O18" s="162">
        <f t="shared" si="0"/>
        <v>3616.3500000000004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2965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60</v>
      </c>
      <c r="L19" s="162">
        <v>12.67</v>
      </c>
      <c r="M19" s="161">
        <f>'Consommation du 01.06 au 30.06'!AC27</f>
        <v>0</v>
      </c>
      <c r="N19" s="161">
        <v>0</v>
      </c>
      <c r="O19" s="162">
        <f t="shared" si="0"/>
        <v>3695.55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3023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60</v>
      </c>
      <c r="L20" s="162">
        <v>12.67</v>
      </c>
      <c r="M20" s="161">
        <f>'Consommation du 01.06 au 30.06'!AC28</f>
        <v>0</v>
      </c>
      <c r="N20" s="161">
        <v>0</v>
      </c>
      <c r="O20" s="162">
        <f t="shared" si="0"/>
        <v>3752.9700000000003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2895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70</v>
      </c>
      <c r="L21" s="162">
        <v>12.67</v>
      </c>
      <c r="M21" s="161">
        <f>'Consommation du 01.06 au 30.06'!AC29</f>
        <v>0</v>
      </c>
      <c r="N21" s="161">
        <v>0</v>
      </c>
      <c r="O21" s="162">
        <f t="shared" si="0"/>
        <v>3752.9500000000003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2911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50</v>
      </c>
      <c r="L22" s="162">
        <v>12.67</v>
      </c>
      <c r="M22" s="161">
        <f>'Consommation du 01.06 au 30.06'!AC30</f>
        <v>0</v>
      </c>
      <c r="N22" s="161">
        <v>0</v>
      </c>
      <c r="O22" s="162">
        <f t="shared" si="0"/>
        <v>3515.39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2930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60</v>
      </c>
      <c r="L23" s="162">
        <v>12.67</v>
      </c>
      <c r="M23" s="161">
        <f>'Consommation du 01.06 au 30.06'!AC31</f>
        <v>0</v>
      </c>
      <c r="N23" s="161">
        <v>0</v>
      </c>
      <c r="O23" s="162">
        <f t="shared" si="0"/>
        <v>3660.8999999999996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2768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60</v>
      </c>
      <c r="L24" s="162">
        <v>12.67</v>
      </c>
      <c r="M24" s="161">
        <f>'Consommation du 01.06 au 30.06'!AC32</f>
        <v>0</v>
      </c>
      <c r="N24" s="161">
        <v>0</v>
      </c>
      <c r="O24" s="162">
        <f t="shared" si="0"/>
        <v>3500.5200000000004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2870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60</v>
      </c>
      <c r="L25" s="162">
        <v>12.67</v>
      </c>
      <c r="M25" s="161">
        <f>'Consommation du 01.06 au 30.06'!AC33</f>
        <v>0</v>
      </c>
      <c r="N25" s="161">
        <v>0</v>
      </c>
      <c r="O25" s="162">
        <f t="shared" si="0"/>
        <v>3601.5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2736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60</v>
      </c>
      <c r="L26" s="162">
        <v>12.67</v>
      </c>
      <c r="M26" s="161">
        <f>'Consommation du 01.06 au 30.06'!AC34</f>
        <v>0</v>
      </c>
      <c r="N26" s="161">
        <v>0</v>
      </c>
      <c r="O26" s="162">
        <f t="shared" si="0"/>
        <v>3468.84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2864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70</v>
      </c>
      <c r="L27" s="162">
        <v>12.67</v>
      </c>
      <c r="M27" s="161">
        <f>'Consommation du 01.06 au 30.06'!AC35</f>
        <v>0</v>
      </c>
      <c r="N27" s="161">
        <v>0</v>
      </c>
      <c r="O27" s="162">
        <f t="shared" si="0"/>
        <v>3722.26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2847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70</v>
      </c>
      <c r="L28" s="162">
        <v>12.67</v>
      </c>
      <c r="M28" s="161">
        <f>'Consommation du 01.06 au 30.06'!AC36</f>
        <v>0</v>
      </c>
      <c r="N28" s="161">
        <v>0</v>
      </c>
      <c r="O28" s="162">
        <f t="shared" si="0"/>
        <v>3705.4300000000003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2986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99.999999998544808</v>
      </c>
      <c r="J29" s="162">
        <v>0.53</v>
      </c>
      <c r="K29" s="162">
        <f>'Consommation du 01.06 au 30.06'!D37</f>
        <v>60</v>
      </c>
      <c r="L29" s="162">
        <v>12.67</v>
      </c>
      <c r="M29" s="161">
        <f>'Consommation du 01.06 au 30.06'!AC37</f>
        <v>0</v>
      </c>
      <c r="N29" s="161">
        <v>0</v>
      </c>
      <c r="O29" s="162">
        <f t="shared" si="0"/>
        <v>3769.3399999992289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3043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60</v>
      </c>
      <c r="L30" s="162">
        <v>12.67</v>
      </c>
      <c r="M30" s="161">
        <f>'Consommation du 01.06 au 30.06'!AC38</f>
        <v>0</v>
      </c>
      <c r="N30" s="161">
        <v>0</v>
      </c>
      <c r="O30" s="162">
        <f t="shared" si="0"/>
        <v>3772.7700000000004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108478.72397999919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10" zoomScale="60" zoomScaleNormal="60" workbookViewId="0">
      <selection activeCell="X38" sqref="X38:X39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3"/>
      <c r="B2" s="164"/>
      <c r="C2" s="164"/>
      <c r="D2" s="164"/>
      <c r="E2" s="164"/>
      <c r="F2" s="165"/>
      <c r="G2" s="166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3"/>
      <c r="AE2" s="165"/>
      <c r="AF2" s="71"/>
      <c r="AH2" s="62"/>
      <c r="AJ2" s="70"/>
    </row>
    <row r="3" spans="1:40" ht="1.5" customHeight="1" x14ac:dyDescent="0.2"/>
    <row r="4" spans="1:40" ht="39" hidden="1" customHeight="1" x14ac:dyDescent="0.2">
      <c r="A4" s="168"/>
      <c r="B4" s="168"/>
      <c r="C4" s="16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8"/>
      <c r="B5" s="168"/>
      <c r="C5" s="168"/>
      <c r="D5" s="3"/>
      <c r="E5" s="3"/>
      <c r="F5" s="3"/>
      <c r="G5" s="3"/>
      <c r="H5" s="3"/>
      <c r="I5" s="3"/>
      <c r="J5" s="3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0"/>
      <c r="E7" s="170"/>
      <c r="F7" s="170"/>
      <c r="G7" s="170"/>
      <c r="H7" s="170"/>
      <c r="I7" s="170"/>
      <c r="J7" s="170"/>
      <c r="K7" s="170"/>
      <c r="L7" s="170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2"/>
      <c r="B8" s="173" t="s">
        <v>1</v>
      </c>
      <c r="C8" s="77"/>
      <c r="D8" s="174" t="s">
        <v>3</v>
      </c>
      <c r="E8" s="73"/>
      <c r="F8" s="176" t="s">
        <v>11</v>
      </c>
      <c r="G8" s="177"/>
      <c r="H8" s="178"/>
      <c r="I8" s="73"/>
      <c r="J8" s="89"/>
      <c r="K8" s="89"/>
      <c r="L8" s="89"/>
      <c r="M8" s="182" t="s">
        <v>2</v>
      </c>
      <c r="N8" s="73"/>
      <c r="O8" s="190" t="s">
        <v>11</v>
      </c>
      <c r="P8" s="73"/>
      <c r="Q8" s="190" t="s">
        <v>4</v>
      </c>
      <c r="R8" s="73"/>
      <c r="S8" s="190" t="s">
        <v>5</v>
      </c>
      <c r="T8" s="73"/>
      <c r="U8" s="194" t="s">
        <v>38</v>
      </c>
      <c r="V8" s="73"/>
      <c r="W8" s="190" t="s">
        <v>11</v>
      </c>
      <c r="X8" s="196" t="s">
        <v>67</v>
      </c>
      <c r="Y8" s="198" t="s">
        <v>66</v>
      </c>
      <c r="Z8" s="200" t="s">
        <v>65</v>
      </c>
      <c r="AA8" s="202"/>
      <c r="AB8" s="203" t="s">
        <v>68</v>
      </c>
      <c r="AC8" s="190" t="s">
        <v>64</v>
      </c>
      <c r="AD8" s="192" t="s">
        <v>63</v>
      </c>
      <c r="AE8" s="183" t="s">
        <v>53</v>
      </c>
      <c r="AF8" s="183" t="s">
        <v>56</v>
      </c>
      <c r="AG8" s="185" t="s">
        <v>54</v>
      </c>
      <c r="AH8" s="185" t="s">
        <v>55</v>
      </c>
      <c r="AI8" s="62"/>
      <c r="AJ8" s="126"/>
      <c r="AK8" s="126"/>
      <c r="AL8" s="74"/>
    </row>
    <row r="9" spans="1:40" ht="77.25" customHeight="1" thickBot="1" x14ac:dyDescent="0.25">
      <c r="A9" s="172"/>
      <c r="B9" s="173"/>
      <c r="C9" s="77"/>
      <c r="D9" s="175"/>
      <c r="E9" s="73"/>
      <c r="F9" s="179"/>
      <c r="G9" s="180"/>
      <c r="H9" s="181"/>
      <c r="I9" s="154"/>
      <c r="J9" s="91" t="s">
        <v>6</v>
      </c>
      <c r="K9" s="91" t="s">
        <v>7</v>
      </c>
      <c r="L9" s="91" t="s">
        <v>8</v>
      </c>
      <c r="M9" s="182"/>
      <c r="N9" s="73"/>
      <c r="O9" s="191"/>
      <c r="P9" s="73"/>
      <c r="Q9" s="191"/>
      <c r="R9" s="73"/>
      <c r="S9" s="191"/>
      <c r="T9" s="73"/>
      <c r="U9" s="195"/>
      <c r="V9" s="73"/>
      <c r="W9" s="191"/>
      <c r="X9" s="197"/>
      <c r="Y9" s="199"/>
      <c r="Z9" s="201"/>
      <c r="AA9" s="202"/>
      <c r="AB9" s="204"/>
      <c r="AC9" s="205"/>
      <c r="AD9" s="193"/>
      <c r="AE9" s="184"/>
      <c r="AF9" s="184"/>
      <c r="AG9" s="186"/>
      <c r="AH9" s="186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187">
        <f t="shared" ref="F10:F40" si="0">D10*12.67</f>
        <v>760.2</v>
      </c>
      <c r="G10" s="188"/>
      <c r="H10" s="18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J10*0.99+K10*0.99+L10*0.99</f>
        <v>2755.17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3515.37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187">
        <f t="shared" si="0"/>
        <v>760.2</v>
      </c>
      <c r="G11" s="188"/>
      <c r="H11" s="18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J11*0.99+K11*0.99+L11*0.99</f>
        <v>2771.01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3531.21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187">
        <f t="shared" si="0"/>
        <v>886.9</v>
      </c>
      <c r="G12" s="188"/>
      <c r="H12" s="18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2575.98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3462.88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60</v>
      </c>
      <c r="E13" s="96"/>
      <c r="F13" s="206">
        <f t="shared" si="0"/>
        <v>760.2</v>
      </c>
      <c r="G13" s="207"/>
      <c r="H13" s="208"/>
      <c r="I13" s="144"/>
      <c r="J13" s="94">
        <f>'Suivi EAU-ELEC'!E19</f>
        <v>989</v>
      </c>
      <c r="K13" s="95">
        <f>'Suivi EAU-ELEC'!G19</f>
        <v>1316</v>
      </c>
      <c r="L13" s="95">
        <f>'Suivi EAU-ELEC'!I19</f>
        <v>565</v>
      </c>
      <c r="M13" s="82">
        <f t="shared" si="4"/>
        <v>2870</v>
      </c>
      <c r="N13" s="58"/>
      <c r="O13" s="59">
        <f t="shared" si="5"/>
        <v>2841.2999999999997</v>
      </c>
      <c r="P13" s="57"/>
      <c r="Q13" s="55"/>
      <c r="R13" s="56"/>
      <c r="S13" s="55"/>
      <c r="T13" s="96"/>
      <c r="U13" s="60">
        <f>'Suivi Gaz'!O14</f>
        <v>37.1</v>
      </c>
      <c r="V13" s="58"/>
      <c r="W13" s="59">
        <f t="shared" si="6"/>
        <v>290.63398000000001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>
        <v>28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3892.1339800000001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60</v>
      </c>
      <c r="E14" s="96"/>
      <c r="F14" s="187">
        <f t="shared" si="0"/>
        <v>760.2</v>
      </c>
      <c r="G14" s="188"/>
      <c r="H14" s="189"/>
      <c r="I14" s="144"/>
      <c r="J14" s="94">
        <f>'Suivi EAU-ELEC'!E20</f>
        <v>973</v>
      </c>
      <c r="K14" s="95">
        <f>'Suivi EAU-ELEC'!G20</f>
        <v>1369</v>
      </c>
      <c r="L14" s="95">
        <f>'Suivi EAU-ELEC'!I20</f>
        <v>564</v>
      </c>
      <c r="M14" s="82">
        <f t="shared" si="4"/>
        <v>2906</v>
      </c>
      <c r="N14" s="58"/>
      <c r="O14" s="59">
        <f t="shared" si="5"/>
        <v>2876.94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17028.32</v>
      </c>
      <c r="Y14" s="150">
        <f t="shared" si="1"/>
        <v>0</v>
      </c>
      <c r="Z14" s="64">
        <f t="shared" si="7"/>
        <v>0</v>
      </c>
      <c r="AA14" s="58"/>
      <c r="AB14" s="61">
        <v>32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3637.1400000000003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60</v>
      </c>
      <c r="E15" s="96"/>
      <c r="F15" s="209">
        <f t="shared" si="0"/>
        <v>760.2</v>
      </c>
      <c r="G15" s="210"/>
      <c r="H15" s="211"/>
      <c r="I15" s="146"/>
      <c r="J15" s="94">
        <f>'Suivi EAU-ELEC'!E21</f>
        <v>936</v>
      </c>
      <c r="K15" s="95">
        <f>'Suivi EAU-ELEC'!G21</f>
        <v>1331</v>
      </c>
      <c r="L15" s="95">
        <f>'Suivi EAU-ELEC'!I21</f>
        <v>599</v>
      </c>
      <c r="M15" s="82">
        <f t="shared" si="4"/>
        <v>2866</v>
      </c>
      <c r="N15" s="58"/>
      <c r="O15" s="59">
        <f t="shared" si="5"/>
        <v>2837.34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17028.32</v>
      </c>
      <c r="Y15" s="150">
        <f t="shared" si="1"/>
        <v>0</v>
      </c>
      <c r="Z15" s="64">
        <f t="shared" si="7"/>
        <v>0</v>
      </c>
      <c r="AA15" s="58"/>
      <c r="AB15" s="61">
        <v>28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3597.54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50</v>
      </c>
      <c r="E16" s="96"/>
      <c r="F16" s="206">
        <f t="shared" si="0"/>
        <v>633.5</v>
      </c>
      <c r="G16" s="207"/>
      <c r="H16" s="208"/>
      <c r="I16" s="143"/>
      <c r="J16" s="94">
        <f>'Suivi EAU-ELEC'!E22</f>
        <v>907</v>
      </c>
      <c r="K16" s="95">
        <f>'Suivi EAU-ELEC'!G22</f>
        <v>1336</v>
      </c>
      <c r="L16" s="95">
        <f>'Suivi EAU-ELEC'!I22</f>
        <v>577</v>
      </c>
      <c r="M16" s="82">
        <f t="shared" si="4"/>
        <v>2820</v>
      </c>
      <c r="N16" s="58"/>
      <c r="O16" s="59">
        <f t="shared" si="5"/>
        <v>2791.8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17028.32</v>
      </c>
      <c r="Y16" s="150">
        <f t="shared" si="1"/>
        <v>0</v>
      </c>
      <c r="Z16" s="64">
        <f t="shared" si="7"/>
        <v>0</v>
      </c>
      <c r="AA16" s="58"/>
      <c r="AB16" s="61">
        <v>27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3425.3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90</v>
      </c>
      <c r="E17" s="96"/>
      <c r="F17" s="187">
        <f t="shared" si="0"/>
        <v>1140.3</v>
      </c>
      <c r="G17" s="188"/>
      <c r="H17" s="189"/>
      <c r="I17" s="144"/>
      <c r="J17" s="94">
        <f>'Suivi EAU-ELEC'!E23</f>
        <v>1856</v>
      </c>
      <c r="K17" s="95">
        <f>'Suivi EAU-ELEC'!G23</f>
        <v>2802</v>
      </c>
      <c r="L17" s="95">
        <f>'Suivi EAU-ELEC'!I23</f>
        <v>1266</v>
      </c>
      <c r="M17" s="82">
        <f t="shared" si="4"/>
        <v>5924</v>
      </c>
      <c r="N17" s="58"/>
      <c r="O17" s="59">
        <f t="shared" si="5"/>
        <v>5864.76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17028.32</v>
      </c>
      <c r="Y17" s="150">
        <f t="shared" si="1"/>
        <v>0</v>
      </c>
      <c r="Z17" s="64">
        <f t="shared" si="7"/>
        <v>0</v>
      </c>
      <c r="AA17" s="67"/>
      <c r="AB17" s="61">
        <v>26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7005.06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60</v>
      </c>
      <c r="E18" s="96"/>
      <c r="F18" s="209">
        <f t="shared" si="0"/>
        <v>760.2</v>
      </c>
      <c r="G18" s="210"/>
      <c r="H18" s="211"/>
      <c r="I18" s="144"/>
      <c r="J18" s="94">
        <f>'Suivi EAU-ELEC'!E24</f>
        <v>843</v>
      </c>
      <c r="K18" s="95">
        <f>'Suivi EAU-ELEC'!G24</f>
        <v>1511</v>
      </c>
      <c r="L18" s="95">
        <f>'Suivi EAU-ELEC'!I24</f>
        <v>588</v>
      </c>
      <c r="M18" s="82">
        <f t="shared" si="4"/>
        <v>2942</v>
      </c>
      <c r="N18" s="58"/>
      <c r="O18" s="59">
        <f t="shared" si="5"/>
        <v>2912.58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17028.32</v>
      </c>
      <c r="Y18" s="150">
        <f t="shared" si="1"/>
        <v>0</v>
      </c>
      <c r="Z18" s="64">
        <f t="shared" si="7"/>
        <v>0</v>
      </c>
      <c r="AA18" s="67"/>
      <c r="AB18" s="61">
        <v>26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3672.7799999999997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60</v>
      </c>
      <c r="E19" s="96"/>
      <c r="F19" s="187">
        <f t="shared" si="0"/>
        <v>760.2</v>
      </c>
      <c r="G19" s="188"/>
      <c r="H19" s="189"/>
      <c r="I19" s="144"/>
      <c r="J19" s="94">
        <f>'Suivi EAU-ELEC'!E25</f>
        <v>880</v>
      </c>
      <c r="K19" s="95">
        <f>'Suivi EAU-ELEC'!G25</f>
        <v>1347</v>
      </c>
      <c r="L19" s="95">
        <f>'Suivi EAU-ELEC'!I25</f>
        <v>555</v>
      </c>
      <c r="M19" s="82">
        <f t="shared" si="4"/>
        <v>2782</v>
      </c>
      <c r="N19" s="58"/>
      <c r="O19" s="59">
        <f t="shared" si="5"/>
        <v>2754.1800000000003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17028.32</v>
      </c>
      <c r="Y19" s="150">
        <f t="shared" si="1"/>
        <v>0</v>
      </c>
      <c r="Z19" s="64">
        <f t="shared" si="7"/>
        <v>0</v>
      </c>
      <c r="AA19" s="67"/>
      <c r="AB19" s="61">
        <v>26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3514.38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60</v>
      </c>
      <c r="E20" s="96"/>
      <c r="F20" s="206">
        <f t="shared" si="0"/>
        <v>760.2</v>
      </c>
      <c r="G20" s="207"/>
      <c r="H20" s="208"/>
      <c r="I20" s="144"/>
      <c r="J20" s="94">
        <f>'Suivi EAU-ELEC'!E26</f>
        <v>935</v>
      </c>
      <c r="K20" s="95">
        <f>'Suivi EAU-ELEC'!G26</f>
        <v>1390</v>
      </c>
      <c r="L20" s="95">
        <f>'Suivi EAU-ELEC'!I26</f>
        <v>586</v>
      </c>
      <c r="M20" s="82">
        <f t="shared" si="4"/>
        <v>2911</v>
      </c>
      <c r="N20" s="58"/>
      <c r="O20" s="59">
        <f t="shared" si="5"/>
        <v>2881.89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17028.32</v>
      </c>
      <c r="Y20" s="150">
        <f t="shared" si="1"/>
        <v>0</v>
      </c>
      <c r="Z20" s="64">
        <f t="shared" si="7"/>
        <v>0</v>
      </c>
      <c r="AA20" s="67">
        <v>14</v>
      </c>
      <c r="AB20" s="61">
        <v>25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3642.09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60</v>
      </c>
      <c r="E21" s="96"/>
      <c r="F21" s="187">
        <f t="shared" si="0"/>
        <v>760.2</v>
      </c>
      <c r="G21" s="188"/>
      <c r="H21" s="189"/>
      <c r="I21" s="144"/>
      <c r="J21" s="94">
        <f>'Suivi EAU-ELEC'!E27</f>
        <v>852</v>
      </c>
      <c r="K21" s="95">
        <f>'Suivi EAU-ELEC'!G27</f>
        <v>1411</v>
      </c>
      <c r="L21" s="95">
        <f>'Suivi EAU-ELEC'!I27</f>
        <v>561</v>
      </c>
      <c r="M21" s="82">
        <f t="shared" si="4"/>
        <v>2824</v>
      </c>
      <c r="N21" s="58"/>
      <c r="O21" s="59">
        <f t="shared" si="5"/>
        <v>2795.7599999999998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17028.32</v>
      </c>
      <c r="Y21" s="150">
        <f t="shared" si="1"/>
        <v>0</v>
      </c>
      <c r="Z21" s="64">
        <f t="shared" si="7"/>
        <v>0</v>
      </c>
      <c r="AA21" s="67">
        <v>14</v>
      </c>
      <c r="AB21" s="61">
        <v>25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3555.96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60</v>
      </c>
      <c r="E22" s="96"/>
      <c r="F22" s="209">
        <f t="shared" si="0"/>
        <v>760.2</v>
      </c>
      <c r="G22" s="210"/>
      <c r="H22" s="211"/>
      <c r="I22" s="144"/>
      <c r="J22" s="94">
        <f>'Suivi EAU-ELEC'!E28</f>
        <v>886</v>
      </c>
      <c r="K22" s="95">
        <f>'Suivi EAU-ELEC'!G28</f>
        <v>1356</v>
      </c>
      <c r="L22" s="95">
        <f>'Suivi EAU-ELEC'!I28</f>
        <v>576</v>
      </c>
      <c r="M22" s="82">
        <f t="shared" si="4"/>
        <v>2818</v>
      </c>
      <c r="N22" s="58"/>
      <c r="O22" s="59">
        <f t="shared" si="5"/>
        <v>2789.8199999999997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17028.32</v>
      </c>
      <c r="Y22" s="150">
        <f t="shared" si="1"/>
        <v>0</v>
      </c>
      <c r="Z22" s="64">
        <f t="shared" si="7"/>
        <v>0</v>
      </c>
      <c r="AA22" s="58"/>
      <c r="AB22" s="61">
        <v>26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3550.0199999999995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60</v>
      </c>
      <c r="E23" s="96"/>
      <c r="F23" s="187">
        <f t="shared" si="0"/>
        <v>760.2</v>
      </c>
      <c r="G23" s="188"/>
      <c r="H23" s="189"/>
      <c r="I23" s="144"/>
      <c r="J23" s="94">
        <f>'Suivi EAU-ELEC'!E29</f>
        <v>934</v>
      </c>
      <c r="K23" s="95">
        <f>'Suivi EAU-ELEC'!G29</f>
        <v>1302</v>
      </c>
      <c r="L23" s="95">
        <f>'Suivi EAU-ELEC'!I29</f>
        <v>575</v>
      </c>
      <c r="M23" s="82">
        <f t="shared" si="4"/>
        <v>2811</v>
      </c>
      <c r="N23" s="58"/>
      <c r="O23" s="59">
        <f t="shared" si="5"/>
        <v>2782.89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17028.32</v>
      </c>
      <c r="Y23" s="150">
        <f t="shared" si="1"/>
        <v>0</v>
      </c>
      <c r="Z23" s="64">
        <f t="shared" si="7"/>
        <v>0</v>
      </c>
      <c r="AA23" s="58"/>
      <c r="AB23" s="61">
        <v>27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3543.09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60</v>
      </c>
      <c r="E24" s="96"/>
      <c r="F24" s="187">
        <f t="shared" si="0"/>
        <v>760.2</v>
      </c>
      <c r="G24" s="188"/>
      <c r="H24" s="189"/>
      <c r="I24" s="144"/>
      <c r="J24" s="94">
        <f>'Suivi EAU-ELEC'!E30</f>
        <v>926</v>
      </c>
      <c r="K24" s="95">
        <f>'Suivi EAU-ELEC'!G30</f>
        <v>1354</v>
      </c>
      <c r="L24" s="95">
        <f>'Suivi EAU-ELEC'!I30</f>
        <v>601</v>
      </c>
      <c r="M24" s="82">
        <f t="shared" si="4"/>
        <v>2881</v>
      </c>
      <c r="N24" s="58"/>
      <c r="O24" s="59">
        <f t="shared" si="5"/>
        <v>2852.1899999999996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17028.32</v>
      </c>
      <c r="Y24" s="150">
        <f t="shared" si="1"/>
        <v>0</v>
      </c>
      <c r="Z24" s="64">
        <f t="shared" si="7"/>
        <v>0</v>
      </c>
      <c r="AA24" s="58"/>
      <c r="AB24" s="61">
        <v>32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3612.3899999999994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70</v>
      </c>
      <c r="E25" s="96"/>
      <c r="F25" s="187">
        <f t="shared" si="0"/>
        <v>886.9</v>
      </c>
      <c r="G25" s="188"/>
      <c r="H25" s="189"/>
      <c r="I25" s="144"/>
      <c r="J25" s="94">
        <f>'Suivi EAU-ELEC'!E31</f>
        <v>936</v>
      </c>
      <c r="K25" s="95">
        <f>'Suivi EAU-ELEC'!G31</f>
        <v>1409</v>
      </c>
      <c r="L25" s="95">
        <f>'Suivi EAU-ELEC'!I31</f>
        <v>584</v>
      </c>
      <c r="M25" s="82">
        <f t="shared" si="4"/>
        <v>2929</v>
      </c>
      <c r="N25" s="58"/>
      <c r="O25" s="59">
        <f t="shared" si="5"/>
        <v>2899.71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17028.32</v>
      </c>
      <c r="Y25" s="150">
        <f t="shared" si="1"/>
        <v>0</v>
      </c>
      <c r="Z25" s="64">
        <f t="shared" si="7"/>
        <v>0</v>
      </c>
      <c r="AA25" s="58"/>
      <c r="AB25" s="61">
        <v>31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3786.61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60</v>
      </c>
      <c r="E26" s="152"/>
      <c r="F26" s="187">
        <f t="shared" si="0"/>
        <v>760.2</v>
      </c>
      <c r="G26" s="188"/>
      <c r="H26" s="189"/>
      <c r="I26" s="144"/>
      <c r="J26" s="94">
        <f>'Suivi EAU-ELEC'!E32</f>
        <v>919</v>
      </c>
      <c r="K26" s="95">
        <f>'Suivi EAU-ELEC'!G32</f>
        <v>1367</v>
      </c>
      <c r="L26" s="95">
        <f>'Suivi EAU-ELEC'!I32</f>
        <v>599</v>
      </c>
      <c r="M26" s="82">
        <f t="shared" si="4"/>
        <v>2885</v>
      </c>
      <c r="N26" s="58"/>
      <c r="O26" s="59">
        <f t="shared" si="5"/>
        <v>2856.1499999999996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17028.32</v>
      </c>
      <c r="Y26" s="150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3616.3499999999995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60</v>
      </c>
      <c r="E27" s="152"/>
      <c r="F27" s="187">
        <f t="shared" si="0"/>
        <v>760.2</v>
      </c>
      <c r="G27" s="188"/>
      <c r="H27" s="189"/>
      <c r="I27" s="144"/>
      <c r="J27" s="94">
        <f>'Suivi EAU-ELEC'!E33</f>
        <v>1065</v>
      </c>
      <c r="K27" s="95">
        <f>'Suivi EAU-ELEC'!G33</f>
        <v>1301</v>
      </c>
      <c r="L27" s="95">
        <f>'Suivi EAU-ELEC'!I33</f>
        <v>599</v>
      </c>
      <c r="M27" s="82">
        <f t="shared" si="4"/>
        <v>2965</v>
      </c>
      <c r="N27" s="58"/>
      <c r="O27" s="59">
        <f t="shared" si="5"/>
        <v>2935.3500000000004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17028.32</v>
      </c>
      <c r="Y27" s="150">
        <f t="shared" si="1"/>
        <v>0</v>
      </c>
      <c r="Z27" s="64">
        <f t="shared" si="7"/>
        <v>0</v>
      </c>
      <c r="AA27" s="85"/>
      <c r="AB27" s="61">
        <v>27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3695.55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60</v>
      </c>
      <c r="E28" s="152"/>
      <c r="F28" s="206">
        <f t="shared" si="0"/>
        <v>760.2</v>
      </c>
      <c r="G28" s="207"/>
      <c r="H28" s="208"/>
      <c r="I28" s="145"/>
      <c r="J28" s="94">
        <f>'Suivi EAU-ELEC'!E34</f>
        <v>982</v>
      </c>
      <c r="K28" s="95">
        <f>'Suivi EAU-ELEC'!G34</f>
        <v>1433</v>
      </c>
      <c r="L28" s="95">
        <f>'Suivi EAU-ELEC'!I34</f>
        <v>608</v>
      </c>
      <c r="M28" s="82">
        <f t="shared" si="4"/>
        <v>3023</v>
      </c>
      <c r="N28" s="58"/>
      <c r="O28" s="59">
        <f t="shared" si="5"/>
        <v>2992.77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17028.32</v>
      </c>
      <c r="Y28" s="150">
        <f t="shared" si="1"/>
        <v>0</v>
      </c>
      <c r="Z28" s="64">
        <f t="shared" si="7"/>
        <v>0</v>
      </c>
      <c r="AA28" s="85"/>
      <c r="AB28" s="61">
        <v>28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3752.9700000000003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70</v>
      </c>
      <c r="E29" s="152"/>
      <c r="F29" s="187">
        <f t="shared" si="0"/>
        <v>886.9</v>
      </c>
      <c r="G29" s="188"/>
      <c r="H29" s="189"/>
      <c r="I29" s="145"/>
      <c r="J29" s="94">
        <f>'Suivi EAU-ELEC'!E35</f>
        <v>917</v>
      </c>
      <c r="K29" s="95">
        <f>'Suivi EAU-ELEC'!G35</f>
        <v>1402</v>
      </c>
      <c r="L29" s="95">
        <f>'Suivi EAU-ELEC'!I35</f>
        <v>576</v>
      </c>
      <c r="M29" s="82">
        <f t="shared" si="4"/>
        <v>2895</v>
      </c>
      <c r="N29" s="58"/>
      <c r="O29" s="59">
        <f t="shared" si="5"/>
        <v>2866.05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17028.32</v>
      </c>
      <c r="Y29" s="150">
        <f t="shared" si="1"/>
        <v>0</v>
      </c>
      <c r="Z29" s="64">
        <f t="shared" si="7"/>
        <v>0</v>
      </c>
      <c r="AA29" s="85"/>
      <c r="AB29" s="61">
        <v>31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3752.9500000000003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50</v>
      </c>
      <c r="E30" s="152"/>
      <c r="F30" s="206">
        <f t="shared" si="0"/>
        <v>633.5</v>
      </c>
      <c r="G30" s="207"/>
      <c r="H30" s="208"/>
      <c r="I30" s="145"/>
      <c r="J30" s="94">
        <f>'Suivi EAU-ELEC'!E36</f>
        <v>919</v>
      </c>
      <c r="K30" s="95">
        <f>'Suivi EAU-ELEC'!G36</f>
        <v>1394</v>
      </c>
      <c r="L30" s="95">
        <f>'Suivi EAU-ELEC'!I36</f>
        <v>598</v>
      </c>
      <c r="M30" s="82">
        <f t="shared" si="4"/>
        <v>2911</v>
      </c>
      <c r="N30" s="58"/>
      <c r="O30" s="59">
        <f t="shared" si="5"/>
        <v>2881.89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17028.32</v>
      </c>
      <c r="Y30" s="150">
        <f t="shared" si="1"/>
        <v>0</v>
      </c>
      <c r="Z30" s="64">
        <f t="shared" si="7"/>
        <v>0</v>
      </c>
      <c r="AA30" s="85"/>
      <c r="AB30" s="61">
        <v>32</v>
      </c>
      <c r="AC30" s="78">
        <v>0</v>
      </c>
      <c r="AD30" s="79">
        <v>0</v>
      </c>
      <c r="AE30" s="83" t="s">
        <v>69</v>
      </c>
      <c r="AF30" s="83" t="s">
        <v>69</v>
      </c>
      <c r="AG30" s="80" t="s">
        <v>69</v>
      </c>
      <c r="AH30" s="81" t="s">
        <v>69</v>
      </c>
      <c r="AI30" s="44"/>
      <c r="AJ30" s="130">
        <f t="shared" si="2"/>
        <v>3515.39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60</v>
      </c>
      <c r="E31" s="96"/>
      <c r="F31" s="187">
        <f t="shared" si="0"/>
        <v>760.2</v>
      </c>
      <c r="G31" s="188"/>
      <c r="H31" s="189"/>
      <c r="I31" s="146"/>
      <c r="J31" s="94">
        <f>'Suivi EAU-ELEC'!E37</f>
        <v>1000</v>
      </c>
      <c r="K31" s="95">
        <f>'Suivi EAU-ELEC'!G37</f>
        <v>1339</v>
      </c>
      <c r="L31" s="95">
        <f>'Suivi EAU-ELEC'!I37</f>
        <v>591</v>
      </c>
      <c r="M31" s="82">
        <f t="shared" si="4"/>
        <v>2930</v>
      </c>
      <c r="N31" s="58"/>
      <c r="O31" s="59">
        <f t="shared" si="5"/>
        <v>2900.7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>
        <v>17028.32</v>
      </c>
      <c r="Y31" s="150">
        <f t="shared" si="1"/>
        <v>0</v>
      </c>
      <c r="Z31" s="64">
        <f t="shared" si="7"/>
        <v>0</v>
      </c>
      <c r="AA31" s="58"/>
      <c r="AB31" s="61">
        <v>34</v>
      </c>
      <c r="AC31" s="78">
        <v>0</v>
      </c>
      <c r="AD31" s="79">
        <v>0</v>
      </c>
      <c r="AE31" s="83" t="s">
        <v>69</v>
      </c>
      <c r="AF31" s="83" t="s">
        <v>69</v>
      </c>
      <c r="AG31" s="80" t="s">
        <v>69</v>
      </c>
      <c r="AH31" s="81" t="s">
        <v>69</v>
      </c>
      <c r="AI31" s="44"/>
      <c r="AJ31" s="130">
        <f t="shared" si="2"/>
        <v>3660.8999999999996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60</v>
      </c>
      <c r="E32" s="96"/>
      <c r="F32" s="187">
        <f t="shared" si="0"/>
        <v>760.2</v>
      </c>
      <c r="G32" s="188"/>
      <c r="H32" s="189"/>
      <c r="I32" s="143"/>
      <c r="J32" s="94">
        <f>'Suivi EAU-ELEC'!E38</f>
        <v>713</v>
      </c>
      <c r="K32" s="95">
        <f>'Suivi EAU-ELEC'!G38</f>
        <v>1443</v>
      </c>
      <c r="L32" s="95">
        <f>'Suivi EAU-ELEC'!I38</f>
        <v>612</v>
      </c>
      <c r="M32" s="82">
        <f t="shared" si="4"/>
        <v>2768</v>
      </c>
      <c r="N32" s="58"/>
      <c r="O32" s="59">
        <f t="shared" si="5"/>
        <v>2740.32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>
        <v>17028.32</v>
      </c>
      <c r="Y32" s="150">
        <f t="shared" si="1"/>
        <v>0</v>
      </c>
      <c r="Z32" s="64">
        <f t="shared" si="7"/>
        <v>0</v>
      </c>
      <c r="AA32" s="58"/>
      <c r="AB32" s="61">
        <v>32</v>
      </c>
      <c r="AC32" s="78">
        <v>0</v>
      </c>
      <c r="AD32" s="79">
        <v>0</v>
      </c>
      <c r="AE32" s="83" t="s">
        <v>69</v>
      </c>
      <c r="AF32" s="83" t="s">
        <v>69</v>
      </c>
      <c r="AG32" s="80" t="s">
        <v>69</v>
      </c>
      <c r="AH32" s="81" t="s">
        <v>69</v>
      </c>
      <c r="AI32" s="44"/>
      <c r="AJ32" s="130">
        <f t="shared" si="2"/>
        <v>3500.5200000000004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60</v>
      </c>
      <c r="E33" s="96"/>
      <c r="F33" s="187">
        <f t="shared" si="0"/>
        <v>760.2</v>
      </c>
      <c r="G33" s="188"/>
      <c r="H33" s="189"/>
      <c r="I33" s="144"/>
      <c r="J33" s="94">
        <f>'Suivi EAU-ELEC'!E39</f>
        <v>887</v>
      </c>
      <c r="K33" s="95">
        <f>'Suivi EAU-ELEC'!G39</f>
        <v>1395</v>
      </c>
      <c r="L33" s="95">
        <f>'Suivi EAU-ELEC'!I39</f>
        <v>588</v>
      </c>
      <c r="M33" s="82">
        <f t="shared" si="4"/>
        <v>2870</v>
      </c>
      <c r="N33" s="58"/>
      <c r="O33" s="59">
        <f t="shared" si="5"/>
        <v>2841.2999999999997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>
        <v>17028.32</v>
      </c>
      <c r="Y33" s="150">
        <f t="shared" si="1"/>
        <v>0</v>
      </c>
      <c r="Z33" s="64">
        <f t="shared" si="7"/>
        <v>0</v>
      </c>
      <c r="AA33" s="58"/>
      <c r="AB33" s="61">
        <v>32</v>
      </c>
      <c r="AC33" s="78">
        <v>0</v>
      </c>
      <c r="AD33" s="79">
        <v>0</v>
      </c>
      <c r="AE33" s="83" t="s">
        <v>69</v>
      </c>
      <c r="AF33" s="83" t="s">
        <v>69</v>
      </c>
      <c r="AG33" s="80" t="s">
        <v>69</v>
      </c>
      <c r="AH33" s="81" t="s">
        <v>69</v>
      </c>
      <c r="AI33" s="44"/>
      <c r="AJ33" s="130">
        <f t="shared" si="2"/>
        <v>3601.5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60</v>
      </c>
      <c r="E34" s="96"/>
      <c r="F34" s="187">
        <f t="shared" si="0"/>
        <v>760.2</v>
      </c>
      <c r="G34" s="188"/>
      <c r="H34" s="189"/>
      <c r="I34" s="144"/>
      <c r="J34" s="94">
        <f>'Suivi EAU-ELEC'!E40</f>
        <v>841</v>
      </c>
      <c r="K34" s="95">
        <f>'Suivi EAU-ELEC'!G40</f>
        <v>1345</v>
      </c>
      <c r="L34" s="95">
        <f>'Suivi EAU-ELEC'!I40</f>
        <v>550</v>
      </c>
      <c r="M34" s="82">
        <f t="shared" si="4"/>
        <v>2736</v>
      </c>
      <c r="N34" s="58"/>
      <c r="O34" s="59">
        <f t="shared" si="5"/>
        <v>2708.64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>
        <v>17028.32</v>
      </c>
      <c r="Y34" s="150">
        <f t="shared" si="1"/>
        <v>0</v>
      </c>
      <c r="Z34" s="64">
        <f t="shared" si="7"/>
        <v>0</v>
      </c>
      <c r="AA34" s="58"/>
      <c r="AB34" s="61">
        <v>31</v>
      </c>
      <c r="AC34" s="78">
        <v>0</v>
      </c>
      <c r="AD34" s="79">
        <v>0</v>
      </c>
      <c r="AE34" s="83" t="s">
        <v>69</v>
      </c>
      <c r="AF34" s="83" t="s">
        <v>69</v>
      </c>
      <c r="AG34" s="80" t="s">
        <v>69</v>
      </c>
      <c r="AH34" s="81" t="s">
        <v>69</v>
      </c>
      <c r="AI34" s="44"/>
      <c r="AJ34" s="130">
        <f t="shared" si="2"/>
        <v>3468.84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70</v>
      </c>
      <c r="E35" s="96"/>
      <c r="F35" s="209">
        <f t="shared" si="0"/>
        <v>886.9</v>
      </c>
      <c r="G35" s="210"/>
      <c r="H35" s="211"/>
      <c r="I35" s="144"/>
      <c r="J35" s="94">
        <f>'Suivi EAU-ELEC'!E41</f>
        <v>862</v>
      </c>
      <c r="K35" s="95">
        <f>'Suivi EAU-ELEC'!G41</f>
        <v>1381</v>
      </c>
      <c r="L35" s="95">
        <f>'Suivi EAU-ELEC'!I41</f>
        <v>621</v>
      </c>
      <c r="M35" s="82">
        <f t="shared" si="4"/>
        <v>2864</v>
      </c>
      <c r="N35" s="58"/>
      <c r="O35" s="59">
        <f t="shared" si="5"/>
        <v>2835.36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>
        <v>17028.32</v>
      </c>
      <c r="Y35" s="150">
        <f t="shared" si="1"/>
        <v>0</v>
      </c>
      <c r="Z35" s="64">
        <f t="shared" si="7"/>
        <v>0</v>
      </c>
      <c r="AA35" s="58"/>
      <c r="AB35" s="61">
        <v>31</v>
      </c>
      <c r="AC35" s="78">
        <v>0</v>
      </c>
      <c r="AD35" s="79">
        <v>0</v>
      </c>
      <c r="AE35" s="83" t="s">
        <v>69</v>
      </c>
      <c r="AF35" s="83" t="s">
        <v>69</v>
      </c>
      <c r="AG35" s="80" t="s">
        <v>69</v>
      </c>
      <c r="AH35" s="81" t="s">
        <v>69</v>
      </c>
      <c r="AI35" s="44"/>
      <c r="AJ35" s="130">
        <f t="shared" si="2"/>
        <v>3722.26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70</v>
      </c>
      <c r="E36" s="96"/>
      <c r="F36" s="212">
        <f t="shared" si="0"/>
        <v>886.9</v>
      </c>
      <c r="G36" s="213"/>
      <c r="H36" s="214"/>
      <c r="I36" s="144"/>
      <c r="J36" s="94">
        <f>'Suivi EAU-ELEC'!E42</f>
        <v>826</v>
      </c>
      <c r="K36" s="95">
        <f>'Suivi EAU-ELEC'!G42</f>
        <v>1453</v>
      </c>
      <c r="L36" s="95">
        <f>'Suivi EAU-ELEC'!I42</f>
        <v>568</v>
      </c>
      <c r="M36" s="82">
        <f t="shared" si="4"/>
        <v>2847</v>
      </c>
      <c r="N36" s="58"/>
      <c r="O36" s="59">
        <f t="shared" si="5"/>
        <v>2818.53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>
        <v>17028.32</v>
      </c>
      <c r="Y36" s="150">
        <f t="shared" si="1"/>
        <v>0</v>
      </c>
      <c r="Z36" s="64">
        <f t="shared" si="7"/>
        <v>0</v>
      </c>
      <c r="AA36" s="58"/>
      <c r="AB36" s="61">
        <v>32</v>
      </c>
      <c r="AC36" s="78">
        <v>0</v>
      </c>
      <c r="AD36" s="79">
        <v>0</v>
      </c>
      <c r="AE36" s="83" t="s">
        <v>69</v>
      </c>
      <c r="AF36" s="83" t="s">
        <v>69</v>
      </c>
      <c r="AG36" s="80" t="s">
        <v>69</v>
      </c>
      <c r="AH36" s="81" t="s">
        <v>69</v>
      </c>
      <c r="AI36" s="44"/>
      <c r="AJ36" s="130">
        <f t="shared" si="2"/>
        <v>3705.4300000000003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60</v>
      </c>
      <c r="E37" s="96"/>
      <c r="F37" s="215">
        <f t="shared" si="0"/>
        <v>760.2</v>
      </c>
      <c r="G37" s="216"/>
      <c r="H37" s="217"/>
      <c r="I37" s="144"/>
      <c r="J37" s="94">
        <f>'Suivi EAU-ELEC'!E43</f>
        <v>969</v>
      </c>
      <c r="K37" s="95">
        <f>'Suivi EAU-ELEC'!G43</f>
        <v>1393</v>
      </c>
      <c r="L37" s="95">
        <f>'Suivi EAU-ELEC'!I43</f>
        <v>624</v>
      </c>
      <c r="M37" s="82">
        <f t="shared" si="4"/>
        <v>2986</v>
      </c>
      <c r="N37" s="58"/>
      <c r="O37" s="59">
        <f t="shared" si="5"/>
        <v>2956.1400000000003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>
        <v>17028.32</v>
      </c>
      <c r="Y37" s="150">
        <f t="shared" si="1"/>
        <v>9.9999999998544808E-2</v>
      </c>
      <c r="Z37" s="64">
        <f t="shared" si="7"/>
        <v>52.999999999228756</v>
      </c>
      <c r="AA37" s="58"/>
      <c r="AB37" s="61">
        <v>33</v>
      </c>
      <c r="AC37" s="78">
        <v>0</v>
      </c>
      <c r="AD37" s="79">
        <v>0</v>
      </c>
      <c r="AE37" s="83" t="s">
        <v>69</v>
      </c>
      <c r="AF37" s="83" t="s">
        <v>69</v>
      </c>
      <c r="AG37" s="80" t="s">
        <v>69</v>
      </c>
      <c r="AH37" s="81" t="s">
        <v>69</v>
      </c>
      <c r="AI37" s="44"/>
      <c r="AJ37" s="130">
        <f t="shared" si="2"/>
        <v>3769.3399999992289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60</v>
      </c>
      <c r="E38" s="96"/>
      <c r="F38" s="206">
        <f t="shared" si="0"/>
        <v>760.2</v>
      </c>
      <c r="G38" s="207"/>
      <c r="H38" s="208"/>
      <c r="I38" s="144"/>
      <c r="J38" s="94">
        <f>'Suivi EAU-ELEC'!E44</f>
        <v>986</v>
      </c>
      <c r="K38" s="95">
        <f>'Suivi EAU-ELEC'!G44</f>
        <v>1427</v>
      </c>
      <c r="L38" s="95">
        <f>'Suivi EAU-ELEC'!I44</f>
        <v>630</v>
      </c>
      <c r="M38" s="82">
        <f t="shared" si="4"/>
        <v>3043</v>
      </c>
      <c r="N38" s="58"/>
      <c r="O38" s="59">
        <f t="shared" si="5"/>
        <v>3012.5699999999997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>
        <v>17028.419999999998</v>
      </c>
      <c r="Y38" s="150">
        <f t="shared" si="1"/>
        <v>0</v>
      </c>
      <c r="Z38" s="64">
        <f t="shared" si="7"/>
        <v>0</v>
      </c>
      <c r="AA38" s="58"/>
      <c r="AB38" s="61">
        <v>34</v>
      </c>
      <c r="AC38" s="78">
        <v>0</v>
      </c>
      <c r="AD38" s="79">
        <v>0</v>
      </c>
      <c r="AE38" s="83" t="s">
        <v>69</v>
      </c>
      <c r="AF38" s="83" t="s">
        <v>69</v>
      </c>
      <c r="AG38" s="80" t="s">
        <v>69</v>
      </c>
      <c r="AH38" s="81" t="s">
        <v>69</v>
      </c>
      <c r="AI38" s="44"/>
      <c r="AJ38" s="130">
        <f t="shared" si="2"/>
        <v>3772.7699999999995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187">
        <f t="shared" si="0"/>
        <v>0</v>
      </c>
      <c r="G39" s="188"/>
      <c r="H39" s="18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>
        <v>17028.419999999998</v>
      </c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09">
        <f t="shared" si="0"/>
        <v>0</v>
      </c>
      <c r="G40" s="210"/>
      <c r="H40" s="211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8">
        <f>SUM(F10:H39)</f>
        <v>22806.000000000011</v>
      </c>
      <c r="G41" s="219"/>
      <c r="H41" s="220"/>
      <c r="I41" s="102"/>
      <c r="J41" s="104">
        <f>SUM(J10:J39)</f>
        <v>27296</v>
      </c>
      <c r="K41" s="104">
        <f>SUM(K10:K39)</f>
        <v>41298</v>
      </c>
      <c r="L41" s="104">
        <f>SUM(L10:L39)</f>
        <v>17597</v>
      </c>
      <c r="M41" s="104">
        <f>SUM(M10:M39)</f>
        <v>86191</v>
      </c>
      <c r="N41" s="103"/>
      <c r="O41" s="104">
        <f>SUM(O10:O39)</f>
        <v>85329.09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37.1</v>
      </c>
      <c r="V41" s="58"/>
      <c r="W41" s="104">
        <f>SUM(W10:W39)</f>
        <v>290.63398000000001</v>
      </c>
      <c r="X41" s="140"/>
      <c r="Y41" s="104">
        <f>SUM(Y10:Y39)</f>
        <v>9.9999999998544808E-2</v>
      </c>
      <c r="Z41" s="141">
        <f>SUM(Z10:Z39)</f>
        <v>52.999999999228756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108478.72397999919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1"/>
      <c r="G42" s="221"/>
      <c r="H42" s="221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2" t="s">
        <v>9</v>
      </c>
      <c r="B43" s="223"/>
      <c r="C43" s="224"/>
      <c r="D43" s="110" t="s">
        <v>6</v>
      </c>
      <c r="E43" s="111"/>
      <c r="F43" s="112">
        <v>0.64895000000000003</v>
      </c>
      <c r="G43" s="228">
        <f>J41</f>
        <v>27296</v>
      </c>
      <c r="H43" s="229"/>
      <c r="I43" s="230"/>
      <c r="J43" s="231">
        <f>G43*F43</f>
        <v>17713.7392</v>
      </c>
      <c r="K43" s="232"/>
      <c r="L43" s="233">
        <f>J43+J44+J45</f>
        <v>76158.490579999998</v>
      </c>
      <c r="M43" s="234"/>
      <c r="N43" s="234"/>
      <c r="O43" s="234"/>
      <c r="P43" s="234"/>
      <c r="Q43" s="234"/>
      <c r="R43" s="234"/>
      <c r="S43" s="234"/>
      <c r="T43" s="234"/>
      <c r="U43" s="235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5"/>
      <c r="B44" s="226"/>
      <c r="C44" s="227"/>
      <c r="D44" s="113" t="s">
        <v>7</v>
      </c>
      <c r="E44" s="111"/>
      <c r="F44" s="117">
        <v>0.88605</v>
      </c>
      <c r="G44" s="228">
        <f>K41</f>
        <v>41298</v>
      </c>
      <c r="H44" s="229"/>
      <c r="I44" s="230"/>
      <c r="J44" s="231">
        <f>G44*F44</f>
        <v>36592.092900000003</v>
      </c>
      <c r="K44" s="232"/>
      <c r="L44" s="236"/>
      <c r="M44" s="237"/>
      <c r="N44" s="237"/>
      <c r="O44" s="237"/>
      <c r="P44" s="237"/>
      <c r="Q44" s="237"/>
      <c r="R44" s="237"/>
      <c r="S44" s="237"/>
      <c r="T44" s="237"/>
      <c r="U44" s="238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5"/>
      <c r="B45" s="226"/>
      <c r="C45" s="227"/>
      <c r="D45" s="118" t="s">
        <v>8</v>
      </c>
      <c r="E45" s="119"/>
      <c r="F45" s="120">
        <v>1.2418400000000001</v>
      </c>
      <c r="G45" s="242">
        <f>L41</f>
        <v>17597</v>
      </c>
      <c r="H45" s="243"/>
      <c r="I45" s="244"/>
      <c r="J45" s="231">
        <f>G45*F45</f>
        <v>21852.658480000002</v>
      </c>
      <c r="K45" s="232"/>
      <c r="L45" s="239"/>
      <c r="M45" s="240"/>
      <c r="N45" s="240"/>
      <c r="O45" s="240"/>
      <c r="P45" s="240"/>
      <c r="Q45" s="240"/>
      <c r="R45" s="240"/>
      <c r="S45" s="240"/>
      <c r="T45" s="240"/>
      <c r="U45" s="241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6" t="s">
        <v>10</v>
      </c>
      <c r="B46" s="247"/>
      <c r="C46" s="247"/>
      <c r="D46" s="248"/>
      <c r="E46" s="111"/>
      <c r="F46" s="121">
        <v>12.67</v>
      </c>
      <c r="G46" s="246">
        <f>D41</f>
        <v>0</v>
      </c>
      <c r="H46" s="247"/>
      <c r="I46" s="248"/>
      <c r="J46" s="249">
        <f>G46*F46</f>
        <v>0</v>
      </c>
      <c r="K46" s="250"/>
      <c r="L46" s="251">
        <f>J46</f>
        <v>0</v>
      </c>
      <c r="M46" s="252"/>
      <c r="N46" s="252"/>
      <c r="O46" s="252"/>
      <c r="P46" s="252"/>
      <c r="Q46" s="252"/>
      <c r="R46" s="252"/>
      <c r="S46" s="252"/>
      <c r="T46" s="252"/>
      <c r="U46" s="253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4" t="s">
        <v>12</v>
      </c>
      <c r="B47" s="255"/>
      <c r="C47" s="255"/>
      <c r="D47" s="256"/>
      <c r="E47" s="111"/>
      <c r="F47" s="122">
        <v>7.8338000000000001</v>
      </c>
      <c r="G47" s="257">
        <f>U41</f>
        <v>37.1</v>
      </c>
      <c r="H47" s="258"/>
      <c r="I47" s="259"/>
      <c r="J47" s="257">
        <f>G47*F47</f>
        <v>290.63398000000001</v>
      </c>
      <c r="K47" s="259"/>
      <c r="L47" s="260">
        <f>J47</f>
        <v>290.63398000000001</v>
      </c>
      <c r="M47" s="261"/>
      <c r="N47" s="261"/>
      <c r="O47" s="261"/>
      <c r="P47" s="261"/>
      <c r="Q47" s="261"/>
      <c r="R47" s="261"/>
      <c r="S47" s="261"/>
      <c r="T47" s="261"/>
      <c r="U47" s="262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B41" sqref="B4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3"/>
      <c r="B1" s="263"/>
      <c r="C1" s="264"/>
      <c r="D1" s="265" t="s">
        <v>57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7"/>
      <c r="AA1" s="268"/>
      <c r="AB1" s="269"/>
      <c r="AC1" s="269"/>
    </row>
    <row r="2" spans="1:31" ht="41.25" customHeight="1" thickBot="1" x14ac:dyDescent="0.4">
      <c r="A2" s="48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3"/>
      <c r="Q2" s="270">
        <v>803</v>
      </c>
      <c r="R2" s="271"/>
      <c r="S2" s="271"/>
      <c r="T2" s="271">
        <v>519</v>
      </c>
      <c r="U2" s="271"/>
      <c r="V2" s="271"/>
      <c r="W2" s="271">
        <v>800</v>
      </c>
      <c r="X2" s="271"/>
      <c r="Y2" s="271"/>
      <c r="Z2" s="271">
        <v>802</v>
      </c>
      <c r="AA2" s="271"/>
      <c r="AB2" s="274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43984</v>
      </c>
      <c r="B12" s="20">
        <v>76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73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301</v>
      </c>
      <c r="K12" s="18">
        <f t="shared" ref="K12:K42" si="20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43985</v>
      </c>
      <c r="B13" s="20">
        <v>76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73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301</v>
      </c>
      <c r="K13" s="18">
        <f t="shared" si="20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1</v>
      </c>
      <c r="H14" s="20">
        <v>75</v>
      </c>
      <c r="I14" s="18">
        <f t="shared" si="3"/>
        <v>0</v>
      </c>
      <c r="J14" s="18">
        <f t="shared" si="19"/>
        <v>301</v>
      </c>
      <c r="K14" s="18">
        <f t="shared" si="20"/>
        <v>75.25</v>
      </c>
      <c r="L14" s="18">
        <f t="shared" si="6"/>
        <v>0.25</v>
      </c>
      <c r="M14" s="18">
        <f t="shared" si="7"/>
        <v>28000</v>
      </c>
      <c r="N14" s="18">
        <f t="shared" si="8"/>
        <v>70</v>
      </c>
      <c r="O14" s="18">
        <f t="shared" si="9"/>
        <v>37.1</v>
      </c>
      <c r="P14" s="21">
        <f t="shared" si="14"/>
        <v>290.63398000000001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3"/>
        <v>43987</v>
      </c>
      <c r="B15" s="20">
        <v>76</v>
      </c>
      <c r="C15" s="18">
        <f t="shared" ref="C15:C17" si="27">IF(AC15&gt;0,((B15-R15)+(S15-B16)),IF(B16=0, ,(B15-B16)))</f>
        <v>0</v>
      </c>
      <c r="D15" s="20">
        <v>77</v>
      </c>
      <c r="E15" s="18">
        <f t="shared" ref="E15:E17" si="28">IF(AC15&gt;0,((D15-U15)+(V15-D16)),IF(D16=0, ,(D15-D16)))</f>
        <v>0</v>
      </c>
      <c r="F15" s="20">
        <v>72</v>
      </c>
      <c r="G15" s="18">
        <f t="shared" ref="G15:G17" si="29">IF(AC15&gt;0,((F15-X15)+(Y15-F16)),IF(F16=0, ,(F15-F16)))</f>
        <v>0</v>
      </c>
      <c r="H15" s="20">
        <v>75</v>
      </c>
      <c r="I15" s="18">
        <f t="shared" si="3"/>
        <v>0</v>
      </c>
      <c r="J15" s="18">
        <f t="shared" si="19"/>
        <v>300</v>
      </c>
      <c r="K15" s="18">
        <f t="shared" si="20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3"/>
        <v>43988</v>
      </c>
      <c r="B16" s="20">
        <v>76</v>
      </c>
      <c r="C16" s="18">
        <f t="shared" si="27"/>
        <v>0</v>
      </c>
      <c r="D16" s="20">
        <v>77</v>
      </c>
      <c r="E16" s="18">
        <f t="shared" si="28"/>
        <v>0</v>
      </c>
      <c r="F16" s="20">
        <v>72</v>
      </c>
      <c r="G16" s="18">
        <f t="shared" si="29"/>
        <v>0</v>
      </c>
      <c r="H16" s="20">
        <v>75</v>
      </c>
      <c r="I16" s="18">
        <f t="shared" si="3"/>
        <v>0</v>
      </c>
      <c r="J16" s="18">
        <f t="shared" si="19"/>
        <v>300</v>
      </c>
      <c r="K16" s="18">
        <f t="shared" si="20"/>
        <v>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3"/>
        <v>43989</v>
      </c>
      <c r="B17" s="20">
        <v>76</v>
      </c>
      <c r="C17" s="18">
        <f t="shared" si="27"/>
        <v>0</v>
      </c>
      <c r="D17" s="20">
        <v>77</v>
      </c>
      <c r="E17" s="18">
        <f t="shared" si="28"/>
        <v>0</v>
      </c>
      <c r="F17" s="20">
        <v>72</v>
      </c>
      <c r="G17" s="18">
        <f t="shared" si="29"/>
        <v>0</v>
      </c>
      <c r="H17" s="20">
        <v>75</v>
      </c>
      <c r="I17" s="18">
        <f t="shared" si="3"/>
        <v>0</v>
      </c>
      <c r="J17" s="18">
        <f t="shared" si="19"/>
        <v>300</v>
      </c>
      <c r="K17" s="18">
        <f t="shared" si="20"/>
        <v>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3"/>
        <v>43990</v>
      </c>
      <c r="B18" s="20">
        <v>76</v>
      </c>
      <c r="C18" s="18">
        <f t="shared" ref="C18" si="33">IF(AC18&gt;0,((B18-R18)+(S18-B19)),IF(B19=0, ,(B18-B19)))</f>
        <v>0</v>
      </c>
      <c r="D18" s="20">
        <v>77</v>
      </c>
      <c r="E18" s="18">
        <f t="shared" ref="E18" si="34">IF(AC18&gt;0,((D18-U18)+(V18-D19)),IF(D19=0, ,(D18-D19)))</f>
        <v>0</v>
      </c>
      <c r="F18" s="20">
        <v>72</v>
      </c>
      <c r="G18" s="18">
        <f t="shared" ref="G18" si="35">IF(AC18&gt;0,((F18-X18)+(Y18-F19)),IF(F19=0, ,(F18-F19)))</f>
        <v>0</v>
      </c>
      <c r="H18" s="20">
        <v>75</v>
      </c>
      <c r="I18" s="18">
        <f t="shared" ref="I18:I42" si="36">IF(AC18&gt;0,((H18-AA18)+(AB18-H19)),IF(H19=0, ,(H18-H19)))</f>
        <v>0</v>
      </c>
      <c r="J18" s="18">
        <f t="shared" si="19"/>
        <v>300</v>
      </c>
      <c r="K18" s="18">
        <f t="shared" si="20"/>
        <v>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3"/>
        <v>43991</v>
      </c>
      <c r="B19" s="20">
        <v>76</v>
      </c>
      <c r="C19" s="18">
        <f t="shared" ref="C19" si="37">IF(AC19&gt;0,((B19-R19)+(S19-B20)),IF(B20=0, ,(B19-B20)))</f>
        <v>0</v>
      </c>
      <c r="D19" s="20">
        <v>77</v>
      </c>
      <c r="E19" s="18">
        <f t="shared" ref="E19" si="38">IF(AC19&gt;0,((D19-U19)+(V19-D20)),IF(D20=0, ,(D19-D20)))</f>
        <v>0</v>
      </c>
      <c r="F19" s="20">
        <v>72</v>
      </c>
      <c r="G19" s="18">
        <f t="shared" ref="G19" si="39">IF(AC19&gt;0,((F19-X19)+(Y19-F20)),IF(F20=0, ,(F19-F20)))</f>
        <v>0</v>
      </c>
      <c r="H19" s="20">
        <v>75</v>
      </c>
      <c r="I19" s="18">
        <f t="shared" si="36"/>
        <v>0</v>
      </c>
      <c r="J19" s="18">
        <f t="shared" si="19"/>
        <v>300</v>
      </c>
      <c r="K19" s="18">
        <f t="shared" si="20"/>
        <v>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3"/>
        <v>43992</v>
      </c>
      <c r="B20" s="20">
        <v>76</v>
      </c>
      <c r="C20" s="18">
        <f t="shared" ref="C20" si="40">IF(AC20&gt;0,((B20-R20)+(S20-B21)),IF(B21=0, ,(B20-B21)))</f>
        <v>0</v>
      </c>
      <c r="D20" s="20">
        <v>77</v>
      </c>
      <c r="E20" s="18">
        <f t="shared" ref="E20" si="41">IF(AC20&gt;0,((D20-U20)+(V20-D21)),IF(D21=0, ,(D20-D21)))</f>
        <v>0</v>
      </c>
      <c r="F20" s="20">
        <v>72</v>
      </c>
      <c r="G20" s="18">
        <f t="shared" ref="G20" si="42">IF(AC20&gt;0,((F20-X20)+(Y20-F21)),IF(F21=0, ,(F20-F21)))</f>
        <v>0</v>
      </c>
      <c r="H20" s="20">
        <v>75</v>
      </c>
      <c r="I20" s="18">
        <f t="shared" si="36"/>
        <v>0</v>
      </c>
      <c r="J20" s="18">
        <f t="shared" si="19"/>
        <v>300</v>
      </c>
      <c r="K20" s="18">
        <f t="shared" si="20"/>
        <v>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3"/>
        <v>43993</v>
      </c>
      <c r="B21" s="20">
        <v>76</v>
      </c>
      <c r="C21" s="18">
        <f t="shared" ref="C21" si="43">IF(AC21&gt;0,((B21-R21)+(S21-B22)),IF(B22=0, ,(B21-B22)))</f>
        <v>0</v>
      </c>
      <c r="D21" s="20">
        <v>77</v>
      </c>
      <c r="E21" s="18">
        <f t="shared" ref="E21" si="44">IF(AC21&gt;0,((D21-U21)+(V21-D22)),IF(D22=0, ,(D21-D22)))</f>
        <v>0</v>
      </c>
      <c r="F21" s="20">
        <v>72</v>
      </c>
      <c r="G21" s="18">
        <f t="shared" ref="G21" si="45">IF(AC21&gt;0,((F21-X21)+(Y21-F22)),IF(F22=0, ,(F21-F22)))</f>
        <v>0</v>
      </c>
      <c r="H21" s="20">
        <v>75</v>
      </c>
      <c r="I21" s="18">
        <f t="shared" si="36"/>
        <v>0</v>
      </c>
      <c r="J21" s="18">
        <f t="shared" si="19"/>
        <v>300</v>
      </c>
      <c r="K21" s="18">
        <f t="shared" si="20"/>
        <v>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3"/>
        <v>43994</v>
      </c>
      <c r="B22" s="20">
        <v>76</v>
      </c>
      <c r="C22" s="18">
        <f t="shared" ref="C22:C23" si="46">IF(AC22&gt;0,((B22-R22)+(S22-B23)),IF(B23=0, ,(B22-B23)))</f>
        <v>0</v>
      </c>
      <c r="D22" s="20">
        <v>77</v>
      </c>
      <c r="E22" s="18">
        <f t="shared" ref="E22:E23" si="47">IF(AC22&gt;0,((D22-U22)+(V22-D23)),IF(D23=0, ,(D22-D23)))</f>
        <v>0</v>
      </c>
      <c r="F22" s="20">
        <v>72</v>
      </c>
      <c r="G22" s="18">
        <f t="shared" ref="G22:G23" si="48">IF(AC22&gt;0,((F22-X22)+(Y22-F23)),IF(F23=0, ,(F22-F23)))</f>
        <v>0</v>
      </c>
      <c r="H22" s="20">
        <v>75</v>
      </c>
      <c r="I22" s="18">
        <f t="shared" si="36"/>
        <v>0</v>
      </c>
      <c r="J22" s="18">
        <f t="shared" si="19"/>
        <v>300</v>
      </c>
      <c r="K22" s="18">
        <f t="shared" si="20"/>
        <v>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3"/>
        <v>43995</v>
      </c>
      <c r="B23" s="20">
        <v>76</v>
      </c>
      <c r="C23" s="18">
        <f t="shared" si="46"/>
        <v>0</v>
      </c>
      <c r="D23" s="20">
        <v>77</v>
      </c>
      <c r="E23" s="18">
        <f t="shared" si="47"/>
        <v>0</v>
      </c>
      <c r="F23" s="20">
        <v>72</v>
      </c>
      <c r="G23" s="18">
        <f t="shared" si="48"/>
        <v>0</v>
      </c>
      <c r="H23" s="20">
        <v>75</v>
      </c>
      <c r="I23" s="18">
        <f t="shared" si="36"/>
        <v>0</v>
      </c>
      <c r="J23" s="18">
        <f t="shared" si="19"/>
        <v>300</v>
      </c>
      <c r="K23" s="18">
        <f t="shared" si="20"/>
        <v>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3"/>
        <v>43996</v>
      </c>
      <c r="B24" s="20">
        <v>76</v>
      </c>
      <c r="C24" s="18">
        <f t="shared" ref="C24:C25" si="49">IF(AC24&gt;0,((B24-R24)+(S24-B25)),IF(B25=0, ,(B24-B25)))</f>
        <v>0</v>
      </c>
      <c r="D24" s="20">
        <v>77</v>
      </c>
      <c r="E24" s="18">
        <f t="shared" ref="E24:E25" si="50">IF(AC24&gt;0,((D24-U24)+(V24-D25)),IF(D25=0, ,(D24-D25)))</f>
        <v>0</v>
      </c>
      <c r="F24" s="20">
        <v>72</v>
      </c>
      <c r="G24" s="18">
        <f t="shared" ref="G24:G25" si="51">IF(AC24&gt;0,((F24-X24)+(Y24-F25)),IF(F25=0, ,(F24-F25)))</f>
        <v>0</v>
      </c>
      <c r="H24" s="20">
        <v>75</v>
      </c>
      <c r="I24" s="18">
        <f t="shared" si="36"/>
        <v>0</v>
      </c>
      <c r="J24" s="18">
        <f t="shared" si="19"/>
        <v>300</v>
      </c>
      <c r="K24" s="18">
        <f t="shared" si="20"/>
        <v>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3"/>
        <v>43997</v>
      </c>
      <c r="B25" s="20">
        <v>76</v>
      </c>
      <c r="C25" s="18">
        <f t="shared" si="49"/>
        <v>0</v>
      </c>
      <c r="D25" s="20">
        <v>77</v>
      </c>
      <c r="E25" s="18">
        <f t="shared" si="50"/>
        <v>0</v>
      </c>
      <c r="F25" s="20">
        <v>72</v>
      </c>
      <c r="G25" s="18">
        <f t="shared" si="51"/>
        <v>0</v>
      </c>
      <c r="H25" s="20">
        <v>75</v>
      </c>
      <c r="I25" s="18">
        <f t="shared" si="36"/>
        <v>0</v>
      </c>
      <c r="J25" s="18">
        <f t="shared" si="19"/>
        <v>300</v>
      </c>
      <c r="K25" s="18">
        <f t="shared" si="20"/>
        <v>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3"/>
        <v>43998</v>
      </c>
      <c r="B26" s="20">
        <v>76</v>
      </c>
      <c r="C26" s="18">
        <f t="shared" ref="C26" si="52">IF(AC26&gt;0,((B26-R26)+(S26-B27)),IF(B27=0, ,(B26-B27)))</f>
        <v>0</v>
      </c>
      <c r="D26" s="20">
        <v>77</v>
      </c>
      <c r="E26" s="18">
        <f t="shared" ref="E26" si="53">IF(AC26&gt;0,((D26-U26)+(V26-D27)),IF(D27=0, ,(D26-D27)))</f>
        <v>0</v>
      </c>
      <c r="F26" s="20">
        <v>72</v>
      </c>
      <c r="G26" s="18">
        <f t="shared" ref="G26" si="54">IF(AC26&gt;0,((F26-X26)+(Y26-F27)),IF(F27=0, ,(F26-F27)))</f>
        <v>0</v>
      </c>
      <c r="H26" s="20">
        <v>75</v>
      </c>
      <c r="I26" s="18">
        <f t="shared" si="36"/>
        <v>0</v>
      </c>
      <c r="J26" s="18">
        <f t="shared" si="19"/>
        <v>300</v>
      </c>
      <c r="K26" s="18">
        <f t="shared" si="20"/>
        <v>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3"/>
        <v>43999</v>
      </c>
      <c r="B27" s="20">
        <v>76</v>
      </c>
      <c r="C27" s="18">
        <f t="shared" ref="C27" si="55">IF(AC27&gt;0,((B27-R27)+(S27-B28)),IF(B28=0, ,(B27-B28)))</f>
        <v>0</v>
      </c>
      <c r="D27" s="20">
        <v>77</v>
      </c>
      <c r="E27" s="18">
        <f t="shared" ref="E27" si="56">IF(AC27&gt;0,((D27-U27)+(V27-D28)),IF(D28=0, ,(D27-D28)))</f>
        <v>0</v>
      </c>
      <c r="F27" s="20">
        <v>72</v>
      </c>
      <c r="G27" s="18">
        <f t="shared" ref="G27" si="57">IF(AC27&gt;0,((F27-X27)+(Y27-F28)),IF(F28=0, ,(F27-F28)))</f>
        <v>0</v>
      </c>
      <c r="H27" s="20">
        <v>75</v>
      </c>
      <c r="I27" s="18">
        <f t="shared" si="36"/>
        <v>0</v>
      </c>
      <c r="J27" s="18">
        <f t="shared" si="19"/>
        <v>300</v>
      </c>
      <c r="K27" s="18">
        <f t="shared" si="20"/>
        <v>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3"/>
        <v>44000</v>
      </c>
      <c r="B28" s="20">
        <v>76</v>
      </c>
      <c r="C28" s="18">
        <f t="shared" ref="C28" si="58">IF(AC28&gt;0,((B28-R28)+(S28-B29)),IF(B29=0, ,(B28-B29)))</f>
        <v>0</v>
      </c>
      <c r="D28" s="20">
        <v>77</v>
      </c>
      <c r="E28" s="18">
        <f t="shared" ref="E28" si="59">IF(AC28&gt;0,((D28-U28)+(V28-D29)),IF(D29=0, ,(D28-D29)))</f>
        <v>0</v>
      </c>
      <c r="F28" s="20">
        <v>72</v>
      </c>
      <c r="G28" s="18">
        <f t="shared" ref="G28" si="60">IF(AC28&gt;0,((F28-X28)+(Y28-F29)),IF(F29=0, ,(F28-F29)))</f>
        <v>0</v>
      </c>
      <c r="H28" s="20">
        <v>75</v>
      </c>
      <c r="I28" s="18">
        <f t="shared" si="36"/>
        <v>0</v>
      </c>
      <c r="J28" s="18">
        <f t="shared" si="19"/>
        <v>300</v>
      </c>
      <c r="K28" s="18">
        <f t="shared" si="20"/>
        <v>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3"/>
        <v>44001</v>
      </c>
      <c r="B29" s="20">
        <v>76</v>
      </c>
      <c r="C29" s="18">
        <f t="shared" ref="C29:C41" si="61">IF(AC29&gt;0,((B29-R29)+(S29-B30)),IF(B30=0, ,(B29-B30)))</f>
        <v>0</v>
      </c>
      <c r="D29" s="20">
        <v>77</v>
      </c>
      <c r="E29" s="18">
        <f t="shared" ref="E29:E41" si="62">IF(AC29&gt;0,((D29-U29)+(V29-D30)),IF(D30=0, ,(D29-D30)))</f>
        <v>0</v>
      </c>
      <c r="F29" s="20">
        <v>72</v>
      </c>
      <c r="G29" s="18">
        <f t="shared" ref="G29:G41" si="63">IF(AC29&gt;0,((F29-X29)+(Y29-F30)),IF(F30=0, ,(F29-F30)))</f>
        <v>0</v>
      </c>
      <c r="H29" s="20">
        <v>75</v>
      </c>
      <c r="I29" s="18">
        <f t="shared" si="36"/>
        <v>0</v>
      </c>
      <c r="J29" s="18">
        <f t="shared" si="19"/>
        <v>300</v>
      </c>
      <c r="K29" s="18">
        <f t="shared" si="20"/>
        <v>75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3"/>
        <v>44002</v>
      </c>
      <c r="B30" s="20">
        <v>76</v>
      </c>
      <c r="C30" s="18">
        <f t="shared" si="61"/>
        <v>0</v>
      </c>
      <c r="D30" s="20">
        <v>77</v>
      </c>
      <c r="E30" s="18">
        <f t="shared" si="62"/>
        <v>0</v>
      </c>
      <c r="F30" s="20">
        <v>72</v>
      </c>
      <c r="G30" s="18">
        <f t="shared" si="63"/>
        <v>0</v>
      </c>
      <c r="H30" s="20">
        <v>75</v>
      </c>
      <c r="I30" s="18">
        <f t="shared" si="36"/>
        <v>0</v>
      </c>
      <c r="J30" s="18">
        <f t="shared" si="19"/>
        <v>300</v>
      </c>
      <c r="K30" s="18">
        <f t="shared" si="20"/>
        <v>75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3"/>
        <v>44003</v>
      </c>
      <c r="B31" s="20">
        <v>76</v>
      </c>
      <c r="C31" s="18">
        <f t="shared" ref="C31" si="64">IF(AC31&gt;0,((B31-R31)+(S31-B32)),IF(B32=0, ,(B31-B32)))</f>
        <v>0</v>
      </c>
      <c r="D31" s="20">
        <v>77</v>
      </c>
      <c r="E31" s="18">
        <f t="shared" ref="E31" si="65">IF(AC31&gt;0,((D31-U31)+(V31-D32)),IF(D32=0, ,(D31-D32)))</f>
        <v>0</v>
      </c>
      <c r="F31" s="20">
        <v>72</v>
      </c>
      <c r="G31" s="18">
        <f t="shared" ref="G31" si="66">IF(AC31&gt;0,((F31-X31)+(Y31-F32)),IF(F32=0, ,(F31-F32)))</f>
        <v>0</v>
      </c>
      <c r="H31" s="20">
        <v>75</v>
      </c>
      <c r="I31" s="18">
        <f t="shared" si="36"/>
        <v>0</v>
      </c>
      <c r="J31" s="18">
        <f t="shared" si="19"/>
        <v>300</v>
      </c>
      <c r="K31" s="18">
        <f t="shared" si="20"/>
        <v>75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3"/>
        <v>44004</v>
      </c>
      <c r="B32" s="20">
        <v>76</v>
      </c>
      <c r="C32" s="18">
        <f t="shared" ref="C32" si="67">IF(AC32&gt;0,((B32-R32)+(S32-B33)),IF(B33=0, ,(B32-B33)))</f>
        <v>0</v>
      </c>
      <c r="D32" s="20">
        <v>77</v>
      </c>
      <c r="E32" s="18">
        <f t="shared" ref="E32" si="68">IF(AC32&gt;0,((D32-U32)+(V32-D33)),IF(D33=0, ,(D32-D33)))</f>
        <v>0</v>
      </c>
      <c r="F32" s="20">
        <v>72</v>
      </c>
      <c r="G32" s="18">
        <f t="shared" ref="G32" si="69">IF(AC32&gt;0,((F32-X32)+(Y32-F33)),IF(F33=0, ,(F32-F33)))</f>
        <v>0</v>
      </c>
      <c r="H32" s="20">
        <v>75</v>
      </c>
      <c r="I32" s="18">
        <f t="shared" si="36"/>
        <v>0</v>
      </c>
      <c r="J32" s="18">
        <f t="shared" si="19"/>
        <v>300</v>
      </c>
      <c r="K32" s="18">
        <f t="shared" si="20"/>
        <v>75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3"/>
        <v>44005</v>
      </c>
      <c r="B33" s="20">
        <v>76</v>
      </c>
      <c r="C33" s="18">
        <f t="shared" ref="C33" si="70">IF(AC33&gt;0,((B33-R33)+(S33-B34)),IF(B34=0, ,(B33-B34)))</f>
        <v>0</v>
      </c>
      <c r="D33" s="20">
        <v>77</v>
      </c>
      <c r="E33" s="18">
        <f t="shared" ref="E33" si="71">IF(AC33&gt;0,((D33-U33)+(V33-D34)),IF(D34=0, ,(D33-D34)))</f>
        <v>0</v>
      </c>
      <c r="F33" s="20">
        <v>72</v>
      </c>
      <c r="G33" s="18">
        <f t="shared" ref="G33" si="72">IF(AC33&gt;0,((F33-X33)+(Y33-F34)),IF(F34=0, ,(F33-F34)))</f>
        <v>0</v>
      </c>
      <c r="H33" s="20">
        <v>75</v>
      </c>
      <c r="I33" s="18">
        <f t="shared" si="36"/>
        <v>0</v>
      </c>
      <c r="J33" s="18">
        <f t="shared" si="19"/>
        <v>300</v>
      </c>
      <c r="K33" s="18">
        <f t="shared" si="20"/>
        <v>75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3"/>
        <v>44006</v>
      </c>
      <c r="B34" s="20">
        <v>76</v>
      </c>
      <c r="C34" s="18">
        <f t="shared" ref="C34" si="73">IF(AC34&gt;0,((B34-R34)+(S34-B35)),IF(B35=0, ,(B34-B35)))</f>
        <v>0</v>
      </c>
      <c r="D34" s="20">
        <v>77</v>
      </c>
      <c r="E34" s="18">
        <f t="shared" ref="E34" si="74">IF(AC34&gt;0,((D34-U34)+(V34-D35)),IF(D35=0, ,(D34-D35)))</f>
        <v>0</v>
      </c>
      <c r="F34" s="20">
        <v>72</v>
      </c>
      <c r="G34" s="18">
        <f t="shared" ref="G34" si="75">IF(AC34&gt;0,((F34-X34)+(Y34-F35)),IF(F35=0, ,(F34-F35)))</f>
        <v>0</v>
      </c>
      <c r="H34" s="20">
        <v>75</v>
      </c>
      <c r="I34" s="18">
        <f t="shared" si="36"/>
        <v>0</v>
      </c>
      <c r="J34" s="18">
        <f t="shared" si="19"/>
        <v>300</v>
      </c>
      <c r="K34" s="18">
        <f t="shared" si="20"/>
        <v>75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3"/>
        <v>44007</v>
      </c>
      <c r="B35" s="20">
        <v>76</v>
      </c>
      <c r="C35" s="18">
        <f t="shared" ref="C35" si="76">IF(AC35&gt;0,((B35-R35)+(S35-B36)),IF(B36=0, ,(B35-B36)))</f>
        <v>0</v>
      </c>
      <c r="D35" s="20">
        <v>77</v>
      </c>
      <c r="E35" s="18">
        <f t="shared" ref="E35" si="77">IF(AC35&gt;0,((D35-U35)+(V35-D36)),IF(D36=0, ,(D35-D36)))</f>
        <v>0</v>
      </c>
      <c r="F35" s="20">
        <v>72</v>
      </c>
      <c r="G35" s="18">
        <f t="shared" ref="G35" si="78">IF(AC35&gt;0,((F35-X35)+(Y35-F36)),IF(F36=0, ,(F35-F36)))</f>
        <v>0</v>
      </c>
      <c r="H35" s="20">
        <v>75</v>
      </c>
      <c r="I35" s="18">
        <f t="shared" si="36"/>
        <v>0</v>
      </c>
      <c r="J35" s="18">
        <f t="shared" si="19"/>
        <v>300</v>
      </c>
      <c r="K35" s="18">
        <f t="shared" si="20"/>
        <v>75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3"/>
        <v>44008</v>
      </c>
      <c r="B36" s="20">
        <v>76</v>
      </c>
      <c r="C36" s="18">
        <f t="shared" ref="C36:C37" si="79">IF(AC36&gt;0,((B36-R36)+(S36-B37)),IF(B37=0, ,(B36-B37)))</f>
        <v>0</v>
      </c>
      <c r="D36" s="20">
        <v>77</v>
      </c>
      <c r="E36" s="18">
        <f t="shared" ref="E36:E37" si="80">IF(AC36&gt;0,((D36-U36)+(V36-D37)),IF(D37=0, ,(D36-D37)))</f>
        <v>0</v>
      </c>
      <c r="F36" s="20">
        <v>72</v>
      </c>
      <c r="G36" s="18">
        <f t="shared" ref="G36:G37" si="81">IF(AC36&gt;0,((F36-X36)+(Y36-F37)),IF(F37=0, ,(F36-F37)))</f>
        <v>0</v>
      </c>
      <c r="H36" s="20">
        <v>75</v>
      </c>
      <c r="I36" s="18">
        <f t="shared" si="36"/>
        <v>0</v>
      </c>
      <c r="J36" s="18">
        <f t="shared" si="19"/>
        <v>300</v>
      </c>
      <c r="K36" s="18">
        <f t="shared" si="20"/>
        <v>75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3"/>
        <v>44009</v>
      </c>
      <c r="B37" s="20">
        <v>76</v>
      </c>
      <c r="C37" s="18">
        <f t="shared" si="79"/>
        <v>0</v>
      </c>
      <c r="D37" s="20">
        <v>77</v>
      </c>
      <c r="E37" s="18">
        <f t="shared" si="80"/>
        <v>0</v>
      </c>
      <c r="F37" s="20">
        <v>72</v>
      </c>
      <c r="G37" s="18">
        <f t="shared" si="81"/>
        <v>0</v>
      </c>
      <c r="H37" s="20">
        <v>75</v>
      </c>
      <c r="I37" s="18">
        <f t="shared" si="36"/>
        <v>0</v>
      </c>
      <c r="J37" s="18">
        <f t="shared" si="19"/>
        <v>300</v>
      </c>
      <c r="K37" s="18">
        <f t="shared" si="20"/>
        <v>75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3"/>
        <v>44010</v>
      </c>
      <c r="B38" s="20">
        <v>76</v>
      </c>
      <c r="C38" s="18">
        <f t="shared" ref="C38" si="82">IF(AC38&gt;0,((B38-R38)+(S38-B39)),IF(B39=0, ,(B38-B39)))</f>
        <v>0</v>
      </c>
      <c r="D38" s="20">
        <v>77</v>
      </c>
      <c r="E38" s="18">
        <f t="shared" ref="E38" si="83">IF(AC38&gt;0,((D38-U38)+(V38-D39)),IF(D39=0, ,(D38-D39)))</f>
        <v>0</v>
      </c>
      <c r="F38" s="20">
        <v>72</v>
      </c>
      <c r="G38" s="18">
        <f t="shared" ref="G38" si="84">IF(AC38&gt;0,((F38-X38)+(Y38-F39)),IF(F39=0, ,(F38-F39)))</f>
        <v>0</v>
      </c>
      <c r="H38" s="20">
        <v>75</v>
      </c>
      <c r="I38" s="18">
        <f t="shared" si="36"/>
        <v>0</v>
      </c>
      <c r="J38" s="18">
        <f t="shared" si="19"/>
        <v>300</v>
      </c>
      <c r="K38" s="18">
        <f t="shared" si="20"/>
        <v>75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3"/>
        <v>44011</v>
      </c>
      <c r="B39" s="20">
        <v>76</v>
      </c>
      <c r="C39" s="18">
        <f t="shared" ref="C39" si="85">IF(AC39&gt;0,((B39-R39)+(S39-B40)),IF(B40=0, ,(B39-B40)))</f>
        <v>0</v>
      </c>
      <c r="D39" s="20">
        <v>77</v>
      </c>
      <c r="E39" s="18">
        <f t="shared" ref="E39" si="86">IF(AC39&gt;0,((D39-U39)+(V39-D40)),IF(D40=0, ,(D39-D40)))</f>
        <v>0</v>
      </c>
      <c r="F39" s="20">
        <v>72</v>
      </c>
      <c r="G39" s="18">
        <f t="shared" ref="G39" si="87">IF(AC39&gt;0,((F39-X39)+(Y39-F40)),IF(F40=0, ,(F39-F40)))</f>
        <v>0</v>
      </c>
      <c r="H39" s="20">
        <v>75</v>
      </c>
      <c r="I39" s="18">
        <f t="shared" si="36"/>
        <v>0</v>
      </c>
      <c r="J39" s="18">
        <f t="shared" si="19"/>
        <v>300</v>
      </c>
      <c r="K39" s="18">
        <f t="shared" si="20"/>
        <v>75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3"/>
        <v>44012</v>
      </c>
      <c r="B40" s="20">
        <v>76</v>
      </c>
      <c r="C40" s="18">
        <f t="shared" ref="C40" si="88">IF(AC40&gt;0,((B40-R40)+(S40-B41)),IF(B41=0, ,(B40-B41)))</f>
        <v>0</v>
      </c>
      <c r="D40" s="20">
        <v>77</v>
      </c>
      <c r="E40" s="18">
        <f t="shared" ref="E40" si="89">IF(AC40&gt;0,((D40-U40)+(V40-D41)),IF(D41=0, ,(D40-D41)))</f>
        <v>0</v>
      </c>
      <c r="F40" s="20">
        <v>72</v>
      </c>
      <c r="G40" s="18">
        <f t="shared" ref="G40" si="90">IF(AC40&gt;0,((F40-X40)+(Y40-F41)),IF(F41=0, ,(F40-F41)))</f>
        <v>0</v>
      </c>
      <c r="H40" s="20">
        <v>75</v>
      </c>
      <c r="I40" s="18">
        <f t="shared" si="36"/>
        <v>0</v>
      </c>
      <c r="J40" s="18">
        <f t="shared" si="19"/>
        <v>300</v>
      </c>
      <c r="K40" s="18">
        <f t="shared" si="20"/>
        <v>75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3"/>
        <v>44013</v>
      </c>
      <c r="B41" s="20"/>
      <c r="C41" s="18">
        <f t="shared" si="61"/>
        <v>0</v>
      </c>
      <c r="D41" s="20"/>
      <c r="E41" s="18">
        <f t="shared" si="62"/>
        <v>0</v>
      </c>
      <c r="F41" s="20"/>
      <c r="G41" s="18">
        <f t="shared" si="63"/>
        <v>0</v>
      </c>
      <c r="H41" s="20"/>
      <c r="I41" s="18">
        <f t="shared" si="36"/>
        <v>0</v>
      </c>
      <c r="J41" s="18">
        <f t="shared" si="19"/>
        <v>0</v>
      </c>
      <c r="K41" s="18">
        <f t="shared" si="20"/>
        <v>0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3"/>
        <v>44014</v>
      </c>
      <c r="B42" s="20"/>
      <c r="C42" s="18">
        <f t="shared" ref="C42" si="91">IF(AC42&gt;0,((B42-R42)+(S42-B43)),IF(B43=0, ,(B42-B43)))</f>
        <v>0</v>
      </c>
      <c r="D42" s="20"/>
      <c r="E42" s="18">
        <f t="shared" ref="E42" si="92">IF(AC42&gt;0,((D42-U42)+(V42-D43)),IF(D43=0, ,(D42-D43)))</f>
        <v>0</v>
      </c>
      <c r="F42" s="20"/>
      <c r="G42" s="18">
        <f t="shared" ref="G42" si="93">IF(AC42&gt;0,((F42-X42)+(Y42-F43)),IF(F43=0, ,(F42-F43)))</f>
        <v>0</v>
      </c>
      <c r="H42" s="20"/>
      <c r="I42" s="18">
        <f t="shared" si="36"/>
        <v>0</v>
      </c>
      <c r="J42" s="18">
        <f t="shared" si="19"/>
        <v>0</v>
      </c>
      <c r="K42" s="18">
        <f t="shared" si="20"/>
        <v>0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1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78">
        <f>SUM(Q11:Q40)</f>
        <v>0</v>
      </c>
      <c r="R43" s="279"/>
      <c r="S43" s="280"/>
      <c r="T43" s="278">
        <f>SUM(T11:T40)</f>
        <v>0</v>
      </c>
      <c r="U43" s="279"/>
      <c r="V43" s="280"/>
      <c r="W43" s="278">
        <f>SUM(W11:W40)</f>
        <v>0</v>
      </c>
      <c r="X43" s="279"/>
      <c r="Y43" s="280"/>
      <c r="Z43" s="278">
        <f>SUM(Z11:Z40)</f>
        <v>0</v>
      </c>
      <c r="AA43" s="279"/>
      <c r="AB43" s="280"/>
      <c r="AC43" s="138">
        <f>SUM(AC11:AC40)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75" t="s">
        <v>37</v>
      </c>
      <c r="I48" s="276"/>
      <c r="J48" s="277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B46" sqref="B4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1800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33" si="0">IF(B10&lt;B9,0,B10-B9)*10</f>
        <v>60</v>
      </c>
      <c r="D9" s="42">
        <v>18448508</v>
      </c>
      <c r="E9" s="41">
        <f t="shared" ref="E9:E33" si="1">IF(D10&lt;D9,0,D10-D9)</f>
        <v>832</v>
      </c>
      <c r="F9" s="42">
        <v>33167404</v>
      </c>
      <c r="G9" s="41">
        <f t="shared" ref="G9:G33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60</v>
      </c>
      <c r="D19" s="42">
        <v>18457038</v>
      </c>
      <c r="E19" s="41">
        <f t="shared" si="1"/>
        <v>989</v>
      </c>
      <c r="F19" s="42">
        <v>33180409</v>
      </c>
      <c r="G19" s="41">
        <f t="shared" si="2"/>
        <v>1316</v>
      </c>
      <c r="H19" s="42">
        <v>14688631</v>
      </c>
      <c r="I19" s="41">
        <f t="shared" si="5"/>
        <v>565</v>
      </c>
    </row>
    <row r="20" spans="1:9" ht="21" thickTop="1" thickBot="1" x14ac:dyDescent="0.35">
      <c r="A20" s="39">
        <f t="shared" si="4"/>
        <v>43987</v>
      </c>
      <c r="B20" s="40">
        <v>123317</v>
      </c>
      <c r="C20" s="41">
        <f t="shared" si="0"/>
        <v>60</v>
      </c>
      <c r="D20" s="42">
        <v>18458027</v>
      </c>
      <c r="E20" s="41">
        <f t="shared" si="1"/>
        <v>973</v>
      </c>
      <c r="F20" s="42">
        <v>33181725</v>
      </c>
      <c r="G20" s="41">
        <f t="shared" si="2"/>
        <v>1369</v>
      </c>
      <c r="H20" s="42">
        <v>14689196</v>
      </c>
      <c r="I20" s="41">
        <f t="shared" si="5"/>
        <v>564</v>
      </c>
    </row>
    <row r="21" spans="1:9" ht="21" thickTop="1" thickBot="1" x14ac:dyDescent="0.35">
      <c r="A21" s="39">
        <f t="shared" si="4"/>
        <v>43988</v>
      </c>
      <c r="B21" s="40">
        <v>123323</v>
      </c>
      <c r="C21" s="41">
        <f t="shared" si="0"/>
        <v>60</v>
      </c>
      <c r="D21" s="42">
        <v>18459000</v>
      </c>
      <c r="E21" s="41">
        <f t="shared" si="1"/>
        <v>936</v>
      </c>
      <c r="F21" s="42">
        <v>33183094</v>
      </c>
      <c r="G21" s="41">
        <f t="shared" si="2"/>
        <v>1331</v>
      </c>
      <c r="H21" s="42">
        <v>14689760</v>
      </c>
      <c r="I21" s="41">
        <f t="shared" si="5"/>
        <v>599</v>
      </c>
    </row>
    <row r="22" spans="1:9" ht="21" thickTop="1" thickBot="1" x14ac:dyDescent="0.35">
      <c r="A22" s="39">
        <f t="shared" si="4"/>
        <v>43989</v>
      </c>
      <c r="B22" s="40">
        <v>123329</v>
      </c>
      <c r="C22" s="41">
        <f t="shared" si="0"/>
        <v>50</v>
      </c>
      <c r="D22" s="42">
        <v>18459936</v>
      </c>
      <c r="E22" s="41">
        <f t="shared" si="1"/>
        <v>907</v>
      </c>
      <c r="F22" s="42">
        <v>33184425</v>
      </c>
      <c r="G22" s="41">
        <f t="shared" si="2"/>
        <v>1336</v>
      </c>
      <c r="H22" s="42">
        <v>14690359</v>
      </c>
      <c r="I22" s="41">
        <f t="shared" si="5"/>
        <v>577</v>
      </c>
    </row>
    <row r="23" spans="1:9" ht="21" thickTop="1" thickBot="1" x14ac:dyDescent="0.35">
      <c r="A23" s="39">
        <f t="shared" si="4"/>
        <v>43990</v>
      </c>
      <c r="B23" s="40">
        <v>123334</v>
      </c>
      <c r="C23" s="41">
        <f t="shared" si="0"/>
        <v>90</v>
      </c>
      <c r="D23" s="42">
        <v>18460843</v>
      </c>
      <c r="E23" s="41">
        <f t="shared" si="1"/>
        <v>1856</v>
      </c>
      <c r="F23" s="42">
        <v>33185761</v>
      </c>
      <c r="G23" s="41">
        <f t="shared" si="2"/>
        <v>2802</v>
      </c>
      <c r="H23" s="42">
        <v>14690936</v>
      </c>
      <c r="I23" s="41">
        <f t="shared" si="5"/>
        <v>1266</v>
      </c>
    </row>
    <row r="24" spans="1:9" ht="21" thickTop="1" thickBot="1" x14ac:dyDescent="0.35">
      <c r="A24" s="39">
        <f t="shared" si="4"/>
        <v>43991</v>
      </c>
      <c r="B24" s="40">
        <v>123343</v>
      </c>
      <c r="C24" s="41">
        <f t="shared" si="0"/>
        <v>60</v>
      </c>
      <c r="D24" s="42">
        <v>18462699</v>
      </c>
      <c r="E24" s="41">
        <f t="shared" si="1"/>
        <v>843</v>
      </c>
      <c r="F24" s="42">
        <v>33188563</v>
      </c>
      <c r="G24" s="41">
        <f t="shared" si="2"/>
        <v>1511</v>
      </c>
      <c r="H24" s="42">
        <v>14692202</v>
      </c>
      <c r="I24" s="41">
        <f t="shared" si="5"/>
        <v>588</v>
      </c>
    </row>
    <row r="25" spans="1:9" ht="21" thickTop="1" thickBot="1" x14ac:dyDescent="0.35">
      <c r="A25" s="39">
        <f t="shared" si="4"/>
        <v>43992</v>
      </c>
      <c r="B25" s="40">
        <v>123349</v>
      </c>
      <c r="C25" s="41">
        <f t="shared" si="0"/>
        <v>60</v>
      </c>
      <c r="D25" s="42">
        <v>18463542</v>
      </c>
      <c r="E25" s="41">
        <f t="shared" si="1"/>
        <v>880</v>
      </c>
      <c r="F25" s="42">
        <v>33190074</v>
      </c>
      <c r="G25" s="41">
        <f t="shared" si="2"/>
        <v>1347</v>
      </c>
      <c r="H25" s="42">
        <v>14692790</v>
      </c>
      <c r="I25" s="41">
        <f t="shared" si="5"/>
        <v>555</v>
      </c>
    </row>
    <row r="26" spans="1:9" ht="21" thickTop="1" thickBot="1" x14ac:dyDescent="0.35">
      <c r="A26" s="39">
        <f t="shared" si="4"/>
        <v>43993</v>
      </c>
      <c r="B26" s="40">
        <v>123355</v>
      </c>
      <c r="C26" s="41">
        <f t="shared" si="0"/>
        <v>60</v>
      </c>
      <c r="D26" s="42">
        <v>18464422</v>
      </c>
      <c r="E26" s="41">
        <f t="shared" si="1"/>
        <v>935</v>
      </c>
      <c r="F26" s="42">
        <v>33191421</v>
      </c>
      <c r="G26" s="41">
        <f t="shared" si="2"/>
        <v>1390</v>
      </c>
      <c r="H26" s="42">
        <v>14693345</v>
      </c>
      <c r="I26" s="41">
        <f t="shared" si="5"/>
        <v>586</v>
      </c>
    </row>
    <row r="27" spans="1:9" ht="21" thickTop="1" thickBot="1" x14ac:dyDescent="0.35">
      <c r="A27" s="39">
        <f t="shared" si="4"/>
        <v>43994</v>
      </c>
      <c r="B27" s="40">
        <v>123361</v>
      </c>
      <c r="C27" s="41">
        <f t="shared" si="0"/>
        <v>60</v>
      </c>
      <c r="D27" s="42">
        <v>18465357</v>
      </c>
      <c r="E27" s="41">
        <f t="shared" si="1"/>
        <v>852</v>
      </c>
      <c r="F27" s="42">
        <v>33192811</v>
      </c>
      <c r="G27" s="41">
        <f t="shared" si="2"/>
        <v>1411</v>
      </c>
      <c r="H27" s="42">
        <v>14693931</v>
      </c>
      <c r="I27" s="41">
        <f t="shared" si="5"/>
        <v>561</v>
      </c>
    </row>
    <row r="28" spans="1:9" ht="21" thickTop="1" thickBot="1" x14ac:dyDescent="0.35">
      <c r="A28" s="39">
        <f t="shared" si="4"/>
        <v>43995</v>
      </c>
      <c r="B28" s="40">
        <v>123367</v>
      </c>
      <c r="C28" s="41">
        <f t="shared" si="0"/>
        <v>60</v>
      </c>
      <c r="D28" s="42">
        <v>18466209</v>
      </c>
      <c r="E28" s="41">
        <f t="shared" si="1"/>
        <v>886</v>
      </c>
      <c r="F28" s="42">
        <v>33194222</v>
      </c>
      <c r="G28" s="41">
        <f t="shared" si="2"/>
        <v>1356</v>
      </c>
      <c r="H28" s="42">
        <v>14694492</v>
      </c>
      <c r="I28" s="41">
        <f t="shared" si="5"/>
        <v>576</v>
      </c>
    </row>
    <row r="29" spans="1:9" ht="21" thickTop="1" thickBot="1" x14ac:dyDescent="0.35">
      <c r="A29" s="39">
        <f t="shared" si="4"/>
        <v>43996</v>
      </c>
      <c r="B29" s="40">
        <v>123373</v>
      </c>
      <c r="C29" s="41">
        <f t="shared" si="0"/>
        <v>60</v>
      </c>
      <c r="D29" s="42">
        <v>18467095</v>
      </c>
      <c r="E29" s="41">
        <f t="shared" si="1"/>
        <v>934</v>
      </c>
      <c r="F29" s="42">
        <v>33195578</v>
      </c>
      <c r="G29" s="41">
        <f t="shared" si="2"/>
        <v>1302</v>
      </c>
      <c r="H29" s="42">
        <v>14695068</v>
      </c>
      <c r="I29" s="41">
        <f t="shared" si="5"/>
        <v>575</v>
      </c>
    </row>
    <row r="30" spans="1:9" ht="21" thickTop="1" thickBot="1" x14ac:dyDescent="0.35">
      <c r="A30" s="39">
        <f t="shared" si="4"/>
        <v>43997</v>
      </c>
      <c r="B30" s="40">
        <v>123379</v>
      </c>
      <c r="C30" s="41">
        <f t="shared" si="0"/>
        <v>60</v>
      </c>
      <c r="D30" s="42">
        <v>18468029</v>
      </c>
      <c r="E30" s="41">
        <f t="shared" si="1"/>
        <v>926</v>
      </c>
      <c r="F30" s="42">
        <v>33196880</v>
      </c>
      <c r="G30" s="41">
        <f t="shared" si="2"/>
        <v>1354</v>
      </c>
      <c r="H30" s="42">
        <v>14695643</v>
      </c>
      <c r="I30" s="41">
        <f t="shared" si="5"/>
        <v>601</v>
      </c>
    </row>
    <row r="31" spans="1:9" ht="21" thickTop="1" thickBot="1" x14ac:dyDescent="0.35">
      <c r="A31" s="39">
        <f t="shared" si="4"/>
        <v>43998</v>
      </c>
      <c r="B31" s="40">
        <v>123385</v>
      </c>
      <c r="C31" s="41">
        <f t="shared" si="0"/>
        <v>70</v>
      </c>
      <c r="D31" s="42">
        <v>18468955</v>
      </c>
      <c r="E31" s="41">
        <f t="shared" si="1"/>
        <v>936</v>
      </c>
      <c r="F31" s="42">
        <v>33198234</v>
      </c>
      <c r="G31" s="41">
        <f t="shared" si="2"/>
        <v>1409</v>
      </c>
      <c r="H31" s="42">
        <v>14696244</v>
      </c>
      <c r="I31" s="41">
        <f t="shared" si="5"/>
        <v>584</v>
      </c>
    </row>
    <row r="32" spans="1:9" ht="21" thickTop="1" thickBot="1" x14ac:dyDescent="0.35">
      <c r="A32" s="39">
        <f t="shared" si="4"/>
        <v>43999</v>
      </c>
      <c r="B32" s="40">
        <v>123392</v>
      </c>
      <c r="C32" s="41">
        <f t="shared" si="0"/>
        <v>60</v>
      </c>
      <c r="D32" s="42">
        <v>18469891</v>
      </c>
      <c r="E32" s="41">
        <f t="shared" si="1"/>
        <v>919</v>
      </c>
      <c r="F32" s="42">
        <v>33199643</v>
      </c>
      <c r="G32" s="41">
        <f t="shared" si="2"/>
        <v>1367</v>
      </c>
      <c r="H32" s="42">
        <v>14696828</v>
      </c>
      <c r="I32" s="41">
        <f t="shared" si="5"/>
        <v>599</v>
      </c>
    </row>
    <row r="33" spans="1:9" ht="21" thickTop="1" thickBot="1" x14ac:dyDescent="0.35">
      <c r="A33" s="39">
        <f t="shared" si="4"/>
        <v>44000</v>
      </c>
      <c r="B33" s="40">
        <v>123398</v>
      </c>
      <c r="C33" s="41">
        <f t="shared" si="0"/>
        <v>60</v>
      </c>
      <c r="D33" s="42">
        <v>18470810</v>
      </c>
      <c r="E33" s="41">
        <f t="shared" si="1"/>
        <v>1065</v>
      </c>
      <c r="F33" s="42">
        <v>33201010</v>
      </c>
      <c r="G33" s="41">
        <f t="shared" si="2"/>
        <v>1301</v>
      </c>
      <c r="H33" s="42">
        <v>14697427</v>
      </c>
      <c r="I33" s="41">
        <f t="shared" si="5"/>
        <v>599</v>
      </c>
    </row>
    <row r="34" spans="1:9" ht="21" thickTop="1" thickBot="1" x14ac:dyDescent="0.35">
      <c r="A34" s="39">
        <f t="shared" si="4"/>
        <v>44001</v>
      </c>
      <c r="B34" s="40">
        <v>123404</v>
      </c>
      <c r="C34" s="41">
        <f t="shared" ref="C34:C47" si="6">IF(B35&lt;B34,0,B35-B34)*10</f>
        <v>60</v>
      </c>
      <c r="D34" s="42">
        <v>18471875</v>
      </c>
      <c r="E34" s="41">
        <f t="shared" ref="E34:E47" si="7">IF(D35&lt;D34,0,D35-D34)</f>
        <v>982</v>
      </c>
      <c r="F34" s="42">
        <v>33202311</v>
      </c>
      <c r="G34" s="41">
        <f t="shared" ref="G34:G47" si="8">IF(F35&lt;F34,0,F35-F34)</f>
        <v>1433</v>
      </c>
      <c r="H34" s="42">
        <v>14698026</v>
      </c>
      <c r="I34" s="41">
        <f t="shared" si="5"/>
        <v>608</v>
      </c>
    </row>
    <row r="35" spans="1:9" ht="21" thickTop="1" thickBot="1" x14ac:dyDescent="0.35">
      <c r="A35" s="39">
        <f t="shared" si="4"/>
        <v>44002</v>
      </c>
      <c r="B35" s="40">
        <v>123410</v>
      </c>
      <c r="C35" s="41">
        <f t="shared" si="6"/>
        <v>70</v>
      </c>
      <c r="D35" s="42">
        <v>18472857</v>
      </c>
      <c r="E35" s="41">
        <f t="shared" si="7"/>
        <v>917</v>
      </c>
      <c r="F35" s="42">
        <v>33203744</v>
      </c>
      <c r="G35" s="41">
        <f t="shared" si="8"/>
        <v>1402</v>
      </c>
      <c r="H35" s="42">
        <v>14698634</v>
      </c>
      <c r="I35" s="41">
        <f t="shared" si="5"/>
        <v>576</v>
      </c>
    </row>
    <row r="36" spans="1:9" ht="21" thickTop="1" thickBot="1" x14ac:dyDescent="0.35">
      <c r="A36" s="39">
        <f t="shared" si="4"/>
        <v>44003</v>
      </c>
      <c r="B36" s="40">
        <v>123417</v>
      </c>
      <c r="C36" s="41">
        <f t="shared" si="6"/>
        <v>50</v>
      </c>
      <c r="D36" s="42">
        <v>18473774</v>
      </c>
      <c r="E36" s="41">
        <f t="shared" si="7"/>
        <v>919</v>
      </c>
      <c r="F36" s="42">
        <v>33205146</v>
      </c>
      <c r="G36" s="41">
        <f t="shared" si="8"/>
        <v>1394</v>
      </c>
      <c r="H36" s="42">
        <v>14699210</v>
      </c>
      <c r="I36" s="41">
        <f t="shared" si="5"/>
        <v>598</v>
      </c>
    </row>
    <row r="37" spans="1:9" ht="21" thickTop="1" thickBot="1" x14ac:dyDescent="0.35">
      <c r="A37" s="39">
        <f t="shared" si="4"/>
        <v>44004</v>
      </c>
      <c r="B37" s="40">
        <v>123422</v>
      </c>
      <c r="C37" s="41">
        <f t="shared" si="6"/>
        <v>60</v>
      </c>
      <c r="D37" s="42">
        <v>18474693</v>
      </c>
      <c r="E37" s="41">
        <f t="shared" si="7"/>
        <v>1000</v>
      </c>
      <c r="F37" s="42">
        <v>33206540</v>
      </c>
      <c r="G37" s="41">
        <f t="shared" si="8"/>
        <v>1339</v>
      </c>
      <c r="H37" s="42">
        <v>14699808</v>
      </c>
      <c r="I37" s="41">
        <f t="shared" si="5"/>
        <v>591</v>
      </c>
    </row>
    <row r="38" spans="1:9" ht="21" thickTop="1" thickBot="1" x14ac:dyDescent="0.35">
      <c r="A38" s="39">
        <f t="shared" si="4"/>
        <v>44005</v>
      </c>
      <c r="B38" s="40">
        <v>123428</v>
      </c>
      <c r="C38" s="41">
        <f t="shared" si="6"/>
        <v>60</v>
      </c>
      <c r="D38" s="42">
        <v>18475693</v>
      </c>
      <c r="E38" s="41">
        <f t="shared" si="7"/>
        <v>713</v>
      </c>
      <c r="F38" s="42">
        <v>33207879</v>
      </c>
      <c r="G38" s="41">
        <f t="shared" si="8"/>
        <v>1443</v>
      </c>
      <c r="H38" s="42">
        <v>14700399</v>
      </c>
      <c r="I38" s="41">
        <f t="shared" si="5"/>
        <v>612</v>
      </c>
    </row>
    <row r="39" spans="1:9" ht="21" thickTop="1" thickBot="1" x14ac:dyDescent="0.35">
      <c r="A39" s="39">
        <f t="shared" si="4"/>
        <v>44006</v>
      </c>
      <c r="B39" s="40">
        <v>123434</v>
      </c>
      <c r="C39" s="41">
        <f t="shared" si="6"/>
        <v>60</v>
      </c>
      <c r="D39" s="42">
        <v>18476406</v>
      </c>
      <c r="E39" s="41">
        <f t="shared" si="7"/>
        <v>887</v>
      </c>
      <c r="F39" s="42">
        <v>33209322</v>
      </c>
      <c r="G39" s="41">
        <f t="shared" si="8"/>
        <v>1395</v>
      </c>
      <c r="H39" s="42">
        <v>14701011</v>
      </c>
      <c r="I39" s="41">
        <f t="shared" si="5"/>
        <v>588</v>
      </c>
    </row>
    <row r="40" spans="1:9" ht="21" thickTop="1" thickBot="1" x14ac:dyDescent="0.35">
      <c r="A40" s="39">
        <f t="shared" si="4"/>
        <v>44007</v>
      </c>
      <c r="B40" s="40">
        <v>123440</v>
      </c>
      <c r="C40" s="41">
        <f t="shared" si="6"/>
        <v>60</v>
      </c>
      <c r="D40" s="42">
        <v>18477293</v>
      </c>
      <c r="E40" s="41">
        <f t="shared" si="7"/>
        <v>841</v>
      </c>
      <c r="F40" s="42">
        <v>33210717</v>
      </c>
      <c r="G40" s="41">
        <f t="shared" si="8"/>
        <v>1345</v>
      </c>
      <c r="H40" s="42">
        <v>14701599</v>
      </c>
      <c r="I40" s="41">
        <f t="shared" si="5"/>
        <v>550</v>
      </c>
    </row>
    <row r="41" spans="1:9" ht="21" thickTop="1" thickBot="1" x14ac:dyDescent="0.35">
      <c r="A41" s="39">
        <f t="shared" si="4"/>
        <v>44008</v>
      </c>
      <c r="B41" s="40">
        <v>123446</v>
      </c>
      <c r="C41" s="41">
        <f t="shared" si="6"/>
        <v>70</v>
      </c>
      <c r="D41" s="42">
        <v>18478134</v>
      </c>
      <c r="E41" s="41">
        <f t="shared" si="7"/>
        <v>862</v>
      </c>
      <c r="F41" s="42">
        <v>33212062</v>
      </c>
      <c r="G41" s="41">
        <f t="shared" si="8"/>
        <v>1381</v>
      </c>
      <c r="H41" s="42">
        <v>14702149</v>
      </c>
      <c r="I41" s="41">
        <f t="shared" si="5"/>
        <v>621</v>
      </c>
    </row>
    <row r="42" spans="1:9" ht="21" thickTop="1" thickBot="1" x14ac:dyDescent="0.35">
      <c r="A42" s="39">
        <f t="shared" si="4"/>
        <v>44009</v>
      </c>
      <c r="B42" s="40">
        <v>123453</v>
      </c>
      <c r="C42" s="41">
        <f t="shared" si="6"/>
        <v>70</v>
      </c>
      <c r="D42" s="42">
        <v>18478996</v>
      </c>
      <c r="E42" s="41">
        <f t="shared" si="7"/>
        <v>826</v>
      </c>
      <c r="F42" s="42">
        <v>33213443</v>
      </c>
      <c r="G42" s="41">
        <f t="shared" si="8"/>
        <v>1453</v>
      </c>
      <c r="H42" s="42">
        <v>14702770</v>
      </c>
      <c r="I42" s="41">
        <f t="shared" si="5"/>
        <v>568</v>
      </c>
    </row>
    <row r="43" spans="1:9" ht="21" thickTop="1" thickBot="1" x14ac:dyDescent="0.35">
      <c r="A43" s="39">
        <f t="shared" si="4"/>
        <v>44010</v>
      </c>
      <c r="B43" s="40">
        <v>123460</v>
      </c>
      <c r="C43" s="41">
        <f t="shared" si="6"/>
        <v>60</v>
      </c>
      <c r="D43" s="42">
        <v>18479822</v>
      </c>
      <c r="E43" s="41">
        <f t="shared" si="7"/>
        <v>969</v>
      </c>
      <c r="F43" s="42">
        <v>33214896</v>
      </c>
      <c r="G43" s="41">
        <f t="shared" si="8"/>
        <v>1393</v>
      </c>
      <c r="H43" s="42">
        <v>14703338</v>
      </c>
      <c r="I43" s="41">
        <f t="shared" si="5"/>
        <v>624</v>
      </c>
    </row>
    <row r="44" spans="1:9" ht="21" thickTop="1" thickBot="1" x14ac:dyDescent="0.35">
      <c r="A44" s="39">
        <f t="shared" si="4"/>
        <v>44011</v>
      </c>
      <c r="B44" s="40">
        <v>123466</v>
      </c>
      <c r="C44" s="41">
        <f t="shared" si="6"/>
        <v>60</v>
      </c>
      <c r="D44" s="42">
        <v>18480791</v>
      </c>
      <c r="E44" s="41">
        <f t="shared" si="7"/>
        <v>986</v>
      </c>
      <c r="F44" s="42">
        <v>33216289</v>
      </c>
      <c r="G44" s="41">
        <f t="shared" si="8"/>
        <v>1427</v>
      </c>
      <c r="H44" s="42">
        <v>14703962</v>
      </c>
      <c r="I44" s="41">
        <f>IF(H45&lt;H44,0,H45-H44)</f>
        <v>630</v>
      </c>
    </row>
    <row r="45" spans="1:9" ht="21" thickTop="1" thickBot="1" x14ac:dyDescent="0.35">
      <c r="A45" s="39">
        <f t="shared" si="4"/>
        <v>44012</v>
      </c>
      <c r="B45" s="40">
        <v>123472</v>
      </c>
      <c r="C45" s="41">
        <f t="shared" si="6"/>
        <v>0</v>
      </c>
      <c r="D45" s="42">
        <v>18481777</v>
      </c>
      <c r="E45" s="41">
        <f t="shared" si="7"/>
        <v>0</v>
      </c>
      <c r="F45" s="42">
        <v>33217716</v>
      </c>
      <c r="G45" s="41">
        <f t="shared" si="8"/>
        <v>0</v>
      </c>
      <c r="H45" s="42">
        <v>14704592</v>
      </c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1800</v>
      </c>
      <c r="E48" s="41">
        <f>SUM(E16:E45)</f>
        <v>27296</v>
      </c>
      <c r="F48" s="53"/>
      <c r="G48" s="41">
        <f>SUM(G16:G45)</f>
        <v>41298</v>
      </c>
      <c r="H48" s="53"/>
      <c r="I48" s="41">
        <f>SUM(I16:I45)</f>
        <v>17597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28" priority="550" stopIfTrue="1" operator="lessThanOrEqual">
      <formula>0</formula>
    </cfRule>
  </conditionalFormatting>
  <conditionalFormatting sqref="C48">
    <cfRule type="cellIs" dxfId="127" priority="212" stopIfTrue="1" operator="lessThanOrEqual">
      <formula>0</formula>
    </cfRule>
  </conditionalFormatting>
  <conditionalFormatting sqref="C48">
    <cfRule type="cellIs" dxfId="126" priority="211" stopIfTrue="1" operator="lessThanOrEqual">
      <formula>0</formula>
    </cfRule>
  </conditionalFormatting>
  <conditionalFormatting sqref="C48">
    <cfRule type="cellIs" dxfId="125" priority="210" stopIfTrue="1" operator="lessThanOrEqual">
      <formula>0</formula>
    </cfRule>
  </conditionalFormatting>
  <conditionalFormatting sqref="C48">
    <cfRule type="cellIs" dxfId="124" priority="209" stopIfTrue="1" operator="lessThanOrEqual">
      <formula>0</formula>
    </cfRule>
  </conditionalFormatting>
  <conditionalFormatting sqref="E48">
    <cfRule type="cellIs" dxfId="123" priority="152" stopIfTrue="1" operator="lessThanOrEqual">
      <formula>0</formula>
    </cfRule>
  </conditionalFormatting>
  <conditionalFormatting sqref="E48">
    <cfRule type="cellIs" dxfId="122" priority="151" stopIfTrue="1" operator="lessThanOrEqual">
      <formula>0</formula>
    </cfRule>
  </conditionalFormatting>
  <conditionalFormatting sqref="E48">
    <cfRule type="cellIs" dxfId="121" priority="150" stopIfTrue="1" operator="lessThanOrEqual">
      <formula>0</formula>
    </cfRule>
  </conditionalFormatting>
  <conditionalFormatting sqref="E48">
    <cfRule type="cellIs" dxfId="120" priority="149" stopIfTrue="1" operator="lessThanOrEqual">
      <formula>0</formula>
    </cfRule>
  </conditionalFormatting>
  <conditionalFormatting sqref="G48">
    <cfRule type="cellIs" dxfId="119" priority="148" stopIfTrue="1" operator="lessThanOrEqual">
      <formula>0</formula>
    </cfRule>
  </conditionalFormatting>
  <conditionalFormatting sqref="G48">
    <cfRule type="cellIs" dxfId="118" priority="147" stopIfTrue="1" operator="lessThanOrEqual">
      <formula>0</formula>
    </cfRule>
  </conditionalFormatting>
  <conditionalFormatting sqref="G48">
    <cfRule type="cellIs" dxfId="117" priority="146" stopIfTrue="1" operator="lessThanOrEqual">
      <formula>0</formula>
    </cfRule>
  </conditionalFormatting>
  <conditionalFormatting sqref="G48">
    <cfRule type="cellIs" dxfId="116" priority="145" stopIfTrue="1" operator="lessThanOrEqual">
      <formula>0</formula>
    </cfRule>
  </conditionalFormatting>
  <conditionalFormatting sqref="I48">
    <cfRule type="cellIs" dxfId="115" priority="144" stopIfTrue="1" operator="lessThanOrEqual">
      <formula>0</formula>
    </cfRule>
  </conditionalFormatting>
  <conditionalFormatting sqref="I48">
    <cfRule type="cellIs" dxfId="114" priority="143" stopIfTrue="1" operator="lessThanOrEqual">
      <formula>0</formula>
    </cfRule>
  </conditionalFormatting>
  <conditionalFormatting sqref="I48">
    <cfRule type="cellIs" dxfId="113" priority="142" stopIfTrue="1" operator="lessThanOrEqual">
      <formula>0</formula>
    </cfRule>
  </conditionalFormatting>
  <conditionalFormatting sqref="I48">
    <cfRule type="cellIs" dxfId="112" priority="141" stopIfTrue="1" operator="lessThanOrEqual">
      <formula>0</formula>
    </cfRule>
  </conditionalFormatting>
  <conditionalFormatting sqref="C34:C35 C46:C47">
    <cfRule type="cellIs" dxfId="111" priority="108" stopIfTrue="1" operator="lessThanOrEqual">
      <formula>0</formula>
    </cfRule>
  </conditionalFormatting>
  <conditionalFormatting sqref="C34:C35 C46:C47">
    <cfRule type="cellIs" dxfId="110" priority="107" stopIfTrue="1" operator="lessThanOrEqual">
      <formula>0</formula>
    </cfRule>
  </conditionalFormatting>
  <conditionalFormatting sqref="C34:C35 C46:C47">
    <cfRule type="cellIs" dxfId="109" priority="106" stopIfTrue="1" operator="lessThanOrEqual">
      <formula>0</formula>
    </cfRule>
  </conditionalFormatting>
  <conditionalFormatting sqref="C34:C35 C46:C47">
    <cfRule type="cellIs" dxfId="108" priority="105" stopIfTrue="1" operator="lessThanOrEqual">
      <formula>0</formula>
    </cfRule>
  </conditionalFormatting>
  <conditionalFormatting sqref="C9:C14">
    <cfRule type="cellIs" dxfId="107" priority="104" stopIfTrue="1" operator="lessThanOrEqual">
      <formula>0</formula>
    </cfRule>
  </conditionalFormatting>
  <conditionalFormatting sqref="C9:C14">
    <cfRule type="cellIs" dxfId="106" priority="103" stopIfTrue="1" operator="lessThanOrEqual">
      <formula>0</formula>
    </cfRule>
  </conditionalFormatting>
  <conditionalFormatting sqref="C9:C14">
    <cfRule type="cellIs" dxfId="105" priority="102" stopIfTrue="1" operator="lessThanOrEqual">
      <formula>0</formula>
    </cfRule>
  </conditionalFormatting>
  <conditionalFormatting sqref="C9:C14">
    <cfRule type="cellIs" dxfId="104" priority="101" stopIfTrue="1" operator="lessThanOrEqual">
      <formula>0</formula>
    </cfRule>
  </conditionalFormatting>
  <conditionalFormatting sqref="C16">
    <cfRule type="cellIs" dxfId="103" priority="100" stopIfTrue="1" operator="lessThanOrEqual">
      <formula>0</formula>
    </cfRule>
  </conditionalFormatting>
  <conditionalFormatting sqref="C16">
    <cfRule type="cellIs" dxfId="102" priority="99" stopIfTrue="1" operator="lessThanOrEqual">
      <formula>0</formula>
    </cfRule>
  </conditionalFormatting>
  <conditionalFormatting sqref="C16">
    <cfRule type="cellIs" dxfId="101" priority="98" stopIfTrue="1" operator="lessThanOrEqual">
      <formula>0</formula>
    </cfRule>
  </conditionalFormatting>
  <conditionalFormatting sqref="C16">
    <cfRule type="cellIs" dxfId="100" priority="97" stopIfTrue="1" operator="lessThanOrEqual">
      <formula>0</formula>
    </cfRule>
  </conditionalFormatting>
  <conditionalFormatting sqref="C15">
    <cfRule type="cellIs" dxfId="99" priority="96" stopIfTrue="1" operator="lessThanOrEqual">
      <formula>0</formula>
    </cfRule>
  </conditionalFormatting>
  <conditionalFormatting sqref="C15">
    <cfRule type="cellIs" dxfId="98" priority="95" stopIfTrue="1" operator="lessThanOrEqual">
      <formula>0</formula>
    </cfRule>
  </conditionalFormatting>
  <conditionalFormatting sqref="C15">
    <cfRule type="cellIs" dxfId="97" priority="94" stopIfTrue="1" operator="lessThanOrEqual">
      <formula>0</formula>
    </cfRule>
  </conditionalFormatting>
  <conditionalFormatting sqref="C15">
    <cfRule type="cellIs" dxfId="96" priority="93" stopIfTrue="1" operator="lessThanOrEqual">
      <formula>0</formula>
    </cfRule>
  </conditionalFormatting>
  <conditionalFormatting sqref="C17">
    <cfRule type="cellIs" dxfId="95" priority="92" stopIfTrue="1" operator="lessThanOrEqual">
      <formula>0</formula>
    </cfRule>
  </conditionalFormatting>
  <conditionalFormatting sqref="C17">
    <cfRule type="cellIs" dxfId="94" priority="91" stopIfTrue="1" operator="lessThanOrEqual">
      <formula>0</formula>
    </cfRule>
  </conditionalFormatting>
  <conditionalFormatting sqref="C17">
    <cfRule type="cellIs" dxfId="93" priority="90" stopIfTrue="1" operator="lessThanOrEqual">
      <formula>0</formula>
    </cfRule>
  </conditionalFormatting>
  <conditionalFormatting sqref="C17">
    <cfRule type="cellIs" dxfId="92" priority="89" stopIfTrue="1" operator="lessThanOrEqual">
      <formula>0</formula>
    </cfRule>
  </conditionalFormatting>
  <conditionalFormatting sqref="C18">
    <cfRule type="cellIs" dxfId="91" priority="88" stopIfTrue="1" operator="lessThanOrEqual">
      <formula>0</formula>
    </cfRule>
  </conditionalFormatting>
  <conditionalFormatting sqref="C18">
    <cfRule type="cellIs" dxfId="90" priority="87" stopIfTrue="1" operator="lessThanOrEqual">
      <formula>0</formula>
    </cfRule>
  </conditionalFormatting>
  <conditionalFormatting sqref="C18">
    <cfRule type="cellIs" dxfId="89" priority="86" stopIfTrue="1" operator="lessThanOrEqual">
      <formula>0</formula>
    </cfRule>
  </conditionalFormatting>
  <conditionalFormatting sqref="C18">
    <cfRule type="cellIs" dxfId="88" priority="85" stopIfTrue="1" operator="lessThanOrEqual">
      <formula>0</formula>
    </cfRule>
  </conditionalFormatting>
  <conditionalFormatting sqref="C19">
    <cfRule type="cellIs" dxfId="87" priority="84" stopIfTrue="1" operator="lessThanOrEqual">
      <formula>0</formula>
    </cfRule>
  </conditionalFormatting>
  <conditionalFormatting sqref="C19">
    <cfRule type="cellIs" dxfId="86" priority="83" stopIfTrue="1" operator="lessThanOrEqual">
      <formula>0</formula>
    </cfRule>
  </conditionalFormatting>
  <conditionalFormatting sqref="C19">
    <cfRule type="cellIs" dxfId="85" priority="82" stopIfTrue="1" operator="lessThanOrEqual">
      <formula>0</formula>
    </cfRule>
  </conditionalFormatting>
  <conditionalFormatting sqref="C19">
    <cfRule type="cellIs" dxfId="84" priority="81" stopIfTrue="1" operator="lessThanOrEqual">
      <formula>0</formula>
    </cfRule>
  </conditionalFormatting>
  <conditionalFormatting sqref="C20:C22">
    <cfRule type="cellIs" dxfId="83" priority="80" stopIfTrue="1" operator="lessThanOrEqual">
      <formula>0</formula>
    </cfRule>
  </conditionalFormatting>
  <conditionalFormatting sqref="C20:C22">
    <cfRule type="cellIs" dxfId="82" priority="79" stopIfTrue="1" operator="lessThanOrEqual">
      <formula>0</formula>
    </cfRule>
  </conditionalFormatting>
  <conditionalFormatting sqref="C20:C22">
    <cfRule type="cellIs" dxfId="81" priority="78" stopIfTrue="1" operator="lessThanOrEqual">
      <formula>0</formula>
    </cfRule>
  </conditionalFormatting>
  <conditionalFormatting sqref="C20:C22">
    <cfRule type="cellIs" dxfId="80" priority="77" stopIfTrue="1" operator="lessThanOrEqual">
      <formula>0</formula>
    </cfRule>
  </conditionalFormatting>
  <conditionalFormatting sqref="C23">
    <cfRule type="cellIs" dxfId="79" priority="76" stopIfTrue="1" operator="lessThanOrEqual">
      <formula>0</formula>
    </cfRule>
  </conditionalFormatting>
  <conditionalFormatting sqref="C23">
    <cfRule type="cellIs" dxfId="78" priority="75" stopIfTrue="1" operator="lessThanOrEqual">
      <formula>0</formula>
    </cfRule>
  </conditionalFormatting>
  <conditionalFormatting sqref="C23">
    <cfRule type="cellIs" dxfId="77" priority="74" stopIfTrue="1" operator="lessThanOrEqual">
      <formula>0</formula>
    </cfRule>
  </conditionalFormatting>
  <conditionalFormatting sqref="C23">
    <cfRule type="cellIs" dxfId="76" priority="73" stopIfTrue="1" operator="lessThanOrEqual">
      <formula>0</formula>
    </cfRule>
  </conditionalFormatting>
  <conditionalFormatting sqref="C24">
    <cfRule type="cellIs" dxfId="75" priority="72" stopIfTrue="1" operator="lessThanOrEqual">
      <formula>0</formula>
    </cfRule>
  </conditionalFormatting>
  <conditionalFormatting sqref="C24">
    <cfRule type="cellIs" dxfId="74" priority="71" stopIfTrue="1" operator="lessThanOrEqual">
      <formula>0</formula>
    </cfRule>
  </conditionalFormatting>
  <conditionalFormatting sqref="C24">
    <cfRule type="cellIs" dxfId="73" priority="70" stopIfTrue="1" operator="lessThanOrEqual">
      <formula>0</formula>
    </cfRule>
  </conditionalFormatting>
  <conditionalFormatting sqref="C24">
    <cfRule type="cellIs" dxfId="72" priority="69" stopIfTrue="1" operator="lessThanOrEqual">
      <formula>0</formula>
    </cfRule>
  </conditionalFormatting>
  <conditionalFormatting sqref="C25">
    <cfRule type="cellIs" dxfId="71" priority="68" stopIfTrue="1" operator="lessThanOrEqual">
      <formula>0</formula>
    </cfRule>
  </conditionalFormatting>
  <conditionalFormatting sqref="C25">
    <cfRule type="cellIs" dxfId="70" priority="67" stopIfTrue="1" operator="lessThanOrEqual">
      <formula>0</formula>
    </cfRule>
  </conditionalFormatting>
  <conditionalFormatting sqref="C25">
    <cfRule type="cellIs" dxfId="69" priority="66" stopIfTrue="1" operator="lessThanOrEqual">
      <formula>0</formula>
    </cfRule>
  </conditionalFormatting>
  <conditionalFormatting sqref="C25">
    <cfRule type="cellIs" dxfId="68" priority="65" stopIfTrue="1" operator="lessThanOrEqual">
      <formula>0</formula>
    </cfRule>
  </conditionalFormatting>
  <conditionalFormatting sqref="C26">
    <cfRule type="cellIs" dxfId="67" priority="64" stopIfTrue="1" operator="lessThanOrEqual">
      <formula>0</formula>
    </cfRule>
  </conditionalFormatting>
  <conditionalFormatting sqref="C26">
    <cfRule type="cellIs" dxfId="66" priority="63" stopIfTrue="1" operator="lessThanOrEqual">
      <formula>0</formula>
    </cfRule>
  </conditionalFormatting>
  <conditionalFormatting sqref="C26">
    <cfRule type="cellIs" dxfId="65" priority="62" stopIfTrue="1" operator="lessThanOrEqual">
      <formula>0</formula>
    </cfRule>
  </conditionalFormatting>
  <conditionalFormatting sqref="C26">
    <cfRule type="cellIs" dxfId="64" priority="61" stopIfTrue="1" operator="lessThanOrEqual">
      <formula>0</formula>
    </cfRule>
  </conditionalFormatting>
  <conditionalFormatting sqref="C27:C28">
    <cfRule type="cellIs" dxfId="63" priority="60" stopIfTrue="1" operator="lessThanOrEqual">
      <formula>0</formula>
    </cfRule>
  </conditionalFormatting>
  <conditionalFormatting sqref="C27:C28">
    <cfRule type="cellIs" dxfId="62" priority="59" stopIfTrue="1" operator="lessThanOrEqual">
      <formula>0</formula>
    </cfRule>
  </conditionalFormatting>
  <conditionalFormatting sqref="C27:C28">
    <cfRule type="cellIs" dxfId="61" priority="58" stopIfTrue="1" operator="lessThanOrEqual">
      <formula>0</formula>
    </cfRule>
  </conditionalFormatting>
  <conditionalFormatting sqref="C27:C28">
    <cfRule type="cellIs" dxfId="60" priority="57" stopIfTrue="1" operator="lessThanOrEqual">
      <formula>0</formula>
    </cfRule>
  </conditionalFormatting>
  <conditionalFormatting sqref="C29:C30">
    <cfRule type="cellIs" dxfId="59" priority="56" stopIfTrue="1" operator="lessThanOrEqual">
      <formula>0</formula>
    </cfRule>
  </conditionalFormatting>
  <conditionalFormatting sqref="C29:C30">
    <cfRule type="cellIs" dxfId="58" priority="55" stopIfTrue="1" operator="lessThanOrEqual">
      <formula>0</formula>
    </cfRule>
  </conditionalFormatting>
  <conditionalFormatting sqref="C29:C30">
    <cfRule type="cellIs" dxfId="57" priority="54" stopIfTrue="1" operator="lessThanOrEqual">
      <formula>0</formula>
    </cfRule>
  </conditionalFormatting>
  <conditionalFormatting sqref="C29:C30">
    <cfRule type="cellIs" dxfId="56" priority="53" stopIfTrue="1" operator="lessThanOrEqual">
      <formula>0</formula>
    </cfRule>
  </conditionalFormatting>
  <conditionalFormatting sqref="C31">
    <cfRule type="cellIs" dxfId="55" priority="52" stopIfTrue="1" operator="lessThanOrEqual">
      <formula>0</formula>
    </cfRule>
  </conditionalFormatting>
  <conditionalFormatting sqref="C31">
    <cfRule type="cellIs" dxfId="54" priority="51" stopIfTrue="1" operator="lessThanOrEqual">
      <formula>0</formula>
    </cfRule>
  </conditionalFormatting>
  <conditionalFormatting sqref="C31">
    <cfRule type="cellIs" dxfId="53" priority="50" stopIfTrue="1" operator="lessThanOrEqual">
      <formula>0</formula>
    </cfRule>
  </conditionalFormatting>
  <conditionalFormatting sqref="C31">
    <cfRule type="cellIs" dxfId="52" priority="49" stopIfTrue="1" operator="lessThanOrEqual">
      <formula>0</formula>
    </cfRule>
  </conditionalFormatting>
  <conditionalFormatting sqref="C32">
    <cfRule type="cellIs" dxfId="51" priority="48" stopIfTrue="1" operator="lessThanOrEqual">
      <formula>0</formula>
    </cfRule>
  </conditionalFormatting>
  <conditionalFormatting sqref="C32">
    <cfRule type="cellIs" dxfId="50" priority="47" stopIfTrue="1" operator="lessThanOrEqual">
      <formula>0</formula>
    </cfRule>
  </conditionalFormatting>
  <conditionalFormatting sqref="C32">
    <cfRule type="cellIs" dxfId="49" priority="46" stopIfTrue="1" operator="lessThanOrEqual">
      <formula>0</formula>
    </cfRule>
  </conditionalFormatting>
  <conditionalFormatting sqref="C32">
    <cfRule type="cellIs" dxfId="48" priority="45" stopIfTrue="1" operator="lessThanOrEqual">
      <formula>0</formula>
    </cfRule>
  </conditionalFormatting>
  <conditionalFormatting sqref="C33">
    <cfRule type="cellIs" dxfId="47" priority="44" stopIfTrue="1" operator="lessThanOrEqual">
      <formula>0</formula>
    </cfRule>
  </conditionalFormatting>
  <conditionalFormatting sqref="C33">
    <cfRule type="cellIs" dxfId="46" priority="43" stopIfTrue="1" operator="lessThanOrEqual">
      <formula>0</formula>
    </cfRule>
  </conditionalFormatting>
  <conditionalFormatting sqref="C33">
    <cfRule type="cellIs" dxfId="45" priority="42" stopIfTrue="1" operator="lessThanOrEqual">
      <formula>0</formula>
    </cfRule>
  </conditionalFormatting>
  <conditionalFormatting sqref="C33">
    <cfRule type="cellIs" dxfId="44" priority="41" stopIfTrue="1" operator="lessThanOrEqual">
      <formula>0</formula>
    </cfRule>
  </conditionalFormatting>
  <conditionalFormatting sqref="C36">
    <cfRule type="cellIs" dxfId="43" priority="40" stopIfTrue="1" operator="lessThanOrEqual">
      <formula>0</formula>
    </cfRule>
  </conditionalFormatting>
  <conditionalFormatting sqref="C36">
    <cfRule type="cellIs" dxfId="42" priority="39" stopIfTrue="1" operator="lessThanOrEqual">
      <formula>0</formula>
    </cfRule>
  </conditionalFormatting>
  <conditionalFormatting sqref="C36">
    <cfRule type="cellIs" dxfId="41" priority="38" stopIfTrue="1" operator="lessThanOrEqual">
      <formula>0</formula>
    </cfRule>
  </conditionalFormatting>
  <conditionalFormatting sqref="C36">
    <cfRule type="cellIs" dxfId="40" priority="37" stopIfTrue="1" operator="lessThanOrEqual">
      <formula>0</formula>
    </cfRule>
  </conditionalFormatting>
  <conditionalFormatting sqref="C37">
    <cfRule type="cellIs" dxfId="39" priority="36" stopIfTrue="1" operator="lessThanOrEqual">
      <formula>0</formula>
    </cfRule>
  </conditionalFormatting>
  <conditionalFormatting sqref="C37">
    <cfRule type="cellIs" dxfId="38" priority="35" stopIfTrue="1" operator="lessThanOrEqual">
      <formula>0</formula>
    </cfRule>
  </conditionalFormatting>
  <conditionalFormatting sqref="C37">
    <cfRule type="cellIs" dxfId="37" priority="34" stopIfTrue="1" operator="lessThanOrEqual">
      <formula>0</formula>
    </cfRule>
  </conditionalFormatting>
  <conditionalFormatting sqref="C37">
    <cfRule type="cellIs" dxfId="36" priority="33" stopIfTrue="1" operator="lessThanOrEqual">
      <formula>0</formula>
    </cfRule>
  </conditionalFormatting>
  <conditionalFormatting sqref="C38">
    <cfRule type="cellIs" dxfId="35" priority="32" stopIfTrue="1" operator="lessThanOrEqual">
      <formula>0</formula>
    </cfRule>
  </conditionalFormatting>
  <conditionalFormatting sqref="C38">
    <cfRule type="cellIs" dxfId="34" priority="31" stopIfTrue="1" operator="lessThanOrEqual">
      <formula>0</formula>
    </cfRule>
  </conditionalFormatting>
  <conditionalFormatting sqref="C38">
    <cfRule type="cellIs" dxfId="33" priority="30" stopIfTrue="1" operator="lessThanOrEqual">
      <formula>0</formula>
    </cfRule>
  </conditionalFormatting>
  <conditionalFormatting sqref="C38">
    <cfRule type="cellIs" dxfId="32" priority="29" stopIfTrue="1" operator="lessThanOrEqual">
      <formula>0</formula>
    </cfRule>
  </conditionalFormatting>
  <conditionalFormatting sqref="C39">
    <cfRule type="cellIs" dxfId="31" priority="28" stopIfTrue="1" operator="lessThanOrEqual">
      <formula>0</formula>
    </cfRule>
  </conditionalFormatting>
  <conditionalFormatting sqref="C39">
    <cfRule type="cellIs" dxfId="30" priority="27" stopIfTrue="1" operator="lessThanOrEqual">
      <formula>0</formula>
    </cfRule>
  </conditionalFormatting>
  <conditionalFormatting sqref="C39">
    <cfRule type="cellIs" dxfId="29" priority="26" stopIfTrue="1" operator="lessThanOrEqual">
      <formula>0</formula>
    </cfRule>
  </conditionalFormatting>
  <conditionalFormatting sqref="C39">
    <cfRule type="cellIs" dxfId="28" priority="25" stopIfTrue="1" operator="lessThanOrEqual">
      <formula>0</formula>
    </cfRule>
  </conditionalFormatting>
  <conditionalFormatting sqref="C40">
    <cfRule type="cellIs" dxfId="27" priority="24" stopIfTrue="1" operator="lessThanOrEqual">
      <formula>0</formula>
    </cfRule>
  </conditionalFormatting>
  <conditionalFormatting sqref="C40">
    <cfRule type="cellIs" dxfId="26" priority="23" stopIfTrue="1" operator="lessThanOrEqual">
      <formula>0</formula>
    </cfRule>
  </conditionalFormatting>
  <conditionalFormatting sqref="C40">
    <cfRule type="cellIs" dxfId="25" priority="22" stopIfTrue="1" operator="lessThanOrEqual">
      <formula>0</formula>
    </cfRule>
  </conditionalFormatting>
  <conditionalFormatting sqref="C40">
    <cfRule type="cellIs" dxfId="24" priority="21" stopIfTrue="1" operator="lessThanOrEqual">
      <formula>0</formula>
    </cfRule>
  </conditionalFormatting>
  <conditionalFormatting sqref="C42">
    <cfRule type="cellIs" dxfId="23" priority="20" stopIfTrue="1" operator="lessThanOrEqual">
      <formula>0</formula>
    </cfRule>
  </conditionalFormatting>
  <conditionalFormatting sqref="C42">
    <cfRule type="cellIs" dxfId="22" priority="19" stopIfTrue="1" operator="lessThanOrEqual">
      <formula>0</formula>
    </cfRule>
  </conditionalFormatting>
  <conditionalFormatting sqref="C42">
    <cfRule type="cellIs" dxfId="21" priority="18" stopIfTrue="1" operator="lessThanOrEqual">
      <formula>0</formula>
    </cfRule>
  </conditionalFormatting>
  <conditionalFormatting sqref="C42">
    <cfRule type="cellIs" dxfId="20" priority="17" stopIfTrue="1" operator="lessThanOrEqual">
      <formula>0</formula>
    </cfRule>
  </conditionalFormatting>
  <conditionalFormatting sqref="C41">
    <cfRule type="cellIs" dxfId="19" priority="16" stopIfTrue="1" operator="lessThanOrEqual">
      <formula>0</formula>
    </cfRule>
  </conditionalFormatting>
  <conditionalFormatting sqref="C41">
    <cfRule type="cellIs" dxfId="18" priority="15" stopIfTrue="1" operator="lessThanOrEqual">
      <formula>0</formula>
    </cfRule>
  </conditionalFormatting>
  <conditionalFormatting sqref="C41">
    <cfRule type="cellIs" dxfId="17" priority="14" stopIfTrue="1" operator="lessThanOrEqual">
      <formula>0</formula>
    </cfRule>
  </conditionalFormatting>
  <conditionalFormatting sqref="C41">
    <cfRule type="cellIs" dxfId="16" priority="13" stopIfTrue="1" operator="lessThanOrEqual">
      <formula>0</formula>
    </cfRule>
  </conditionalFormatting>
  <conditionalFormatting sqref="C43">
    <cfRule type="cellIs" dxfId="15" priority="12" stopIfTrue="1" operator="lessThanOrEqual">
      <formula>0</formula>
    </cfRule>
  </conditionalFormatting>
  <conditionalFormatting sqref="C43">
    <cfRule type="cellIs" dxfId="14" priority="11" stopIfTrue="1" operator="lessThanOrEqual">
      <formula>0</formula>
    </cfRule>
  </conditionalFormatting>
  <conditionalFormatting sqref="C43">
    <cfRule type="cellIs" dxfId="13" priority="10" stopIfTrue="1" operator="lessThanOrEqual">
      <formula>0</formula>
    </cfRule>
  </conditionalFormatting>
  <conditionalFormatting sqref="C43">
    <cfRule type="cellIs" dxfId="12" priority="9" stopIfTrue="1" operator="lessThanOrEqual">
      <formula>0</formula>
    </cfRule>
  </conditionalFormatting>
  <conditionalFormatting sqref="C44">
    <cfRule type="cellIs" dxfId="11" priority="8" stopIfTrue="1" operator="lessThanOrEqual">
      <formula>0</formula>
    </cfRule>
  </conditionalFormatting>
  <conditionalFormatting sqref="C44">
    <cfRule type="cellIs" dxfId="10" priority="7" stopIfTrue="1" operator="lessThanOrEqual">
      <formula>0</formula>
    </cfRule>
  </conditionalFormatting>
  <conditionalFormatting sqref="C44">
    <cfRule type="cellIs" dxfId="9" priority="6" stopIfTrue="1" operator="lessThanOrEqual">
      <formula>0</formula>
    </cfRule>
  </conditionalFormatting>
  <conditionalFormatting sqref="C44">
    <cfRule type="cellIs" dxfId="8" priority="5" stopIfTrue="1" operator="lessThanOrEqual">
      <formula>0</formula>
    </cfRule>
  </conditionalFormatting>
  <conditionalFormatting sqref="C45">
    <cfRule type="cellIs" dxfId="7" priority="4" stopIfTrue="1" operator="lessThanOrEqual">
      <formula>0</formula>
    </cfRule>
  </conditionalFormatting>
  <conditionalFormatting sqref="C45">
    <cfRule type="cellIs" dxfId="5" priority="3" stopIfTrue="1" operator="lessThanOrEqual">
      <formula>0</formula>
    </cfRule>
  </conditionalFormatting>
  <conditionalFormatting sqref="C45">
    <cfRule type="cellIs" dxfId="3" priority="2" stopIfTrue="1" operator="lessThanOrEqual">
      <formula>0</formula>
    </cfRule>
  </conditionalFormatting>
  <conditionalFormatting sqref="C4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2020-06-30T05:54:50Z</dcterms:modified>
</cp:coreProperties>
</file>