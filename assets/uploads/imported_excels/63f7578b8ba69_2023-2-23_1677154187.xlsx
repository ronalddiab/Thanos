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16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19\"/>
    </mc:Choice>
  </mc:AlternateContent>
  <xr:revisionPtr revIDLastSave="55" documentId="11_4422BF5FEE4FF5DECA9D486F3A0B2ED78D410F60" xr6:coauthVersionLast="47" xr6:coauthVersionMax="47" xr10:uidLastSave="{50527E82-CF05-4DCE-A1E5-F830B35E02AA}"/>
  <bookViews>
    <workbookView xWindow="0" yWindow="0" windowWidth="28800" windowHeight="12435" tabRatio="762" firstSheet="1" activeTab="1" xr2:uid="{00000000-000D-0000-FFFF-FFFF00000000}"/>
  </bookViews>
  <sheets>
    <sheet name="TOTAL" sheetId="11" r:id="rId1"/>
    <sheet name="FS Jimbaran February 2018" sheetId="14" r:id="rId2"/>
    <sheet name="RNs &amp; Covers February 2018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4" l="1"/>
  <c r="N12" i="14"/>
  <c r="O12" i="14" s="1"/>
  <c r="P12" i="14"/>
  <c r="Q12" i="14"/>
  <c r="V12" i="14"/>
  <c r="W12" i="14" s="1"/>
  <c r="I13" i="14"/>
  <c r="N13" i="14"/>
  <c r="O13" i="14" s="1"/>
  <c r="P13" i="14"/>
  <c r="Q13" i="14"/>
  <c r="V13" i="14"/>
  <c r="W13" i="14"/>
  <c r="Q33" i="14" l="1"/>
  <c r="Q34" i="14"/>
  <c r="Q35" i="14"/>
  <c r="Q36" i="14"/>
  <c r="Q37" i="14"/>
  <c r="Q38" i="14"/>
  <c r="Q39" i="14"/>
  <c r="Q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G31" i="14" l="1"/>
  <c r="AG32" i="14"/>
  <c r="AG33" i="14"/>
  <c r="AG34" i="14"/>
  <c r="AG35" i="14"/>
  <c r="AG36" i="14"/>
  <c r="AG37" i="14"/>
  <c r="AG38" i="14"/>
  <c r="AG39" i="14"/>
  <c r="AB31" i="14"/>
  <c r="AD31" i="14" s="1"/>
  <c r="AB32" i="14"/>
  <c r="AD32" i="14" s="1"/>
  <c r="AB33" i="14"/>
  <c r="AD33" i="14" s="1"/>
  <c r="AB34" i="14"/>
  <c r="AD34" i="14" s="1"/>
  <c r="AB35" i="14"/>
  <c r="AD35" i="14" s="1"/>
  <c r="AB36" i="14"/>
  <c r="AD36" i="14" s="1"/>
  <c r="AB37" i="14"/>
  <c r="AD37" i="14" s="1"/>
  <c r="AB38" i="14"/>
  <c r="AD38" i="14" s="1"/>
  <c r="AB39" i="14"/>
  <c r="AD39" i="14" s="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V31" i="14"/>
  <c r="V32" i="14"/>
  <c r="V33" i="14"/>
  <c r="V34" i="14"/>
  <c r="V35" i="14"/>
  <c r="V36" i="14"/>
  <c r="V37" i="14"/>
  <c r="V38" i="14"/>
  <c r="V39" i="14"/>
  <c r="Q31" i="14"/>
  <c r="K21" i="11" s="1"/>
  <c r="Q32" i="14"/>
  <c r="K22" i="11" s="1"/>
  <c r="K23" i="11"/>
  <c r="K24" i="11"/>
  <c r="K25" i="11"/>
  <c r="K26" i="11"/>
  <c r="K27" i="11"/>
  <c r="K28" i="11"/>
  <c r="K29" i="11"/>
  <c r="N31" i="14"/>
  <c r="N32" i="14"/>
  <c r="N33" i="14"/>
  <c r="N34" i="14"/>
  <c r="N35" i="14"/>
  <c r="N36" i="14"/>
  <c r="N37" i="14"/>
  <c r="N38" i="14"/>
  <c r="N39" i="14"/>
  <c r="I39" i="14"/>
  <c r="I38" i="14"/>
  <c r="I37" i="14"/>
  <c r="I36" i="14"/>
  <c r="I35" i="14"/>
  <c r="I34" i="14"/>
  <c r="I33" i="14"/>
  <c r="I32" i="14"/>
  <c r="I31" i="14"/>
  <c r="O32" i="14" l="1"/>
  <c r="O37" i="14"/>
  <c r="O35" i="14"/>
  <c r="O39" i="14"/>
  <c r="O33" i="14"/>
  <c r="O34" i="14"/>
  <c r="O36" i="14"/>
  <c r="O38" i="14"/>
  <c r="O31" i="14"/>
  <c r="L29" i="11"/>
  <c r="W39" i="14"/>
  <c r="L27" i="11"/>
  <c r="W37" i="14"/>
  <c r="L25" i="11"/>
  <c r="W35" i="14"/>
  <c r="L23" i="11"/>
  <c r="W33" i="14"/>
  <c r="L21" i="11"/>
  <c r="W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W38" i="14"/>
  <c r="L26" i="11"/>
  <c r="W36" i="14"/>
  <c r="L24" i="11"/>
  <c r="W34" i="14"/>
  <c r="L22" i="11"/>
  <c r="W32" i="14"/>
  <c r="E21" i="11" l="1"/>
  <c r="E22" i="11"/>
  <c r="F28" i="11"/>
  <c r="F26" i="11"/>
  <c r="F24" i="11"/>
  <c r="F22" i="11"/>
  <c r="F29" i="11"/>
  <c r="F27" i="11"/>
  <c r="F25" i="11"/>
  <c r="F23" i="11"/>
  <c r="F21" i="11"/>
  <c r="C38" i="10"/>
  <c r="B38" i="10"/>
  <c r="Q30" i="14" l="1"/>
  <c r="Q29" i="14"/>
  <c r="Q28" i="14"/>
  <c r="Q27" i="14"/>
  <c r="Q26" i="14"/>
  <c r="Q25" i="14"/>
  <c r="Q23" i="14"/>
  <c r="Q22" i="14"/>
  <c r="Q21" i="14"/>
  <c r="Q20" i="14"/>
  <c r="Q19" i="14"/>
  <c r="Q18" i="14"/>
  <c r="Q17" i="14"/>
  <c r="Q16" i="14"/>
  <c r="Q15" i="14"/>
  <c r="Q14" i="14"/>
  <c r="AE45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Y45" i="14"/>
  <c r="D45" i="14"/>
  <c r="C45" i="14"/>
  <c r="Z45" i="14"/>
  <c r="J20" i="11"/>
  <c r="AB30" i="14"/>
  <c r="N30" i="14"/>
  <c r="I30" i="14"/>
  <c r="AG29" i="14"/>
  <c r="AB29" i="14"/>
  <c r="N29" i="14"/>
  <c r="I29" i="14"/>
  <c r="AG28" i="14"/>
  <c r="AB28" i="14"/>
  <c r="N28" i="14"/>
  <c r="I28" i="14"/>
  <c r="AB27" i="14"/>
  <c r="N27" i="14"/>
  <c r="I27" i="14"/>
  <c r="AG26" i="14"/>
  <c r="AB26" i="14"/>
  <c r="AD26" i="14" s="1"/>
  <c r="I26" i="14"/>
  <c r="AG25" i="14"/>
  <c r="I15" i="11"/>
  <c r="AB25" i="14"/>
  <c r="N25" i="14"/>
  <c r="P25" i="14"/>
  <c r="AG24" i="14"/>
  <c r="AB24" i="14"/>
  <c r="K14" i="11"/>
  <c r="N24" i="14"/>
  <c r="I24" i="14"/>
  <c r="AG23" i="14"/>
  <c r="AB23" i="14"/>
  <c r="P23" i="14"/>
  <c r="N23" i="14"/>
  <c r="AB22" i="14"/>
  <c r="N22" i="14"/>
  <c r="I22" i="14"/>
  <c r="AB21" i="14"/>
  <c r="P21" i="14"/>
  <c r="N21" i="14"/>
  <c r="AG20" i="14"/>
  <c r="AB20" i="14"/>
  <c r="V20" i="14"/>
  <c r="W20" i="14" s="1"/>
  <c r="N20" i="14"/>
  <c r="I20" i="14"/>
  <c r="I9" i="11"/>
  <c r="AB19" i="14"/>
  <c r="V19" i="14"/>
  <c r="W19" i="14" s="1"/>
  <c r="N19" i="14"/>
  <c r="AG18" i="14"/>
  <c r="AB18" i="14"/>
  <c r="P18" i="14"/>
  <c r="I18" i="14"/>
  <c r="AG17" i="14"/>
  <c r="I7" i="11"/>
  <c r="AB17" i="14"/>
  <c r="P17" i="14"/>
  <c r="N17" i="14"/>
  <c r="AG16" i="14"/>
  <c r="AB16" i="14"/>
  <c r="K6" i="11"/>
  <c r="N16" i="14"/>
  <c r="I16" i="14"/>
  <c r="AG15" i="14"/>
  <c r="AB15" i="14"/>
  <c r="P15" i="14"/>
  <c r="N15" i="14"/>
  <c r="AB14" i="14"/>
  <c r="N14" i="14"/>
  <c r="AG13" i="14"/>
  <c r="AB13" i="14"/>
  <c r="AB12" i="14"/>
  <c r="K2" i="11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D22" i="14"/>
  <c r="H12" i="11"/>
  <c r="AD24" i="14"/>
  <c r="H14" i="11"/>
  <c r="AD25" i="14"/>
  <c r="H15" i="11"/>
  <c r="G16" i="11"/>
  <c r="H16" i="11"/>
  <c r="AD28" i="14"/>
  <c r="H18" i="11"/>
  <c r="AD29" i="14"/>
  <c r="H19" i="11"/>
  <c r="AD30" i="14"/>
  <c r="H20" i="11"/>
  <c r="AD14" i="14"/>
  <c r="H4" i="11"/>
  <c r="AD16" i="14"/>
  <c r="H6" i="11"/>
  <c r="AD20" i="14"/>
  <c r="H10" i="11"/>
  <c r="AD27" i="14"/>
  <c r="H17" i="11"/>
  <c r="O29" i="14"/>
  <c r="O27" i="14"/>
  <c r="G20" i="11"/>
  <c r="O20" i="14"/>
  <c r="O30" i="14"/>
  <c r="G15" i="11"/>
  <c r="G14" i="11"/>
  <c r="O28" i="14"/>
  <c r="J13" i="11"/>
  <c r="J14" i="11"/>
  <c r="AG30" i="14"/>
  <c r="J6" i="11"/>
  <c r="J5" i="11"/>
  <c r="G7" i="11"/>
  <c r="G11" i="11"/>
  <c r="AG27" i="14"/>
  <c r="J17" i="11"/>
  <c r="G13" i="11"/>
  <c r="J4" i="11"/>
  <c r="AG14" i="14"/>
  <c r="G5" i="11"/>
  <c r="G3" i="11"/>
  <c r="AG21" i="14"/>
  <c r="J11" i="11"/>
  <c r="J12" i="11"/>
  <c r="AG22" i="14"/>
  <c r="J45" i="14"/>
  <c r="G45" i="14"/>
  <c r="R45" i="14"/>
  <c r="V15" i="14"/>
  <c r="V17" i="14"/>
  <c r="V23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5" i="14"/>
  <c r="P14" i="14"/>
  <c r="P20" i="14"/>
  <c r="P22" i="14"/>
  <c r="V29" i="14"/>
  <c r="G19" i="11"/>
  <c r="I17" i="11"/>
  <c r="K15" i="11"/>
  <c r="K7" i="11"/>
  <c r="L10" i="11"/>
  <c r="AA45" i="14"/>
  <c r="I10" i="11"/>
  <c r="M45" i="14"/>
  <c r="P16" i="14"/>
  <c r="I17" i="14"/>
  <c r="N18" i="14"/>
  <c r="O18" i="14" s="1"/>
  <c r="I21" i="14"/>
  <c r="O21" i="14" s="1"/>
  <c r="V27" i="14"/>
  <c r="G18" i="11"/>
  <c r="G10" i="11"/>
  <c r="I16" i="11"/>
  <c r="I8" i="11"/>
  <c r="J19" i="11"/>
  <c r="J3" i="11"/>
  <c r="L9" i="11"/>
  <c r="K45" i="14"/>
  <c r="O22" i="14"/>
  <c r="V24" i="14"/>
  <c r="P26" i="14"/>
  <c r="E45" i="14"/>
  <c r="I15" i="14"/>
  <c r="O15" i="14" s="1"/>
  <c r="O16" i="14"/>
  <c r="P19" i="14"/>
  <c r="V21" i="14"/>
  <c r="I23" i="14"/>
  <c r="O23" i="14" s="1"/>
  <c r="P28" i="14"/>
  <c r="G17" i="11"/>
  <c r="J18" i="11"/>
  <c r="J10" i="11"/>
  <c r="K13" i="11"/>
  <c r="K5" i="11"/>
  <c r="V25" i="14"/>
  <c r="F45" i="14"/>
  <c r="Q45" i="14"/>
  <c r="I14" i="14"/>
  <c r="O14" i="14" s="1"/>
  <c r="V14" i="14"/>
  <c r="P24" i="14"/>
  <c r="I25" i="14"/>
  <c r="O25" i="14" s="1"/>
  <c r="N26" i="14"/>
  <c r="O26" i="14" s="1"/>
  <c r="I14" i="11"/>
  <c r="I6" i="11"/>
  <c r="K12" i="11"/>
  <c r="K4" i="11"/>
  <c r="L2" i="11"/>
  <c r="H2" i="11"/>
  <c r="V18" i="14"/>
  <c r="V26" i="14"/>
  <c r="V22" i="14"/>
  <c r="V30" i="14"/>
  <c r="H45" i="14"/>
  <c r="V28" i="14"/>
  <c r="J2" i="11"/>
  <c r="X45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5" i="14"/>
  <c r="AD18" i="14"/>
  <c r="AD19" i="14"/>
  <c r="W24" i="14"/>
  <c r="L14" i="11"/>
  <c r="W22" i="14"/>
  <c r="L12" i="11"/>
  <c r="AD13" i="14"/>
  <c r="AD15" i="14"/>
  <c r="O17" i="14"/>
  <c r="W28" i="14"/>
  <c r="L18" i="11"/>
  <c r="W14" i="14"/>
  <c r="L4" i="11"/>
  <c r="W30" i="14"/>
  <c r="L20" i="11"/>
  <c r="W29" i="14"/>
  <c r="L19" i="11"/>
  <c r="S45" i="14"/>
  <c r="W18" i="14"/>
  <c r="L8" i="11"/>
  <c r="W25" i="14"/>
  <c r="L15" i="11"/>
  <c r="W23" i="14"/>
  <c r="L13" i="11"/>
  <c r="AD21" i="14"/>
  <c r="W26" i="14"/>
  <c r="L16" i="11"/>
  <c r="W17" i="14"/>
  <c r="L7" i="11"/>
  <c r="T45" i="14"/>
  <c r="W27" i="14"/>
  <c r="L17" i="11"/>
  <c r="W15" i="14"/>
  <c r="L5" i="11"/>
  <c r="AD23" i="14"/>
  <c r="AD17" i="14"/>
  <c r="W21" i="14"/>
  <c r="L11" i="11"/>
  <c r="AB45" i="14"/>
  <c r="AG19" i="14"/>
  <c r="J9" i="11"/>
  <c r="L3" i="11"/>
  <c r="AF45" i="14"/>
  <c r="AG12" i="14"/>
  <c r="V16" i="14"/>
  <c r="V45" i="14" s="1"/>
  <c r="AC45" i="14"/>
  <c r="AD45" i="14" s="1"/>
  <c r="AD12" i="14"/>
  <c r="N45" i="14"/>
  <c r="P45" i="14"/>
  <c r="U45" i="14"/>
  <c r="W45" i="14" l="1"/>
  <c r="V48" i="14"/>
  <c r="AC48" i="14"/>
  <c r="AG45" i="14"/>
  <c r="AF48" i="14"/>
  <c r="F7" i="11"/>
  <c r="F2" i="11"/>
  <c r="W16" i="14"/>
  <c r="L6" i="11"/>
  <c r="O45" i="14"/>
  <c r="P48" i="14" s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</calcChain>
</file>

<file path=xl/sharedStrings.xml><?xml version="1.0" encoding="utf-8"?>
<sst xmlns="http://schemas.openxmlformats.org/spreadsheetml/2006/main" count="90" uniqueCount="49">
  <si>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</si>
  <si>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</si>
  <si>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</si>
  <si>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</si>
  <si>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</si>
  <si>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</si>
  <si>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</si>
  <si>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</si>
  <si>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</si>
  <si>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</si>
  <si>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</si>
  <si>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</si>
  <si>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</si>
  <si>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</si>
  <si>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</si>
  <si>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</si>
  <si>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</si>
  <si>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FEBRUARY 2018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</si>
  <si>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</si>
  <si>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</si>
  <si>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</si>
  <si>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</si>
  <si>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</si>
  <si>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</si>
  <si>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</si>
  <si>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</si>
  <si>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</si>
  <si>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</si>
  <si>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</si>
  <si>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</si>
  <si>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</si>
  <si>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</si>
  <si>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</si>
  <si>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</si>
  <si>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</si>
  <si>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</si>
  <si>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</si>
  <si>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</si>
  <si>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</si>
  <si>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</si>
  <si>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</si>
  <si>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</si>
  <si>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USD</t>
  </si>
  <si>
    <t>LPG Bulk (m3)</t>
  </si>
  <si>
    <t>50 Kg (tube) IVD &amp; TW</t>
  </si>
  <si>
    <t>Sundara 50 kg (tube)</t>
  </si>
  <si>
    <t>12 Kg (tube)</t>
  </si>
  <si>
    <t>Total kg</t>
  </si>
  <si>
    <t>Used (liters)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</si>
</sst>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  <numFmt numFmtId="169" formatCode="0.0%"/>
    <numFmt numFmtId="170" formatCode="_-* #,##0.000_-;\-* #,##0.000_-;_-* &quot;-&quot;??_-;_-@_-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41" fontId="15" fillId="0" borderId="0" applyFont="0" applyFill="0" applyBorder="0" applyAlignment="0" applyProtection="0"/>
    <xf numFmtId="0" fontId="15" fillId="0" borderId="0"/>
  </cellStyleXfs>
  <cellXfs count="230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7" fillId="0" borderId="0" xfId="0" applyFont="1"/>
    <xf numFmtId="0" fontId="0" fillId="0" borderId="31" xfId="0" applyBorder="1" applyAlignment="1">
      <alignment horizontal="center" vertical="center" wrapText="1"/>
    </xf>
    <xf numFmtId="164" fontId="0" fillId="3" borderId="0" xfId="0" applyNumberFormat="1" applyFill="1"/>
    <xf numFmtId="165" fontId="4" fillId="0" borderId="0" xfId="2" applyNumberFormat="1" applyFont="1" applyBorder="1"/>
    <xf numFmtId="0" fontId="0" fillId="0" borderId="9" xfId="0" applyBorder="1"/>
    <xf numFmtId="165" fontId="0" fillId="0" borderId="11" xfId="2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165" fontId="0" fillId="0" borderId="33" xfId="2" applyNumberFormat="1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8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0" fontId="1" fillId="4" borderId="34" xfId="0" applyFont="1" applyFill="1" applyBorder="1" applyAlignment="1">
      <alignment horizontal="center" vertical="center"/>
    </xf>
    <xf numFmtId="167" fontId="6" fillId="3" borderId="0" xfId="0" applyNumberFormat="1" applyFont="1" applyFill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0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2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2" xfId="0" applyNumberFormat="1" applyFill="1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165" fontId="0" fillId="0" borderId="39" xfId="2" applyNumberFormat="1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167" fontId="0" fillId="0" borderId="25" xfId="0" applyNumberFormat="1" applyBorder="1" applyAlignment="1">
      <alignment horizontal="center" vertical="center" wrapText="1"/>
    </xf>
    <xf numFmtId="167" fontId="0" fillId="0" borderId="40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8" xfId="0" applyFill="1" applyBorder="1" applyAlignment="1">
      <alignment vertical="center"/>
    </xf>
    <xf numFmtId="0" fontId="0" fillId="5" borderId="33" xfId="0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10" fillId="11" borderId="41" xfId="0" applyFont="1" applyFill="1" applyBorder="1" applyAlignment="1">
      <alignment horizontal="center" vertical="center" shrinkToFit="1"/>
    </xf>
    <xf numFmtId="0" fontId="10" fillId="11" borderId="42" xfId="0" applyFont="1" applyFill="1" applyBorder="1" applyAlignment="1">
      <alignment horizontal="center" vertical="center" shrinkToFit="1"/>
    </xf>
    <xf numFmtId="164" fontId="8" fillId="3" borderId="0" xfId="2" applyFont="1" applyFill="1" applyBorder="1" applyAlignment="1"/>
    <xf numFmtId="164" fontId="7" fillId="0" borderId="15" xfId="2" applyFont="1" applyBorder="1" applyAlignment="1">
      <alignment horizontal="center" vertical="center" wrapText="1"/>
    </xf>
    <xf numFmtId="164" fontId="7" fillId="0" borderId="27" xfId="2" applyFont="1" applyBorder="1" applyAlignment="1">
      <alignment horizontal="center" vertical="center" wrapText="1"/>
    </xf>
    <xf numFmtId="164" fontId="7" fillId="3" borderId="0" xfId="2" applyFont="1" applyFill="1" applyBorder="1"/>
    <xf numFmtId="164" fontId="11" fillId="0" borderId="0" xfId="2" applyFont="1" applyBorder="1"/>
    <xf numFmtId="164" fontId="7" fillId="0" borderId="0" xfId="2" applyFont="1"/>
    <xf numFmtId="165" fontId="8" fillId="3" borderId="0" xfId="2" applyNumberFormat="1" applyFont="1" applyFill="1" applyBorder="1" applyAlignment="1"/>
    <xf numFmtId="165" fontId="7" fillId="3" borderId="0" xfId="2" applyNumberFormat="1" applyFont="1" applyFill="1" applyBorder="1"/>
    <xf numFmtId="165" fontId="11" fillId="0" borderId="0" xfId="2" applyNumberFormat="1" applyFont="1" applyBorder="1"/>
    <xf numFmtId="165" fontId="7" fillId="0" borderId="0" xfId="2" applyNumberFormat="1" applyFont="1"/>
    <xf numFmtId="165" fontId="0" fillId="3" borderId="36" xfId="0" applyNumberFormat="1" applyFill="1" applyBorder="1"/>
    <xf numFmtId="165" fontId="1" fillId="0" borderId="36" xfId="0" applyNumberFormat="1" applyFont="1" applyBorder="1"/>
    <xf numFmtId="0" fontId="0" fillId="3" borderId="44" xfId="0" applyFill="1" applyBorder="1"/>
    <xf numFmtId="165" fontId="0" fillId="3" borderId="44" xfId="2" applyNumberFormat="1" applyFont="1" applyFill="1" applyBorder="1"/>
    <xf numFmtId="164" fontId="7" fillId="3" borderId="44" xfId="2" applyFont="1" applyFill="1" applyBorder="1"/>
    <xf numFmtId="165" fontId="7" fillId="3" borderId="44" xfId="2" applyNumberFormat="1" applyFont="1" applyFill="1" applyBorder="1"/>
    <xf numFmtId="0" fontId="0" fillId="3" borderId="46" xfId="0" applyFill="1" applyBorder="1"/>
    <xf numFmtId="43" fontId="0" fillId="3" borderId="44" xfId="0" applyNumberFormat="1" applyFill="1" applyBorder="1"/>
    <xf numFmtId="165" fontId="0" fillId="3" borderId="44" xfId="0" applyNumberFormat="1" applyFill="1" applyBorder="1"/>
    <xf numFmtId="165" fontId="0" fillId="0" borderId="44" xfId="2" applyNumberFormat="1" applyFont="1" applyBorder="1"/>
    <xf numFmtId="167" fontId="0" fillId="3" borderId="46" xfId="0" applyNumberFormat="1" applyFill="1" applyBorder="1"/>
    <xf numFmtId="165" fontId="8" fillId="6" borderId="22" xfId="2" applyNumberFormat="1" applyFont="1" applyFill="1" applyBorder="1"/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8" xfId="2" applyNumberFormat="1" applyFont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165" fontId="8" fillId="0" borderId="50" xfId="2" applyNumberFormat="1" applyFont="1" applyBorder="1" applyAlignment="1">
      <alignment horizontal="center" vertical="center" wrapText="1"/>
    </xf>
    <xf numFmtId="165" fontId="7" fillId="0" borderId="51" xfId="2" applyNumberFormat="1" applyFont="1" applyBorder="1" applyAlignment="1">
      <alignment horizontal="center" vertical="center" wrapText="1"/>
    </xf>
    <xf numFmtId="165" fontId="7" fillId="0" borderId="20" xfId="2" applyNumberFormat="1" applyFont="1" applyBorder="1"/>
    <xf numFmtId="0" fontId="0" fillId="0" borderId="28" xfId="0" applyBorder="1"/>
    <xf numFmtId="165" fontId="0" fillId="0" borderId="28" xfId="2" applyNumberFormat="1" applyFont="1" applyBorder="1"/>
    <xf numFmtId="164" fontId="7" fillId="0" borderId="28" xfId="2" applyFont="1" applyBorder="1"/>
    <xf numFmtId="165" fontId="7" fillId="0" borderId="31" xfId="2" applyNumberFormat="1" applyFont="1" applyBorder="1"/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165" fontId="0" fillId="0" borderId="17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4" fontId="0" fillId="0" borderId="20" xfId="0" applyNumberFormat="1" applyBorder="1"/>
    <xf numFmtId="165" fontId="0" fillId="0" borderId="53" xfId="2" applyNumberFormat="1" applyFont="1" applyBorder="1"/>
    <xf numFmtId="0" fontId="0" fillId="0" borderId="31" xfId="0" applyBorder="1"/>
    <xf numFmtId="165" fontId="0" fillId="0" borderId="10" xfId="2" applyNumberFormat="1" applyFont="1" applyBorder="1"/>
    <xf numFmtId="0" fontId="0" fillId="0" borderId="54" xfId="0" applyBorder="1"/>
    <xf numFmtId="164" fontId="0" fillId="0" borderId="42" xfId="2" applyFont="1" applyBorder="1"/>
    <xf numFmtId="164" fontId="0" fillId="0" borderId="55" xfId="2" applyFont="1" applyBorder="1"/>
    <xf numFmtId="165" fontId="7" fillId="0" borderId="41" xfId="2" applyNumberFormat="1" applyFont="1" applyBorder="1" applyAlignment="1">
      <alignment horizontal="center" vertical="center" wrapText="1"/>
    </xf>
    <xf numFmtId="165" fontId="7" fillId="0" borderId="42" xfId="2" applyNumberFormat="1" applyFont="1" applyBorder="1"/>
    <xf numFmtId="165" fontId="7" fillId="0" borderId="55" xfId="2" applyNumberFormat="1" applyFont="1" applyBorder="1"/>
    <xf numFmtId="168" fontId="4" fillId="0" borderId="0" xfId="2" applyNumberFormat="1" applyFont="1" applyBorder="1"/>
    <xf numFmtId="165" fontId="0" fillId="3" borderId="13" xfId="2" applyNumberFormat="1" applyFont="1" applyFill="1" applyBorder="1"/>
    <xf numFmtId="0" fontId="0" fillId="3" borderId="57" xfId="0" applyFill="1" applyBorder="1"/>
    <xf numFmtId="0" fontId="0" fillId="3" borderId="14" xfId="0" applyFill="1" applyBorder="1"/>
    <xf numFmtId="0" fontId="0" fillId="3" borderId="58" xfId="0" applyFill="1" applyBorder="1"/>
    <xf numFmtId="0" fontId="0" fillId="3" borderId="59" xfId="0" applyFill="1" applyBorder="1"/>
    <xf numFmtId="165" fontId="0" fillId="3" borderId="45" xfId="2" applyNumberFormat="1" applyFont="1" applyFill="1" applyBorder="1"/>
    <xf numFmtId="0" fontId="10" fillId="11" borderId="55" xfId="0" applyFont="1" applyFill="1" applyBorder="1" applyAlignment="1">
      <alignment horizontal="center" vertical="center" shrinkToFit="1"/>
    </xf>
    <xf numFmtId="167" fontId="1" fillId="3" borderId="7" xfId="0" applyNumberFormat="1" applyFont="1" applyFill="1" applyBorder="1"/>
    <xf numFmtId="0" fontId="0" fillId="0" borderId="6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0" xfId="0" applyBorder="1"/>
    <xf numFmtId="165" fontId="0" fillId="0" borderId="20" xfId="0" applyNumberFormat="1" applyBorder="1"/>
    <xf numFmtId="0" fontId="0" fillId="0" borderId="20" xfId="0" applyBorder="1"/>
    <xf numFmtId="0" fontId="0" fillId="3" borderId="47" xfId="0" applyFill="1" applyBorder="1"/>
    <xf numFmtId="43" fontId="0" fillId="3" borderId="5" xfId="0" applyNumberFormat="1" applyFill="1" applyBorder="1"/>
    <xf numFmtId="0" fontId="0" fillId="3" borderId="62" xfId="0" applyFill="1" applyBorder="1"/>
    <xf numFmtId="165" fontId="1" fillId="0" borderId="11" xfId="2" applyNumberFormat="1" applyFont="1" applyBorder="1" applyAlignment="1">
      <alignment horizontal="center" vertical="center" wrapText="1"/>
    </xf>
    <xf numFmtId="165" fontId="13" fillId="3" borderId="8" xfId="2" applyNumberFormat="1" applyFont="1" applyFill="1" applyBorder="1" applyProtection="1">
      <protection locked="0"/>
    </xf>
    <xf numFmtId="165" fontId="1" fillId="12" borderId="6" xfId="0" applyNumberFormat="1" applyFont="1" applyFill="1" applyBorder="1"/>
    <xf numFmtId="165" fontId="0" fillId="3" borderId="22" xfId="2" applyNumberFormat="1" applyFont="1" applyFill="1" applyBorder="1"/>
    <xf numFmtId="43" fontId="0" fillId="0" borderId="0" xfId="0" applyNumberFormat="1"/>
    <xf numFmtId="168" fontId="1" fillId="4" borderId="3" xfId="2" applyNumberFormat="1" applyFont="1" applyFill="1" applyBorder="1" applyAlignment="1">
      <alignment horizontal="center" vertical="center"/>
    </xf>
    <xf numFmtId="168" fontId="0" fillId="0" borderId="38" xfId="2" applyNumberFormat="1" applyFont="1" applyBorder="1" applyAlignment="1">
      <alignment horizontal="center" vertical="center" wrapText="1"/>
    </xf>
    <xf numFmtId="168" fontId="0" fillId="0" borderId="24" xfId="2" applyNumberFormat="1" applyFont="1" applyBorder="1" applyAlignment="1">
      <alignment horizontal="center" vertical="center" wrapText="1"/>
    </xf>
    <xf numFmtId="168" fontId="0" fillId="0" borderId="21" xfId="2" applyNumberFormat="1" applyFont="1" applyBorder="1"/>
    <xf numFmtId="168" fontId="0" fillId="0" borderId="44" xfId="2" applyNumberFormat="1" applyFont="1" applyBorder="1"/>
    <xf numFmtId="168" fontId="0" fillId="0" borderId="6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0" xfId="2" applyNumberFormat="1" applyFont="1" applyFill="1" applyBorder="1"/>
    <xf numFmtId="167" fontId="1" fillId="12" borderId="32" xfId="2" applyNumberFormat="1" applyFont="1" applyFill="1" applyBorder="1"/>
    <xf numFmtId="164" fontId="5" fillId="0" borderId="0" xfId="2" applyFont="1" applyBorder="1"/>
    <xf numFmtId="166" fontId="0" fillId="0" borderId="52" xfId="2" applyNumberFormat="1" applyFont="1" applyBorder="1"/>
    <xf numFmtId="165" fontId="0" fillId="0" borderId="55" xfId="2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2" fontId="12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7" fillId="0" borderId="0" xfId="4" applyFont="1"/>
    <xf numFmtId="9" fontId="0" fillId="0" borderId="0" xfId="0" applyNumberFormat="1"/>
    <xf numFmtId="165" fontId="13" fillId="3" borderId="60" xfId="2" applyNumberFormat="1" applyFont="1" applyFill="1" applyBorder="1" applyProtection="1">
      <protection locked="0"/>
    </xf>
    <xf numFmtId="165" fontId="13" fillId="3" borderId="43" xfId="2" applyNumberFormat="1" applyFont="1" applyFill="1" applyBorder="1" applyProtection="1">
      <protection locked="0"/>
    </xf>
    <xf numFmtId="165" fontId="1" fillId="5" borderId="6" xfId="0" applyNumberFormat="1" applyFont="1" applyFill="1" applyBorder="1"/>
    <xf numFmtId="0" fontId="0" fillId="5" borderId="27" xfId="0" applyFill="1" applyBorder="1" applyAlignment="1">
      <alignment horizontal="center" vertical="center"/>
    </xf>
    <xf numFmtId="0" fontId="1" fillId="0" borderId="54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5" fontId="4" fillId="3" borderId="0" xfId="0" applyNumberFormat="1" applyFont="1" applyFill="1"/>
    <xf numFmtId="165" fontId="4" fillId="0" borderId="0" xfId="0" applyNumberFormat="1" applyFont="1"/>
    <xf numFmtId="169" fontId="4" fillId="0" borderId="0" xfId="4" applyNumberFormat="1" applyFont="1" applyBorder="1"/>
    <xf numFmtId="167" fontId="4" fillId="0" borderId="0" xfId="0" applyNumberFormat="1" applyFont="1"/>
    <xf numFmtId="0" fontId="4" fillId="0" borderId="0" xfId="0" applyFont="1"/>
    <xf numFmtId="165" fontId="18" fillId="3" borderId="0" xfId="2" applyNumberFormat="1" applyFont="1" applyFill="1" applyBorder="1"/>
    <xf numFmtId="165" fontId="18" fillId="0" borderId="0" xfId="2" applyNumberFormat="1" applyFont="1" applyBorder="1"/>
    <xf numFmtId="3" fontId="18" fillId="0" borderId="0" xfId="0" applyNumberFormat="1" applyFont="1"/>
    <xf numFmtId="170" fontId="18" fillId="0" borderId="0" xfId="2" applyNumberFormat="1" applyFont="1"/>
    <xf numFmtId="10" fontId="18" fillId="0" borderId="0" xfId="4" applyNumberFormat="1" applyFont="1"/>
    <xf numFmtId="44" fontId="18" fillId="0" borderId="0" xfId="1" applyFont="1" applyBorder="1"/>
    <xf numFmtId="165" fontId="19" fillId="0" borderId="0" xfId="2" applyNumberFormat="1" applyFont="1" applyBorder="1"/>
    <xf numFmtId="168" fontId="18" fillId="0" borderId="0" xfId="2" applyNumberFormat="1" applyFont="1" applyBorder="1"/>
    <xf numFmtId="169" fontId="18" fillId="0" borderId="0" xfId="4" applyNumberFormat="1" applyFont="1" applyBorder="1"/>
    <xf numFmtId="165" fontId="20" fillId="0" borderId="0" xfId="2" applyNumberFormat="1" applyFont="1" applyBorder="1"/>
    <xf numFmtId="0" fontId="18" fillId="0" borderId="0" xfId="0" applyFont="1"/>
    <xf numFmtId="167" fontId="18" fillId="0" borderId="0" xfId="2" applyNumberFormat="1" applyFont="1" applyBorder="1"/>
    <xf numFmtId="0" fontId="16" fillId="3" borderId="0" xfId="0" applyFont="1" applyFill="1"/>
    <xf numFmtId="165" fontId="16" fillId="0" borderId="0" xfId="2" applyNumberFormat="1" applyFont="1"/>
    <xf numFmtId="0" fontId="16" fillId="0" borderId="0" xfId="0" applyFont="1"/>
    <xf numFmtId="164" fontId="17" fillId="0" borderId="0" xfId="2" applyFont="1"/>
    <xf numFmtId="165" fontId="17" fillId="0" borderId="0" xfId="2" applyNumberFormat="1" applyFont="1"/>
    <xf numFmtId="168" fontId="16" fillId="0" borderId="0" xfId="2" applyNumberFormat="1" applyFont="1"/>
    <xf numFmtId="167" fontId="16" fillId="0" borderId="0" xfId="0" applyNumberFormat="1" applyFont="1"/>
    <xf numFmtId="9" fontId="16" fillId="0" borderId="0" xfId="4" applyFont="1"/>
    <xf numFmtId="166" fontId="21" fillId="0" borderId="8" xfId="0" applyNumberFormat="1" applyFont="1" applyBorder="1"/>
    <xf numFmtId="37" fontId="21" fillId="0" borderId="8" xfId="0" applyNumberFormat="1" applyFont="1" applyBorder="1"/>
    <xf numFmtId="49" fontId="8" fillId="2" borderId="1" xfId="0" applyNumberFormat="1" applyFont="1" applyFill="1" applyBorder="1" applyAlignment="1">
      <alignment horizontal="left"/>
    </xf>
    <xf numFmtId="49" fontId="8" fillId="2" borderId="37" xfId="0" applyNumberFormat="1" applyFont="1" applyFill="1" applyBorder="1" applyAlignment="1">
      <alignment horizontal="left"/>
    </xf>
    <xf numFmtId="49" fontId="8" fillId="2" borderId="2" xfId="0" applyNumberFormat="1" applyFont="1" applyFill="1" applyBorder="1" applyAlignment="1">
      <alignment horizontal="left"/>
    </xf>
    <xf numFmtId="0" fontId="9" fillId="10" borderId="26" xfId="0" applyFont="1" applyFill="1" applyBorder="1" applyAlignment="1">
      <alignment horizontal="center" vertical="center" wrapText="1"/>
    </xf>
    <xf numFmtId="0" fontId="9" fillId="10" borderId="35" xfId="0" applyFont="1" applyFill="1" applyBorder="1" applyAlignment="1">
      <alignment horizontal="center" vertical="center" wrapText="1"/>
    </xf>
    <xf numFmtId="0" fontId="9" fillId="10" borderId="36" xfId="0" applyFont="1" applyFill="1" applyBorder="1" applyAlignment="1">
      <alignment horizontal="center" vertical="center" wrapText="1"/>
    </xf>
    <xf numFmtId="164" fontId="0" fillId="0" borderId="26" xfId="2" applyFont="1" applyBorder="1" applyAlignment="1">
      <alignment horizontal="center" vertical="center" wrapText="1"/>
    </xf>
    <xf numFmtId="164" fontId="0" fillId="0" borderId="35" xfId="2" applyFont="1" applyBorder="1" applyAlignment="1">
      <alignment horizontal="center" vertical="center" wrapText="1"/>
    </xf>
    <xf numFmtId="164" fontId="0" fillId="0" borderId="36" xfId="2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1" fillId="8" borderId="3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37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165" fontId="8" fillId="0" borderId="26" xfId="2" applyNumberFormat="1" applyFont="1" applyBorder="1" applyAlignment="1">
      <alignment horizontal="center" vertical="center" wrapText="1"/>
    </xf>
    <xf numFmtId="165" fontId="8" fillId="0" borderId="36" xfId="2" applyNumberFormat="1" applyFont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17" fontId="6" fillId="3" borderId="56" xfId="0" applyNumberFormat="1" applyFont="1" applyFill="1" applyBorder="1" applyAlignment="1">
      <alignment horizontal="center"/>
    </xf>
    <xf numFmtId="0" fontId="6" fillId="3" borderId="56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</cellXfs>
  <cellStyles count="9">
    <cellStyle name="Comma" xfId="2" builtinId="3"/>
    <cellStyle name="Comma [0] 2" xfId="7" xr:uid="{00000000-0005-0000-0000-000001000000}"/>
    <cellStyle name="Comma 10" xfId="3" xr:uid="{00000000-0005-0000-0000-000002000000}"/>
    <cellStyle name="Comma 2" xfId="5" xr:uid="{00000000-0005-0000-0000-000003000000}"/>
    <cellStyle name="Currency" xfId="1" builtinId="4"/>
    <cellStyle name="Hyperlink 2" xfId="6" xr:uid="{00000000-0005-0000-0000-000006000000}"/>
    <cellStyle name="Normal" xfId="0" builtinId="0"/>
    <cellStyle name="Normal 2" xfId="8" xr:uid="{00000000-0005-0000-0000-000008000000}"/>
    <cellStyle name="Percent" xfId="4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190394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29"/>
  <sheetViews>
    <sheetView workbookViewId="0">
      <selection activeCell="P12" sqref="P12"/>
    </sheetView>
  </sheetViews>
  <sheetFormatPr defaultColWidth="11.5703125" defaultRowHeight="15"/>
  <cols>
    <col min="1" max="1" width="18.42578125" style="153" customWidth="1"/>
    <col min="2" max="2" width="11.5703125" style="154"/>
    <col min="3" max="3" width="11.5703125" style="155"/>
    <col min="4" max="4" width="13.42578125" style="154" customWidth="1"/>
    <col min="5" max="5" width="12.5703125" style="152" customWidth="1"/>
    <col min="6" max="6" width="12.5703125" style="156" customWidth="1"/>
    <col min="7" max="7" width="11.5703125" style="152"/>
    <col min="8" max="8" width="11.5703125" style="156"/>
    <col min="9" max="9" width="11.5703125" style="157"/>
    <col min="10" max="10" width="11.5703125" style="158"/>
    <col min="11" max="11" width="11.5703125" style="152"/>
    <col min="12" max="12" width="11.5703125" style="158"/>
    <col min="13" max="26" width="11.5703125" style="152"/>
  </cols>
  <sheetData>
    <row r="1" spans="1:15" s="146" customFormat="1" ht="60.75">
      <c r="A1" s="142" t="s">
        <v>0</v>
      </c>
      <c r="B1" s="142" t="s">
        <v>1</v>
      </c>
      <c r="C1" s="143" t="s">
        <v>2</v>
      </c>
      <c r="D1" s="142" t="s">
        <v>3</v>
      </c>
      <c r="E1" s="141" t="s">
        <v>4</v>
      </c>
      <c r="F1" s="144" t="s">
        <v>5</v>
      </c>
      <c r="G1" s="141" t="s">
        <v>6</v>
      </c>
      <c r="H1" s="144" t="s">
        <v>7</v>
      </c>
      <c r="I1" s="141" t="s">
        <v>8</v>
      </c>
      <c r="J1" s="144" t="s">
        <v>9</v>
      </c>
      <c r="K1" s="141" t="s">
        <v>10</v>
      </c>
      <c r="L1" s="145" t="s">
        <v>11</v>
      </c>
      <c r="M1" s="141" t="s">
        <v>12</v>
      </c>
      <c r="N1" s="141" t="s">
        <v>13</v>
      </c>
    </row>
    <row r="2" spans="1:15">
      <c r="A2" s="147" t="s">
        <v>14</v>
      </c>
      <c r="B2" s="148">
        <v>1</v>
      </c>
      <c r="C2" s="149">
        <v>2</v>
      </c>
      <c r="D2" s="148">
        <v>2018</v>
      </c>
      <c r="E2" s="150">
        <f>'FS Jimbaran February 2018'!P12</f>
        <v>10160.000000020205</v>
      </c>
      <c r="F2" s="159">
        <f>'FS Jimbaran February 2018'!O12/'FS Jimbaran February 2018'!P12</f>
        <v>1251.3466151571699</v>
      </c>
      <c r="G2" s="150">
        <f>'FS Jimbaran February 2018'!AB12</f>
        <v>140.1743999999531</v>
      </c>
      <c r="H2" s="159">
        <f>'FS Jimbaran February 2018'!AC12/'FS Jimbaran February 2018'!AB12</f>
        <v>10153</v>
      </c>
      <c r="I2" s="150">
        <f>'FS Jimbaran February 2018'!AE12</f>
        <v>716.79999999993015</v>
      </c>
      <c r="J2" s="151">
        <f>'FS Jimbaran February 2018'!AF12/'FS Jimbaran February 2018'!AE12</f>
        <v>8700</v>
      </c>
      <c r="K2" s="150">
        <f>'FS Jimbaran February 2018'!Q12</f>
        <v>404</v>
      </c>
      <c r="L2" s="159">
        <f>'FS Jimbaran February 2018'!V12/'FS Jimbaran February 2018'!Q12</f>
        <v>11735.597425742573</v>
      </c>
      <c r="M2" s="150">
        <v>15</v>
      </c>
      <c r="N2" s="150">
        <v>225</v>
      </c>
    </row>
    <row r="3" spans="1:15">
      <c r="A3" s="147" t="s">
        <v>14</v>
      </c>
      <c r="B3" s="148">
        <f>B2+1</f>
        <v>2</v>
      </c>
      <c r="C3" s="149">
        <v>2</v>
      </c>
      <c r="D3" s="148">
        <v>2018</v>
      </c>
      <c r="E3" s="150">
        <f>'FS Jimbaran February 2018'!P13</f>
        <v>19419.999999977223</v>
      </c>
      <c r="F3" s="159">
        <f>'FS Jimbaran February 2018'!O13/'FS Jimbaran February 2018'!P13</f>
        <v>1181.6532389290246</v>
      </c>
      <c r="G3" s="150">
        <f>'FS Jimbaran February 2018'!AB13</f>
        <v>150.0798399999953</v>
      </c>
      <c r="H3" s="159">
        <f>'FS Jimbaran February 2018'!AC13/'FS Jimbaran February 2018'!AB13</f>
        <v>10270.697353621916</v>
      </c>
      <c r="I3" s="150">
        <f>'FS Jimbaran February 2018'!AE13</f>
        <v>464.50000000011642</v>
      </c>
      <c r="J3" s="151">
        <f>'FS Jimbaran February 2018'!AF13/'FS Jimbaran February 2018'!AE13</f>
        <v>8700</v>
      </c>
      <c r="K3" s="150">
        <f>'FS Jimbaran February 2018'!Q13</f>
        <v>389</v>
      </c>
      <c r="L3" s="159">
        <f>'FS Jimbaran February 2018'!V13/'FS Jimbaran February 2018'!Q13</f>
        <v>11357.423598971724</v>
      </c>
      <c r="M3" s="150">
        <v>17</v>
      </c>
      <c r="N3" s="150">
        <v>218</v>
      </c>
    </row>
    <row r="4" spans="1:15">
      <c r="A4" s="147" t="s">
        <v>14</v>
      </c>
      <c r="B4" s="148">
        <f t="shared" ref="B4:B29" si="0">B3+1</f>
        <v>3</v>
      </c>
      <c r="C4" s="149">
        <v>2</v>
      </c>
      <c r="D4" s="148">
        <v>2018</v>
      </c>
      <c r="E4" s="150">
        <f>'FS Jimbaran February 2018'!P14</f>
        <v>18180.000000017004</v>
      </c>
      <c r="F4" s="159">
        <f>'FS Jimbaran February 2018'!O14/'FS Jimbaran February 2018'!P14</f>
        <v>1182.0881980197739</v>
      </c>
      <c r="G4" s="150">
        <f>'FS Jimbaran February 2018'!AB14</f>
        <v>141.10084000005392</v>
      </c>
      <c r="H4" s="159">
        <f>'FS Jimbaran February 2018'!AC14/'FS Jimbaran February 2018'!AB14</f>
        <v>10153</v>
      </c>
      <c r="I4" s="150">
        <f>'FS Jimbaran February 2018'!AE14</f>
        <v>647.5</v>
      </c>
      <c r="J4" s="151">
        <f>'FS Jimbaran February 2018'!AF14/'FS Jimbaran February 2018'!AE14</f>
        <v>8700</v>
      </c>
      <c r="K4" s="150">
        <f>'FS Jimbaran February 2018'!Q14</f>
        <v>199</v>
      </c>
      <c r="L4" s="159">
        <f>'FS Jimbaran February 2018'!V14/'FS Jimbaran February 2018'!Q14</f>
        <v>17902.854773869349</v>
      </c>
      <c r="M4" s="150">
        <v>21</v>
      </c>
      <c r="N4" s="150">
        <v>311</v>
      </c>
    </row>
    <row r="5" spans="1:15">
      <c r="A5" s="147" t="s">
        <v>14</v>
      </c>
      <c r="B5" s="148">
        <f t="shared" si="0"/>
        <v>4</v>
      </c>
      <c r="C5" s="149">
        <v>2</v>
      </c>
      <c r="D5" s="148">
        <v>2018</v>
      </c>
      <c r="E5" s="150">
        <f>'FS Jimbaran February 2018'!P15</f>
        <v>18740.000000005581</v>
      </c>
      <c r="F5" s="159">
        <f>'FS Jimbaran February 2018'!O15/'FS Jimbaran February 2018'!P15</f>
        <v>1186.227874066165</v>
      </c>
      <c r="G5" s="150">
        <f>'FS Jimbaran February 2018'!AB15</f>
        <v>403.74875999999296</v>
      </c>
      <c r="H5" s="159">
        <f>'FS Jimbaran February 2018'!AC15/'FS Jimbaran February 2018'!AB15</f>
        <v>10782.723296239979</v>
      </c>
      <c r="I5" s="150">
        <f>'FS Jimbaran February 2018'!AE15</f>
        <v>476.10000000000582</v>
      </c>
      <c r="J5" s="151">
        <f>'FS Jimbaran February 2018'!AF15/'FS Jimbaran February 2018'!AE15</f>
        <v>8700</v>
      </c>
      <c r="K5" s="150">
        <f>'FS Jimbaran February 2018'!Q15</f>
        <v>371</v>
      </c>
      <c r="L5" s="159">
        <f>'FS Jimbaran February 2018'!V15/'FS Jimbaran February 2018'!Q15</f>
        <v>11217.151320754718</v>
      </c>
      <c r="M5" s="150">
        <v>25</v>
      </c>
      <c r="N5" s="150">
        <v>292</v>
      </c>
    </row>
    <row r="6" spans="1:15">
      <c r="A6" s="147" t="s">
        <v>14</v>
      </c>
      <c r="B6" s="148">
        <f t="shared" si="0"/>
        <v>5</v>
      </c>
      <c r="C6" s="149">
        <v>2</v>
      </c>
      <c r="D6" s="148">
        <v>2018</v>
      </c>
      <c r="E6" s="150">
        <f>'FS Jimbaran February 2018'!P16</f>
        <v>20159.99999998519</v>
      </c>
      <c r="F6" s="159">
        <f>'FS Jimbaran February 2018'!O16/'FS Jimbaran February 2018'!P16</f>
        <v>1180.8970937500173</v>
      </c>
      <c r="G6" s="150">
        <f>'FS Jimbaran February 2018'!AB16</f>
        <v>576.01327999997886</v>
      </c>
      <c r="H6" s="159">
        <f>'FS Jimbaran February 2018'!AC16/'FS Jimbaran February 2018'!AB16</f>
        <v>10951.231596327116</v>
      </c>
      <c r="I6" s="150">
        <f>'FS Jimbaran February 2018'!AE16</f>
        <v>399.19999999998254</v>
      </c>
      <c r="J6" s="151">
        <f>'FS Jimbaran February 2018'!AF16/'FS Jimbaran February 2018'!AE16</f>
        <v>8700</v>
      </c>
      <c r="K6" s="150">
        <f>'FS Jimbaran February 2018'!Q16</f>
        <v>384</v>
      </c>
      <c r="L6" s="159">
        <f>'FS Jimbaran February 2018'!V16/'FS Jimbaran February 2018'!Q16</f>
        <v>11131.760416666666</v>
      </c>
      <c r="M6" s="150">
        <v>23</v>
      </c>
      <c r="N6" s="150">
        <v>294</v>
      </c>
    </row>
    <row r="7" spans="1:15">
      <c r="A7" s="147" t="s">
        <v>14</v>
      </c>
      <c r="B7" s="148">
        <f t="shared" si="0"/>
        <v>6</v>
      </c>
      <c r="C7" s="149">
        <v>2</v>
      </c>
      <c r="D7" s="148">
        <v>2018</v>
      </c>
      <c r="E7" s="150">
        <f>'FS Jimbaran February 2018'!P17</f>
        <v>20340.000000003216</v>
      </c>
      <c r="F7" s="159">
        <f>'FS Jimbaran February 2018'!O17/'FS Jimbaran February 2018'!P17</f>
        <v>1182.7446548672369</v>
      </c>
      <c r="G7" s="150">
        <f>'FS Jimbaran February 2018'!AB17</f>
        <v>161.47564000001873</v>
      </c>
      <c r="H7" s="159">
        <f>'FS Jimbaran February 2018'!AC17/'FS Jimbaran February 2018'!AB17</f>
        <v>13830.508260688308</v>
      </c>
      <c r="I7" s="150">
        <f>'FS Jimbaran February 2018'!AE17</f>
        <v>442.39999999990687</v>
      </c>
      <c r="J7" s="151">
        <f>'FS Jimbaran February 2018'!AF17/'FS Jimbaran February 2018'!AE17</f>
        <v>8700</v>
      </c>
      <c r="K7" s="150">
        <f>'FS Jimbaran February 2018'!Q17</f>
        <v>374</v>
      </c>
      <c r="L7" s="159">
        <f>'FS Jimbaran February 2018'!V17/'FS Jimbaran February 2018'!Q17</f>
        <v>11342.965561497327</v>
      </c>
      <c r="M7" s="150">
        <v>26</v>
      </c>
      <c r="N7" s="150">
        <v>262</v>
      </c>
    </row>
    <row r="8" spans="1:15">
      <c r="A8" s="147" t="s">
        <v>14</v>
      </c>
      <c r="B8" s="148">
        <f t="shared" si="0"/>
        <v>7</v>
      </c>
      <c r="C8" s="149">
        <v>2</v>
      </c>
      <c r="D8" s="148">
        <v>2018</v>
      </c>
      <c r="E8" s="150">
        <f>'FS Jimbaran February 2018'!P18</f>
        <v>21080.000000002088</v>
      </c>
      <c r="F8" s="159">
        <f>'FS Jimbaran February 2018'!O18/'FS Jimbaran February 2018'!P18</f>
        <v>1184.5628197343501</v>
      </c>
      <c r="G8" s="150">
        <f>'FS Jimbaran February 2018'!AB18</f>
        <v>154.2321199999742</v>
      </c>
      <c r="H8" s="159">
        <f>'FS Jimbaran February 2018'!AC18/'FS Jimbaran February 2018'!AB18</f>
        <v>10153</v>
      </c>
      <c r="I8" s="150">
        <f>'FS Jimbaran February 2018'!AE18</f>
        <v>521.30000000004657</v>
      </c>
      <c r="J8" s="151">
        <f>'FS Jimbaran February 2018'!AF18/'FS Jimbaran February 2018'!AE18</f>
        <v>8700</v>
      </c>
      <c r="K8" s="150">
        <f>'FS Jimbaran February 2018'!Q18</f>
        <v>303</v>
      </c>
      <c r="L8" s="159">
        <f>'FS Jimbaran February 2018'!V18/'FS Jimbaran February 2018'!Q18</f>
        <v>11691.380528052805</v>
      </c>
      <c r="M8" s="150">
        <v>30</v>
      </c>
      <c r="N8" s="150">
        <v>329</v>
      </c>
    </row>
    <row r="9" spans="1:15">
      <c r="A9" s="147" t="s">
        <v>14</v>
      </c>
      <c r="B9" s="148">
        <f t="shared" si="0"/>
        <v>8</v>
      </c>
      <c r="C9" s="149">
        <v>2</v>
      </c>
      <c r="D9" s="148">
        <v>2018</v>
      </c>
      <c r="E9" s="150">
        <f>'FS Jimbaran February 2018'!P19</f>
        <v>21580.000000011296</v>
      </c>
      <c r="F9" s="159">
        <f>'FS Jimbaran February 2018'!O19/'FS Jimbaran February 2018'!P19</f>
        <v>1178.2837451343566</v>
      </c>
      <c r="G9" s="150">
        <f>'FS Jimbaran February 2018'!AB19</f>
        <v>159.58935999998121</v>
      </c>
      <c r="H9" s="159">
        <f>'FS Jimbaran February 2018'!AC19/'FS Jimbaran February 2018'!AB19</f>
        <v>10153</v>
      </c>
      <c r="I9" s="150">
        <f>'FS Jimbaran February 2018'!AE19</f>
        <v>727.09999999997649</v>
      </c>
      <c r="J9" s="151">
        <f>'FS Jimbaran February 2018'!AF19/'FS Jimbaran February 2018'!AE19</f>
        <v>8700</v>
      </c>
      <c r="K9" s="150">
        <f>'FS Jimbaran February 2018'!Q19</f>
        <v>743</v>
      </c>
      <c r="L9" s="159">
        <f>'FS Jimbaran February 2018'!V19/'FS Jimbaran February 2018'!Q19</f>
        <v>7655.9191117092869</v>
      </c>
      <c r="M9" s="150">
        <v>30</v>
      </c>
      <c r="N9" s="150">
        <v>298</v>
      </c>
      <c r="O9" s="152" t="s">
        <v>15</v>
      </c>
    </row>
    <row r="10" spans="1:15">
      <c r="A10" s="147" t="s">
        <v>14</v>
      </c>
      <c r="B10" s="148">
        <f t="shared" si="0"/>
        <v>9</v>
      </c>
      <c r="C10" s="149">
        <v>2</v>
      </c>
      <c r="D10" s="148">
        <v>2018</v>
      </c>
      <c r="E10" s="150">
        <f>'FS Jimbaran February 2018'!P20</f>
        <v>22159.999999997013</v>
      </c>
      <c r="F10" s="159">
        <f>'FS Jimbaran February 2018'!O20/'FS Jimbaran February 2018'!P20</f>
        <v>1186.7066074007203</v>
      </c>
      <c r="G10" s="150">
        <f>'FS Jimbaran February 2018'!AB20</f>
        <v>403.34596000002813</v>
      </c>
      <c r="H10" s="159">
        <f>'FS Jimbaran February 2018'!AC20/'FS Jimbaran February 2018'!AB20</f>
        <v>10783.352167156905</v>
      </c>
      <c r="I10" s="150">
        <f>'FS Jimbaran February 2018'!AE20</f>
        <v>695.40000000008149</v>
      </c>
      <c r="J10" s="151">
        <f>'FS Jimbaran February 2018'!AF20/'FS Jimbaran February 2018'!AE20</f>
        <v>8700</v>
      </c>
      <c r="K10" s="150">
        <f>'FS Jimbaran February 2018'!Q20</f>
        <v>312</v>
      </c>
      <c r="L10" s="159">
        <f>'FS Jimbaran February 2018'!V20/'FS Jimbaran February 2018'!Q20</f>
        <v>9682.4878205128207</v>
      </c>
      <c r="M10" s="150">
        <v>53</v>
      </c>
      <c r="N10" s="150">
        <v>436</v>
      </c>
    </row>
    <row r="11" spans="1:15">
      <c r="A11" s="147" t="s">
        <v>14</v>
      </c>
      <c r="B11" s="148">
        <f t="shared" si="0"/>
        <v>10</v>
      </c>
      <c r="C11" s="149">
        <v>2</v>
      </c>
      <c r="D11" s="148">
        <v>2018</v>
      </c>
      <c r="E11" s="150">
        <f>'FS Jimbaran February 2018'!P21</f>
        <v>23360.000000000469</v>
      </c>
      <c r="F11" s="159">
        <f>'FS Jimbaran February 2018'!O21/'FS Jimbaran February 2018'!P21</f>
        <v>1184.4073356163985</v>
      </c>
      <c r="G11" s="150">
        <f>'FS Jimbaran February 2018'!AB21</f>
        <v>145.28995999996951</v>
      </c>
      <c r="H11" s="159">
        <f>'FS Jimbaran February 2018'!AC21/'FS Jimbaran February 2018'!AB21</f>
        <v>10153</v>
      </c>
      <c r="I11" s="150">
        <f>'FS Jimbaran February 2018'!AE21</f>
        <v>527.69999999989523</v>
      </c>
      <c r="J11" s="151">
        <f>'FS Jimbaran February 2018'!AF21/'FS Jimbaran February 2018'!AE21</f>
        <v>8700</v>
      </c>
      <c r="K11" s="150">
        <f>'FS Jimbaran February 2018'!Q21</f>
        <v>332</v>
      </c>
      <c r="L11" s="159">
        <f>'FS Jimbaran February 2018'!V21/'FS Jimbaran February 2018'!Q21</f>
        <v>4653.1691566265063</v>
      </c>
      <c r="M11" s="150">
        <v>67</v>
      </c>
      <c r="N11" s="150">
        <v>448</v>
      </c>
    </row>
    <row r="12" spans="1:15">
      <c r="A12" s="147" t="s">
        <v>14</v>
      </c>
      <c r="B12" s="148">
        <f t="shared" si="0"/>
        <v>11</v>
      </c>
      <c r="C12" s="149">
        <v>2</v>
      </c>
      <c r="D12" s="148">
        <v>2018</v>
      </c>
      <c r="E12" s="150">
        <f>'FS Jimbaran February 2018'!P22</f>
        <v>24299.999999994157</v>
      </c>
      <c r="F12" s="159">
        <f>'FS Jimbaran February 2018'!O22/'FS Jimbaran February 2018'!P22</f>
        <v>1182.8991222222473</v>
      </c>
      <c r="G12" s="150">
        <f>'FS Jimbaran February 2018'!AB22</f>
        <v>554.87316000000465</v>
      </c>
      <c r="H12" s="159">
        <f>'FS Jimbaran February 2018'!AC22/'FS Jimbaran February 2018'!AB22</f>
        <v>10917.97482776063</v>
      </c>
      <c r="I12" s="150">
        <f>'FS Jimbaran February 2018'!AE22</f>
        <v>532.90000000008149</v>
      </c>
      <c r="J12" s="151">
        <f>'FS Jimbaran February 2018'!AF22/'FS Jimbaran February 2018'!AE22</f>
        <v>8700</v>
      </c>
      <c r="K12" s="150">
        <f>'FS Jimbaran February 2018'!Q22</f>
        <v>250</v>
      </c>
      <c r="L12" s="159">
        <f>'FS Jimbaran February 2018'!V22/'FS Jimbaran February 2018'!Q22</f>
        <v>4572.46</v>
      </c>
      <c r="M12" s="150">
        <v>75</v>
      </c>
      <c r="N12" s="150">
        <v>547</v>
      </c>
    </row>
    <row r="13" spans="1:15">
      <c r="A13" s="147" t="s">
        <v>14</v>
      </c>
      <c r="B13" s="148">
        <f t="shared" si="0"/>
        <v>12</v>
      </c>
      <c r="C13" s="149">
        <v>2</v>
      </c>
      <c r="D13" s="148">
        <v>2018</v>
      </c>
      <c r="E13" s="150">
        <f>'FS Jimbaran February 2018'!P23</f>
        <v>24699.999999994361</v>
      </c>
      <c r="F13" s="159">
        <f>'FS Jimbaran February 2018'!O23/'FS Jimbaran February 2018'!P23</f>
        <v>1185.3181165992337</v>
      </c>
      <c r="G13" s="150">
        <f>'FS Jimbaran February 2018'!AB23</f>
        <v>209.03599999999997</v>
      </c>
      <c r="H13" s="159">
        <f>'FS Jimbaran February 2018'!AC23/'FS Jimbaran February 2018'!AB23</f>
        <v>10575.510955050804</v>
      </c>
      <c r="I13" s="150">
        <f>'FS Jimbaran February 2018'!AE23</f>
        <v>425</v>
      </c>
      <c r="J13" s="151">
        <f>'FS Jimbaran February 2018'!AF23/'FS Jimbaran February 2018'!AE23</f>
        <v>8700</v>
      </c>
      <c r="K13" s="150">
        <f>'FS Jimbaran February 2018'!Q23</f>
        <v>288</v>
      </c>
      <c r="L13" s="159">
        <f>'FS Jimbaran February 2018'!V23/'FS Jimbaran February 2018'!Q23</f>
        <v>7084.5324999999993</v>
      </c>
      <c r="M13" s="150">
        <v>81</v>
      </c>
      <c r="N13" s="150">
        <v>627</v>
      </c>
    </row>
    <row r="14" spans="1:15">
      <c r="A14" s="147" t="s">
        <v>14</v>
      </c>
      <c r="B14" s="148">
        <f t="shared" si="0"/>
        <v>13</v>
      </c>
      <c r="C14" s="149">
        <v>2</v>
      </c>
      <c r="D14" s="148">
        <v>2018</v>
      </c>
      <c r="E14" s="150">
        <f>'FS Jimbaran February 2018'!P24</f>
        <v>24920.000000010874</v>
      </c>
      <c r="F14" s="159">
        <f>'FS Jimbaran February 2018'!O24/'FS Jimbaran February 2018'!P24</f>
        <v>1185.32801123595</v>
      </c>
      <c r="G14" s="150">
        <f>'FS Jimbaran February 2018'!AB24</f>
        <v>210.36180000002344</v>
      </c>
      <c r="H14" s="159">
        <f>'FS Jimbaran February 2018'!AC24/'FS Jimbaran February 2018'!AB24</f>
        <v>13311.767418799071</v>
      </c>
      <c r="I14" s="150">
        <f>'FS Jimbaran February 2018'!AE24</f>
        <v>360.69999999992433</v>
      </c>
      <c r="J14" s="151">
        <f>'FS Jimbaran February 2018'!AF24/'FS Jimbaran February 2018'!AE24</f>
        <v>8700</v>
      </c>
      <c r="K14" s="150">
        <f>'FS Jimbaran February 2018'!Q24</f>
        <v>476</v>
      </c>
      <c r="L14" s="159">
        <f>'FS Jimbaran February 2018'!V24/'FS Jimbaran February 2018'!Q24</f>
        <v>6711.5917647058814</v>
      </c>
      <c r="M14" s="150">
        <v>97</v>
      </c>
      <c r="N14" s="150">
        <v>639</v>
      </c>
    </row>
    <row r="15" spans="1:15">
      <c r="A15" s="147" t="s">
        <v>14</v>
      </c>
      <c r="B15" s="148">
        <f t="shared" si="0"/>
        <v>14</v>
      </c>
      <c r="C15" s="149">
        <v>2</v>
      </c>
      <c r="D15" s="148">
        <v>2018</v>
      </c>
      <c r="E15" s="150">
        <f>'FS Jimbaran February 2018'!P25</f>
        <v>24619.999999995685</v>
      </c>
      <c r="F15" s="159">
        <f>'FS Jimbaran February 2018'!O25/'FS Jimbaran February 2018'!P25</f>
        <v>1182.9852891957535</v>
      </c>
      <c r="G15" s="150">
        <f>'FS Jimbaran February 2018'!AB25</f>
        <v>386.67003999997189</v>
      </c>
      <c r="H15" s="159">
        <f>'FS Jimbaran February 2018'!AC25/'FS Jimbaran February 2018'!AB25</f>
        <v>10810.537367001638</v>
      </c>
      <c r="I15" s="150">
        <f>'FS Jimbaran February 2018'!AE25</f>
        <v>499.60000000006403</v>
      </c>
      <c r="J15" s="151">
        <f>'FS Jimbaran February 2018'!AF25/'FS Jimbaran February 2018'!AE25</f>
        <v>8700</v>
      </c>
      <c r="K15" s="150">
        <f>'FS Jimbaran February 2018'!Q25</f>
        <v>373</v>
      </c>
      <c r="L15" s="159">
        <f>'FS Jimbaran February 2018'!V25/'FS Jimbaran February 2018'!Q25</f>
        <v>4572.46</v>
      </c>
      <c r="M15" s="150">
        <v>96</v>
      </c>
      <c r="N15" s="150">
        <v>773</v>
      </c>
    </row>
    <row r="16" spans="1:15">
      <c r="A16" s="147" t="s">
        <v>14</v>
      </c>
      <c r="B16" s="148">
        <f t="shared" si="0"/>
        <v>15</v>
      </c>
      <c r="C16" s="149">
        <v>2</v>
      </c>
      <c r="D16" s="148">
        <v>2018</v>
      </c>
      <c r="E16" s="150">
        <f>'FS Jimbaran February 2018'!P26</f>
        <v>23659.999999993375</v>
      </c>
      <c r="F16" s="159">
        <f>'FS Jimbaran February 2018'!O26/'FS Jimbaran February 2018'!P26</f>
        <v>1178.582804733783</v>
      </c>
      <c r="G16" s="150">
        <f>'FS Jimbaran February 2018'!AB26</f>
        <v>148.26724000000701</v>
      </c>
      <c r="H16" s="159">
        <f>'FS Jimbaran February 2018'!AC26/'FS Jimbaran February 2018'!AB26</f>
        <v>10272.136229958818</v>
      </c>
      <c r="I16" s="150">
        <f>'FS Jimbaran February 2018'!AE26</f>
        <v>652.29999999995925</v>
      </c>
      <c r="J16" s="151">
        <f>'FS Jimbaran February 2018'!AF26/'FS Jimbaran February 2018'!AE26</f>
        <v>8700</v>
      </c>
      <c r="K16" s="150">
        <f>'FS Jimbaran February 2018'!Q26</f>
        <v>446</v>
      </c>
      <c r="L16" s="159">
        <f>'FS Jimbaran February 2018'!V26/'FS Jimbaran February 2018'!Q26</f>
        <v>4572.46</v>
      </c>
      <c r="M16" s="150">
        <v>95</v>
      </c>
      <c r="N16" s="150">
        <v>647</v>
      </c>
    </row>
    <row r="17" spans="1:14">
      <c r="A17" s="147" t="s">
        <v>14</v>
      </c>
      <c r="B17" s="148">
        <f t="shared" si="0"/>
        <v>16</v>
      </c>
      <c r="C17" s="149">
        <v>2</v>
      </c>
      <c r="D17" s="148">
        <v>2018</v>
      </c>
      <c r="E17" s="150">
        <f>'FS Jimbaran February 2018'!P27</f>
        <v>25260.00000001477</v>
      </c>
      <c r="F17" s="159">
        <f>'FS Jimbaran February 2018'!O27/'FS Jimbaran February 2018'!P27</f>
        <v>1181.4288741091725</v>
      </c>
      <c r="G17" s="150">
        <f>'FS Jimbaran February 2018'!AB27</f>
        <v>138.19724000000701</v>
      </c>
      <c r="H17" s="159">
        <f>'FS Jimbaran February 2018'!AC27/'FS Jimbaran February 2018'!AB27</f>
        <v>10280.817313862412</v>
      </c>
      <c r="I17" s="150">
        <f>'FS Jimbaran February 2018'!AE27</f>
        <v>491.9999999999709</v>
      </c>
      <c r="J17" s="151">
        <f>'FS Jimbaran February 2018'!AF27/'FS Jimbaran February 2018'!AE27</f>
        <v>8700</v>
      </c>
      <c r="K17" s="150">
        <f>'FS Jimbaran February 2018'!Q27</f>
        <v>368</v>
      </c>
      <c r="L17" s="159">
        <f>'FS Jimbaran February 2018'!V27/'FS Jimbaran February 2018'!Q27</f>
        <v>8140.3310869565212</v>
      </c>
      <c r="M17" s="150">
        <v>135</v>
      </c>
      <c r="N17" s="150">
        <v>788</v>
      </c>
    </row>
    <row r="18" spans="1:14">
      <c r="A18" s="147" t="s">
        <v>14</v>
      </c>
      <c r="B18" s="148">
        <f t="shared" si="0"/>
        <v>17</v>
      </c>
      <c r="C18" s="149">
        <v>2</v>
      </c>
      <c r="D18" s="148">
        <v>2018</v>
      </c>
      <c r="E18" s="150">
        <f>'FS Jimbaran February 2018'!P28</f>
        <v>25119.999999994776</v>
      </c>
      <c r="F18" s="159">
        <f>'FS Jimbaran February 2018'!O28/'FS Jimbaran February 2018'!P28</f>
        <v>1184.549675159293</v>
      </c>
      <c r="G18" s="150">
        <f>'FS Jimbaran February 2018'!AB28</f>
        <v>589.34251999998594</v>
      </c>
      <c r="H18" s="159">
        <f>'FS Jimbaran February 2018'!AC28/'FS Jimbaran February 2018'!AB28</f>
        <v>10963.150267114634</v>
      </c>
      <c r="I18" s="150">
        <f>'FS Jimbaran February 2018'!AE28</f>
        <v>446.39999999999418</v>
      </c>
      <c r="J18" s="151">
        <f>'FS Jimbaran February 2018'!AF28/'FS Jimbaran February 2018'!AE28</f>
        <v>8700</v>
      </c>
      <c r="K18" s="150">
        <f>'FS Jimbaran February 2018'!Q28</f>
        <v>573</v>
      </c>
      <c r="L18" s="159">
        <f>'FS Jimbaran February 2018'!V28/'FS Jimbaran February 2018'!Q28</f>
        <v>8781.1678534031416</v>
      </c>
      <c r="M18" s="150">
        <v>144</v>
      </c>
      <c r="N18" s="150">
        <v>980</v>
      </c>
    </row>
    <row r="19" spans="1:14">
      <c r="A19" s="147" t="s">
        <v>14</v>
      </c>
      <c r="B19" s="148">
        <f t="shared" si="0"/>
        <v>18</v>
      </c>
      <c r="C19" s="149">
        <v>2</v>
      </c>
      <c r="D19" s="148">
        <v>2018</v>
      </c>
      <c r="E19" s="150">
        <f>'FS Jimbaran February 2018'!P29</f>
        <v>26400.000000006799</v>
      </c>
      <c r="F19" s="159">
        <f>'FS Jimbaran February 2018'!O29/'FS Jimbaran February 2018'!P29</f>
        <v>1184.3791193181321</v>
      </c>
      <c r="G19" s="150">
        <f>'FS Jimbaran February 2018'!AB29</f>
        <v>160.27068000004923</v>
      </c>
      <c r="H19" s="159">
        <f>'FS Jimbaran February 2018'!AC29/'FS Jimbaran February 2018'!AB29</f>
        <v>10263.213546233126</v>
      </c>
      <c r="I19" s="150">
        <f>'FS Jimbaran February 2018'!AE29</f>
        <v>575.60000000012224</v>
      </c>
      <c r="J19" s="151">
        <f>'FS Jimbaran February 2018'!AF29/'FS Jimbaran February 2018'!AE29</f>
        <v>8700</v>
      </c>
      <c r="K19" s="150">
        <f>'FS Jimbaran February 2018'!Q29</f>
        <v>535</v>
      </c>
      <c r="L19" s="159">
        <f>'FS Jimbaran February 2018'!V29/'FS Jimbaran February 2018'!Q29</f>
        <v>10357.269943925234</v>
      </c>
      <c r="M19" s="150">
        <v>122</v>
      </c>
      <c r="N19" s="150">
        <v>932</v>
      </c>
    </row>
    <row r="20" spans="1:14">
      <c r="A20" s="147" t="s">
        <v>14</v>
      </c>
      <c r="B20" s="148">
        <f t="shared" si="0"/>
        <v>19</v>
      </c>
      <c r="C20" s="149">
        <v>2</v>
      </c>
      <c r="D20" s="148">
        <v>2018</v>
      </c>
      <c r="E20" s="150">
        <f>'FS Jimbaran February 2018'!P30</f>
        <v>26479.999999985466</v>
      </c>
      <c r="F20" s="159">
        <f>'FS Jimbaran February 2018'!O30/'FS Jimbaran February 2018'!P30</f>
        <v>1184.0866416164008</v>
      </c>
      <c r="G20" s="150">
        <f>'FS Jimbaran February 2018'!AB30</f>
        <v>432.26355999995781</v>
      </c>
      <c r="H20" s="159">
        <f>'FS Jimbaran February 2018'!AC30/'FS Jimbaran February 2018'!AB30</f>
        <v>10782.046778775491</v>
      </c>
      <c r="I20" s="150">
        <f>'FS Jimbaran February 2018'!AE30</f>
        <v>451.49999999994179</v>
      </c>
      <c r="J20" s="151">
        <f>'FS Jimbaran February 2018'!AF30/'FS Jimbaran February 2018'!AE30</f>
        <v>8700</v>
      </c>
      <c r="K20" s="150">
        <f>'FS Jimbaran February 2018'!Q30</f>
        <v>563</v>
      </c>
      <c r="L20" s="159">
        <f>'FS Jimbaran February 2018'!V30/'FS Jimbaran February 2018'!Q30</f>
        <v>9855.3975488454707</v>
      </c>
      <c r="M20" s="150">
        <v>132</v>
      </c>
      <c r="N20" s="150">
        <v>934</v>
      </c>
    </row>
    <row r="21" spans="1:14">
      <c r="A21" s="147" t="s">
        <v>14</v>
      </c>
      <c r="B21" s="148">
        <f t="shared" si="0"/>
        <v>20</v>
      </c>
      <c r="C21" s="149">
        <v>2</v>
      </c>
      <c r="D21" s="148">
        <v>2018</v>
      </c>
      <c r="E21" s="150">
        <f>'FS Jimbaran February 2018'!P31</f>
        <v>26319.999999999709</v>
      </c>
      <c r="F21" s="159">
        <f>'FS Jimbaran February 2018'!O31/'FS Jimbaran February 2018'!P31</f>
        <v>1189.2186861701684</v>
      </c>
      <c r="G21" s="150">
        <f>'FS Jimbaran February 2018'!AB31</f>
        <v>140.97999999999999</v>
      </c>
      <c r="H21" s="159">
        <f>'FS Jimbaran February 2018'!AC31/'FS Jimbaran February 2018'!AB31</f>
        <v>14114.554830472409</v>
      </c>
      <c r="I21" s="150">
        <f>'FS Jimbaran February 2018'!AE31</f>
        <v>368.89999999999418</v>
      </c>
      <c r="J21" s="151">
        <f>'FS Jimbaran February 2018'!AF31/'FS Jimbaran February 2018'!AE31</f>
        <v>8700</v>
      </c>
      <c r="K21" s="150">
        <f>'FS Jimbaran February 2018'!Q31</f>
        <v>397</v>
      </c>
      <c r="L21" s="159">
        <f>'FS Jimbaran February 2018'!V31/'FS Jimbaran February 2018'!Q31</f>
        <v>11591.920352644836</v>
      </c>
      <c r="M21" s="150">
        <v>114</v>
      </c>
      <c r="N21" s="150">
        <v>854</v>
      </c>
    </row>
    <row r="22" spans="1:14">
      <c r="A22" s="147" t="s">
        <v>14</v>
      </c>
      <c r="B22" s="148">
        <f t="shared" si="0"/>
        <v>21</v>
      </c>
      <c r="C22" s="149">
        <v>2</v>
      </c>
      <c r="D22" s="148">
        <v>2018</v>
      </c>
      <c r="E22" s="150">
        <f>'FS Jimbaran February 2018'!P32</f>
        <v>26099.999999989337</v>
      </c>
      <c r="F22" s="159">
        <f>'FS Jimbaran February 2018'!O32/'FS Jimbaran February 2018'!P32</f>
        <v>1182.1583344828132</v>
      </c>
      <c r="G22" s="150">
        <f>'FS Jimbaran February 2018'!AB32</f>
        <v>142.63148000001405</v>
      </c>
      <c r="H22" s="159">
        <f>'FS Jimbaran February 2018'!AC32/'FS Jimbaran February 2018'!AB32</f>
        <v>10153</v>
      </c>
      <c r="I22" s="150">
        <f>'FS Jimbaran February 2018'!AE32</f>
        <v>573.59999999994784</v>
      </c>
      <c r="J22" s="151">
        <f>'FS Jimbaran February 2018'!AF32/'FS Jimbaran February 2018'!AE32</f>
        <v>8700</v>
      </c>
      <c r="K22" s="150">
        <f>'FS Jimbaran February 2018'!Q32</f>
        <v>480</v>
      </c>
      <c r="L22" s="159">
        <f>'FS Jimbaran February 2018'!V32/'FS Jimbaran February 2018'!Q32</f>
        <v>10182.75525</v>
      </c>
      <c r="M22" s="150">
        <v>93</v>
      </c>
      <c r="N22" s="150">
        <v>665</v>
      </c>
    </row>
    <row r="23" spans="1:14">
      <c r="A23" s="147" t="s">
        <v>14</v>
      </c>
      <c r="B23" s="148">
        <f t="shared" si="0"/>
        <v>22</v>
      </c>
      <c r="C23" s="149">
        <v>2</v>
      </c>
      <c r="D23" s="148">
        <v>2018</v>
      </c>
      <c r="E23" s="150">
        <f>'FS Jimbaran February 2018'!P33</f>
        <v>25640.00000001704</v>
      </c>
      <c r="F23" s="159">
        <f>'FS Jimbaran February 2018'!O33/'FS Jimbaran February 2018'!P33</f>
        <v>1180.0378151325056</v>
      </c>
      <c r="G23" s="150">
        <f>'FS Jimbaran February 2018'!AB33</f>
        <v>541.33908000000235</v>
      </c>
      <c r="H23" s="159">
        <f>'FS Jimbaran February 2018'!AC33/'FS Jimbaran February 2018'!AB33</f>
        <v>10937.100050563498</v>
      </c>
      <c r="I23" s="150">
        <f>'FS Jimbaran February 2018'!AE33</f>
        <v>706.30000000004657</v>
      </c>
      <c r="J23" s="151">
        <f>'FS Jimbaran February 2018'!AF33/'FS Jimbaran February 2018'!AE33</f>
        <v>8700</v>
      </c>
      <c r="K23" s="150">
        <f>'FS Jimbaran February 2018'!Q33</f>
        <v>572</v>
      </c>
      <c r="L23" s="159">
        <f>'FS Jimbaran February 2018'!V33/'FS Jimbaran February 2018'!Q33</f>
        <v>9139.864545454544</v>
      </c>
      <c r="M23" s="150">
        <v>80</v>
      </c>
      <c r="N23" s="150">
        <v>776</v>
      </c>
    </row>
    <row r="24" spans="1:14">
      <c r="A24" s="147" t="s">
        <v>14</v>
      </c>
      <c r="B24" s="148">
        <f t="shared" si="0"/>
        <v>23</v>
      </c>
      <c r="C24" s="149">
        <v>2</v>
      </c>
      <c r="D24" s="148">
        <v>2018</v>
      </c>
      <c r="E24" s="150">
        <f>'FS Jimbaran February 2018'!P34</f>
        <v>25039.999999998941</v>
      </c>
      <c r="F24" s="159">
        <f>'FS Jimbaran February 2018'!O34/'FS Jimbaran February 2018'!P34</f>
        <v>1182.2535215655587</v>
      </c>
      <c r="G24" s="150">
        <f>'FS Jimbaran February 2018'!AB34</f>
        <v>148.26380000002342</v>
      </c>
      <c r="H24" s="159">
        <f>'FS Jimbaran February 2018'!AC34/'FS Jimbaran February 2018'!AB34</f>
        <v>10391.277988288406</v>
      </c>
      <c r="I24" s="150">
        <f>'FS Jimbaran February 2018'!AE34</f>
        <v>523.69999999995343</v>
      </c>
      <c r="J24" s="151">
        <f>'FS Jimbaran February 2018'!AF34/'FS Jimbaran February 2018'!AE34</f>
        <v>8700</v>
      </c>
      <c r="K24" s="150">
        <f>'FS Jimbaran February 2018'!Q34</f>
        <v>630</v>
      </c>
      <c r="L24" s="159">
        <f>'FS Jimbaran February 2018'!V34/'FS Jimbaran February 2018'!Q34</f>
        <v>9782.6844444444432</v>
      </c>
      <c r="M24" s="150">
        <v>62</v>
      </c>
      <c r="N24" s="150">
        <v>636</v>
      </c>
    </row>
    <row r="25" spans="1:14">
      <c r="A25" s="147" t="s">
        <v>14</v>
      </c>
      <c r="B25" s="148">
        <f t="shared" si="0"/>
        <v>24</v>
      </c>
      <c r="C25" s="149">
        <v>2</v>
      </c>
      <c r="D25" s="148">
        <v>2018</v>
      </c>
      <c r="E25" s="150">
        <f>'FS Jimbaran February 2018'!P35</f>
        <v>23860.000000007858</v>
      </c>
      <c r="F25" s="159">
        <f>'FS Jimbaran February 2018'!O35/'FS Jimbaran February 2018'!P35</f>
        <v>1179.6431567476532</v>
      </c>
      <c r="G25" s="150">
        <f>'FS Jimbaran February 2018'!AB35</f>
        <v>136.14295999996949</v>
      </c>
      <c r="H25" s="159">
        <f>'FS Jimbaran February 2018'!AC35/'FS Jimbaran February 2018'!AB35</f>
        <v>10282.745967033507</v>
      </c>
      <c r="I25" s="150">
        <f>'FS Jimbaran February 2018'!AE35</f>
        <v>469.50000000011642</v>
      </c>
      <c r="J25" s="151">
        <f>'FS Jimbaran February 2018'!AF35/'FS Jimbaran February 2018'!AE35</f>
        <v>8700</v>
      </c>
      <c r="K25" s="150">
        <f>'FS Jimbaran February 2018'!Q35</f>
        <v>591</v>
      </c>
      <c r="L25" s="159">
        <f>'FS Jimbaran February 2018'!V35/'FS Jimbaran February 2018'!Q35</f>
        <v>8743.6621658206423</v>
      </c>
      <c r="M25" s="150">
        <v>48</v>
      </c>
      <c r="N25" s="150">
        <v>647</v>
      </c>
    </row>
    <row r="26" spans="1:14">
      <c r="A26" s="147" t="s">
        <v>14</v>
      </c>
      <c r="B26" s="148">
        <f>B25+1</f>
        <v>25</v>
      </c>
      <c r="C26" s="149">
        <v>2</v>
      </c>
      <c r="D26" s="148">
        <v>2018</v>
      </c>
      <c r="E26" s="150">
        <f>'FS Jimbaran February 2018'!P36</f>
        <v>21899.999999987245</v>
      </c>
      <c r="F26" s="159">
        <f>'FS Jimbaran February 2018'!O36/'FS Jimbaran February 2018'!P36</f>
        <v>1180.9310876712332</v>
      </c>
      <c r="G26" s="150">
        <f>'FS Jimbaran February 2018'!AB36</f>
        <v>406.31636000003982</v>
      </c>
      <c r="H26" s="159">
        <f>'FS Jimbaran February 2018'!AC36/'FS Jimbaran February 2018'!AB36</f>
        <v>10909.164482276741</v>
      </c>
      <c r="I26" s="150">
        <f>'FS Jimbaran February 2018'!AE36</f>
        <v>469.4999999999709</v>
      </c>
      <c r="J26" s="151">
        <f>'FS Jimbaran February 2018'!AF36/'FS Jimbaran February 2018'!AE36</f>
        <v>8700</v>
      </c>
      <c r="K26" s="150">
        <f>'FS Jimbaran February 2018'!Q36</f>
        <v>634</v>
      </c>
      <c r="L26" s="159">
        <f>'FS Jimbaran February 2018'!V36/'FS Jimbaran February 2018'!Q36</f>
        <v>9179.2470031545745</v>
      </c>
      <c r="M26" s="150">
        <v>31</v>
      </c>
      <c r="N26" s="150">
        <v>465</v>
      </c>
    </row>
    <row r="27" spans="1:14">
      <c r="A27" s="147" t="s">
        <v>14</v>
      </c>
      <c r="B27" s="148">
        <f t="shared" si="0"/>
        <v>26</v>
      </c>
      <c r="C27" s="149">
        <v>2</v>
      </c>
      <c r="D27" s="148">
        <v>2018</v>
      </c>
      <c r="E27" s="150">
        <f>'FS Jimbaran February 2018'!P37</f>
        <v>23800.000000000069</v>
      </c>
      <c r="F27" s="159">
        <f>'FS Jimbaran February 2018'!O37/'FS Jimbaran February 2018'!P37</f>
        <v>1184.4448941176495</v>
      </c>
      <c r="G27" s="150">
        <f>'FS Jimbaran February 2018'!AB37</f>
        <v>127.40563999996013</v>
      </c>
      <c r="H27" s="159">
        <f>'FS Jimbaran February 2018'!AC37/'FS Jimbaran February 2018'!AB37</f>
        <v>10153</v>
      </c>
      <c r="I27" s="150">
        <f>'FS Jimbaran February 2018'!AE37</f>
        <v>499.70000000001164</v>
      </c>
      <c r="J27" s="151">
        <f>'FS Jimbaran February 2018'!AF37/'FS Jimbaran February 2018'!AE37</f>
        <v>8700</v>
      </c>
      <c r="K27" s="150">
        <f>'FS Jimbaran February 2018'!Q37</f>
        <v>596</v>
      </c>
      <c r="L27" s="159">
        <f>'FS Jimbaran February 2018'!V37/'FS Jimbaran February 2018'!Q37</f>
        <v>8708.6688590604044</v>
      </c>
      <c r="M27" s="150">
        <v>29</v>
      </c>
      <c r="N27" s="150">
        <v>354</v>
      </c>
    </row>
    <row r="28" spans="1:14">
      <c r="A28" s="147" t="s">
        <v>14</v>
      </c>
      <c r="B28" s="148">
        <f t="shared" si="0"/>
        <v>27</v>
      </c>
      <c r="C28" s="149">
        <v>2</v>
      </c>
      <c r="D28" s="148">
        <v>2018</v>
      </c>
      <c r="E28" s="150">
        <f>'FS Jimbaran February 2018'!P38</f>
        <v>24039.999999986208</v>
      </c>
      <c r="F28" s="159">
        <f>'FS Jimbaran February 2018'!O38/'FS Jimbaran February 2018'!P38</f>
        <v>1179.8585490849175</v>
      </c>
      <c r="G28" s="150">
        <f>'FS Jimbaran February 2018'!AB38</f>
        <v>536.42491999999766</v>
      </c>
      <c r="H28" s="159">
        <f>'FS Jimbaran February 2018'!AC38/'FS Jimbaran February 2018'!AB38</f>
        <v>11985.435376044805</v>
      </c>
      <c r="I28" s="150">
        <f>'FS Jimbaran February 2018'!AE38</f>
        <v>380.80000000001746</v>
      </c>
      <c r="J28" s="151">
        <f>'FS Jimbaran February 2018'!AF38/'FS Jimbaran February 2018'!AE38</f>
        <v>8700</v>
      </c>
      <c r="K28" s="150">
        <f>'FS Jimbaran February 2018'!Q38</f>
        <v>625</v>
      </c>
      <c r="L28" s="159">
        <f>'FS Jimbaran February 2018'!V38/'FS Jimbaran February 2018'!Q38</f>
        <v>9245.5847360000007</v>
      </c>
      <c r="M28" s="150">
        <v>23</v>
      </c>
      <c r="N28" s="150">
        <v>309</v>
      </c>
    </row>
    <row r="29" spans="1:14">
      <c r="A29" s="147" t="s">
        <v>14</v>
      </c>
      <c r="B29" s="148">
        <f t="shared" si="0"/>
        <v>28</v>
      </c>
      <c r="C29" s="149">
        <v>2</v>
      </c>
      <c r="D29" s="148">
        <v>2018</v>
      </c>
      <c r="E29" s="150">
        <f>'FS Jimbaran February 2018'!P39</f>
        <v>35200.000000006068</v>
      </c>
      <c r="F29" s="159">
        <f>'FS Jimbaran February 2018'!O39/'FS Jimbaran February 2018'!P39</f>
        <v>1150.9075355113566</v>
      </c>
      <c r="G29" s="150">
        <f>'FS Jimbaran February 2018'!AB39</f>
        <v>136.22696000002813</v>
      </c>
      <c r="H29" s="159">
        <f>'FS Jimbaran February 2018'!AC39/'FS Jimbaran February 2018'!AB39</f>
        <v>10153</v>
      </c>
      <c r="I29" s="150">
        <f>'FS Jimbaran February 2018'!AE39</f>
        <v>528.89999999999418</v>
      </c>
      <c r="J29" s="151">
        <f>'FS Jimbaran February 2018'!AF39/'FS Jimbaran February 2018'!AE39</f>
        <v>8700</v>
      </c>
      <c r="K29" s="150">
        <f>'FS Jimbaran February 2018'!Q39</f>
        <v>602</v>
      </c>
      <c r="L29" s="159">
        <f>'FS Jimbaran February 2018'!V39/'FS Jimbaran February 2018'!Q39</f>
        <v>8467.146046511627</v>
      </c>
      <c r="M29" s="150">
        <v>25</v>
      </c>
      <c r="N29" s="150">
        <v>342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H111"/>
  <sheetViews>
    <sheetView tabSelected="1" zoomScale="62" zoomScaleNormal="62" workbookViewId="0">
      <pane xSplit="4" ySplit="10" topLeftCell="U30" activePane="bottomRight" state="frozen"/>
      <selection pane="bottomRight" activeCell="AB45" sqref="AB45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11" style="3" customWidth="1"/>
    <col min="4" max="4" width="11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60" bestFit="1" customWidth="1"/>
    <col min="14" max="14" width="20.42578125" style="64" customWidth="1"/>
    <col min="15" max="15" width="18.85546875" customWidth="1"/>
    <col min="16" max="16" width="15.140625" style="64" customWidth="1"/>
    <col min="17" max="17" width="17.42578125" bestFit="1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9.85546875" customWidth="1"/>
    <col min="24" max="24" width="15.85546875" bestFit="1" customWidth="1"/>
    <col min="25" max="25" width="12.85546875" style="3" bestFit="1" customWidth="1"/>
    <col min="26" max="26" width="14.85546875" customWidth="1"/>
    <col min="27" max="27" width="12.28515625" bestFit="1" customWidth="1"/>
    <col min="28" max="28" width="10.7109375" bestFit="1" customWidth="1"/>
    <col min="29" max="29" width="19" style="3" customWidth="1"/>
    <col min="30" max="30" width="10.5703125" customWidth="1"/>
    <col min="31" max="31" width="13.28515625" style="82" bestFit="1" customWidth="1"/>
    <col min="32" max="32" width="20.7109375" bestFit="1" customWidth="1"/>
    <col min="33" max="33" width="9.42578125" style="37" bestFit="1" customWidth="1"/>
    <col min="34" max="34" width="2.28515625" style="7" customWidth="1"/>
  </cols>
  <sheetData>
    <row r="5" spans="1:34">
      <c r="N5" s="160"/>
      <c r="S5" s="161"/>
    </row>
    <row r="6" spans="1:34" s="22" customFormat="1" ht="18.75">
      <c r="B6" s="22" t="s">
        <v>16</v>
      </c>
      <c r="C6" s="30"/>
      <c r="E6" s="30"/>
      <c r="F6" s="30"/>
      <c r="H6" s="30"/>
      <c r="L6" s="30"/>
      <c r="M6" s="55"/>
      <c r="N6" s="61"/>
      <c r="P6" s="61"/>
      <c r="Y6" s="30"/>
      <c r="AC6" s="30"/>
      <c r="AE6" s="79"/>
      <c r="AG6" s="33"/>
    </row>
    <row r="7" spans="1:34" s="11" customFormat="1">
      <c r="A7" s="26"/>
      <c r="B7" s="199" t="s">
        <v>17</v>
      </c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1"/>
      <c r="AH7" s="26"/>
    </row>
    <row r="8" spans="1:34" s="7" customFormat="1" ht="15.75" customHeight="1">
      <c r="A8" s="23"/>
      <c r="B8" s="202" t="s">
        <v>18</v>
      </c>
      <c r="C8" s="205" t="s">
        <v>19</v>
      </c>
      <c r="D8" s="208" t="s">
        <v>13</v>
      </c>
      <c r="E8" s="211" t="s">
        <v>20</v>
      </c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2" t="s">
        <v>21</v>
      </c>
      <c r="R8" s="213"/>
      <c r="S8" s="213"/>
      <c r="T8" s="213"/>
      <c r="U8" s="213"/>
      <c r="V8" s="213"/>
      <c r="W8" s="214"/>
      <c r="X8" s="215" t="s">
        <v>22</v>
      </c>
      <c r="Y8" s="215"/>
      <c r="Z8" s="215"/>
      <c r="AA8" s="215"/>
      <c r="AB8" s="215"/>
      <c r="AC8" s="215"/>
      <c r="AD8" s="215"/>
      <c r="AE8" s="215"/>
      <c r="AF8" s="215"/>
      <c r="AG8" s="216"/>
      <c r="AH8" s="25"/>
    </row>
    <row r="9" spans="1:34" ht="15" customHeight="1">
      <c r="B9" s="203"/>
      <c r="C9" s="206"/>
      <c r="D9" s="209"/>
      <c r="E9" s="217" t="s">
        <v>23</v>
      </c>
      <c r="F9" s="218"/>
      <c r="G9" s="218"/>
      <c r="H9" s="218"/>
      <c r="I9" s="219"/>
      <c r="J9" s="220" t="s">
        <v>24</v>
      </c>
      <c r="K9" s="220"/>
      <c r="L9" s="220"/>
      <c r="M9" s="220"/>
      <c r="N9" s="221"/>
      <c r="O9" s="208" t="s">
        <v>25</v>
      </c>
      <c r="P9" s="222" t="s">
        <v>26</v>
      </c>
      <c r="Q9" s="49"/>
      <c r="R9" s="49" t="s">
        <v>27</v>
      </c>
      <c r="S9" s="49"/>
      <c r="T9" s="50"/>
      <c r="U9" s="165"/>
      <c r="V9" s="224" t="s">
        <v>28</v>
      </c>
      <c r="W9" s="225"/>
      <c r="X9" s="215" t="s">
        <v>29</v>
      </c>
      <c r="Y9" s="215"/>
      <c r="Z9" s="215"/>
      <c r="AA9" s="215"/>
      <c r="AB9" s="215"/>
      <c r="AC9" s="215"/>
      <c r="AD9" s="216"/>
      <c r="AE9" s="128" t="s">
        <v>30</v>
      </c>
      <c r="AF9" s="32"/>
      <c r="AG9" s="34"/>
    </row>
    <row r="10" spans="1:34" ht="61.5" customHeight="1">
      <c r="A10" s="24"/>
      <c r="B10" s="204"/>
      <c r="C10" s="207"/>
      <c r="D10" s="210"/>
      <c r="E10" s="92" t="s">
        <v>31</v>
      </c>
      <c r="F10" s="77" t="s">
        <v>32</v>
      </c>
      <c r="G10" s="123" t="s">
        <v>33</v>
      </c>
      <c r="H10" s="16" t="s">
        <v>32</v>
      </c>
      <c r="I10" s="93" t="s">
        <v>34</v>
      </c>
      <c r="J10" s="92" t="s">
        <v>31</v>
      </c>
      <c r="K10" s="78" t="s">
        <v>32</v>
      </c>
      <c r="L10" s="123" t="s">
        <v>33</v>
      </c>
      <c r="M10" s="56" t="s">
        <v>32</v>
      </c>
      <c r="N10" s="85" t="s">
        <v>35</v>
      </c>
      <c r="O10" s="210"/>
      <c r="P10" s="223"/>
      <c r="Q10" s="166" t="s">
        <v>36</v>
      </c>
      <c r="R10" s="51" t="s">
        <v>37</v>
      </c>
      <c r="S10" s="51" t="s">
        <v>38</v>
      </c>
      <c r="T10" s="20" t="s">
        <v>39</v>
      </c>
      <c r="U10" s="20" t="s">
        <v>40</v>
      </c>
      <c r="V10" s="20" t="s">
        <v>41</v>
      </c>
      <c r="W10" s="12" t="s">
        <v>42</v>
      </c>
      <c r="X10" s="115" t="s">
        <v>43</v>
      </c>
      <c r="Y10" s="44" t="s">
        <v>44</v>
      </c>
      <c r="Z10" s="43" t="s">
        <v>45</v>
      </c>
      <c r="AA10" s="43" t="s">
        <v>46</v>
      </c>
      <c r="AB10" s="43" t="s">
        <v>47</v>
      </c>
      <c r="AC10" s="44" t="s">
        <v>41</v>
      </c>
      <c r="AD10" s="45" t="s">
        <v>42</v>
      </c>
      <c r="AE10" s="129" t="s">
        <v>48</v>
      </c>
      <c r="AF10" s="43" t="s">
        <v>41</v>
      </c>
      <c r="AG10" s="47" t="s">
        <v>42</v>
      </c>
      <c r="AH10" s="24"/>
    </row>
    <row r="11" spans="1:34">
      <c r="A11" s="24"/>
      <c r="B11" s="53"/>
      <c r="C11" s="94"/>
      <c r="D11" s="167"/>
      <c r="E11" s="168"/>
      <c r="F11" s="83"/>
      <c r="G11" s="17"/>
      <c r="H11" s="18"/>
      <c r="I11" s="95"/>
      <c r="J11" s="84"/>
      <c r="K11" s="17"/>
      <c r="L11" s="18"/>
      <c r="M11" s="57"/>
      <c r="N11" s="86"/>
      <c r="O11" s="52"/>
      <c r="P11" s="103"/>
      <c r="Q11" s="84"/>
      <c r="R11" s="17"/>
      <c r="S11" s="17"/>
      <c r="T11" s="19"/>
      <c r="U11" s="19"/>
      <c r="V11" s="19"/>
      <c r="W11" s="95"/>
      <c r="X11" s="116"/>
      <c r="Y11" s="41"/>
      <c r="Z11" s="38"/>
      <c r="AA11" s="38"/>
      <c r="AB11" s="38"/>
      <c r="AC11" s="41"/>
      <c r="AD11" s="42"/>
      <c r="AE11" s="130"/>
      <c r="AF11" s="38"/>
      <c r="AG11" s="46"/>
      <c r="AH11" s="24"/>
    </row>
    <row r="12" spans="1:34">
      <c r="A12" s="29"/>
      <c r="B12" s="54">
        <v>1</v>
      </c>
      <c r="C12" s="197">
        <v>15</v>
      </c>
      <c r="D12" s="198">
        <v>225</v>
      </c>
      <c r="E12" s="99">
        <v>6240.0000000197906</v>
      </c>
      <c r="F12" s="2">
        <v>6786430.5600215234</v>
      </c>
      <c r="G12" s="31">
        <v>2680.000000000291</v>
      </c>
      <c r="H12" s="2">
        <v>4372027.3800004749</v>
      </c>
      <c r="I12" s="96">
        <f>F12+H12</f>
        <v>11158457.940021999</v>
      </c>
      <c r="J12" s="99">
        <v>860.00000000012733</v>
      </c>
      <c r="K12" s="2">
        <v>935309.3400001385</v>
      </c>
      <c r="L12" s="169">
        <v>379.99999999999545</v>
      </c>
      <c r="M12" s="170">
        <v>619914.32999999262</v>
      </c>
      <c r="N12" s="87">
        <f>K12+M12</f>
        <v>1555223.6700001312</v>
      </c>
      <c r="O12" s="101">
        <f>N12+I12</f>
        <v>12713681.610022131</v>
      </c>
      <c r="P12" s="104">
        <f>L12+J12+G12+E12</f>
        <v>10160.000000020205</v>
      </c>
      <c r="Q12" s="171">
        <f>T12+R12</f>
        <v>404</v>
      </c>
      <c r="R12" s="2">
        <v>216</v>
      </c>
      <c r="S12" s="2">
        <v>3881558.88</v>
      </c>
      <c r="T12" s="27">
        <v>188</v>
      </c>
      <c r="U12" s="27">
        <v>859622.48</v>
      </c>
      <c r="V12" s="27">
        <f t="shared" ref="V12:V39" si="0">U12+S12</f>
        <v>4741181.3599999994</v>
      </c>
      <c r="W12" s="118">
        <f t="shared" ref="W12:W39" si="1">V12/$AG$46</f>
        <v>365.37827342442904</v>
      </c>
      <c r="X12" s="124">
        <v>140.1743999999531</v>
      </c>
      <c r="Y12" s="2"/>
      <c r="Z12" s="2">
        <v>0</v>
      </c>
      <c r="AA12" s="2"/>
      <c r="AB12" s="2">
        <f>SUM(X12:AA12)</f>
        <v>140.1743999999531</v>
      </c>
      <c r="AC12" s="2">
        <v>1423190.6831995237</v>
      </c>
      <c r="AD12" s="39">
        <f t="shared" ref="AD12:AD39" si="2">AC12/$AG$46</f>
        <v>109.67792942246268</v>
      </c>
      <c r="AE12" s="131">
        <v>716.79999999993015</v>
      </c>
      <c r="AF12" s="2">
        <v>6236159.9999993928</v>
      </c>
      <c r="AG12" s="35">
        <f t="shared" ref="AG12:AG39" si="3">AF12/$AG$46</f>
        <v>480.58852859369756</v>
      </c>
      <c r="AH12" s="6"/>
    </row>
    <row r="13" spans="1:34">
      <c r="A13" s="29"/>
      <c r="B13" s="54">
        <v>2</v>
      </c>
      <c r="C13" s="197">
        <v>17</v>
      </c>
      <c r="D13" s="198">
        <v>218</v>
      </c>
      <c r="E13" s="99">
        <v>14319.999999977881</v>
      </c>
      <c r="F13" s="2">
        <v>15573988.079975944</v>
      </c>
      <c r="G13" s="31">
        <v>2959.9999999991269</v>
      </c>
      <c r="H13" s="2">
        <v>4828806.3599985754</v>
      </c>
      <c r="I13" s="96">
        <f t="shared" ref="I13:I39" si="4">F13+H13</f>
        <v>20402794.43997452</v>
      </c>
      <c r="J13" s="99">
        <v>1740.0000000002365</v>
      </c>
      <c r="K13" s="2">
        <v>1892370.0600002571</v>
      </c>
      <c r="L13" s="169">
        <v>399.99999999997726</v>
      </c>
      <c r="M13" s="170">
        <v>652541.399999963</v>
      </c>
      <c r="N13" s="87">
        <f t="shared" ref="N13:N39" si="5">K13+M13</f>
        <v>2544911.4600002202</v>
      </c>
      <c r="O13" s="101">
        <f t="shared" ref="O13:O39" si="6">N13+I13</f>
        <v>22947705.899974741</v>
      </c>
      <c r="P13" s="104">
        <f t="shared" ref="P13:P39" si="7">L13+J13+G13+E13</f>
        <v>19419.999999977223</v>
      </c>
      <c r="Q13" s="171">
        <f t="shared" ref="Q13:Q39" si="8">T13+R13</f>
        <v>389</v>
      </c>
      <c r="R13" s="2">
        <v>197</v>
      </c>
      <c r="S13" s="2">
        <v>3540125.46</v>
      </c>
      <c r="T13" s="27">
        <v>192</v>
      </c>
      <c r="U13" s="27">
        <v>877912.32000000007</v>
      </c>
      <c r="V13" s="27">
        <f t="shared" si="0"/>
        <v>4418037.78</v>
      </c>
      <c r="W13" s="118">
        <f t="shared" si="1"/>
        <v>340.4752725975236</v>
      </c>
      <c r="X13" s="124">
        <v>138.0798399999953</v>
      </c>
      <c r="Y13" s="2"/>
      <c r="Z13" s="2">
        <v>0</v>
      </c>
      <c r="AA13" s="2">
        <v>12</v>
      </c>
      <c r="AB13" s="2">
        <f t="shared" ref="AB13:AB39" si="9">SUM(X13:AA13)</f>
        <v>150.0798399999953</v>
      </c>
      <c r="AC13" s="2">
        <v>1541424.6155199523</v>
      </c>
      <c r="AD13" s="39">
        <f t="shared" si="2"/>
        <v>118.78960576876025</v>
      </c>
      <c r="AE13" s="131">
        <v>464.50000000011642</v>
      </c>
      <c r="AF13" s="2">
        <v>4041150.0000010128</v>
      </c>
      <c r="AG13" s="35">
        <f t="shared" si="3"/>
        <v>311.43048483796065</v>
      </c>
      <c r="AH13" s="6"/>
    </row>
    <row r="14" spans="1:34">
      <c r="A14" s="29"/>
      <c r="B14" s="54">
        <v>3</v>
      </c>
      <c r="C14" s="197">
        <v>21</v>
      </c>
      <c r="D14" s="198">
        <v>311</v>
      </c>
      <c r="E14" s="99">
        <v>13360.000000015134</v>
      </c>
      <c r="F14" s="2">
        <v>14529921.84001646</v>
      </c>
      <c r="G14" s="31">
        <v>2760.0000000020373</v>
      </c>
      <c r="H14" s="2">
        <v>4502535.660003324</v>
      </c>
      <c r="I14" s="96">
        <f t="shared" si="4"/>
        <v>19032457.500019785</v>
      </c>
      <c r="J14" s="99">
        <v>1659.9999999998545</v>
      </c>
      <c r="K14" s="2">
        <v>1805364.5399998417</v>
      </c>
      <c r="L14" s="169">
        <v>399.99999999997726</v>
      </c>
      <c r="M14" s="170">
        <v>652541.399999963</v>
      </c>
      <c r="N14" s="87">
        <f t="shared" si="5"/>
        <v>2457905.9399998048</v>
      </c>
      <c r="O14" s="101">
        <f t="shared" si="6"/>
        <v>21490363.440019589</v>
      </c>
      <c r="P14" s="104">
        <f t="shared" si="7"/>
        <v>18180.000000017004</v>
      </c>
      <c r="Q14" s="171">
        <f t="shared" si="8"/>
        <v>199</v>
      </c>
      <c r="R14" s="2">
        <v>198</v>
      </c>
      <c r="S14" s="2">
        <v>3558095.64</v>
      </c>
      <c r="T14" s="27">
        <v>1</v>
      </c>
      <c r="U14" s="27">
        <v>4572.46</v>
      </c>
      <c r="V14" s="27">
        <f t="shared" si="0"/>
        <v>3562668.1</v>
      </c>
      <c r="W14" s="118">
        <f t="shared" si="1"/>
        <v>274.55636482176067</v>
      </c>
      <c r="X14" s="124">
        <v>141.10084000005392</v>
      </c>
      <c r="Y14" s="2"/>
      <c r="Z14" s="2">
        <v>0</v>
      </c>
      <c r="AA14" s="2">
        <v>0</v>
      </c>
      <c r="AB14" s="2">
        <f t="shared" si="9"/>
        <v>141.10084000005392</v>
      </c>
      <c r="AC14" s="2">
        <v>1432596.8285205474</v>
      </c>
      <c r="AD14" s="39">
        <f t="shared" si="2"/>
        <v>110.4028122894144</v>
      </c>
      <c r="AE14" s="131">
        <v>647.5</v>
      </c>
      <c r="AF14" s="2">
        <v>5633250</v>
      </c>
      <c r="AG14" s="35">
        <f t="shared" si="3"/>
        <v>434.1253798332163</v>
      </c>
      <c r="AH14" s="6"/>
    </row>
    <row r="15" spans="1:34">
      <c r="A15" s="29"/>
      <c r="B15" s="54">
        <v>4</v>
      </c>
      <c r="C15" s="197">
        <v>25</v>
      </c>
      <c r="D15" s="198">
        <v>292</v>
      </c>
      <c r="E15" s="99">
        <v>13880.000000004657</v>
      </c>
      <c r="F15" s="2">
        <v>15095457.720005065</v>
      </c>
      <c r="G15" s="31">
        <v>3040.0000000008731</v>
      </c>
      <c r="H15" s="2">
        <v>4959314.6400014246</v>
      </c>
      <c r="I15" s="96">
        <f t="shared" si="4"/>
        <v>20054772.360006489</v>
      </c>
      <c r="J15" s="99">
        <v>1460.0000000000364</v>
      </c>
      <c r="K15" s="2">
        <v>1587850.7400000396</v>
      </c>
      <c r="L15" s="169">
        <v>360.00000000001364</v>
      </c>
      <c r="M15" s="170">
        <v>587287.26000002236</v>
      </c>
      <c r="N15" s="87">
        <f t="shared" si="5"/>
        <v>2175138.0000000619</v>
      </c>
      <c r="O15" s="101">
        <f t="shared" si="6"/>
        <v>22229910.360006552</v>
      </c>
      <c r="P15" s="104">
        <f t="shared" si="7"/>
        <v>18740.000000005581</v>
      </c>
      <c r="Q15" s="171">
        <f t="shared" si="8"/>
        <v>371</v>
      </c>
      <c r="R15" s="2">
        <v>184</v>
      </c>
      <c r="S15" s="2">
        <v>3306513.12</v>
      </c>
      <c r="T15" s="27">
        <v>187</v>
      </c>
      <c r="U15" s="27">
        <v>855050.02</v>
      </c>
      <c r="V15" s="27">
        <f t="shared" si="0"/>
        <v>4161563.14</v>
      </c>
      <c r="W15" s="118">
        <f t="shared" si="1"/>
        <v>320.71010142500552</v>
      </c>
      <c r="X15" s="124">
        <v>153.74875999999296</v>
      </c>
      <c r="Y15" s="2">
        <v>250</v>
      </c>
      <c r="Z15" s="2">
        <v>0</v>
      </c>
      <c r="AA15" s="2">
        <v>0</v>
      </c>
      <c r="AB15" s="2">
        <f t="shared" si="9"/>
        <v>403.74875999999296</v>
      </c>
      <c r="AC15" s="2">
        <v>4353511.1602799287</v>
      </c>
      <c r="AD15" s="39">
        <f t="shared" si="2"/>
        <v>335.50254046326194</v>
      </c>
      <c r="AE15" s="131">
        <v>476.10000000000582</v>
      </c>
      <c r="AF15" s="2">
        <v>4142070.0000000508</v>
      </c>
      <c r="AG15" s="35">
        <f t="shared" si="3"/>
        <v>319.20786615999509</v>
      </c>
      <c r="AH15" s="6"/>
    </row>
    <row r="16" spans="1:34">
      <c r="A16" s="29"/>
      <c r="B16" s="54">
        <v>5</v>
      </c>
      <c r="C16" s="197">
        <v>23</v>
      </c>
      <c r="D16" s="198">
        <v>294</v>
      </c>
      <c r="E16" s="99">
        <v>15079.999999987194</v>
      </c>
      <c r="F16" s="2">
        <v>16400540.519986074</v>
      </c>
      <c r="G16" s="31">
        <v>3079.9999999981083</v>
      </c>
      <c r="H16" s="2">
        <v>5024568.7799969148</v>
      </c>
      <c r="I16" s="96">
        <f t="shared" si="4"/>
        <v>21425109.299982987</v>
      </c>
      <c r="J16" s="99">
        <v>1619.9999999998909</v>
      </c>
      <c r="K16" s="2">
        <v>1761861.7799998813</v>
      </c>
      <c r="L16" s="169">
        <v>379.99999999999545</v>
      </c>
      <c r="M16" s="170">
        <v>619914.32999999262</v>
      </c>
      <c r="N16" s="87">
        <f t="shared" si="5"/>
        <v>2381776.1099998737</v>
      </c>
      <c r="O16" s="101">
        <f t="shared" si="6"/>
        <v>23806885.40998286</v>
      </c>
      <c r="P16" s="104">
        <f t="shared" si="7"/>
        <v>20159.99999998519</v>
      </c>
      <c r="Q16" s="171">
        <f t="shared" si="8"/>
        <v>384</v>
      </c>
      <c r="R16" s="2">
        <v>188</v>
      </c>
      <c r="S16" s="2">
        <v>3378393.84</v>
      </c>
      <c r="T16" s="27">
        <v>196</v>
      </c>
      <c r="U16" s="27">
        <v>896202.16</v>
      </c>
      <c r="V16" s="27">
        <f t="shared" si="0"/>
        <v>4274596</v>
      </c>
      <c r="W16" s="118">
        <f t="shared" si="1"/>
        <v>329.42095808521674</v>
      </c>
      <c r="X16" s="124">
        <v>140.01327999997889</v>
      </c>
      <c r="Y16" s="2"/>
      <c r="Z16" s="2">
        <v>400</v>
      </c>
      <c r="AA16" s="2">
        <v>36</v>
      </c>
      <c r="AB16" s="2">
        <f t="shared" si="9"/>
        <v>576.01327999997886</v>
      </c>
      <c r="AC16" s="2">
        <v>6308054.8318397859</v>
      </c>
      <c r="AD16" s="39">
        <f t="shared" si="2"/>
        <v>486.1290906459331</v>
      </c>
      <c r="AE16" s="131">
        <v>399.19999999998254</v>
      </c>
      <c r="AF16" s="2">
        <v>3473039.9999998482</v>
      </c>
      <c r="AG16" s="35">
        <f t="shared" si="3"/>
        <v>267.64919170565616</v>
      </c>
      <c r="AH16" s="6"/>
    </row>
    <row r="17" spans="1:34">
      <c r="A17" s="29"/>
      <c r="B17" s="54">
        <v>6</v>
      </c>
      <c r="C17" s="197">
        <v>26</v>
      </c>
      <c r="D17" s="198">
        <v>262</v>
      </c>
      <c r="E17" s="99">
        <v>15160.000000003492</v>
      </c>
      <c r="F17" s="2">
        <v>16487546.040003797</v>
      </c>
      <c r="G17" s="31">
        <v>3159.9999999998545</v>
      </c>
      <c r="H17" s="2">
        <v>5155077.059999763</v>
      </c>
      <c r="I17" s="96">
        <f t="shared" si="4"/>
        <v>21642623.100003559</v>
      </c>
      <c r="J17" s="99">
        <v>1619.9999999998909</v>
      </c>
      <c r="K17" s="2">
        <v>1761861.7799998813</v>
      </c>
      <c r="L17" s="169">
        <v>399.99999999997726</v>
      </c>
      <c r="M17" s="170">
        <v>652541.399999963</v>
      </c>
      <c r="N17" s="87">
        <f t="shared" si="5"/>
        <v>2414403.1799998442</v>
      </c>
      <c r="O17" s="101">
        <f t="shared" si="6"/>
        <v>24057026.280003402</v>
      </c>
      <c r="P17" s="104">
        <f t="shared" si="7"/>
        <v>20340.000000003216</v>
      </c>
      <c r="Q17" s="171">
        <f t="shared" si="8"/>
        <v>374</v>
      </c>
      <c r="R17" s="2">
        <v>189</v>
      </c>
      <c r="S17" s="2">
        <v>3396364.02</v>
      </c>
      <c r="T17" s="27">
        <v>185</v>
      </c>
      <c r="U17" s="27">
        <v>845905.1</v>
      </c>
      <c r="V17" s="27">
        <f t="shared" si="0"/>
        <v>4242269.12</v>
      </c>
      <c r="W17" s="118">
        <f t="shared" si="1"/>
        <v>326.92969299688889</v>
      </c>
      <c r="X17" s="124">
        <v>137.47564000001873</v>
      </c>
      <c r="Y17" s="2"/>
      <c r="Z17" s="2">
        <v>0</v>
      </c>
      <c r="AA17" s="2">
        <v>24</v>
      </c>
      <c r="AB17" s="2">
        <f t="shared" si="9"/>
        <v>161.47564000001873</v>
      </c>
      <c r="AC17" s="2">
        <v>2233290.1729201903</v>
      </c>
      <c r="AD17" s="39">
        <f t="shared" si="2"/>
        <v>172.10809827306917</v>
      </c>
      <c r="AE17" s="131">
        <v>442.39999999990687</v>
      </c>
      <c r="AF17" s="2">
        <v>3848879.9999991897</v>
      </c>
      <c r="AG17" s="35">
        <f t="shared" si="3"/>
        <v>296.61323249138911</v>
      </c>
      <c r="AH17" s="6"/>
    </row>
    <row r="18" spans="1:34">
      <c r="A18" s="29"/>
      <c r="B18" s="54">
        <v>7</v>
      </c>
      <c r="C18" s="197">
        <v>30</v>
      </c>
      <c r="D18" s="198">
        <v>329</v>
      </c>
      <c r="E18" s="99">
        <v>15720.000000001164</v>
      </c>
      <c r="F18" s="2">
        <v>17096584.680001266</v>
      </c>
      <c r="G18" s="31">
        <v>3360.0000000005821</v>
      </c>
      <c r="H18" s="2">
        <v>5481347.7600009497</v>
      </c>
      <c r="I18" s="96">
        <f t="shared" si="4"/>
        <v>22577932.440002218</v>
      </c>
      <c r="J18" s="99">
        <v>1600.0000000003638</v>
      </c>
      <c r="K18" s="2">
        <v>1740110.4000003957</v>
      </c>
      <c r="L18" s="169">
        <v>399.99999999997726</v>
      </c>
      <c r="M18" s="170">
        <v>652541.399999963</v>
      </c>
      <c r="N18" s="87">
        <f t="shared" si="5"/>
        <v>2392651.8000003588</v>
      </c>
      <c r="O18" s="101">
        <f t="shared" si="6"/>
        <v>24970584.240002576</v>
      </c>
      <c r="P18" s="104">
        <f t="shared" si="7"/>
        <v>21080.000000002088</v>
      </c>
      <c r="Q18" s="171">
        <f t="shared" si="8"/>
        <v>303</v>
      </c>
      <c r="R18" s="2">
        <v>161</v>
      </c>
      <c r="S18" s="2">
        <v>2893198.98</v>
      </c>
      <c r="T18" s="27">
        <v>142</v>
      </c>
      <c r="U18" s="27">
        <v>649289.31999999995</v>
      </c>
      <c r="V18" s="27">
        <f t="shared" si="0"/>
        <v>3542488.3</v>
      </c>
      <c r="W18" s="118">
        <f t="shared" si="1"/>
        <v>273.00121222956989</v>
      </c>
      <c r="X18" s="124">
        <v>154.2321199999742</v>
      </c>
      <c r="Y18" s="2"/>
      <c r="Z18" s="2">
        <v>0</v>
      </c>
      <c r="AA18" s="2">
        <v>0</v>
      </c>
      <c r="AB18" s="2">
        <f t="shared" si="9"/>
        <v>154.2321199999742</v>
      </c>
      <c r="AC18" s="2">
        <v>1565918.7143597382</v>
      </c>
      <c r="AD18" s="39">
        <f t="shared" si="2"/>
        <v>120.67723901111492</v>
      </c>
      <c r="AE18" s="131">
        <v>521.30000000004657</v>
      </c>
      <c r="AF18" s="2">
        <v>4535310.0000004051</v>
      </c>
      <c r="AG18" s="35">
        <f t="shared" si="3"/>
        <v>349.51283475996274</v>
      </c>
      <c r="AH18" s="6"/>
    </row>
    <row r="19" spans="1:34">
      <c r="A19" s="29"/>
      <c r="B19" s="54">
        <v>8</v>
      </c>
      <c r="C19" s="197">
        <v>30</v>
      </c>
      <c r="D19" s="198">
        <v>298</v>
      </c>
      <c r="E19" s="99">
        <v>16480.000000010477</v>
      </c>
      <c r="F19" s="2">
        <v>17923137.120011393</v>
      </c>
      <c r="G19" s="31">
        <v>3200.0000000007276</v>
      </c>
      <c r="H19" s="2">
        <v>5220331.2000011876</v>
      </c>
      <c r="I19" s="96">
        <f t="shared" si="4"/>
        <v>23143468.320012581</v>
      </c>
      <c r="J19" s="99">
        <v>1500</v>
      </c>
      <c r="K19" s="2">
        <v>1631353.5</v>
      </c>
      <c r="L19" s="169">
        <v>400.00000000009095</v>
      </c>
      <c r="M19" s="170">
        <v>652541.40000014845</v>
      </c>
      <c r="N19" s="87">
        <f t="shared" si="5"/>
        <v>2283894.9000001485</v>
      </c>
      <c r="O19" s="101">
        <f t="shared" si="6"/>
        <v>25427363.220012728</v>
      </c>
      <c r="P19" s="104">
        <f t="shared" si="7"/>
        <v>21580.000000011296</v>
      </c>
      <c r="Q19" s="171">
        <f t="shared" si="8"/>
        <v>743</v>
      </c>
      <c r="R19" s="2">
        <v>171</v>
      </c>
      <c r="S19" s="2">
        <v>3072900.7800000003</v>
      </c>
      <c r="T19" s="27">
        <v>572</v>
      </c>
      <c r="U19" s="27">
        <v>2615447.12</v>
      </c>
      <c r="V19" s="27">
        <f t="shared" si="0"/>
        <v>5688347.9000000004</v>
      </c>
      <c r="W19" s="118">
        <f t="shared" si="1"/>
        <v>438.37148940859691</v>
      </c>
      <c r="X19" s="124">
        <v>159.58935999998121</v>
      </c>
      <c r="Y19" s="2"/>
      <c r="Z19" s="2">
        <v>0</v>
      </c>
      <c r="AA19" s="2">
        <v>0</v>
      </c>
      <c r="AB19" s="2">
        <f t="shared" si="9"/>
        <v>159.58935999998121</v>
      </c>
      <c r="AC19" s="2">
        <v>1620310.7720798093</v>
      </c>
      <c r="AD19" s="39">
        <f t="shared" si="2"/>
        <v>124.86895298042856</v>
      </c>
      <c r="AE19" s="131">
        <v>727.09999999997649</v>
      </c>
      <c r="AF19" s="2">
        <v>6325769.9999997951</v>
      </c>
      <c r="AG19" s="35">
        <f t="shared" si="3"/>
        <v>487.4943068366353</v>
      </c>
      <c r="AH19" s="6"/>
    </row>
    <row r="20" spans="1:34">
      <c r="A20" s="29"/>
      <c r="B20" s="54">
        <v>9</v>
      </c>
      <c r="C20" s="197">
        <v>53</v>
      </c>
      <c r="D20" s="198">
        <v>436</v>
      </c>
      <c r="E20" s="99">
        <v>16559.999999997672</v>
      </c>
      <c r="F20" s="2">
        <v>18010142.639997467</v>
      </c>
      <c r="G20" s="31">
        <v>3639.9999999994179</v>
      </c>
      <c r="H20" s="2">
        <v>5938126.7399990503</v>
      </c>
      <c r="I20" s="96">
        <f t="shared" si="4"/>
        <v>23948269.379996516</v>
      </c>
      <c r="J20" s="99">
        <v>1559.9999999999454</v>
      </c>
      <c r="K20" s="2">
        <v>1696607.6399999408</v>
      </c>
      <c r="L20" s="169">
        <v>399.99999999997726</v>
      </c>
      <c r="M20" s="170">
        <v>652541.399999963</v>
      </c>
      <c r="N20" s="87">
        <f t="shared" si="5"/>
        <v>2349149.0399999036</v>
      </c>
      <c r="O20" s="101">
        <f t="shared" si="6"/>
        <v>26297418.419996418</v>
      </c>
      <c r="P20" s="104">
        <f t="shared" si="7"/>
        <v>22159.999999997013</v>
      </c>
      <c r="Q20" s="171">
        <f t="shared" si="8"/>
        <v>312</v>
      </c>
      <c r="R20" s="2">
        <v>119</v>
      </c>
      <c r="S20" s="2">
        <v>2138451.42</v>
      </c>
      <c r="T20" s="27">
        <v>193</v>
      </c>
      <c r="U20" s="27">
        <v>882484.78</v>
      </c>
      <c r="V20" s="27">
        <f t="shared" si="0"/>
        <v>3020936.2</v>
      </c>
      <c r="W20" s="118">
        <f t="shared" si="1"/>
        <v>232.80789513636236</v>
      </c>
      <c r="X20" s="124">
        <v>153.34596000002813</v>
      </c>
      <c r="Y20" s="2">
        <v>250</v>
      </c>
      <c r="Z20" s="2">
        <v>0</v>
      </c>
      <c r="AA20" s="2">
        <v>0</v>
      </c>
      <c r="AB20" s="2">
        <f t="shared" si="9"/>
        <v>403.34596000002813</v>
      </c>
      <c r="AC20" s="2">
        <v>4349421.5318802856</v>
      </c>
      <c r="AD20" s="39">
        <f t="shared" si="2"/>
        <v>335.18737399943171</v>
      </c>
      <c r="AE20" s="131">
        <v>695.40000000008149</v>
      </c>
      <c r="AF20" s="2">
        <v>6049980.0000007087</v>
      </c>
      <c r="AG20" s="35">
        <f t="shared" si="3"/>
        <v>466.24060098232275</v>
      </c>
      <c r="AH20" s="6"/>
    </row>
    <row r="21" spans="1:34">
      <c r="A21" s="29"/>
      <c r="B21" s="54">
        <v>10</v>
      </c>
      <c r="C21" s="197">
        <v>67</v>
      </c>
      <c r="D21" s="198">
        <v>448</v>
      </c>
      <c r="E21" s="99">
        <v>17440.000000002328</v>
      </c>
      <c r="F21" s="2">
        <v>18967203.360002533</v>
      </c>
      <c r="G21" s="31">
        <v>3759.9999999983993</v>
      </c>
      <c r="H21" s="2">
        <v>6133889.1599973897</v>
      </c>
      <c r="I21" s="96">
        <f t="shared" si="4"/>
        <v>25101092.519999921</v>
      </c>
      <c r="J21" s="99">
        <v>1759.9999999997635</v>
      </c>
      <c r="K21" s="2">
        <v>1914121.4399997429</v>
      </c>
      <c r="L21" s="169">
        <v>399.99999999997726</v>
      </c>
      <c r="M21" s="170">
        <v>652541.399999963</v>
      </c>
      <c r="N21" s="87">
        <f t="shared" si="5"/>
        <v>2566662.839999706</v>
      </c>
      <c r="O21" s="101">
        <f t="shared" si="6"/>
        <v>27667755.359999627</v>
      </c>
      <c r="P21" s="104">
        <f t="shared" si="7"/>
        <v>23360.000000000469</v>
      </c>
      <c r="Q21" s="171">
        <f t="shared" si="8"/>
        <v>332</v>
      </c>
      <c r="R21" s="2">
        <v>2</v>
      </c>
      <c r="S21" s="2">
        <v>35940.36</v>
      </c>
      <c r="T21" s="27">
        <v>330</v>
      </c>
      <c r="U21" s="27">
        <v>1508911.8</v>
      </c>
      <c r="V21" s="27">
        <f t="shared" si="0"/>
        <v>1544852.1600000001</v>
      </c>
      <c r="W21" s="118">
        <f t="shared" si="1"/>
        <v>119.05374885655078</v>
      </c>
      <c r="X21" s="124">
        <v>145.28995999996951</v>
      </c>
      <c r="Y21" s="2"/>
      <c r="Z21" s="2">
        <v>0</v>
      </c>
      <c r="AA21" s="2">
        <v>0</v>
      </c>
      <c r="AB21" s="2">
        <f t="shared" si="9"/>
        <v>145.28995999996951</v>
      </c>
      <c r="AC21" s="2">
        <v>1475128.9638796905</v>
      </c>
      <c r="AD21" s="39">
        <f t="shared" si="2"/>
        <v>113.68054351346905</v>
      </c>
      <c r="AE21" s="131">
        <v>527.69999999989523</v>
      </c>
      <c r="AF21" s="2">
        <v>4590989.9999990882</v>
      </c>
      <c r="AG21" s="35">
        <f t="shared" si="3"/>
        <v>353.80380376516257</v>
      </c>
      <c r="AH21" s="6"/>
    </row>
    <row r="22" spans="1:34">
      <c r="A22" s="29"/>
      <c r="B22" s="54">
        <v>11</v>
      </c>
      <c r="C22" s="197">
        <v>75</v>
      </c>
      <c r="D22" s="198">
        <v>547</v>
      </c>
      <c r="E22" s="99">
        <v>18399.999999994179</v>
      </c>
      <c r="F22" s="2">
        <v>20011269.599993668</v>
      </c>
      <c r="G22" s="31">
        <v>3840.0000000001455</v>
      </c>
      <c r="H22" s="2">
        <v>6264397.4400002379</v>
      </c>
      <c r="I22" s="96">
        <f t="shared" si="4"/>
        <v>26275667.039993905</v>
      </c>
      <c r="J22" s="99">
        <v>1639.9999999998727</v>
      </c>
      <c r="K22" s="2">
        <v>1783613.1599998616</v>
      </c>
      <c r="L22" s="169">
        <v>419.99999999995907</v>
      </c>
      <c r="M22" s="170">
        <v>685168.46999993327</v>
      </c>
      <c r="N22" s="87">
        <f t="shared" si="5"/>
        <v>2468781.629999795</v>
      </c>
      <c r="O22" s="101">
        <f t="shared" si="6"/>
        <v>28744448.669993699</v>
      </c>
      <c r="P22" s="104">
        <f t="shared" si="7"/>
        <v>24299.999999994157</v>
      </c>
      <c r="Q22" s="171">
        <f t="shared" si="8"/>
        <v>250</v>
      </c>
      <c r="R22" s="2">
        <v>0</v>
      </c>
      <c r="S22" s="2">
        <v>0</v>
      </c>
      <c r="T22" s="27">
        <v>250</v>
      </c>
      <c r="U22" s="27">
        <v>1143115</v>
      </c>
      <c r="V22" s="27">
        <f t="shared" si="0"/>
        <v>1143115</v>
      </c>
      <c r="W22" s="118">
        <f t="shared" si="1"/>
        <v>88.093948176993223</v>
      </c>
      <c r="X22" s="124">
        <v>142.87316000000467</v>
      </c>
      <c r="Y22" s="2"/>
      <c r="Z22" s="2">
        <v>400</v>
      </c>
      <c r="AA22" s="2">
        <v>12</v>
      </c>
      <c r="AB22" s="2">
        <f t="shared" si="9"/>
        <v>554.87316000000465</v>
      </c>
      <c r="AC22" s="2">
        <v>6058091.1934800474</v>
      </c>
      <c r="AD22" s="39">
        <f t="shared" si="2"/>
        <v>466.86568862269354</v>
      </c>
      <c r="AE22" s="131">
        <v>532.90000000008149</v>
      </c>
      <c r="AF22" s="2">
        <v>4636230.0000007087</v>
      </c>
      <c r="AG22" s="35">
        <f t="shared" si="3"/>
        <v>357.29021608209473</v>
      </c>
      <c r="AH22" s="6"/>
    </row>
    <row r="23" spans="1:34">
      <c r="A23" s="29"/>
      <c r="B23" s="54">
        <v>12</v>
      </c>
      <c r="C23" s="197">
        <v>81</v>
      </c>
      <c r="D23" s="198">
        <v>627</v>
      </c>
      <c r="E23" s="99">
        <v>18679.999999993015</v>
      </c>
      <c r="F23" s="2">
        <v>20315788.919992402</v>
      </c>
      <c r="G23" s="31">
        <v>4040.0000000008731</v>
      </c>
      <c r="H23" s="2">
        <v>6590668.1400014246</v>
      </c>
      <c r="I23" s="96">
        <f t="shared" si="4"/>
        <v>26906457.059993826</v>
      </c>
      <c r="J23" s="99">
        <v>1580.000000000382</v>
      </c>
      <c r="K23" s="2">
        <v>1718359.0200004156</v>
      </c>
      <c r="L23" s="169">
        <v>400.00000000009095</v>
      </c>
      <c r="M23" s="170">
        <v>652541.40000014845</v>
      </c>
      <c r="N23" s="87">
        <f t="shared" si="5"/>
        <v>2370900.4200005643</v>
      </c>
      <c r="O23" s="101">
        <f t="shared" si="6"/>
        <v>29277357.47999439</v>
      </c>
      <c r="P23" s="104">
        <f t="shared" si="7"/>
        <v>24699.999999994361</v>
      </c>
      <c r="Q23" s="171">
        <f t="shared" si="8"/>
        <v>288</v>
      </c>
      <c r="R23" s="2">
        <v>54</v>
      </c>
      <c r="S23" s="2">
        <v>970389.72</v>
      </c>
      <c r="T23" s="27">
        <v>234</v>
      </c>
      <c r="U23" s="27">
        <v>1069955.6399999999</v>
      </c>
      <c r="V23" s="27">
        <f t="shared" si="0"/>
        <v>2040345.3599999999</v>
      </c>
      <c r="W23" s="118">
        <f t="shared" si="1"/>
        <v>157.2388415924982</v>
      </c>
      <c r="X23" s="124">
        <v>149.03599999999997</v>
      </c>
      <c r="Y23" s="2"/>
      <c r="Z23" s="2">
        <v>0</v>
      </c>
      <c r="AA23" s="2">
        <v>60</v>
      </c>
      <c r="AB23" s="2">
        <f t="shared" si="9"/>
        <v>209.03599999999997</v>
      </c>
      <c r="AC23" s="2">
        <v>2210662.5079999994</v>
      </c>
      <c r="AD23" s="39">
        <f t="shared" si="2"/>
        <v>170.36430141899442</v>
      </c>
      <c r="AE23" s="131">
        <v>425</v>
      </c>
      <c r="AF23" s="2">
        <v>3697500</v>
      </c>
      <c r="AG23" s="35">
        <f t="shared" si="3"/>
        <v>284.94716050828868</v>
      </c>
      <c r="AH23" s="6"/>
    </row>
    <row r="24" spans="1:34">
      <c r="A24" s="29"/>
      <c r="B24" s="54">
        <v>13</v>
      </c>
      <c r="C24" s="197">
        <v>97</v>
      </c>
      <c r="D24" s="198">
        <v>639</v>
      </c>
      <c r="E24" s="99">
        <v>18760.000000009313</v>
      </c>
      <c r="F24" s="2">
        <v>20402794.44001013</v>
      </c>
      <c r="G24" s="31">
        <v>4080.0000000017462</v>
      </c>
      <c r="H24" s="2">
        <v>6655922.2800028492</v>
      </c>
      <c r="I24" s="96">
        <f t="shared" si="4"/>
        <v>27058716.720012978</v>
      </c>
      <c r="J24" s="99">
        <v>1679.9999999998363</v>
      </c>
      <c r="K24" s="2">
        <v>1827115.919999822</v>
      </c>
      <c r="L24" s="169">
        <v>399.99999999997726</v>
      </c>
      <c r="M24" s="170">
        <v>652541.399999963</v>
      </c>
      <c r="N24" s="87">
        <f t="shared" si="5"/>
        <v>2479657.3199997852</v>
      </c>
      <c r="O24" s="101">
        <f t="shared" si="6"/>
        <v>29538374.040012762</v>
      </c>
      <c r="P24" s="104">
        <f t="shared" si="7"/>
        <v>24920.000000010874</v>
      </c>
      <c r="Q24" s="171">
        <f>T24+R24</f>
        <v>476</v>
      </c>
      <c r="R24" s="2">
        <v>76</v>
      </c>
      <c r="S24" s="2">
        <v>1365733.68</v>
      </c>
      <c r="T24" s="27">
        <v>400</v>
      </c>
      <c r="U24" s="27">
        <v>1828984</v>
      </c>
      <c r="V24" s="27">
        <f t="shared" si="0"/>
        <v>3194717.6799999997</v>
      </c>
      <c r="W24" s="118">
        <f t="shared" si="1"/>
        <v>246.20033307413863</v>
      </c>
      <c r="X24" s="124">
        <v>138.36180000002344</v>
      </c>
      <c r="Y24" s="2"/>
      <c r="Z24" s="2">
        <v>0</v>
      </c>
      <c r="AA24" s="2">
        <v>72</v>
      </c>
      <c r="AB24" s="2">
        <f t="shared" si="9"/>
        <v>210.36180000002344</v>
      </c>
      <c r="AC24" s="2">
        <v>2800287.3554002382</v>
      </c>
      <c r="AD24" s="39">
        <f t="shared" si="2"/>
        <v>215.80363232685949</v>
      </c>
      <c r="AE24" s="131">
        <v>360.69999999992433</v>
      </c>
      <c r="AF24" s="2">
        <v>3138089.9999993416</v>
      </c>
      <c r="AG24" s="35">
        <f t="shared" si="3"/>
        <v>241.83633128310157</v>
      </c>
      <c r="AH24" s="6"/>
    </row>
    <row r="25" spans="1:34">
      <c r="A25" s="29"/>
      <c r="B25" s="54">
        <v>14</v>
      </c>
      <c r="C25" s="197">
        <v>96</v>
      </c>
      <c r="D25" s="198">
        <v>773</v>
      </c>
      <c r="E25" s="99">
        <v>18559.999999997672</v>
      </c>
      <c r="F25" s="2">
        <v>20185280.639997467</v>
      </c>
      <c r="G25" s="31">
        <v>3919.9999999982538</v>
      </c>
      <c r="H25" s="2">
        <v>6394905.7199971518</v>
      </c>
      <c r="I25" s="96">
        <f t="shared" si="4"/>
        <v>26580186.35999462</v>
      </c>
      <c r="J25" s="99">
        <v>1739.9999999997817</v>
      </c>
      <c r="K25" s="2">
        <v>1892370.0599997626</v>
      </c>
      <c r="L25" s="169">
        <v>399.99999999997726</v>
      </c>
      <c r="M25" s="170">
        <v>652541.399999963</v>
      </c>
      <c r="N25" s="87">
        <f t="shared" si="5"/>
        <v>2544911.4599997257</v>
      </c>
      <c r="O25" s="101">
        <f t="shared" si="6"/>
        <v>29125097.819994345</v>
      </c>
      <c r="P25" s="104">
        <f t="shared" si="7"/>
        <v>24619.999999995685</v>
      </c>
      <c r="Q25" s="171">
        <f t="shared" si="8"/>
        <v>373</v>
      </c>
      <c r="R25" s="2">
        <v>0</v>
      </c>
      <c r="S25" s="2">
        <v>0</v>
      </c>
      <c r="T25" s="27">
        <v>373</v>
      </c>
      <c r="U25" s="27">
        <v>1705527.58</v>
      </c>
      <c r="V25" s="27">
        <f t="shared" si="0"/>
        <v>1705527.58</v>
      </c>
      <c r="W25" s="118">
        <f t="shared" si="1"/>
        <v>131.4361706800739</v>
      </c>
      <c r="X25" s="124">
        <v>136.67003999997186</v>
      </c>
      <c r="Y25" s="2">
        <v>250</v>
      </c>
      <c r="Z25" s="2">
        <v>0</v>
      </c>
      <c r="AA25" s="2">
        <v>0</v>
      </c>
      <c r="AB25" s="2">
        <f t="shared" si="9"/>
        <v>386.67003999997189</v>
      </c>
      <c r="AC25" s="2">
        <v>4180110.9161197143</v>
      </c>
      <c r="AD25" s="39">
        <f t="shared" si="2"/>
        <v>322.13948239567651</v>
      </c>
      <c r="AE25" s="131">
        <v>499.60000000006403</v>
      </c>
      <c r="AF25" s="2">
        <v>4346520.0000005569</v>
      </c>
      <c r="AG25" s="35">
        <f t="shared" si="3"/>
        <v>334.96376797637475</v>
      </c>
      <c r="AH25" s="6"/>
    </row>
    <row r="26" spans="1:34">
      <c r="A26" s="29"/>
      <c r="B26" s="54">
        <v>15</v>
      </c>
      <c r="C26" s="197">
        <v>95</v>
      </c>
      <c r="D26" s="198">
        <v>647</v>
      </c>
      <c r="E26" s="99">
        <v>17959.999999991851</v>
      </c>
      <c r="F26" s="2">
        <v>19532739.23999114</v>
      </c>
      <c r="G26" s="31">
        <v>3560.0000000013097</v>
      </c>
      <c r="H26" s="2">
        <v>5807618.4600021373</v>
      </c>
      <c r="I26" s="96">
        <f t="shared" si="4"/>
        <v>25340357.699993275</v>
      </c>
      <c r="J26" s="99">
        <v>1740.0000000002365</v>
      </c>
      <c r="K26" s="2">
        <v>1892370.0600002571</v>
      </c>
      <c r="L26" s="169">
        <v>399.99999999997726</v>
      </c>
      <c r="M26" s="170">
        <v>652541.399999963</v>
      </c>
      <c r="N26" s="87">
        <f t="shared" si="5"/>
        <v>2544911.4600002202</v>
      </c>
      <c r="O26" s="101">
        <f t="shared" si="6"/>
        <v>27885269.159993496</v>
      </c>
      <c r="P26" s="104">
        <f t="shared" si="7"/>
        <v>23659.999999993375</v>
      </c>
      <c r="Q26" s="171">
        <f t="shared" si="8"/>
        <v>446</v>
      </c>
      <c r="R26" s="2">
        <v>0</v>
      </c>
      <c r="S26" s="2">
        <v>0</v>
      </c>
      <c r="T26" s="27">
        <v>446</v>
      </c>
      <c r="U26" s="27">
        <v>2039317.16</v>
      </c>
      <c r="V26" s="27">
        <f t="shared" si="0"/>
        <v>2039317.16</v>
      </c>
      <c r="W26" s="118">
        <f t="shared" si="1"/>
        <v>157.15960354775589</v>
      </c>
      <c r="X26" s="124">
        <v>136.26724000000701</v>
      </c>
      <c r="Y26" s="2"/>
      <c r="Z26" s="2">
        <v>0</v>
      </c>
      <c r="AA26" s="2">
        <v>12</v>
      </c>
      <c r="AB26" s="2">
        <f t="shared" si="9"/>
        <v>148.26724000000701</v>
      </c>
      <c r="AC26" s="2">
        <v>1523021.2877200712</v>
      </c>
      <c r="AD26" s="39">
        <f t="shared" si="2"/>
        <v>117.37135668140951</v>
      </c>
      <c r="AE26" s="131">
        <v>652.29999999995925</v>
      </c>
      <c r="AF26" s="2">
        <v>5675009.9999996452</v>
      </c>
      <c r="AG26" s="35">
        <f t="shared" si="3"/>
        <v>437.34360658716491</v>
      </c>
      <c r="AH26" s="6"/>
    </row>
    <row r="27" spans="1:34">
      <c r="A27" s="29"/>
      <c r="B27" s="54">
        <v>16</v>
      </c>
      <c r="C27" s="197">
        <v>135</v>
      </c>
      <c r="D27" s="198">
        <v>788</v>
      </c>
      <c r="E27" s="99">
        <v>19080.000000016298</v>
      </c>
      <c r="F27" s="2">
        <v>20750816.520017728</v>
      </c>
      <c r="G27" s="31">
        <v>3919.9999999982538</v>
      </c>
      <c r="H27" s="2">
        <v>6394905.7199971518</v>
      </c>
      <c r="I27" s="96">
        <f t="shared" si="4"/>
        <v>27145722.240014881</v>
      </c>
      <c r="J27" s="99">
        <v>1820.0000000001637</v>
      </c>
      <c r="K27" s="2">
        <v>1979375.5800001782</v>
      </c>
      <c r="L27" s="169">
        <v>440.00000000005457</v>
      </c>
      <c r="M27" s="170">
        <v>717795.54000008909</v>
      </c>
      <c r="N27" s="87">
        <f t="shared" si="5"/>
        <v>2697171.1200002674</v>
      </c>
      <c r="O27" s="101">
        <f t="shared" si="6"/>
        <v>29842893.360015146</v>
      </c>
      <c r="P27" s="104">
        <f t="shared" si="7"/>
        <v>25260.00000001477</v>
      </c>
      <c r="Q27" s="171">
        <f t="shared" si="8"/>
        <v>368</v>
      </c>
      <c r="R27" s="2">
        <v>98</v>
      </c>
      <c r="S27" s="2">
        <v>1761077.6400000001</v>
      </c>
      <c r="T27" s="27">
        <v>270</v>
      </c>
      <c r="U27" s="27">
        <v>1234564.2</v>
      </c>
      <c r="V27" s="27">
        <f t="shared" si="0"/>
        <v>2995641.84</v>
      </c>
      <c r="W27" s="118">
        <f t="shared" si="1"/>
        <v>230.85858991421915</v>
      </c>
      <c r="X27" s="124">
        <v>126.19724000000701</v>
      </c>
      <c r="Y27" s="2"/>
      <c r="Z27" s="2">
        <v>0</v>
      </c>
      <c r="AA27" s="2">
        <v>12</v>
      </c>
      <c r="AB27" s="2">
        <f t="shared" si="9"/>
        <v>138.19724000000701</v>
      </c>
      <c r="AC27" s="2">
        <v>1420780.5777200712</v>
      </c>
      <c r="AD27" s="39">
        <f t="shared" si="2"/>
        <v>109.49219508496559</v>
      </c>
      <c r="AE27" s="131">
        <v>491.9999999999709</v>
      </c>
      <c r="AF27" s="2">
        <v>4280399.9999997467</v>
      </c>
      <c r="AG27" s="35">
        <f t="shared" si="3"/>
        <v>329.86824228251703</v>
      </c>
      <c r="AH27" s="6"/>
    </row>
    <row r="28" spans="1:34">
      <c r="A28" s="29"/>
      <c r="B28" s="54">
        <v>17</v>
      </c>
      <c r="C28" s="197">
        <v>144</v>
      </c>
      <c r="D28" s="198">
        <v>980</v>
      </c>
      <c r="E28" s="99">
        <v>18679.999999993015</v>
      </c>
      <c r="F28" s="2">
        <v>20315788.919992402</v>
      </c>
      <c r="G28" s="31">
        <v>4080.0000000017462</v>
      </c>
      <c r="H28" s="2">
        <v>6655922.2800028492</v>
      </c>
      <c r="I28" s="96">
        <f t="shared" si="4"/>
        <v>26971711.19999525</v>
      </c>
      <c r="J28" s="99">
        <v>1960.0000000000364</v>
      </c>
      <c r="K28" s="2">
        <v>2131635.2400000393</v>
      </c>
      <c r="L28" s="169">
        <v>399.99999999997726</v>
      </c>
      <c r="M28" s="170">
        <v>652541.399999963</v>
      </c>
      <c r="N28" s="87">
        <f t="shared" si="5"/>
        <v>2784176.6400000025</v>
      </c>
      <c r="O28" s="101">
        <f t="shared" si="6"/>
        <v>29755887.83999525</v>
      </c>
      <c r="P28" s="104">
        <f t="shared" si="7"/>
        <v>25119.999999994776</v>
      </c>
      <c r="Q28" s="171">
        <f t="shared" si="8"/>
        <v>573</v>
      </c>
      <c r="R28" s="2">
        <v>180</v>
      </c>
      <c r="S28" s="2">
        <v>3234632.4</v>
      </c>
      <c r="T28" s="27">
        <v>393</v>
      </c>
      <c r="U28" s="27">
        <v>1796976.78</v>
      </c>
      <c r="V28" s="27">
        <f t="shared" si="0"/>
        <v>5031609.18</v>
      </c>
      <c r="W28" s="118">
        <f t="shared" si="1"/>
        <v>387.76004019700849</v>
      </c>
      <c r="X28" s="124">
        <v>141.34251999998591</v>
      </c>
      <c r="Y28" s="2"/>
      <c r="Z28" s="2">
        <v>400</v>
      </c>
      <c r="AA28" s="2">
        <v>48</v>
      </c>
      <c r="AB28" s="2">
        <f t="shared" si="9"/>
        <v>589.34251999998594</v>
      </c>
      <c r="AC28" s="2">
        <v>6461050.6055598566</v>
      </c>
      <c r="AD28" s="39">
        <f t="shared" si="2"/>
        <v>497.919681934994</v>
      </c>
      <c r="AE28" s="131">
        <v>446.39999999999418</v>
      </c>
      <c r="AF28" s="2">
        <v>3883679.9999999492</v>
      </c>
      <c r="AG28" s="35">
        <f t="shared" si="3"/>
        <v>299.29508811976098</v>
      </c>
      <c r="AH28" s="6"/>
    </row>
    <row r="29" spans="1:34">
      <c r="A29" s="29"/>
      <c r="B29" s="54">
        <v>18</v>
      </c>
      <c r="C29" s="197">
        <v>122</v>
      </c>
      <c r="D29" s="198">
        <v>932</v>
      </c>
      <c r="E29" s="99">
        <v>20040.000000008149</v>
      </c>
      <c r="F29" s="2">
        <v>21794882.760008864</v>
      </c>
      <c r="G29" s="31">
        <v>4279.9999999988358</v>
      </c>
      <c r="H29" s="2">
        <v>6982192.9799981015</v>
      </c>
      <c r="I29" s="96">
        <f t="shared" si="4"/>
        <v>28777075.740006965</v>
      </c>
      <c r="J29" s="99">
        <v>1659.9999999998545</v>
      </c>
      <c r="K29" s="2">
        <v>1805364.5399998417</v>
      </c>
      <c r="L29" s="169">
        <v>419.99999999995907</v>
      </c>
      <c r="M29" s="170">
        <v>685168.46999993327</v>
      </c>
      <c r="N29" s="87">
        <f t="shared" si="5"/>
        <v>2490533.0099997749</v>
      </c>
      <c r="O29" s="101">
        <f t="shared" si="6"/>
        <v>31267608.750006739</v>
      </c>
      <c r="P29" s="104">
        <f t="shared" si="7"/>
        <v>26400.000000006799</v>
      </c>
      <c r="Q29" s="171">
        <f t="shared" si="8"/>
        <v>535</v>
      </c>
      <c r="R29" s="2">
        <v>231</v>
      </c>
      <c r="S29" s="2">
        <v>4151111.58</v>
      </c>
      <c r="T29" s="27">
        <v>304</v>
      </c>
      <c r="U29" s="27">
        <v>1390027.84</v>
      </c>
      <c r="V29" s="27">
        <f t="shared" si="0"/>
        <v>5541139.4199999999</v>
      </c>
      <c r="W29" s="118">
        <f t="shared" si="1"/>
        <v>427.02689485045187</v>
      </c>
      <c r="X29" s="124">
        <v>148.27068000004923</v>
      </c>
      <c r="Y29" s="2"/>
      <c r="Z29" s="2">
        <v>0</v>
      </c>
      <c r="AA29" s="2">
        <v>12</v>
      </c>
      <c r="AB29" s="2">
        <f t="shared" si="9"/>
        <v>160.27068000004923</v>
      </c>
      <c r="AC29" s="2">
        <v>1644892.2140404999</v>
      </c>
      <c r="AD29" s="39">
        <f t="shared" si="2"/>
        <v>126.7633173044037</v>
      </c>
      <c r="AE29" s="131">
        <v>575.60000000012224</v>
      </c>
      <c r="AF29" s="2">
        <v>5007720.0000010636</v>
      </c>
      <c r="AG29" s="35">
        <f t="shared" si="3"/>
        <v>385.91902491436662</v>
      </c>
      <c r="AH29" s="6"/>
    </row>
    <row r="30" spans="1:34">
      <c r="A30" s="29"/>
      <c r="B30" s="54">
        <v>19</v>
      </c>
      <c r="C30" s="197">
        <v>132</v>
      </c>
      <c r="D30" s="198">
        <v>934</v>
      </c>
      <c r="E30" s="99">
        <v>19919.999999983702</v>
      </c>
      <c r="F30" s="2">
        <v>21664374.479982276</v>
      </c>
      <c r="G30" s="31">
        <v>4240.0000000016007</v>
      </c>
      <c r="H30" s="2">
        <v>6916938.8400026122</v>
      </c>
      <c r="I30" s="96">
        <f t="shared" si="4"/>
        <v>28581313.319984887</v>
      </c>
      <c r="J30" s="99">
        <v>1860.0000000001273</v>
      </c>
      <c r="K30" s="2">
        <v>2022878.3400001386</v>
      </c>
      <c r="L30" s="169">
        <v>460.00000000003638</v>
      </c>
      <c r="M30" s="170">
        <v>750422.61000005936</v>
      </c>
      <c r="N30" s="87">
        <f t="shared" si="5"/>
        <v>2773300.9500001981</v>
      </c>
      <c r="O30" s="101">
        <f t="shared" si="6"/>
        <v>31354614.269985083</v>
      </c>
      <c r="P30" s="104">
        <f t="shared" si="7"/>
        <v>26479.999999985466</v>
      </c>
      <c r="Q30" s="171">
        <f t="shared" si="8"/>
        <v>563</v>
      </c>
      <c r="R30" s="2">
        <v>222</v>
      </c>
      <c r="S30" s="2">
        <v>3989379.96</v>
      </c>
      <c r="T30" s="27">
        <v>341</v>
      </c>
      <c r="U30" s="27">
        <v>1559208.86</v>
      </c>
      <c r="V30" s="27">
        <f t="shared" si="0"/>
        <v>5548588.8200000003</v>
      </c>
      <c r="W30" s="118">
        <f t="shared" si="1"/>
        <v>427.60098149750814</v>
      </c>
      <c r="X30" s="124">
        <v>170.26355999995778</v>
      </c>
      <c r="Y30" s="2">
        <v>250</v>
      </c>
      <c r="Z30" s="2">
        <v>0</v>
      </c>
      <c r="AA30" s="2">
        <v>12</v>
      </c>
      <c r="AB30" s="2">
        <f t="shared" si="9"/>
        <v>432.26355999995781</v>
      </c>
      <c r="AC30" s="2">
        <v>4660685.9246795718</v>
      </c>
      <c r="AD30" s="39">
        <f t="shared" si="2"/>
        <v>359.17490743972735</v>
      </c>
      <c r="AE30" s="131">
        <v>451.49999999994179</v>
      </c>
      <c r="AF30" s="2">
        <v>3928049.9999994934</v>
      </c>
      <c r="AG30" s="35">
        <f t="shared" si="3"/>
        <v>302.71445404582533</v>
      </c>
      <c r="AH30" s="6"/>
    </row>
    <row r="31" spans="1:34">
      <c r="A31" s="29"/>
      <c r="B31" s="54">
        <v>20</v>
      </c>
      <c r="C31" s="197">
        <v>114</v>
      </c>
      <c r="D31" s="198">
        <v>854</v>
      </c>
      <c r="E31" s="99">
        <v>19440.000000002328</v>
      </c>
      <c r="F31" s="2">
        <v>21142341.360002533</v>
      </c>
      <c r="G31" s="31">
        <v>4399.9999999978172</v>
      </c>
      <c r="H31" s="2">
        <v>7177955.3999964399</v>
      </c>
      <c r="I31" s="96">
        <f t="shared" si="4"/>
        <v>28320296.759998973</v>
      </c>
      <c r="J31" s="99">
        <v>1959.9999999995816</v>
      </c>
      <c r="K31" s="2">
        <v>2131635.2399995448</v>
      </c>
      <c r="L31" s="169">
        <v>519.99999999998181</v>
      </c>
      <c r="M31" s="170">
        <v>848303.81999997038</v>
      </c>
      <c r="N31" s="87">
        <f t="shared" si="5"/>
        <v>2979939.0599995153</v>
      </c>
      <c r="O31" s="101">
        <f t="shared" si="6"/>
        <v>31300235.819998488</v>
      </c>
      <c r="P31" s="104">
        <f t="shared" si="7"/>
        <v>26319.999999999709</v>
      </c>
      <c r="Q31" s="171">
        <f t="shared" si="8"/>
        <v>397</v>
      </c>
      <c r="R31" s="2">
        <v>208</v>
      </c>
      <c r="S31" s="2">
        <v>3737797.44</v>
      </c>
      <c r="T31" s="27">
        <v>189</v>
      </c>
      <c r="U31" s="27">
        <v>864194.94000000006</v>
      </c>
      <c r="V31" s="27">
        <f t="shared" si="0"/>
        <v>4601992.38</v>
      </c>
      <c r="W31" s="118">
        <f t="shared" si="1"/>
        <v>354.65170016545812</v>
      </c>
      <c r="X31" s="124">
        <v>140.97999999999999</v>
      </c>
      <c r="Y31" s="2"/>
      <c r="Z31" s="2">
        <v>0</v>
      </c>
      <c r="AA31" s="2">
        <v>0</v>
      </c>
      <c r="AB31" s="2">
        <f t="shared" si="9"/>
        <v>140.97999999999999</v>
      </c>
      <c r="AC31" s="2">
        <v>1989869.94</v>
      </c>
      <c r="AD31" s="39">
        <f t="shared" si="2"/>
        <v>153.34896259196722</v>
      </c>
      <c r="AE31" s="131">
        <v>368.89999999999418</v>
      </c>
      <c r="AF31" s="2">
        <v>3209429.9999999492</v>
      </c>
      <c r="AG31" s="35">
        <f t="shared" si="3"/>
        <v>247.33413532119067</v>
      </c>
      <c r="AH31" s="6"/>
    </row>
    <row r="32" spans="1:34">
      <c r="A32" s="29"/>
      <c r="B32" s="54">
        <v>21</v>
      </c>
      <c r="C32" s="197">
        <v>93</v>
      </c>
      <c r="D32" s="198">
        <v>665</v>
      </c>
      <c r="E32" s="99">
        <v>19799.999999988358</v>
      </c>
      <c r="F32" s="2">
        <v>21533866.199987341</v>
      </c>
      <c r="G32" s="31">
        <v>4200.0000000007276</v>
      </c>
      <c r="H32" s="2">
        <v>6851684.7000011876</v>
      </c>
      <c r="I32" s="96">
        <f t="shared" si="4"/>
        <v>28385550.899988528</v>
      </c>
      <c r="J32" s="99">
        <v>1760.0000000002183</v>
      </c>
      <c r="K32" s="2">
        <v>1914121.4400002374</v>
      </c>
      <c r="L32" s="169">
        <v>340.00000000003183</v>
      </c>
      <c r="M32" s="170">
        <v>554660.19000005198</v>
      </c>
      <c r="N32" s="87">
        <f t="shared" si="5"/>
        <v>2468781.6300002895</v>
      </c>
      <c r="O32" s="101">
        <f t="shared" si="6"/>
        <v>30854332.529988818</v>
      </c>
      <c r="P32" s="104">
        <f t="shared" si="7"/>
        <v>26099.999999989337</v>
      </c>
      <c r="Q32" s="171">
        <f t="shared" si="8"/>
        <v>480</v>
      </c>
      <c r="R32" s="2">
        <v>201</v>
      </c>
      <c r="S32" s="2">
        <v>3612006.18</v>
      </c>
      <c r="T32" s="27">
        <v>279</v>
      </c>
      <c r="U32" s="27">
        <v>1275716.3400000001</v>
      </c>
      <c r="V32" s="27">
        <f t="shared" si="0"/>
        <v>4887722.5200000005</v>
      </c>
      <c r="W32" s="118">
        <f t="shared" si="1"/>
        <v>376.67144108895673</v>
      </c>
      <c r="X32" s="124">
        <v>142.63148000001405</v>
      </c>
      <c r="Y32" s="2"/>
      <c r="Z32" s="2">
        <v>0</v>
      </c>
      <c r="AA32" s="2">
        <v>0</v>
      </c>
      <c r="AB32" s="2">
        <f t="shared" si="9"/>
        <v>142.63148000001405</v>
      </c>
      <c r="AC32" s="2">
        <v>1448137.4164401426</v>
      </c>
      <c r="AD32" s="39">
        <f t="shared" si="2"/>
        <v>111.60044485204268</v>
      </c>
      <c r="AE32" s="131">
        <v>573.59999999994784</v>
      </c>
      <c r="AF32" s="2">
        <v>4990319.9999995464</v>
      </c>
      <c r="AG32" s="35">
        <f t="shared" si="3"/>
        <v>384.57809710009303</v>
      </c>
      <c r="AH32" s="6"/>
    </row>
    <row r="33" spans="1:34">
      <c r="A33" s="29"/>
      <c r="B33" s="54">
        <v>22</v>
      </c>
      <c r="C33" s="197">
        <v>80</v>
      </c>
      <c r="D33" s="198">
        <v>776</v>
      </c>
      <c r="E33" s="99">
        <v>19520.000000018626</v>
      </c>
      <c r="F33" s="2">
        <v>21229346.880020257</v>
      </c>
      <c r="G33" s="31">
        <v>3919.9999999982538</v>
      </c>
      <c r="H33" s="2">
        <v>6394905.7199971518</v>
      </c>
      <c r="I33" s="96">
        <f t="shared" si="4"/>
        <v>27624252.60001741</v>
      </c>
      <c r="J33" s="99">
        <v>1760.0000000002183</v>
      </c>
      <c r="K33" s="2">
        <v>1914121.4400002374</v>
      </c>
      <c r="L33" s="169">
        <v>439.99999999994088</v>
      </c>
      <c r="M33" s="170">
        <v>717795.53999990365</v>
      </c>
      <c r="N33" s="87">
        <f t="shared" si="5"/>
        <v>2631916.9800001411</v>
      </c>
      <c r="O33" s="101">
        <f t="shared" si="6"/>
        <v>30256169.580017552</v>
      </c>
      <c r="P33" s="104">
        <f t="shared" si="7"/>
        <v>25640.00000001704</v>
      </c>
      <c r="Q33" s="171">
        <f t="shared" si="8"/>
        <v>572</v>
      </c>
      <c r="R33" s="2">
        <v>195</v>
      </c>
      <c r="S33" s="2">
        <v>3504185.1</v>
      </c>
      <c r="T33" s="27">
        <v>377</v>
      </c>
      <c r="U33" s="27">
        <v>1723817.42</v>
      </c>
      <c r="V33" s="27">
        <f t="shared" si="0"/>
        <v>5228002.5199999996</v>
      </c>
      <c r="W33" s="118">
        <f t="shared" si="1"/>
        <v>402.89505698557883</v>
      </c>
      <c r="X33" s="124">
        <v>129.33908000000233</v>
      </c>
      <c r="Y33" s="2"/>
      <c r="Z33" s="2">
        <v>400</v>
      </c>
      <c r="AA33" s="2">
        <v>12</v>
      </c>
      <c r="AB33" s="2">
        <f t="shared" si="9"/>
        <v>541.33908000000235</v>
      </c>
      <c r="AC33" s="2">
        <v>5920679.6792400237</v>
      </c>
      <c r="AD33" s="39">
        <f t="shared" si="2"/>
        <v>456.27609543707109</v>
      </c>
      <c r="AE33" s="131">
        <v>706.30000000004657</v>
      </c>
      <c r="AF33" s="2">
        <v>6144810.0000004051</v>
      </c>
      <c r="AG33" s="35">
        <f t="shared" si="3"/>
        <v>473.54865756945316</v>
      </c>
      <c r="AH33" s="6"/>
    </row>
    <row r="34" spans="1:34">
      <c r="A34" s="29"/>
      <c r="B34" s="54">
        <v>23</v>
      </c>
      <c r="C34" s="197">
        <v>62</v>
      </c>
      <c r="D34" s="198">
        <v>636</v>
      </c>
      <c r="E34" s="99">
        <v>18839.999999996508</v>
      </c>
      <c r="F34" s="2">
        <v>20489799.959996201</v>
      </c>
      <c r="G34" s="31">
        <v>3960.0000000027649</v>
      </c>
      <c r="H34" s="2">
        <v>6460159.8600045117</v>
      </c>
      <c r="I34" s="96">
        <f t="shared" si="4"/>
        <v>26949959.820000712</v>
      </c>
      <c r="J34" s="99">
        <v>1839.9999999996908</v>
      </c>
      <c r="K34" s="2">
        <v>2001126.9599996638</v>
      </c>
      <c r="L34" s="169">
        <v>399.99999999997726</v>
      </c>
      <c r="M34" s="170">
        <v>652541.399999963</v>
      </c>
      <c r="N34" s="87">
        <f t="shared" si="5"/>
        <v>2653668.3599996269</v>
      </c>
      <c r="O34" s="101">
        <f t="shared" si="6"/>
        <v>29603628.180000339</v>
      </c>
      <c r="P34" s="104">
        <f t="shared" si="7"/>
        <v>25039.999999998941</v>
      </c>
      <c r="Q34" s="171">
        <f t="shared" si="8"/>
        <v>630</v>
      </c>
      <c r="R34" s="2">
        <v>245</v>
      </c>
      <c r="S34" s="2">
        <v>4402694.0999999996</v>
      </c>
      <c r="T34" s="27">
        <v>385</v>
      </c>
      <c r="U34" s="27">
        <v>1760397.1</v>
      </c>
      <c r="V34" s="27">
        <f t="shared" si="0"/>
        <v>6163091.1999999993</v>
      </c>
      <c r="W34" s="118">
        <f t="shared" si="1"/>
        <v>474.9574949002357</v>
      </c>
      <c r="X34" s="124">
        <v>124.26380000002344</v>
      </c>
      <c r="Y34" s="2"/>
      <c r="Z34" s="2">
        <v>0</v>
      </c>
      <c r="AA34" s="2">
        <v>24</v>
      </c>
      <c r="AB34" s="2">
        <f t="shared" si="9"/>
        <v>148.26380000002342</v>
      </c>
      <c r="AC34" s="2">
        <v>1540650.361400238</v>
      </c>
      <c r="AD34" s="39">
        <f t="shared" si="2"/>
        <v>118.72993801678611</v>
      </c>
      <c r="AE34" s="131">
        <v>523.69999999995343</v>
      </c>
      <c r="AF34" s="2">
        <v>4556189.9999995949</v>
      </c>
      <c r="AG34" s="35">
        <f t="shared" si="3"/>
        <v>351.12194813688831</v>
      </c>
      <c r="AH34" s="6"/>
    </row>
    <row r="35" spans="1:34">
      <c r="A35" s="29"/>
      <c r="B35" s="54">
        <v>24</v>
      </c>
      <c r="C35" s="197">
        <v>48</v>
      </c>
      <c r="D35" s="198">
        <v>647</v>
      </c>
      <c r="E35" s="99">
        <v>18040.000000008149</v>
      </c>
      <c r="F35" s="2">
        <v>19619744.760008864</v>
      </c>
      <c r="G35" s="31">
        <v>3639.9999999994179</v>
      </c>
      <c r="H35" s="2">
        <v>5938126.7399990503</v>
      </c>
      <c r="I35" s="96">
        <f t="shared" si="4"/>
        <v>25557871.500007913</v>
      </c>
      <c r="J35" s="99">
        <v>1780.0000000002001</v>
      </c>
      <c r="K35" s="2">
        <v>1935872.8200002175</v>
      </c>
      <c r="L35" s="169">
        <v>400.00000000009095</v>
      </c>
      <c r="M35" s="170">
        <v>652541.40000014845</v>
      </c>
      <c r="N35" s="87">
        <f t="shared" si="5"/>
        <v>2588414.2200003657</v>
      </c>
      <c r="O35" s="101">
        <f t="shared" si="6"/>
        <v>28146285.720008276</v>
      </c>
      <c r="P35" s="104">
        <f t="shared" si="7"/>
        <v>23860.000000007858</v>
      </c>
      <c r="Q35" s="171">
        <f t="shared" si="8"/>
        <v>591</v>
      </c>
      <c r="R35" s="2">
        <v>184</v>
      </c>
      <c r="S35" s="2">
        <v>3306513.12</v>
      </c>
      <c r="T35" s="27">
        <v>407</v>
      </c>
      <c r="U35" s="27">
        <v>1860991.22</v>
      </c>
      <c r="V35" s="27">
        <f t="shared" si="0"/>
        <v>5167504.34</v>
      </c>
      <c r="W35" s="118">
        <f t="shared" si="1"/>
        <v>398.23277582075957</v>
      </c>
      <c r="X35" s="124">
        <v>124.14295999996951</v>
      </c>
      <c r="Y35" s="2"/>
      <c r="Z35" s="2">
        <v>0</v>
      </c>
      <c r="AA35" s="2">
        <v>12</v>
      </c>
      <c r="AB35" s="2">
        <f t="shared" si="9"/>
        <v>136.14295999996949</v>
      </c>
      <c r="AC35" s="2">
        <v>1399923.4728796904</v>
      </c>
      <c r="AD35" s="39">
        <f t="shared" si="2"/>
        <v>107.88484611926168</v>
      </c>
      <c r="AE35" s="131">
        <v>469.50000000011642</v>
      </c>
      <c r="AF35" s="2">
        <v>4084650.0000010128</v>
      </c>
      <c r="AG35" s="35">
        <f t="shared" si="3"/>
        <v>314.78280437335229</v>
      </c>
      <c r="AH35" s="6"/>
    </row>
    <row r="36" spans="1:34">
      <c r="A36" s="29"/>
      <c r="B36" s="54">
        <v>25</v>
      </c>
      <c r="C36" s="197">
        <v>31</v>
      </c>
      <c r="D36" s="198">
        <v>465</v>
      </c>
      <c r="E36" s="99">
        <v>16519.999999989523</v>
      </c>
      <c r="F36" s="2">
        <v>17966639.879988603</v>
      </c>
      <c r="G36" s="31">
        <v>3399.9999999978172</v>
      </c>
      <c r="H36" s="2">
        <v>5546601.8999964399</v>
      </c>
      <c r="I36" s="96">
        <f t="shared" si="4"/>
        <v>23513241.779985044</v>
      </c>
      <c r="J36" s="99">
        <v>1619.9999999998909</v>
      </c>
      <c r="K36" s="2">
        <v>1761861.7799998813</v>
      </c>
      <c r="L36" s="169">
        <v>360.00000000001364</v>
      </c>
      <c r="M36" s="170">
        <v>587287.26000002236</v>
      </c>
      <c r="N36" s="87">
        <f t="shared" si="5"/>
        <v>2349149.0399999036</v>
      </c>
      <c r="O36" s="101">
        <f t="shared" si="6"/>
        <v>25862390.819984946</v>
      </c>
      <c r="P36" s="104">
        <f t="shared" si="7"/>
        <v>21899.999999987245</v>
      </c>
      <c r="Q36" s="171">
        <f t="shared" si="8"/>
        <v>634</v>
      </c>
      <c r="R36" s="2">
        <v>218</v>
      </c>
      <c r="S36" s="2">
        <v>3917499.24</v>
      </c>
      <c r="T36" s="27">
        <v>416</v>
      </c>
      <c r="U36" s="27">
        <v>1902143.36</v>
      </c>
      <c r="V36" s="27">
        <f t="shared" si="0"/>
        <v>5819642.6000000006</v>
      </c>
      <c r="W36" s="118">
        <f t="shared" si="1"/>
        <v>448.48969142476665</v>
      </c>
      <c r="X36" s="124">
        <v>120.31636000003985</v>
      </c>
      <c r="Y36" s="2">
        <v>250</v>
      </c>
      <c r="Z36" s="2">
        <v>0</v>
      </c>
      <c r="AA36" s="2">
        <v>36</v>
      </c>
      <c r="AB36" s="2">
        <f t="shared" si="9"/>
        <v>406.31636000003982</v>
      </c>
      <c r="AC36" s="2">
        <v>4432572.0030804044</v>
      </c>
      <c r="AD36" s="39">
        <f t="shared" si="2"/>
        <v>341.59534983807947</v>
      </c>
      <c r="AE36" s="131">
        <v>469.4999999999709</v>
      </c>
      <c r="AF36" s="2">
        <v>4084649.9999997467</v>
      </c>
      <c r="AG36" s="35">
        <f t="shared" si="3"/>
        <v>314.78280437325469</v>
      </c>
      <c r="AH36" s="6"/>
    </row>
    <row r="37" spans="1:34">
      <c r="A37" s="29"/>
      <c r="B37" s="54">
        <v>26</v>
      </c>
      <c r="C37" s="197">
        <v>29</v>
      </c>
      <c r="D37" s="198">
        <v>354</v>
      </c>
      <c r="E37" s="99">
        <v>18000</v>
      </c>
      <c r="F37" s="2">
        <v>19576242</v>
      </c>
      <c r="G37" s="31">
        <v>3840.0000000001455</v>
      </c>
      <c r="H37" s="2">
        <v>6264397.4400002379</v>
      </c>
      <c r="I37" s="96">
        <f t="shared" si="4"/>
        <v>25840639.440000236</v>
      </c>
      <c r="J37" s="99">
        <v>1559.9999999999454</v>
      </c>
      <c r="K37" s="2">
        <v>1696607.6399999408</v>
      </c>
      <c r="L37" s="169">
        <v>399.99999999997726</v>
      </c>
      <c r="M37" s="170">
        <v>652541.399999963</v>
      </c>
      <c r="N37" s="87">
        <f t="shared" si="5"/>
        <v>2349149.0399999036</v>
      </c>
      <c r="O37" s="101">
        <f t="shared" si="6"/>
        <v>28189788.480000138</v>
      </c>
      <c r="P37" s="104">
        <f t="shared" si="7"/>
        <v>23800.000000000069</v>
      </c>
      <c r="Q37" s="171">
        <f t="shared" si="8"/>
        <v>596</v>
      </c>
      <c r="R37" s="2">
        <v>184</v>
      </c>
      <c r="S37" s="2">
        <v>3306513.12</v>
      </c>
      <c r="T37" s="27">
        <v>412</v>
      </c>
      <c r="U37" s="27">
        <v>1883853.52</v>
      </c>
      <c r="V37" s="27">
        <f t="shared" si="0"/>
        <v>5190366.6400000006</v>
      </c>
      <c r="W37" s="118">
        <f t="shared" si="1"/>
        <v>399.99465478429948</v>
      </c>
      <c r="X37" s="124">
        <v>127.40563999996013</v>
      </c>
      <c r="Y37" s="2"/>
      <c r="Z37" s="2">
        <v>0</v>
      </c>
      <c r="AA37" s="2">
        <v>0</v>
      </c>
      <c r="AB37" s="2">
        <f t="shared" si="9"/>
        <v>127.40563999996013</v>
      </c>
      <c r="AC37" s="2">
        <v>1293549.4629195952</v>
      </c>
      <c r="AD37" s="39">
        <f t="shared" si="2"/>
        <v>99.687152518177285</v>
      </c>
      <c r="AE37" s="131">
        <v>499.70000000001164</v>
      </c>
      <c r="AF37" s="2">
        <v>4347390.0000001015</v>
      </c>
      <c r="AG37" s="35">
        <f t="shared" si="3"/>
        <v>335.03081436704753</v>
      </c>
      <c r="AH37" s="6"/>
    </row>
    <row r="38" spans="1:34">
      <c r="A38" s="29"/>
      <c r="B38" s="54">
        <v>27</v>
      </c>
      <c r="C38" s="197">
        <v>23</v>
      </c>
      <c r="D38" s="198">
        <v>309</v>
      </c>
      <c r="E38" s="99">
        <v>18359.99999998603</v>
      </c>
      <c r="F38" s="2">
        <v>19967766.839984804</v>
      </c>
      <c r="G38" s="31">
        <v>3680.000000000291</v>
      </c>
      <c r="H38" s="2">
        <v>6003380.8800004749</v>
      </c>
      <c r="I38" s="96">
        <f t="shared" si="4"/>
        <v>25971147.71998528</v>
      </c>
      <c r="J38" s="99">
        <v>1599.9999999999091</v>
      </c>
      <c r="K38" s="2">
        <v>1740110.399999901</v>
      </c>
      <c r="L38" s="169">
        <v>399.99999999997726</v>
      </c>
      <c r="M38" s="170">
        <v>652541.399999963</v>
      </c>
      <c r="N38" s="87">
        <f t="shared" si="5"/>
        <v>2392651.7999998638</v>
      </c>
      <c r="O38" s="101">
        <f t="shared" si="6"/>
        <v>28363799.519985143</v>
      </c>
      <c r="P38" s="104">
        <f t="shared" si="7"/>
        <v>24039.999999986208</v>
      </c>
      <c r="Q38" s="171">
        <f t="shared" si="8"/>
        <v>625</v>
      </c>
      <c r="R38" s="2">
        <v>218</v>
      </c>
      <c r="S38" s="2">
        <v>3917499.24</v>
      </c>
      <c r="T38" s="27">
        <v>407</v>
      </c>
      <c r="U38" s="27">
        <v>1860991.22</v>
      </c>
      <c r="V38" s="27">
        <f t="shared" si="0"/>
        <v>5778490.46</v>
      </c>
      <c r="W38" s="118">
        <f t="shared" si="1"/>
        <v>445.31830929039484</v>
      </c>
      <c r="X38" s="124">
        <v>124.42491999999764</v>
      </c>
      <c r="Y38" s="2"/>
      <c r="Z38" s="2">
        <v>400</v>
      </c>
      <c r="AA38" s="2">
        <v>12</v>
      </c>
      <c r="AB38" s="2">
        <f t="shared" si="9"/>
        <v>536.42491999999766</v>
      </c>
      <c r="AC38" s="2">
        <v>6429286.2127599763</v>
      </c>
      <c r="AD38" s="39">
        <f t="shared" si="2"/>
        <v>495.47176481975509</v>
      </c>
      <c r="AE38" s="131">
        <v>380.80000000001746</v>
      </c>
      <c r="AF38" s="2">
        <v>3312960.0000001518</v>
      </c>
      <c r="AG38" s="35">
        <f t="shared" si="3"/>
        <v>255.31265581543838</v>
      </c>
      <c r="AH38" s="6"/>
    </row>
    <row r="39" spans="1:34">
      <c r="A39" s="29"/>
      <c r="B39" s="54">
        <v>28</v>
      </c>
      <c r="C39" s="197">
        <v>25</v>
      </c>
      <c r="D39" s="198">
        <v>342</v>
      </c>
      <c r="E39" s="99">
        <v>28600.000000005821</v>
      </c>
      <c r="F39" s="2">
        <v>31104473.400006332</v>
      </c>
      <c r="G39" s="31">
        <v>3680.000000000291</v>
      </c>
      <c r="H39" s="2">
        <v>6003380.8800004749</v>
      </c>
      <c r="I39" s="96">
        <f t="shared" si="4"/>
        <v>37107854.280006804</v>
      </c>
      <c r="J39" s="99">
        <v>2500</v>
      </c>
      <c r="K39" s="2">
        <v>2718922.5</v>
      </c>
      <c r="L39" s="169">
        <v>419.99999999995907</v>
      </c>
      <c r="M39" s="170">
        <v>685168.46999993327</v>
      </c>
      <c r="N39" s="87">
        <f t="shared" si="5"/>
        <v>3404090.9699999331</v>
      </c>
      <c r="O39" s="101">
        <f t="shared" si="6"/>
        <v>40511945.250006735</v>
      </c>
      <c r="P39" s="104">
        <f t="shared" si="7"/>
        <v>35200.000000006068</v>
      </c>
      <c r="Q39" s="171">
        <f t="shared" si="8"/>
        <v>602</v>
      </c>
      <c r="R39" s="2">
        <v>175</v>
      </c>
      <c r="S39" s="2">
        <v>3144781.5</v>
      </c>
      <c r="T39" s="27">
        <v>427</v>
      </c>
      <c r="U39" s="27">
        <v>1952440.42</v>
      </c>
      <c r="V39" s="27">
        <f t="shared" si="0"/>
        <v>5097221.92</v>
      </c>
      <c r="W39" s="118">
        <f t="shared" si="1"/>
        <v>392.81647399178024</v>
      </c>
      <c r="X39" s="124">
        <v>136.22696000002813</v>
      </c>
      <c r="Y39" s="2"/>
      <c r="Z39" s="2"/>
      <c r="AA39" s="2">
        <v>0</v>
      </c>
      <c r="AB39" s="2">
        <f t="shared" si="9"/>
        <v>136.22696000002813</v>
      </c>
      <c r="AC39" s="2">
        <v>1383112.3248802857</v>
      </c>
      <c r="AD39" s="39">
        <f t="shared" si="2"/>
        <v>106.58929807671538</v>
      </c>
      <c r="AE39" s="131">
        <v>528.89999999999418</v>
      </c>
      <c r="AF39" s="2">
        <v>4601429.9999999497</v>
      </c>
      <c r="AG39" s="35">
        <f t="shared" si="3"/>
        <v>354.60836045372292</v>
      </c>
      <c r="AH39" s="6"/>
    </row>
    <row r="40" spans="1:34">
      <c r="A40" s="29"/>
      <c r="B40" s="54"/>
      <c r="C40" s="162"/>
      <c r="D40" s="163"/>
      <c r="E40" s="99"/>
      <c r="F40" s="2"/>
      <c r="G40" s="31"/>
      <c r="H40" s="2"/>
      <c r="I40" s="96"/>
      <c r="J40" s="99"/>
      <c r="K40" s="2"/>
      <c r="L40" s="169"/>
      <c r="M40" s="170"/>
      <c r="N40" s="87"/>
      <c r="O40" s="101"/>
      <c r="P40" s="104"/>
      <c r="Q40" s="171"/>
      <c r="R40" s="2"/>
      <c r="S40" s="2"/>
      <c r="T40" s="27"/>
      <c r="U40" s="27"/>
      <c r="V40" s="27"/>
      <c r="W40" s="118"/>
      <c r="X40" s="124"/>
      <c r="Y40" s="2"/>
      <c r="Z40" s="2"/>
      <c r="AA40" s="2"/>
      <c r="AB40" s="2"/>
      <c r="AC40" s="2"/>
      <c r="AD40" s="39"/>
      <c r="AE40" s="131"/>
      <c r="AF40" s="2"/>
      <c r="AG40" s="35"/>
      <c r="AH40" s="6"/>
    </row>
    <row r="41" spans="1:34">
      <c r="A41" s="29"/>
      <c r="B41" s="113"/>
      <c r="C41" s="139"/>
      <c r="D41" s="140"/>
      <c r="E41" s="97"/>
      <c r="F41" s="97"/>
      <c r="G41" s="88"/>
      <c r="H41" s="89"/>
      <c r="I41" s="98"/>
      <c r="J41" s="100"/>
      <c r="K41" s="88"/>
      <c r="L41" s="89"/>
      <c r="M41" s="90"/>
      <c r="N41" s="91"/>
      <c r="O41" s="102"/>
      <c r="P41" s="105"/>
      <c r="Q41" s="171"/>
      <c r="R41" s="2"/>
      <c r="S41" s="2"/>
      <c r="T41" s="27"/>
      <c r="U41" s="27"/>
      <c r="V41" s="15"/>
      <c r="W41" s="119"/>
      <c r="X41" s="117"/>
      <c r="Y41" s="2"/>
      <c r="Z41" s="1"/>
      <c r="AA41" s="1"/>
      <c r="AB41" s="1"/>
      <c r="AC41" s="2"/>
      <c r="AD41" s="39"/>
      <c r="AE41" s="131"/>
      <c r="AF41" s="2"/>
      <c r="AG41" s="35"/>
      <c r="AH41" s="6"/>
    </row>
    <row r="42" spans="1:34" s="7" customFormat="1" ht="4.5" customHeight="1">
      <c r="B42" s="108"/>
      <c r="C42" s="109"/>
      <c r="D42" s="109"/>
      <c r="E42" s="107"/>
      <c r="F42" s="6"/>
      <c r="H42" s="6"/>
      <c r="L42" s="6"/>
      <c r="M42" s="58"/>
      <c r="N42" s="62"/>
      <c r="P42" s="62"/>
      <c r="Q42" s="120"/>
      <c r="W42" s="28"/>
      <c r="Y42" s="6"/>
      <c r="AE42" s="80"/>
      <c r="AG42" s="28"/>
    </row>
    <row r="43" spans="1:34" s="7" customFormat="1" ht="6" customHeight="1">
      <c r="B43" s="108"/>
      <c r="C43" s="109"/>
      <c r="D43" s="109"/>
      <c r="E43" s="107"/>
      <c r="F43" s="6"/>
      <c r="H43" s="6"/>
      <c r="L43" s="6"/>
      <c r="M43" s="58"/>
      <c r="N43" s="62"/>
      <c r="P43" s="62"/>
      <c r="Q43" s="120"/>
      <c r="W43" s="121"/>
      <c r="Y43" s="6"/>
      <c r="AC43" s="6"/>
      <c r="AE43" s="81"/>
      <c r="AF43" s="4"/>
      <c r="AG43" s="36"/>
    </row>
    <row r="44" spans="1:34" s="7" customFormat="1">
      <c r="B44" s="110"/>
      <c r="C44" s="111"/>
      <c r="D44" s="111"/>
      <c r="E44" s="112"/>
      <c r="F44" s="68"/>
      <c r="G44" s="67"/>
      <c r="H44" s="68"/>
      <c r="I44" s="67"/>
      <c r="J44" s="67"/>
      <c r="K44" s="67"/>
      <c r="L44" s="68"/>
      <c r="M44" s="69"/>
      <c r="N44" s="70"/>
      <c r="O44" s="67"/>
      <c r="P44" s="70"/>
      <c r="Q44" s="122"/>
      <c r="R44" s="72"/>
      <c r="S44" s="67"/>
      <c r="T44" s="67"/>
      <c r="U44" s="67"/>
      <c r="V44" s="67"/>
      <c r="W44" s="71"/>
      <c r="X44" s="73"/>
      <c r="Y44" s="68"/>
      <c r="Z44" s="73"/>
      <c r="AA44" s="73"/>
      <c r="AB44" s="73"/>
      <c r="AC44" s="68"/>
      <c r="AD44" s="67"/>
      <c r="AE44" s="132"/>
      <c r="AF44" s="74"/>
      <c r="AG44" s="75"/>
    </row>
    <row r="45" spans="1:34">
      <c r="A45" s="21"/>
      <c r="B45" s="65"/>
      <c r="C45" s="66">
        <f t="shared" ref="C45:P45" si="10">SUM(C12:C41)</f>
        <v>1789</v>
      </c>
      <c r="D45" s="66">
        <f t="shared" si="10"/>
        <v>15028</v>
      </c>
      <c r="E45" s="66">
        <f t="shared" si="10"/>
        <v>491440.00000000233</v>
      </c>
      <c r="F45" s="66">
        <f t="shared" si="10"/>
        <v>534474909.36000258</v>
      </c>
      <c r="G45" s="66">
        <f t="shared" si="10"/>
        <v>102319.99999999971</v>
      </c>
      <c r="H45" s="66">
        <f t="shared" si="10"/>
        <v>166920090.11999953</v>
      </c>
      <c r="I45" s="66">
        <f t="shared" si="10"/>
        <v>701394999.48000205</v>
      </c>
      <c r="J45" s="66">
        <f t="shared" si="10"/>
        <v>47440.000000000073</v>
      </c>
      <c r="K45" s="66">
        <f t="shared" si="10"/>
        <v>51594273.360000066</v>
      </c>
      <c r="L45" s="66">
        <f t="shared" si="10"/>
        <v>11339.999999999924</v>
      </c>
      <c r="M45" s="66">
        <f t="shared" si="10"/>
        <v>18499548.689999867</v>
      </c>
      <c r="N45" s="66">
        <f t="shared" si="10"/>
        <v>70093822.049999908</v>
      </c>
      <c r="O45" s="66">
        <f t="shared" si="10"/>
        <v>771488821.53000188</v>
      </c>
      <c r="P45" s="76">
        <f t="shared" si="10"/>
        <v>652540.00000000198</v>
      </c>
      <c r="Q45" s="164">
        <f>SUM(Q12:Q40)</f>
        <v>12810</v>
      </c>
      <c r="R45" s="48">
        <f>SUM(R12:R40)</f>
        <v>4314</v>
      </c>
      <c r="S45" s="48">
        <f>SUM(S12:S40)</f>
        <v>77523356.519999996</v>
      </c>
      <c r="T45" s="48">
        <f>SUM(T12:T40)</f>
        <v>8496</v>
      </c>
      <c r="U45" s="48">
        <f>SUM(U12:U40)</f>
        <v>38847620.160000004</v>
      </c>
      <c r="V45" s="125">
        <f>SUM(V12:V40)</f>
        <v>116370976.67999998</v>
      </c>
      <c r="W45" s="114">
        <f>V45/$AG$46</f>
        <v>8968.108010964781</v>
      </c>
      <c r="X45" s="40">
        <f>SUM(X12:X39)</f>
        <v>3922.0635999999881</v>
      </c>
      <c r="Y45" s="126">
        <f>SUM(Y12:Y39)</f>
        <v>1250</v>
      </c>
      <c r="Z45" s="40">
        <f>SUM(Z12:Z40)</f>
        <v>2000</v>
      </c>
      <c r="AA45" s="40">
        <f>SUM(AA12:AA40)</f>
        <v>408</v>
      </c>
      <c r="AB45" s="40">
        <f>SUM(AB12:AB40)</f>
        <v>7580.0635999999868</v>
      </c>
      <c r="AC45" s="136">
        <f>SUM(AC12:AC41)</f>
        <v>83100211.730799869</v>
      </c>
      <c r="AD45" s="137">
        <f>AC45/$AG$46</f>
        <v>6404.1026018469256</v>
      </c>
      <c r="AE45" s="133">
        <f>SUM(AE12:AE41)</f>
        <v>14574.900000000052</v>
      </c>
      <c r="AF45" s="134">
        <f>SUM(AF12:AF41)</f>
        <v>126801630.00000048</v>
      </c>
      <c r="AG45" s="135">
        <f>AF45/AG46</f>
        <v>9771.9443992759352</v>
      </c>
      <c r="AH45" s="21"/>
    </row>
    <row r="46" spans="1:34">
      <c r="A46" s="21"/>
      <c r="B46" s="21"/>
      <c r="C46" s="4"/>
      <c r="D46" s="10"/>
      <c r="E46" s="4"/>
      <c r="F46" s="4"/>
      <c r="G46" s="10"/>
      <c r="H46" s="4"/>
      <c r="I46" s="8"/>
      <c r="J46" s="8"/>
      <c r="K46" s="8"/>
      <c r="L46" s="14"/>
      <c r="M46" s="59"/>
      <c r="N46" s="63"/>
      <c r="O46" s="9"/>
      <c r="P46" s="63"/>
      <c r="Q46" s="10"/>
      <c r="R46" s="10"/>
      <c r="S46" s="10"/>
      <c r="T46" s="127"/>
      <c r="U46" s="10"/>
      <c r="V46" s="10"/>
      <c r="W46" s="10"/>
      <c r="X46" s="13"/>
      <c r="Y46" s="6"/>
      <c r="Z46" s="13"/>
      <c r="AA46" s="13"/>
      <c r="AB46" s="6"/>
      <c r="AC46" s="4"/>
      <c r="AD46" s="10"/>
      <c r="AE46" s="81"/>
      <c r="AF46" s="10"/>
      <c r="AG46" s="138">
        <v>12976.09</v>
      </c>
      <c r="AH46" s="21"/>
    </row>
    <row r="47" spans="1:34" s="176" customFormat="1">
      <c r="A47" s="172"/>
      <c r="B47" s="172"/>
      <c r="C47" s="14"/>
      <c r="D47" s="173"/>
      <c r="E47" s="14"/>
      <c r="F47" s="14"/>
      <c r="G47" s="173"/>
      <c r="H47" s="14"/>
      <c r="I47" s="8"/>
      <c r="J47" s="8"/>
      <c r="K47" s="8"/>
      <c r="L47" s="14"/>
      <c r="M47" s="63"/>
      <c r="N47" s="63"/>
      <c r="O47" s="9"/>
      <c r="P47" s="63"/>
      <c r="Q47" s="10"/>
      <c r="R47" s="10"/>
      <c r="S47" s="173"/>
      <c r="T47" s="174"/>
      <c r="U47" s="14"/>
      <c r="V47" s="173"/>
      <c r="W47" s="173"/>
      <c r="X47" s="173"/>
      <c r="Y47" s="14"/>
      <c r="Z47" s="173"/>
      <c r="AA47" s="173"/>
      <c r="AB47" s="14"/>
      <c r="AC47" s="14"/>
      <c r="AD47" s="173"/>
      <c r="AE47" s="106"/>
      <c r="AF47" s="173"/>
      <c r="AG47" s="175"/>
      <c r="AH47" s="172"/>
    </row>
    <row r="48" spans="1:34" s="178" customFormat="1">
      <c r="A48" s="177"/>
      <c r="B48" s="177"/>
      <c r="E48" s="179"/>
      <c r="F48" s="180"/>
      <c r="G48" s="179"/>
      <c r="I48" s="179"/>
      <c r="J48" s="179"/>
      <c r="K48" s="179"/>
      <c r="L48" s="179"/>
      <c r="M48" s="179"/>
      <c r="N48" s="181"/>
      <c r="O48" s="182"/>
      <c r="P48" s="183">
        <f>O45/P45</f>
        <v>1182.2858698777079</v>
      </c>
      <c r="T48" s="185"/>
      <c r="U48" s="186"/>
      <c r="V48" s="178">
        <f>V45/Q45</f>
        <v>9084.3853770491787</v>
      </c>
      <c r="W48" s="187"/>
      <c r="AC48" s="178">
        <f>AC45/AB45</f>
        <v>10962.996633801333</v>
      </c>
      <c r="AE48" s="184"/>
      <c r="AF48" s="178">
        <f>AF45/AE45</f>
        <v>8700.0000000000018</v>
      </c>
      <c r="AG48" s="188"/>
      <c r="AH48" s="177"/>
    </row>
    <row r="49" spans="1:34" s="191" customFormat="1">
      <c r="A49" s="189"/>
      <c r="B49" s="189"/>
      <c r="C49" s="190"/>
      <c r="E49" s="190"/>
      <c r="F49" s="190"/>
      <c r="H49" s="190"/>
      <c r="L49" s="190"/>
      <c r="M49" s="192"/>
      <c r="N49" s="193"/>
      <c r="P49" s="193"/>
      <c r="R49" s="196"/>
      <c r="Y49" s="190"/>
      <c r="AC49" s="190"/>
      <c r="AE49" s="194"/>
      <c r="AG49" s="195"/>
      <c r="AH49" s="189"/>
    </row>
    <row r="50" spans="1:34" s="191" customFormat="1">
      <c r="A50" s="189"/>
      <c r="B50" s="189"/>
      <c r="C50" s="190"/>
      <c r="E50" s="190"/>
      <c r="F50" s="190"/>
      <c r="H50" s="190"/>
      <c r="L50" s="190"/>
      <c r="M50" s="192"/>
      <c r="N50" s="193"/>
      <c r="P50" s="193"/>
      <c r="Y50" s="190"/>
      <c r="AC50" s="190"/>
      <c r="AE50" s="194"/>
      <c r="AG50" s="195"/>
      <c r="AH50" s="189"/>
    </row>
    <row r="51" spans="1:34" s="191" customFormat="1">
      <c r="A51" s="189"/>
      <c r="B51" s="189"/>
      <c r="C51" s="190"/>
      <c r="E51" s="190"/>
      <c r="F51" s="190"/>
      <c r="H51" s="190"/>
      <c r="L51" s="190"/>
      <c r="M51" s="192"/>
      <c r="N51" s="193"/>
      <c r="P51" s="193"/>
      <c r="Y51" s="190"/>
      <c r="AC51" s="190"/>
      <c r="AE51" s="194"/>
      <c r="AG51" s="195"/>
      <c r="AH51" s="189"/>
    </row>
    <row r="52" spans="1:34" s="191" customFormat="1">
      <c r="A52" s="189"/>
      <c r="B52" s="189"/>
      <c r="C52" s="190"/>
      <c r="E52" s="190"/>
      <c r="F52" s="190"/>
      <c r="H52" s="190"/>
      <c r="L52" s="190"/>
      <c r="M52" s="192"/>
      <c r="N52" s="193"/>
      <c r="P52" s="193"/>
      <c r="Y52" s="190"/>
      <c r="AC52" s="190"/>
      <c r="AE52" s="194"/>
      <c r="AG52" s="195"/>
      <c r="AH52" s="189"/>
    </row>
    <row r="53" spans="1:34" s="191" customFormat="1">
      <c r="A53" s="189"/>
      <c r="B53" s="189"/>
      <c r="C53" s="190"/>
      <c r="E53" s="190"/>
      <c r="F53" s="190"/>
      <c r="H53" s="190"/>
      <c r="L53" s="190"/>
      <c r="M53" s="192"/>
      <c r="N53" s="193"/>
      <c r="P53" s="193"/>
      <c r="Y53" s="190"/>
      <c r="AC53" s="190"/>
      <c r="AE53" s="194"/>
      <c r="AG53" s="195"/>
      <c r="AH53" s="189"/>
    </row>
    <row r="54" spans="1:34" s="191" customFormat="1">
      <c r="A54" s="189"/>
      <c r="B54" s="189"/>
      <c r="C54" s="190"/>
      <c r="E54" s="190"/>
      <c r="F54" s="190"/>
      <c r="H54" s="190"/>
      <c r="L54" s="190"/>
      <c r="M54" s="192"/>
      <c r="N54" s="193"/>
      <c r="P54" s="193"/>
      <c r="Y54" s="190"/>
      <c r="AC54" s="190"/>
      <c r="AE54" s="194"/>
      <c r="AG54" s="195"/>
      <c r="AH54" s="189"/>
    </row>
    <row r="55" spans="1:34" s="191" customFormat="1">
      <c r="A55" s="189"/>
      <c r="B55" s="189"/>
      <c r="C55" s="190"/>
      <c r="E55" s="190"/>
      <c r="F55" s="190"/>
      <c r="H55" s="190"/>
      <c r="L55" s="190"/>
      <c r="M55" s="192"/>
      <c r="N55" s="193"/>
      <c r="P55" s="193"/>
      <c r="Y55" s="190"/>
      <c r="AC55" s="190"/>
      <c r="AE55" s="194"/>
      <c r="AG55" s="195"/>
      <c r="AH55" s="189"/>
    </row>
    <row r="56" spans="1:34" s="191" customFormat="1">
      <c r="A56" s="189"/>
      <c r="B56" s="189"/>
      <c r="C56" s="190"/>
      <c r="E56" s="190"/>
      <c r="F56" s="190"/>
      <c r="H56" s="190"/>
      <c r="L56" s="190"/>
      <c r="M56" s="192"/>
      <c r="N56" s="193"/>
      <c r="P56" s="193"/>
      <c r="Y56" s="190"/>
      <c r="AC56" s="190"/>
      <c r="AE56" s="194"/>
      <c r="AG56" s="195"/>
      <c r="AH56" s="189"/>
    </row>
    <row r="57" spans="1:34" s="191" customFormat="1">
      <c r="A57" s="189"/>
      <c r="B57" s="189"/>
      <c r="C57" s="190"/>
      <c r="E57" s="190"/>
      <c r="F57" s="190"/>
      <c r="H57" s="190"/>
      <c r="L57" s="190"/>
      <c r="M57" s="192"/>
      <c r="N57" s="193"/>
      <c r="P57" s="193"/>
      <c r="Y57" s="190"/>
      <c r="AC57" s="190"/>
      <c r="AE57" s="194"/>
      <c r="AG57" s="195"/>
      <c r="AH57" s="189"/>
    </row>
    <row r="58" spans="1:34" s="191" customFormat="1">
      <c r="A58" s="189"/>
      <c r="B58" s="189"/>
      <c r="C58" s="190"/>
      <c r="E58" s="190"/>
      <c r="F58" s="190"/>
      <c r="H58" s="190"/>
      <c r="L58" s="190"/>
      <c r="M58" s="192"/>
      <c r="N58" s="193"/>
      <c r="P58" s="193"/>
      <c r="Y58" s="190"/>
      <c r="AC58" s="190"/>
      <c r="AE58" s="194"/>
      <c r="AG58" s="195"/>
      <c r="AH58" s="189"/>
    </row>
    <row r="59" spans="1:34" s="191" customFormat="1">
      <c r="A59" s="189"/>
      <c r="B59" s="189"/>
      <c r="C59" s="190"/>
      <c r="E59" s="190"/>
      <c r="F59" s="190"/>
      <c r="H59" s="190"/>
      <c r="L59" s="190"/>
      <c r="M59" s="192"/>
      <c r="N59" s="193"/>
      <c r="P59" s="193"/>
      <c r="Y59" s="190"/>
      <c r="AC59" s="190"/>
      <c r="AE59" s="194"/>
      <c r="AG59" s="195"/>
      <c r="AH59" s="189"/>
    </row>
    <row r="60" spans="1:34" s="191" customFormat="1">
      <c r="A60" s="189"/>
      <c r="B60" s="189"/>
      <c r="C60" s="190"/>
      <c r="E60" s="190"/>
      <c r="F60" s="190"/>
      <c r="H60" s="190"/>
      <c r="L60" s="190"/>
      <c r="M60" s="192"/>
      <c r="N60" s="193"/>
      <c r="P60" s="193"/>
      <c r="Y60" s="190"/>
      <c r="AC60" s="190"/>
      <c r="AE60" s="194"/>
      <c r="AG60" s="195"/>
      <c r="AH60" s="189"/>
    </row>
    <row r="61" spans="1:34" s="191" customFormat="1">
      <c r="A61" s="189"/>
      <c r="B61" s="189"/>
      <c r="C61" s="190"/>
      <c r="E61" s="190"/>
      <c r="F61" s="190"/>
      <c r="H61" s="190"/>
      <c r="L61" s="190"/>
      <c r="M61" s="192"/>
      <c r="N61" s="193"/>
      <c r="P61" s="193"/>
      <c r="Y61" s="190"/>
      <c r="AC61" s="190"/>
      <c r="AE61" s="194"/>
      <c r="AG61" s="195"/>
      <c r="AH61" s="189"/>
    </row>
    <row r="62" spans="1:34" s="191" customFormat="1">
      <c r="A62" s="189"/>
      <c r="B62" s="189"/>
      <c r="C62" s="190"/>
      <c r="E62" s="190"/>
      <c r="F62" s="190"/>
      <c r="H62" s="190"/>
      <c r="L62" s="190"/>
      <c r="M62" s="192"/>
      <c r="N62" s="193"/>
      <c r="P62" s="193"/>
      <c r="Y62" s="190"/>
      <c r="AC62" s="190"/>
      <c r="AE62" s="194"/>
      <c r="AG62" s="195"/>
      <c r="AH62" s="189"/>
    </row>
    <row r="63" spans="1:34" s="191" customFormat="1">
      <c r="A63" s="189"/>
      <c r="B63" s="189"/>
      <c r="C63" s="190"/>
      <c r="E63" s="190"/>
      <c r="F63" s="190"/>
      <c r="H63" s="190"/>
      <c r="L63" s="190"/>
      <c r="M63" s="192"/>
      <c r="N63" s="193"/>
      <c r="P63" s="193"/>
      <c r="Y63" s="190"/>
      <c r="AC63" s="190"/>
      <c r="AE63" s="194"/>
      <c r="AG63" s="195"/>
      <c r="AH63" s="189"/>
    </row>
    <row r="64" spans="1:34" s="191" customFormat="1">
      <c r="A64" s="189"/>
      <c r="B64" s="189"/>
      <c r="C64" s="190"/>
      <c r="E64" s="190"/>
      <c r="F64" s="190"/>
      <c r="H64" s="190"/>
      <c r="L64" s="190"/>
      <c r="M64" s="192"/>
      <c r="N64" s="193"/>
      <c r="P64" s="193"/>
      <c r="Y64" s="190"/>
      <c r="AC64" s="190"/>
      <c r="AE64" s="194"/>
      <c r="AG64" s="195"/>
      <c r="AH64" s="189"/>
    </row>
    <row r="65" spans="1:34" s="191" customFormat="1">
      <c r="A65" s="189"/>
      <c r="B65" s="189"/>
      <c r="C65" s="190"/>
      <c r="E65" s="190"/>
      <c r="F65" s="190"/>
      <c r="H65" s="190"/>
      <c r="L65" s="190"/>
      <c r="M65" s="192"/>
      <c r="N65" s="193"/>
      <c r="P65" s="193"/>
      <c r="Y65" s="190"/>
      <c r="AC65" s="190"/>
      <c r="AE65" s="194"/>
      <c r="AG65" s="195"/>
      <c r="AH65" s="189"/>
    </row>
    <row r="66" spans="1:34" s="191" customFormat="1">
      <c r="A66" s="189"/>
      <c r="B66" s="189"/>
      <c r="C66" s="190"/>
      <c r="E66" s="190"/>
      <c r="F66" s="190"/>
      <c r="H66" s="190"/>
      <c r="L66" s="190"/>
      <c r="M66" s="192"/>
      <c r="N66" s="193"/>
      <c r="P66" s="193"/>
      <c r="Y66" s="190"/>
      <c r="AC66" s="190"/>
      <c r="AE66" s="194"/>
      <c r="AG66" s="195"/>
      <c r="AH66" s="189"/>
    </row>
    <row r="67" spans="1:34" s="191" customFormat="1">
      <c r="A67" s="189"/>
      <c r="B67" s="189"/>
      <c r="C67" s="190"/>
      <c r="E67" s="190"/>
      <c r="F67" s="190"/>
      <c r="H67" s="190"/>
      <c r="L67" s="190"/>
      <c r="M67" s="192"/>
      <c r="N67" s="193"/>
      <c r="P67" s="193"/>
      <c r="Y67" s="190"/>
      <c r="AC67" s="190"/>
      <c r="AE67" s="194"/>
      <c r="AG67" s="195"/>
      <c r="AH67" s="189"/>
    </row>
    <row r="68" spans="1:34" s="191" customFormat="1">
      <c r="A68" s="189"/>
      <c r="B68" s="189"/>
      <c r="C68" s="190"/>
      <c r="E68" s="190"/>
      <c r="F68" s="190"/>
      <c r="H68" s="190"/>
      <c r="L68" s="190"/>
      <c r="M68" s="192"/>
      <c r="N68" s="193"/>
      <c r="P68" s="193"/>
      <c r="Y68" s="190"/>
      <c r="AC68" s="190"/>
      <c r="AE68" s="194"/>
      <c r="AG68" s="195"/>
      <c r="AH68" s="189"/>
    </row>
    <row r="69" spans="1:34" s="191" customFormat="1">
      <c r="A69" s="189"/>
      <c r="B69" s="189"/>
      <c r="C69" s="190"/>
      <c r="E69" s="190"/>
      <c r="F69" s="190"/>
      <c r="H69" s="190"/>
      <c r="L69" s="190"/>
      <c r="M69" s="192"/>
      <c r="N69" s="193"/>
      <c r="P69" s="193"/>
      <c r="Y69" s="190"/>
      <c r="AC69" s="190"/>
      <c r="AE69" s="194"/>
      <c r="AG69" s="195"/>
      <c r="AH69" s="189"/>
    </row>
    <row r="70" spans="1:34" s="191" customFormat="1">
      <c r="A70" s="189"/>
      <c r="B70" s="189"/>
      <c r="C70" s="190"/>
      <c r="E70" s="190"/>
      <c r="F70" s="190"/>
      <c r="H70" s="190"/>
      <c r="L70" s="190"/>
      <c r="M70" s="192"/>
      <c r="N70" s="193"/>
      <c r="P70" s="193"/>
      <c r="Y70" s="190"/>
      <c r="AC70" s="190"/>
      <c r="AE70" s="194"/>
      <c r="AG70" s="195"/>
      <c r="AH70" s="189"/>
    </row>
    <row r="71" spans="1:34" s="191" customFormat="1">
      <c r="A71" s="189"/>
      <c r="B71" s="189"/>
      <c r="C71" s="190"/>
      <c r="E71" s="190"/>
      <c r="F71" s="190"/>
      <c r="H71" s="190"/>
      <c r="L71" s="190"/>
      <c r="M71" s="192"/>
      <c r="N71" s="193"/>
      <c r="P71" s="193"/>
      <c r="Y71" s="190"/>
      <c r="AC71" s="190"/>
      <c r="AE71" s="194"/>
      <c r="AG71" s="195"/>
      <c r="AH71" s="189"/>
    </row>
    <row r="72" spans="1:34" s="191" customFormat="1">
      <c r="A72" s="189"/>
      <c r="B72" s="189"/>
      <c r="C72" s="190"/>
      <c r="E72" s="190"/>
      <c r="F72" s="190"/>
      <c r="H72" s="190"/>
      <c r="L72" s="190"/>
      <c r="M72" s="192"/>
      <c r="N72" s="193"/>
      <c r="P72" s="193"/>
      <c r="Y72" s="190"/>
      <c r="AC72" s="190"/>
      <c r="AE72" s="194"/>
      <c r="AG72" s="195"/>
      <c r="AH72" s="189"/>
    </row>
    <row r="73" spans="1:34" s="191" customFormat="1">
      <c r="A73" s="189"/>
      <c r="B73" s="189"/>
      <c r="C73" s="190"/>
      <c r="E73" s="190"/>
      <c r="F73" s="190"/>
      <c r="H73" s="190"/>
      <c r="L73" s="190"/>
      <c r="M73" s="192"/>
      <c r="N73" s="193"/>
      <c r="P73" s="193"/>
      <c r="Y73" s="190"/>
      <c r="AC73" s="190"/>
      <c r="AE73" s="194"/>
      <c r="AG73" s="195"/>
      <c r="AH73" s="189"/>
    </row>
    <row r="74" spans="1:34" s="191" customFormat="1">
      <c r="A74" s="189"/>
      <c r="B74" s="189"/>
      <c r="C74" s="190"/>
      <c r="E74" s="190"/>
      <c r="F74" s="190"/>
      <c r="H74" s="190"/>
      <c r="L74" s="190"/>
      <c r="M74" s="192"/>
      <c r="N74" s="193"/>
      <c r="P74" s="193"/>
      <c r="Y74" s="190"/>
      <c r="AC74" s="190"/>
      <c r="AE74" s="194"/>
      <c r="AG74" s="195"/>
      <c r="AH74" s="189"/>
    </row>
    <row r="75" spans="1:34" s="191" customFormat="1">
      <c r="A75" s="189"/>
      <c r="B75" s="189"/>
      <c r="C75" s="190"/>
      <c r="E75" s="190"/>
      <c r="F75" s="190"/>
      <c r="H75" s="190"/>
      <c r="L75" s="190"/>
      <c r="M75" s="192"/>
      <c r="N75" s="193"/>
      <c r="P75" s="193"/>
      <c r="Y75" s="190"/>
      <c r="AC75" s="190"/>
      <c r="AE75" s="194"/>
      <c r="AG75" s="195"/>
      <c r="AH75" s="189"/>
    </row>
    <row r="76" spans="1:34" s="191" customFormat="1">
      <c r="A76" s="189"/>
      <c r="B76" s="189"/>
      <c r="C76" s="190"/>
      <c r="E76" s="190"/>
      <c r="F76" s="190"/>
      <c r="H76" s="190"/>
      <c r="L76" s="190"/>
      <c r="M76" s="192"/>
      <c r="N76" s="193"/>
      <c r="P76" s="193"/>
      <c r="Y76" s="190"/>
      <c r="AC76" s="190"/>
      <c r="AE76" s="194"/>
      <c r="AG76" s="195"/>
      <c r="AH76" s="189"/>
    </row>
    <row r="77" spans="1:34" s="191" customFormat="1">
      <c r="A77" s="189"/>
      <c r="B77" s="189"/>
      <c r="C77" s="190"/>
      <c r="E77" s="190"/>
      <c r="F77" s="190"/>
      <c r="H77" s="190"/>
      <c r="L77" s="190"/>
      <c r="M77" s="192"/>
      <c r="N77" s="193"/>
      <c r="P77" s="193"/>
      <c r="Y77" s="190"/>
      <c r="AC77" s="190"/>
      <c r="AE77" s="194"/>
      <c r="AG77" s="195"/>
      <c r="AH77" s="189"/>
    </row>
    <row r="78" spans="1:34" s="191" customFormat="1">
      <c r="A78" s="189"/>
      <c r="B78" s="189"/>
      <c r="C78" s="190"/>
      <c r="E78" s="190"/>
      <c r="F78" s="190"/>
      <c r="H78" s="190"/>
      <c r="L78" s="190"/>
      <c r="M78" s="192"/>
      <c r="N78" s="193"/>
      <c r="P78" s="193"/>
      <c r="Y78" s="190"/>
      <c r="AC78" s="190"/>
      <c r="AE78" s="194"/>
      <c r="AG78" s="195"/>
      <c r="AH78" s="189"/>
    </row>
    <row r="79" spans="1:34" s="191" customFormat="1">
      <c r="A79" s="189"/>
      <c r="B79" s="189"/>
      <c r="C79" s="190"/>
      <c r="E79" s="190"/>
      <c r="F79" s="190"/>
      <c r="H79" s="190"/>
      <c r="L79" s="190"/>
      <c r="M79" s="192"/>
      <c r="N79" s="193"/>
      <c r="P79" s="193"/>
      <c r="Y79" s="190"/>
      <c r="AC79" s="190"/>
      <c r="AE79" s="194"/>
      <c r="AG79" s="195"/>
      <c r="AH79" s="189"/>
    </row>
    <row r="80" spans="1:34" s="191" customFormat="1">
      <c r="A80" s="189"/>
      <c r="B80" s="189"/>
      <c r="C80" s="190"/>
      <c r="E80" s="190"/>
      <c r="F80" s="190"/>
      <c r="H80" s="190"/>
      <c r="L80" s="190"/>
      <c r="M80" s="192"/>
      <c r="N80" s="193"/>
      <c r="P80" s="193"/>
      <c r="Y80" s="190"/>
      <c r="AC80" s="190"/>
      <c r="AE80" s="194"/>
      <c r="AG80" s="195"/>
      <c r="AH80" s="189"/>
    </row>
    <row r="81" spans="1:34" s="191" customFormat="1">
      <c r="A81" s="189"/>
      <c r="B81" s="189"/>
      <c r="C81" s="190"/>
      <c r="E81" s="190"/>
      <c r="F81" s="190"/>
      <c r="H81" s="190"/>
      <c r="L81" s="190"/>
      <c r="M81" s="192"/>
      <c r="N81" s="193"/>
      <c r="P81" s="193"/>
      <c r="Y81" s="190"/>
      <c r="AC81" s="190"/>
      <c r="AE81" s="194"/>
      <c r="AG81" s="195"/>
      <c r="AH81" s="189"/>
    </row>
    <row r="82" spans="1:34" s="191" customFormat="1">
      <c r="A82" s="189"/>
      <c r="B82" s="189"/>
      <c r="C82" s="190"/>
      <c r="E82" s="190"/>
      <c r="F82" s="190"/>
      <c r="H82" s="190"/>
      <c r="L82" s="190"/>
      <c r="M82" s="192"/>
      <c r="N82" s="193"/>
      <c r="P82" s="193"/>
      <c r="Y82" s="190"/>
      <c r="AC82" s="190"/>
      <c r="AE82" s="194"/>
      <c r="AG82" s="195"/>
      <c r="AH82" s="189"/>
    </row>
    <row r="83" spans="1:34" s="191" customFormat="1">
      <c r="A83" s="189"/>
      <c r="B83" s="189"/>
      <c r="C83" s="190"/>
      <c r="E83" s="190"/>
      <c r="F83" s="190"/>
      <c r="H83" s="190"/>
      <c r="L83" s="190"/>
      <c r="M83" s="192"/>
      <c r="N83" s="193"/>
      <c r="P83" s="193"/>
      <c r="Y83" s="190"/>
      <c r="AC83" s="190"/>
      <c r="AE83" s="194"/>
      <c r="AG83" s="195"/>
      <c r="AH83" s="189"/>
    </row>
    <row r="84" spans="1:34" s="191" customFormat="1">
      <c r="A84" s="189"/>
      <c r="B84" s="189"/>
      <c r="C84" s="190"/>
      <c r="E84" s="190"/>
      <c r="F84" s="190"/>
      <c r="H84" s="190"/>
      <c r="L84" s="190"/>
      <c r="M84" s="192"/>
      <c r="N84" s="193"/>
      <c r="P84" s="193"/>
      <c r="Y84" s="190"/>
      <c r="AC84" s="190"/>
      <c r="AE84" s="194"/>
      <c r="AG84" s="195"/>
      <c r="AH84" s="189"/>
    </row>
    <row r="85" spans="1:34" s="191" customFormat="1">
      <c r="A85" s="189"/>
      <c r="B85" s="189"/>
      <c r="C85" s="190"/>
      <c r="E85" s="190"/>
      <c r="F85" s="190"/>
      <c r="H85" s="190"/>
      <c r="L85" s="190"/>
      <c r="M85" s="192"/>
      <c r="N85" s="193"/>
      <c r="P85" s="193"/>
      <c r="Y85" s="190"/>
      <c r="AC85" s="190"/>
      <c r="AE85" s="194"/>
      <c r="AG85" s="195"/>
      <c r="AH85" s="189"/>
    </row>
    <row r="86" spans="1:34" s="191" customFormat="1">
      <c r="A86" s="189"/>
      <c r="B86" s="189"/>
      <c r="C86" s="190"/>
      <c r="E86" s="190"/>
      <c r="F86" s="190"/>
      <c r="H86" s="190"/>
      <c r="L86" s="190"/>
      <c r="M86" s="192"/>
      <c r="N86" s="193"/>
      <c r="P86" s="193"/>
      <c r="Y86" s="190"/>
      <c r="AC86" s="190"/>
      <c r="AE86" s="194"/>
      <c r="AG86" s="195"/>
      <c r="AH86" s="189"/>
    </row>
    <row r="87" spans="1:34" s="191" customFormat="1">
      <c r="A87" s="189"/>
      <c r="B87" s="189"/>
      <c r="C87" s="190"/>
      <c r="E87" s="190"/>
      <c r="F87" s="190"/>
      <c r="H87" s="190"/>
      <c r="L87" s="190"/>
      <c r="M87" s="192"/>
      <c r="N87" s="193"/>
      <c r="P87" s="193"/>
      <c r="Y87" s="190"/>
      <c r="AC87" s="190"/>
      <c r="AE87" s="194"/>
      <c r="AG87" s="195"/>
      <c r="AH87" s="189"/>
    </row>
    <row r="88" spans="1:34" s="191" customFormat="1">
      <c r="A88" s="189"/>
      <c r="B88" s="189"/>
      <c r="C88" s="190"/>
      <c r="E88" s="190"/>
      <c r="F88" s="190"/>
      <c r="H88" s="190"/>
      <c r="L88" s="190"/>
      <c r="M88" s="192"/>
      <c r="N88" s="193"/>
      <c r="P88" s="193"/>
      <c r="Y88" s="190"/>
      <c r="AC88" s="190"/>
      <c r="AE88" s="194"/>
      <c r="AG88" s="195"/>
      <c r="AH88" s="189"/>
    </row>
    <row r="89" spans="1:34" s="191" customFormat="1">
      <c r="A89" s="189"/>
      <c r="B89" s="189"/>
      <c r="C89" s="190"/>
      <c r="E89" s="190"/>
      <c r="F89" s="190"/>
      <c r="H89" s="190"/>
      <c r="L89" s="190"/>
      <c r="M89" s="192"/>
      <c r="N89" s="193"/>
      <c r="P89" s="193"/>
      <c r="Y89" s="190"/>
      <c r="AC89" s="190"/>
      <c r="AE89" s="194"/>
      <c r="AG89" s="195"/>
      <c r="AH89" s="189"/>
    </row>
    <row r="90" spans="1:34" s="191" customFormat="1">
      <c r="A90" s="189"/>
      <c r="B90" s="189"/>
      <c r="C90" s="190"/>
      <c r="E90" s="190"/>
      <c r="F90" s="190"/>
      <c r="H90" s="190"/>
      <c r="L90" s="190"/>
      <c r="M90" s="192"/>
      <c r="N90" s="193"/>
      <c r="P90" s="193"/>
      <c r="Y90" s="190"/>
      <c r="AC90" s="190"/>
      <c r="AE90" s="194"/>
      <c r="AG90" s="195"/>
      <c r="AH90" s="189"/>
    </row>
    <row r="91" spans="1:34" s="191" customFormat="1">
      <c r="A91" s="189"/>
      <c r="B91" s="189"/>
      <c r="C91" s="190"/>
      <c r="E91" s="190"/>
      <c r="F91" s="190"/>
      <c r="H91" s="190"/>
      <c r="L91" s="190"/>
      <c r="M91" s="192"/>
      <c r="N91" s="193"/>
      <c r="P91" s="193"/>
      <c r="Y91" s="190"/>
      <c r="AC91" s="190"/>
      <c r="AE91" s="194"/>
      <c r="AG91" s="195"/>
      <c r="AH91" s="189"/>
    </row>
    <row r="92" spans="1:34" s="191" customFormat="1">
      <c r="A92" s="189"/>
      <c r="B92" s="189"/>
      <c r="C92" s="190"/>
      <c r="E92" s="190"/>
      <c r="F92" s="190"/>
      <c r="H92" s="190"/>
      <c r="L92" s="190"/>
      <c r="M92" s="192"/>
      <c r="N92" s="193"/>
      <c r="P92" s="193"/>
      <c r="Y92" s="190"/>
      <c r="AC92" s="190"/>
      <c r="AE92" s="194"/>
      <c r="AG92" s="195"/>
      <c r="AH92" s="189"/>
    </row>
    <row r="93" spans="1:34" s="191" customFormat="1">
      <c r="A93" s="189"/>
      <c r="B93" s="189"/>
      <c r="C93" s="190"/>
      <c r="E93" s="190"/>
      <c r="F93" s="190"/>
      <c r="H93" s="190"/>
      <c r="L93" s="190"/>
      <c r="M93" s="192"/>
      <c r="N93" s="193"/>
      <c r="P93" s="193"/>
      <c r="Y93" s="190"/>
      <c r="AC93" s="190"/>
      <c r="AE93" s="194"/>
      <c r="AG93" s="195"/>
      <c r="AH93" s="189"/>
    </row>
    <row r="94" spans="1:34" s="191" customFormat="1">
      <c r="A94" s="189"/>
      <c r="B94" s="189"/>
      <c r="C94" s="190"/>
      <c r="E94" s="190"/>
      <c r="F94" s="190"/>
      <c r="H94" s="190"/>
      <c r="L94" s="190"/>
      <c r="M94" s="192"/>
      <c r="N94" s="193"/>
      <c r="P94" s="193"/>
      <c r="Y94" s="190"/>
      <c r="AC94" s="190"/>
      <c r="AE94" s="194"/>
      <c r="AG94" s="195"/>
      <c r="AH94" s="189"/>
    </row>
    <row r="95" spans="1:34" s="191" customFormat="1">
      <c r="A95" s="189"/>
      <c r="B95" s="189"/>
      <c r="C95" s="190"/>
      <c r="E95" s="190"/>
      <c r="F95" s="190"/>
      <c r="H95" s="190"/>
      <c r="L95" s="190"/>
      <c r="M95" s="192"/>
      <c r="N95" s="193"/>
      <c r="P95" s="193"/>
      <c r="Y95" s="190"/>
      <c r="AC95" s="190"/>
      <c r="AE95" s="194"/>
      <c r="AG95" s="195"/>
      <c r="AH95" s="189"/>
    </row>
    <row r="96" spans="1:34" s="191" customFormat="1">
      <c r="A96" s="189"/>
      <c r="B96" s="189"/>
      <c r="C96" s="190"/>
      <c r="E96" s="190"/>
      <c r="F96" s="190"/>
      <c r="H96" s="190"/>
      <c r="L96" s="190"/>
      <c r="M96" s="192"/>
      <c r="N96" s="193"/>
      <c r="P96" s="193"/>
      <c r="Y96" s="190"/>
      <c r="AC96" s="190"/>
      <c r="AE96" s="194"/>
      <c r="AG96" s="195"/>
      <c r="AH96" s="189"/>
    </row>
    <row r="97" spans="1:34" s="191" customFormat="1">
      <c r="A97" s="189"/>
      <c r="B97" s="189"/>
      <c r="C97" s="190"/>
      <c r="E97" s="190"/>
      <c r="F97" s="190"/>
      <c r="H97" s="190"/>
      <c r="L97" s="190"/>
      <c r="M97" s="192"/>
      <c r="N97" s="193"/>
      <c r="P97" s="193"/>
      <c r="Y97" s="190"/>
      <c r="AC97" s="190"/>
      <c r="AE97" s="194"/>
      <c r="AG97" s="195"/>
      <c r="AH97" s="189"/>
    </row>
    <row r="98" spans="1:34" s="191" customFormat="1">
      <c r="A98" s="189"/>
      <c r="B98" s="189"/>
      <c r="C98" s="190"/>
      <c r="E98" s="190"/>
      <c r="F98" s="190"/>
      <c r="H98" s="190"/>
      <c r="L98" s="190"/>
      <c r="M98" s="192"/>
      <c r="N98" s="193"/>
      <c r="P98" s="193"/>
      <c r="Y98" s="190"/>
      <c r="AC98" s="190"/>
      <c r="AE98" s="194"/>
      <c r="AG98" s="195"/>
      <c r="AH98" s="189"/>
    </row>
    <row r="99" spans="1:34" s="191" customFormat="1">
      <c r="A99" s="189"/>
      <c r="B99" s="189"/>
      <c r="C99" s="190"/>
      <c r="E99" s="190"/>
      <c r="F99" s="190"/>
      <c r="H99" s="190"/>
      <c r="L99" s="190"/>
      <c r="M99" s="192"/>
      <c r="N99" s="193"/>
      <c r="P99" s="193"/>
      <c r="Y99" s="190"/>
      <c r="AC99" s="190"/>
      <c r="AE99" s="194"/>
      <c r="AG99" s="195"/>
      <c r="AH99" s="189"/>
    </row>
    <row r="100" spans="1:34" s="191" customFormat="1">
      <c r="A100" s="189"/>
      <c r="B100" s="189"/>
      <c r="C100" s="190"/>
      <c r="E100" s="190"/>
      <c r="F100" s="190"/>
      <c r="H100" s="190"/>
      <c r="L100" s="190"/>
      <c r="M100" s="192"/>
      <c r="N100" s="193"/>
      <c r="P100" s="193"/>
      <c r="Y100" s="190"/>
      <c r="AC100" s="190"/>
      <c r="AE100" s="194"/>
      <c r="AG100" s="195"/>
      <c r="AH100" s="189"/>
    </row>
    <row r="101" spans="1:34" s="191" customFormat="1">
      <c r="A101" s="189"/>
      <c r="B101" s="189"/>
      <c r="C101" s="190"/>
      <c r="E101" s="190"/>
      <c r="F101" s="190"/>
      <c r="H101" s="190"/>
      <c r="L101" s="190"/>
      <c r="M101" s="192"/>
      <c r="N101" s="193"/>
      <c r="P101" s="193"/>
      <c r="Y101" s="190"/>
      <c r="AC101" s="190"/>
      <c r="AE101" s="194"/>
      <c r="AG101" s="195"/>
      <c r="AH101" s="189"/>
    </row>
    <row r="102" spans="1:34" s="191" customFormat="1">
      <c r="A102" s="189"/>
      <c r="B102" s="189"/>
      <c r="C102" s="190"/>
      <c r="E102" s="190"/>
      <c r="F102" s="190"/>
      <c r="H102" s="190"/>
      <c r="L102" s="190"/>
      <c r="M102" s="192"/>
      <c r="N102" s="193"/>
      <c r="P102" s="193"/>
      <c r="Y102" s="190"/>
      <c r="AC102" s="190"/>
      <c r="AE102" s="194"/>
      <c r="AG102" s="195"/>
      <c r="AH102" s="189"/>
    </row>
    <row r="103" spans="1:34" s="191" customFormat="1">
      <c r="A103" s="189"/>
      <c r="B103" s="189"/>
      <c r="C103" s="190"/>
      <c r="E103" s="190"/>
      <c r="F103" s="190"/>
      <c r="H103" s="190"/>
      <c r="L103" s="190"/>
      <c r="M103" s="192"/>
      <c r="N103" s="193"/>
      <c r="P103" s="193"/>
      <c r="Y103" s="190"/>
      <c r="AC103" s="190"/>
      <c r="AE103" s="194"/>
      <c r="AG103" s="195"/>
      <c r="AH103" s="189"/>
    </row>
    <row r="104" spans="1:34" s="191" customFormat="1">
      <c r="A104" s="189"/>
      <c r="B104" s="189"/>
      <c r="C104" s="190"/>
      <c r="E104" s="190"/>
      <c r="F104" s="190"/>
      <c r="H104" s="190"/>
      <c r="L104" s="190"/>
      <c r="M104" s="192"/>
      <c r="N104" s="193"/>
      <c r="P104" s="193"/>
      <c r="Y104" s="190"/>
      <c r="AC104" s="190"/>
      <c r="AE104" s="194"/>
      <c r="AG104" s="195"/>
      <c r="AH104" s="189"/>
    </row>
    <row r="105" spans="1:34" s="191" customFormat="1">
      <c r="A105" s="189"/>
      <c r="B105" s="189"/>
      <c r="C105" s="190"/>
      <c r="E105" s="190"/>
      <c r="F105" s="190"/>
      <c r="H105" s="190"/>
      <c r="L105" s="190"/>
      <c r="M105" s="192"/>
      <c r="N105" s="193"/>
      <c r="P105" s="193"/>
      <c r="Y105" s="190"/>
      <c r="AC105" s="190"/>
      <c r="AE105" s="194"/>
      <c r="AG105" s="195"/>
      <c r="AH105" s="189"/>
    </row>
    <row r="106" spans="1:34" s="191" customFormat="1">
      <c r="A106" s="189"/>
      <c r="B106" s="189"/>
      <c r="C106" s="190"/>
      <c r="E106" s="190"/>
      <c r="F106" s="190"/>
      <c r="H106" s="190"/>
      <c r="L106" s="190"/>
      <c r="M106" s="192"/>
      <c r="N106" s="193"/>
      <c r="P106" s="193"/>
      <c r="Y106" s="190"/>
      <c r="AC106" s="190"/>
      <c r="AE106" s="194"/>
      <c r="AG106" s="195"/>
      <c r="AH106" s="189"/>
    </row>
    <row r="107" spans="1:34" s="191" customFormat="1">
      <c r="A107" s="189"/>
      <c r="B107" s="189"/>
      <c r="C107" s="190"/>
      <c r="E107" s="190"/>
      <c r="F107" s="190"/>
      <c r="H107" s="190"/>
      <c r="L107" s="190"/>
      <c r="M107" s="192"/>
      <c r="N107" s="193"/>
      <c r="P107" s="193"/>
      <c r="Y107" s="190"/>
      <c r="AC107" s="190"/>
      <c r="AE107" s="194"/>
      <c r="AG107" s="195"/>
      <c r="AH107" s="189"/>
    </row>
    <row r="108" spans="1:34" s="191" customFormat="1">
      <c r="A108" s="189"/>
      <c r="B108" s="189"/>
      <c r="C108" s="190"/>
      <c r="E108" s="190"/>
      <c r="F108" s="190"/>
      <c r="H108" s="190"/>
      <c r="L108" s="190"/>
      <c r="M108" s="192"/>
      <c r="N108" s="193"/>
      <c r="P108" s="193"/>
      <c r="Y108" s="190"/>
      <c r="AC108" s="190"/>
      <c r="AE108" s="194"/>
      <c r="AG108" s="195"/>
      <c r="AH108" s="189"/>
    </row>
    <row r="109" spans="1:34" s="191" customFormat="1">
      <c r="A109" s="189"/>
      <c r="B109" s="189"/>
      <c r="C109" s="190"/>
      <c r="E109" s="190"/>
      <c r="F109" s="190"/>
      <c r="H109" s="190"/>
      <c r="L109" s="190"/>
      <c r="M109" s="192"/>
      <c r="N109" s="193"/>
      <c r="P109" s="193"/>
      <c r="Y109" s="190"/>
      <c r="AC109" s="190"/>
      <c r="AE109" s="194"/>
      <c r="AG109" s="195"/>
      <c r="AH109" s="189"/>
    </row>
    <row r="110" spans="1:34" s="191" customFormat="1">
      <c r="A110" s="189"/>
      <c r="B110" s="189"/>
      <c r="C110" s="190"/>
      <c r="E110" s="190"/>
      <c r="F110" s="190"/>
      <c r="H110" s="190"/>
      <c r="L110" s="190"/>
      <c r="M110" s="192"/>
      <c r="N110" s="193"/>
      <c r="P110" s="193"/>
      <c r="Y110" s="190"/>
      <c r="AC110" s="190"/>
      <c r="AE110" s="194"/>
      <c r="AG110" s="195"/>
      <c r="AH110" s="189"/>
    </row>
    <row r="111" spans="1:34" s="191" customFormat="1">
      <c r="A111" s="189"/>
      <c r="B111" s="189"/>
      <c r="C111" s="190"/>
      <c r="E111" s="190"/>
      <c r="F111" s="190"/>
      <c r="H111" s="190"/>
      <c r="L111" s="190"/>
      <c r="M111" s="192"/>
      <c r="N111" s="193"/>
      <c r="P111" s="193"/>
      <c r="Y111" s="190"/>
      <c r="AC111" s="190"/>
      <c r="AE111" s="194"/>
      <c r="AG111" s="195"/>
      <c r="AH111" s="189"/>
    </row>
  </sheetData>
  <mergeCells count="13">
    <mergeCell ref="B7:AG7"/>
    <mergeCell ref="B8:B10"/>
    <mergeCell ref="C8:C10"/>
    <mergeCell ref="D8:D10"/>
    <mergeCell ref="E8:P8"/>
    <mergeCell ref="Q8:W8"/>
    <mergeCell ref="X8:AG8"/>
    <mergeCell ref="E9:I9"/>
    <mergeCell ref="J9:N9"/>
    <mergeCell ref="O9:O10"/>
    <mergeCell ref="X9:AD9"/>
    <mergeCell ref="P9:P10"/>
    <mergeCell ref="V9:W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>
      <pane xSplit="1" ySplit="5" topLeftCell="B6" activePane="bottomRight" state="frozen"/>
      <selection pane="bottomRight" activeCell="E22" sqref="E22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2" t="s">
        <v>16</v>
      </c>
    </row>
    <row r="2" spans="1:3" ht="18">
      <c r="A2" s="226">
        <v>43132</v>
      </c>
      <c r="B2" s="227"/>
      <c r="C2" s="227"/>
    </row>
    <row r="3" spans="1:3">
      <c r="A3" s="229" t="s">
        <v>18</v>
      </c>
      <c r="B3" s="228" t="s">
        <v>19</v>
      </c>
      <c r="C3" s="228" t="s">
        <v>13</v>
      </c>
    </row>
    <row r="4" spans="1:3">
      <c r="A4" s="229"/>
      <c r="B4" s="228"/>
      <c r="C4" s="228"/>
    </row>
    <row r="5" spans="1:3">
      <c r="A5" s="229"/>
      <c r="B5" s="228"/>
      <c r="C5" s="228"/>
    </row>
    <row r="6" spans="1:3">
      <c r="A6" s="1">
        <v>1</v>
      </c>
      <c r="B6" s="197">
        <v>15</v>
      </c>
      <c r="C6" s="198">
        <v>225</v>
      </c>
    </row>
    <row r="7" spans="1:3">
      <c r="A7" s="1">
        <v>2</v>
      </c>
      <c r="B7" s="197">
        <v>17</v>
      </c>
      <c r="C7" s="198">
        <v>218</v>
      </c>
    </row>
    <row r="8" spans="1:3">
      <c r="A8" s="1">
        <f>A7+1</f>
        <v>3</v>
      </c>
      <c r="B8" s="197">
        <v>21</v>
      </c>
      <c r="C8" s="198">
        <v>311</v>
      </c>
    </row>
    <row r="9" spans="1:3">
      <c r="A9" s="1">
        <f>A8+1</f>
        <v>4</v>
      </c>
      <c r="B9" s="197">
        <v>25</v>
      </c>
      <c r="C9" s="198">
        <v>292</v>
      </c>
    </row>
    <row r="10" spans="1:3">
      <c r="A10" s="1">
        <f t="shared" ref="A10:A33" si="0">A9+1</f>
        <v>5</v>
      </c>
      <c r="B10" s="197">
        <v>23</v>
      </c>
      <c r="C10" s="198">
        <v>294</v>
      </c>
    </row>
    <row r="11" spans="1:3">
      <c r="A11" s="1">
        <f t="shared" si="0"/>
        <v>6</v>
      </c>
      <c r="B11" s="197">
        <v>26</v>
      </c>
      <c r="C11" s="198">
        <v>262</v>
      </c>
    </row>
    <row r="12" spans="1:3">
      <c r="A12" s="1">
        <f t="shared" si="0"/>
        <v>7</v>
      </c>
      <c r="B12" s="197">
        <v>30</v>
      </c>
      <c r="C12" s="198">
        <v>329</v>
      </c>
    </row>
    <row r="13" spans="1:3">
      <c r="A13" s="1">
        <f t="shared" si="0"/>
        <v>8</v>
      </c>
      <c r="B13" s="197">
        <v>30</v>
      </c>
      <c r="C13" s="198">
        <v>298</v>
      </c>
    </row>
    <row r="14" spans="1:3">
      <c r="A14" s="1">
        <f t="shared" si="0"/>
        <v>9</v>
      </c>
      <c r="B14" s="197">
        <v>53</v>
      </c>
      <c r="C14" s="198">
        <v>436</v>
      </c>
    </row>
    <row r="15" spans="1:3">
      <c r="A15" s="1">
        <f t="shared" si="0"/>
        <v>10</v>
      </c>
      <c r="B15" s="197">
        <v>67</v>
      </c>
      <c r="C15" s="198">
        <v>448</v>
      </c>
    </row>
    <row r="16" spans="1:3">
      <c r="A16" s="1">
        <f t="shared" si="0"/>
        <v>11</v>
      </c>
      <c r="B16" s="197">
        <v>75</v>
      </c>
      <c r="C16" s="198">
        <v>547</v>
      </c>
    </row>
    <row r="17" spans="1:3">
      <c r="A17" s="1">
        <f t="shared" si="0"/>
        <v>12</v>
      </c>
      <c r="B17" s="197">
        <v>81</v>
      </c>
      <c r="C17" s="198">
        <v>627</v>
      </c>
    </row>
    <row r="18" spans="1:3">
      <c r="A18" s="1">
        <f t="shared" si="0"/>
        <v>13</v>
      </c>
      <c r="B18" s="197">
        <v>97</v>
      </c>
      <c r="C18" s="198">
        <v>639</v>
      </c>
    </row>
    <row r="19" spans="1:3">
      <c r="A19" s="1">
        <f t="shared" si="0"/>
        <v>14</v>
      </c>
      <c r="B19" s="197">
        <v>96</v>
      </c>
      <c r="C19" s="198">
        <v>773</v>
      </c>
    </row>
    <row r="20" spans="1:3">
      <c r="A20" s="1">
        <f t="shared" si="0"/>
        <v>15</v>
      </c>
      <c r="B20" s="197">
        <v>95</v>
      </c>
      <c r="C20" s="198">
        <v>647</v>
      </c>
    </row>
    <row r="21" spans="1:3">
      <c r="A21" s="1">
        <f t="shared" si="0"/>
        <v>16</v>
      </c>
      <c r="B21" s="197">
        <v>135</v>
      </c>
      <c r="C21" s="198">
        <v>788</v>
      </c>
    </row>
    <row r="22" spans="1:3">
      <c r="A22" s="1">
        <f t="shared" si="0"/>
        <v>17</v>
      </c>
      <c r="B22" s="197">
        <v>144</v>
      </c>
      <c r="C22" s="198">
        <v>980</v>
      </c>
    </row>
    <row r="23" spans="1:3">
      <c r="A23" s="1">
        <f t="shared" si="0"/>
        <v>18</v>
      </c>
      <c r="B23" s="197">
        <v>122</v>
      </c>
      <c r="C23" s="198">
        <v>932</v>
      </c>
    </row>
    <row r="24" spans="1:3">
      <c r="A24" s="1">
        <f t="shared" si="0"/>
        <v>19</v>
      </c>
      <c r="B24" s="197">
        <v>132</v>
      </c>
      <c r="C24" s="198">
        <v>934</v>
      </c>
    </row>
    <row r="25" spans="1:3">
      <c r="A25" s="1">
        <f t="shared" si="0"/>
        <v>20</v>
      </c>
      <c r="B25" s="197">
        <v>114</v>
      </c>
      <c r="C25" s="198">
        <v>854</v>
      </c>
    </row>
    <row r="26" spans="1:3">
      <c r="A26" s="1">
        <f t="shared" si="0"/>
        <v>21</v>
      </c>
      <c r="B26" s="197">
        <v>93</v>
      </c>
      <c r="C26" s="198">
        <v>665</v>
      </c>
    </row>
    <row r="27" spans="1:3">
      <c r="A27" s="1">
        <f t="shared" si="0"/>
        <v>22</v>
      </c>
      <c r="B27" s="197">
        <v>80</v>
      </c>
      <c r="C27" s="198">
        <v>776</v>
      </c>
    </row>
    <row r="28" spans="1:3">
      <c r="A28" s="1">
        <f t="shared" si="0"/>
        <v>23</v>
      </c>
      <c r="B28" s="197">
        <v>62</v>
      </c>
      <c r="C28" s="198">
        <v>636</v>
      </c>
    </row>
    <row r="29" spans="1:3">
      <c r="A29" s="1">
        <f t="shared" si="0"/>
        <v>24</v>
      </c>
      <c r="B29" s="197">
        <v>48</v>
      </c>
      <c r="C29" s="198">
        <v>647</v>
      </c>
    </row>
    <row r="30" spans="1:3">
      <c r="A30" s="1">
        <f t="shared" si="0"/>
        <v>25</v>
      </c>
      <c r="B30" s="197">
        <v>31</v>
      </c>
      <c r="C30" s="198">
        <v>465</v>
      </c>
    </row>
    <row r="31" spans="1:3">
      <c r="A31" s="1">
        <f t="shared" si="0"/>
        <v>26</v>
      </c>
      <c r="B31" s="197">
        <v>29</v>
      </c>
      <c r="C31" s="198">
        <v>354</v>
      </c>
    </row>
    <row r="32" spans="1:3">
      <c r="A32" s="1">
        <f t="shared" si="0"/>
        <v>27</v>
      </c>
      <c r="B32" s="197">
        <v>23</v>
      </c>
      <c r="C32" s="198">
        <v>309</v>
      </c>
    </row>
    <row r="33" spans="1:3">
      <c r="A33" s="1">
        <f t="shared" si="0"/>
        <v>28</v>
      </c>
      <c r="B33" s="197">
        <v>25</v>
      </c>
      <c r="C33" s="198">
        <v>342</v>
      </c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  <row r="38" spans="1:3">
      <c r="B38" s="5">
        <f>SUM(B6:B36)</f>
        <v>1789</v>
      </c>
      <c r="C38" s="5">
        <f>SUM(C6:C36)</f>
        <v>15028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8F776D74-48AA-4E12-9D33-52DE879ABAA1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2023-02-23T11:23:53Z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1892900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