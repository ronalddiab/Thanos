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CA2CBDC3-D8E7-43A7-830F-8CA81D3D0005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3" l="1"/>
  <c r="I37" i="3"/>
  <c r="H37" i="3"/>
  <c r="G37" i="3"/>
  <c r="F37" i="3"/>
  <c r="E37" i="3"/>
  <c r="D37" i="3"/>
  <c r="C37" i="3"/>
  <c r="B37" i="3"/>
  <c r="L37" i="3"/>
  <c r="K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<sst xmlns="http://schemas.openxmlformats.org/spreadsheetml/2006/main" count="101" uniqueCount="31">
  <si>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</si>
  <si>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</si>
  <si>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</si>
  <si>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</si>
  <si>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</si>
  <si>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</si>
  <si>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</si>
  <si>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</si>
  <si>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</si>
  <si>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</si>
  <si>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</si>
  <si>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</si>
  <si>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</si>
  <si>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</si>
  <si>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</si>
  <si>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</si>
  <si>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</si>
  <si>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</si>
  <si>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</si>
  <si>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</si>
  <si>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</si>
  <si>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</si>
  <si>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SEPTEMBER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</si>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</sst>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workbookViewId="0">
      <selection activeCell="R19" sqref="R19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6</v>
      </c>
      <c r="D2" s="12">
        <v>2022</v>
      </c>
      <c r="E2" s="13">
        <f>IF(('DAILY READINGS'!B7-'DAILY READINGS'!B6)&gt;0,('DAILY READINGS'!B7-'DAILY READINGS'!B6),0)</f>
        <v>8136</v>
      </c>
      <c r="F2" s="10">
        <v>0.49</v>
      </c>
      <c r="G2" s="13">
        <f>IF(('DAILY READINGS'!D7-'DAILY READINGS'!D6)+('DAILY READINGS'!E7-'DAILY READINGS'!E6)&gt;0,('DAILY READINGS'!D7-'DAILY READINGS'!D6)+('DAILY READINGS'!E7-'DAILY READINGS'!E6),0)</f>
        <v>210</v>
      </c>
      <c r="H2" s="10">
        <v>1.61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127</v>
      </c>
      <c r="J2" s="10">
        <v>1.45</v>
      </c>
      <c r="K2" s="13">
        <f>'DAILY READINGS'!K7</f>
        <v>74</v>
      </c>
      <c r="L2" s="8">
        <f>'DAILY READINGS'!L7</f>
        <v>157</v>
      </c>
    </row>
    <row r="3" spans="1:23">
      <c r="A3" s="2" t="s">
        <v>12</v>
      </c>
      <c r="B3" s="11">
        <f t="shared" ref="B3:B31" si="0">B2+1</f>
        <v>2</v>
      </c>
      <c r="C3" s="12">
        <v>6</v>
      </c>
      <c r="D3" s="12">
        <v>2022</v>
      </c>
      <c r="E3" s="13">
        <f>IF(('DAILY READINGS'!B8-'DAILY READINGS'!B7)&gt;0,('DAILY READINGS'!B8-'DAILY READINGS'!B7),0)</f>
        <v>8470</v>
      </c>
      <c r="F3" s="10">
        <v>0.49</v>
      </c>
      <c r="G3" s="13">
        <f>IF(('DAILY READINGS'!D8-'DAILY READINGS'!D7)+('DAILY READINGS'!E8-'DAILY READINGS'!E7)&gt;0,('DAILY READINGS'!D8-'DAILY READINGS'!D7)+('DAILY READINGS'!E8-'DAILY READINGS'!E7),0)</f>
        <v>218</v>
      </c>
      <c r="H3" s="10">
        <v>1.61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122</v>
      </c>
      <c r="J3" s="10">
        <v>1.45</v>
      </c>
      <c r="K3" s="13">
        <f>'DAILY READINGS'!K8</f>
        <v>70</v>
      </c>
      <c r="L3" s="8">
        <f>'DAILY READINGS'!L8</f>
        <v>143</v>
      </c>
      <c r="M3" s="13"/>
    </row>
    <row r="4" spans="1:23">
      <c r="A4" s="2" t="s">
        <v>12</v>
      </c>
      <c r="B4" s="11">
        <f t="shared" si="0"/>
        <v>3</v>
      </c>
      <c r="C4" s="12">
        <v>6</v>
      </c>
      <c r="D4" s="12">
        <v>2022</v>
      </c>
      <c r="E4" s="13">
        <f>IF(('DAILY READINGS'!B9-'DAILY READINGS'!B8)&gt;0,('DAILY READINGS'!B9-'DAILY READINGS'!B8),0)</f>
        <v>7848</v>
      </c>
      <c r="F4" s="10">
        <v>0.49</v>
      </c>
      <c r="G4" s="13">
        <f>IF(('DAILY READINGS'!D9-'DAILY READINGS'!D8)+('DAILY READINGS'!E9-'DAILY READINGS'!E8)&gt;0,('DAILY READINGS'!D9-'DAILY READINGS'!D8)+('DAILY READINGS'!E9-'DAILY READINGS'!E8),0)</f>
        <v>151</v>
      </c>
      <c r="H4" s="10">
        <v>1.61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103</v>
      </c>
      <c r="J4" s="10">
        <v>1.45</v>
      </c>
      <c r="K4" s="13">
        <f>'DAILY READINGS'!K9</f>
        <v>76</v>
      </c>
      <c r="L4" s="8">
        <f>'DAILY READINGS'!L9</f>
        <v>153</v>
      </c>
    </row>
    <row r="5" spans="1:23">
      <c r="A5" s="2" t="s">
        <v>12</v>
      </c>
      <c r="B5" s="11">
        <f t="shared" si="0"/>
        <v>4</v>
      </c>
      <c r="C5" s="12">
        <v>6</v>
      </c>
      <c r="D5" s="12">
        <v>2022</v>
      </c>
      <c r="E5" s="13">
        <f>IF(('DAILY READINGS'!B10-'DAILY READINGS'!B9)&gt;0,('DAILY READINGS'!B10-'DAILY READINGS'!B9),0)</f>
        <v>8878</v>
      </c>
      <c r="F5" s="10">
        <v>0.49</v>
      </c>
      <c r="G5" s="13">
        <f>IF(('DAILY READINGS'!D10-'DAILY READINGS'!D9)+('DAILY READINGS'!E10-'DAILY READINGS'!E9)&gt;0,('DAILY READINGS'!D10-'DAILY READINGS'!D9)+('DAILY READINGS'!E10-'DAILY READINGS'!E9),0)</f>
        <v>264</v>
      </c>
      <c r="H5" s="10">
        <v>1.61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128</v>
      </c>
      <c r="J5" s="10">
        <v>1.45</v>
      </c>
      <c r="K5" s="13">
        <f>'DAILY READINGS'!K10</f>
        <v>83</v>
      </c>
      <c r="L5" s="8">
        <f>'DAILY READINGS'!L10</f>
        <v>154</v>
      </c>
    </row>
    <row r="6" spans="1:23">
      <c r="A6" s="2" t="s">
        <v>12</v>
      </c>
      <c r="B6" s="11">
        <f t="shared" si="0"/>
        <v>5</v>
      </c>
      <c r="C6" s="12">
        <v>6</v>
      </c>
      <c r="D6" s="12">
        <v>2022</v>
      </c>
      <c r="E6" s="13">
        <f>IF(('DAILY READINGS'!B11-'DAILY READINGS'!B10)&gt;0,('DAILY READINGS'!B11-'DAILY READINGS'!B10),0)</f>
        <v>7866</v>
      </c>
      <c r="F6" s="10">
        <v>0.49</v>
      </c>
      <c r="G6" s="13">
        <f>IF(('DAILY READINGS'!D11-'DAILY READINGS'!D10)+('DAILY READINGS'!E11-'DAILY READINGS'!E10)&gt;0,('DAILY READINGS'!D11-'DAILY READINGS'!D10)+('DAILY READINGS'!E11-'DAILY READINGS'!E10),0)</f>
        <v>198</v>
      </c>
      <c r="H6" s="10">
        <v>1.61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132</v>
      </c>
      <c r="J6" s="10">
        <v>1.45</v>
      </c>
      <c r="K6" s="13">
        <f>'DAILY READINGS'!K11</f>
        <v>75</v>
      </c>
      <c r="L6" s="8">
        <f>'DAILY READINGS'!L11</f>
        <v>137</v>
      </c>
    </row>
    <row r="7" spans="1:23">
      <c r="A7" s="2" t="s">
        <v>12</v>
      </c>
      <c r="B7" s="11">
        <f t="shared" si="0"/>
        <v>6</v>
      </c>
      <c r="C7" s="12">
        <v>6</v>
      </c>
      <c r="D7" s="12">
        <v>2022</v>
      </c>
      <c r="E7" s="13">
        <f>IF(('DAILY READINGS'!B12-'DAILY READINGS'!B11)&gt;0,('DAILY READINGS'!B12-'DAILY READINGS'!B11),0)</f>
        <v>9918</v>
      </c>
      <c r="F7" s="10">
        <v>0.49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1.61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119</v>
      </c>
      <c r="J7" s="10">
        <v>1.45</v>
      </c>
      <c r="K7" s="13">
        <f>'DAILY READINGS'!K12</f>
        <v>65</v>
      </c>
      <c r="L7" s="8">
        <f>'DAILY READINGS'!L12</f>
        <v>124</v>
      </c>
    </row>
    <row r="8" spans="1:23">
      <c r="A8" s="2" t="s">
        <v>12</v>
      </c>
      <c r="B8" s="11">
        <f t="shared" si="0"/>
        <v>7</v>
      </c>
      <c r="C8" s="12">
        <v>6</v>
      </c>
      <c r="D8" s="12">
        <v>2022</v>
      </c>
      <c r="E8" s="13">
        <f>IF(('DAILY READINGS'!B13-'DAILY READINGS'!B12)&gt;0,('DAILY READINGS'!B13-'DAILY READINGS'!B12),0)</f>
        <v>8706</v>
      </c>
      <c r="F8" s="10">
        <v>0.49</v>
      </c>
      <c r="G8" s="13">
        <f>IF(('DAILY READINGS'!D13-'DAILY READINGS'!D12)+('DAILY READINGS'!E13-'DAILY READINGS'!E12)&gt;0,('DAILY READINGS'!D13-'DAILY READINGS'!D12)+('DAILY READINGS'!E13-'DAILY READINGS'!E12),0)</f>
        <v>205</v>
      </c>
      <c r="H8" s="10">
        <v>1.61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121</v>
      </c>
      <c r="J8" s="10">
        <v>1.45</v>
      </c>
      <c r="K8" s="13">
        <f>'DAILY READINGS'!K13</f>
        <v>81</v>
      </c>
      <c r="L8" s="8">
        <f>'DAILY READINGS'!L13</f>
        <v>149</v>
      </c>
    </row>
    <row r="9" spans="1:23">
      <c r="A9" s="2" t="s">
        <v>12</v>
      </c>
      <c r="B9" s="11">
        <f t="shared" si="0"/>
        <v>8</v>
      </c>
      <c r="C9" s="12">
        <v>6</v>
      </c>
      <c r="D9" s="12">
        <v>2022</v>
      </c>
      <c r="E9" s="13">
        <f>IF(('DAILY READINGS'!B14-'DAILY READINGS'!B13)&gt;0,('DAILY READINGS'!B14-'DAILY READINGS'!B13),0)</f>
        <v>8794</v>
      </c>
      <c r="F9" s="10">
        <v>0.49</v>
      </c>
      <c r="G9" s="13">
        <f>IF(('DAILY READINGS'!D14-'DAILY READINGS'!D13)+('DAILY READINGS'!E14-'DAILY READINGS'!E13)&gt;0,('DAILY READINGS'!D14-'DAILY READINGS'!D13)+('DAILY READINGS'!E14-'DAILY READINGS'!E13),0)</f>
        <v>212</v>
      </c>
      <c r="H9" s="10">
        <v>1.61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56</v>
      </c>
      <c r="J9" s="10">
        <v>1.45</v>
      </c>
      <c r="K9" s="13">
        <f>'DAILY READINGS'!K14</f>
        <v>97</v>
      </c>
      <c r="L9" s="8">
        <f>'DAILY READINGS'!L14</f>
        <v>177</v>
      </c>
    </row>
    <row r="10" spans="1:23">
      <c r="A10" s="2" t="s">
        <v>12</v>
      </c>
      <c r="B10" s="11">
        <f t="shared" si="0"/>
        <v>9</v>
      </c>
      <c r="C10" s="12">
        <v>6</v>
      </c>
      <c r="D10" s="12">
        <v>2022</v>
      </c>
      <c r="E10" s="13">
        <f>IF(('DAILY READINGS'!B15-'DAILY READINGS'!B14)&gt;0,('DAILY READINGS'!B15-'DAILY READINGS'!B14),0)</f>
        <v>8668</v>
      </c>
      <c r="F10" s="10">
        <v>0.49</v>
      </c>
      <c r="G10" s="13">
        <f>IF(('DAILY READINGS'!D15-'DAILY READINGS'!D14)+('DAILY READINGS'!E15-'DAILY READINGS'!E14)&gt;0,('DAILY READINGS'!D15-'DAILY READINGS'!D14)+('DAILY READINGS'!E15-'DAILY READINGS'!E14),0)</f>
        <v>197</v>
      </c>
      <c r="H10" s="10">
        <v>1.61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142</v>
      </c>
      <c r="J10" s="10">
        <v>1.45</v>
      </c>
      <c r="K10" s="13">
        <f>'DAILY READINGS'!K15</f>
        <v>100</v>
      </c>
      <c r="L10" s="8">
        <f>'DAILY READINGS'!L15</f>
        <v>183</v>
      </c>
    </row>
    <row r="11" spans="1:23">
      <c r="A11" s="2" t="s">
        <v>12</v>
      </c>
      <c r="B11" s="11">
        <f t="shared" si="0"/>
        <v>10</v>
      </c>
      <c r="C11" s="12">
        <v>6</v>
      </c>
      <c r="D11" s="12">
        <v>2022</v>
      </c>
      <c r="E11" s="13">
        <f>IF(('DAILY READINGS'!B16-'DAILY READINGS'!B15)&gt;0,('DAILY READINGS'!B16-'DAILY READINGS'!B15),0)</f>
        <v>11158</v>
      </c>
      <c r="F11" s="10">
        <v>0.49</v>
      </c>
      <c r="G11" s="13">
        <f>IF(('DAILY READINGS'!D16-'DAILY READINGS'!D15)+('DAILY READINGS'!E16-'DAILY READINGS'!E15)&gt;0,('DAILY READINGS'!D16-'DAILY READINGS'!D15)+('DAILY READINGS'!E16-'DAILY READINGS'!E15),0)</f>
        <v>237</v>
      </c>
      <c r="H11" s="10">
        <v>1.61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193</v>
      </c>
      <c r="J11" s="10">
        <v>1.45</v>
      </c>
      <c r="K11" s="13">
        <f>'DAILY READINGS'!K16</f>
        <v>85</v>
      </c>
      <c r="L11" s="8">
        <f>'DAILY READINGS'!L16</f>
        <v>162</v>
      </c>
    </row>
    <row r="12" spans="1:23">
      <c r="A12" s="2" t="s">
        <v>12</v>
      </c>
      <c r="B12" s="11">
        <f t="shared" si="0"/>
        <v>11</v>
      </c>
      <c r="C12" s="12">
        <v>6</v>
      </c>
      <c r="D12" s="12">
        <v>2022</v>
      </c>
      <c r="E12" s="13">
        <f>IF(('DAILY READINGS'!B17-'DAILY READINGS'!B16)&gt;0,('DAILY READINGS'!B17-'DAILY READINGS'!B16),0)</f>
        <v>8756</v>
      </c>
      <c r="F12" s="10">
        <v>0.49</v>
      </c>
      <c r="G12" s="13">
        <f>IF(('DAILY READINGS'!D17-'DAILY READINGS'!D16)+('DAILY READINGS'!E17-'DAILY READINGS'!E16)&gt;0,('DAILY READINGS'!D17-'DAILY READINGS'!D16)+('DAILY READINGS'!E17-'DAILY READINGS'!E16),0)</f>
        <v>201</v>
      </c>
      <c r="H12" s="10">
        <v>1.61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107</v>
      </c>
      <c r="J12" s="10">
        <v>1.45</v>
      </c>
      <c r="K12" s="13">
        <f>'DAILY READINGS'!K17</f>
        <v>67</v>
      </c>
      <c r="L12" s="8">
        <f>'DAILY READINGS'!L17</f>
        <v>132</v>
      </c>
    </row>
    <row r="13" spans="1:23">
      <c r="A13" s="2" t="s">
        <v>12</v>
      </c>
      <c r="B13" s="11">
        <f t="shared" si="0"/>
        <v>12</v>
      </c>
      <c r="C13" s="12">
        <v>6</v>
      </c>
      <c r="D13" s="12">
        <v>2022</v>
      </c>
      <c r="E13" s="13">
        <f>IF(('DAILY READINGS'!B18-'DAILY READINGS'!B17)&gt;0,('DAILY READINGS'!B18-'DAILY READINGS'!B17),0)</f>
        <v>7772</v>
      </c>
      <c r="F13" s="10">
        <v>0.49</v>
      </c>
      <c r="G13" s="13">
        <f>IF(('DAILY READINGS'!D18-'DAILY READINGS'!D17)+('DAILY READINGS'!E18-'DAILY READINGS'!E17)&gt;0,('DAILY READINGS'!D18-'DAILY READINGS'!D17)+('DAILY READINGS'!E18-'DAILY READINGS'!E17),0)</f>
        <v>211</v>
      </c>
      <c r="H13" s="10">
        <v>1.61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124</v>
      </c>
      <c r="J13" s="10">
        <v>1.45</v>
      </c>
      <c r="K13" s="13">
        <f>'DAILY READINGS'!K18</f>
        <v>76</v>
      </c>
      <c r="L13" s="8">
        <f>'DAILY READINGS'!L18</f>
        <v>138</v>
      </c>
    </row>
    <row r="14" spans="1:23">
      <c r="A14" s="2" t="s">
        <v>12</v>
      </c>
      <c r="B14" s="11">
        <f t="shared" si="0"/>
        <v>13</v>
      </c>
      <c r="C14" s="12">
        <v>6</v>
      </c>
      <c r="D14" s="12">
        <v>2022</v>
      </c>
      <c r="E14" s="13">
        <f>IF(('DAILY READINGS'!B19-'DAILY READINGS'!B18)&gt;0,('DAILY READINGS'!B19-'DAILY READINGS'!B18),0)</f>
        <v>7972</v>
      </c>
      <c r="F14" s="10">
        <v>0.49</v>
      </c>
      <c r="G14" s="13">
        <f>IF(('DAILY READINGS'!D19-'DAILY READINGS'!D18)+('DAILY READINGS'!E19-'DAILY READINGS'!E18)&gt;0,('DAILY READINGS'!D19-'DAILY READINGS'!D18)+('DAILY READINGS'!E19-'DAILY READINGS'!E18),0)</f>
        <v>197</v>
      </c>
      <c r="H14" s="10">
        <v>1.61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76</v>
      </c>
      <c r="J14" s="10">
        <v>1.45</v>
      </c>
      <c r="K14" s="13">
        <v>82</v>
      </c>
      <c r="L14" s="8">
        <f>'DAILY READINGS'!L19</f>
        <v>141</v>
      </c>
    </row>
    <row r="15" spans="1:23">
      <c r="A15" s="2" t="s">
        <v>12</v>
      </c>
      <c r="B15" s="11">
        <f t="shared" si="0"/>
        <v>14</v>
      </c>
      <c r="C15" s="12">
        <v>6</v>
      </c>
      <c r="D15" s="12">
        <v>2022</v>
      </c>
      <c r="E15" s="13">
        <f>IF(('DAILY READINGS'!B20-'DAILY READINGS'!B19)&gt;0,('DAILY READINGS'!B20-'DAILY READINGS'!B19),0)</f>
        <v>7972</v>
      </c>
      <c r="F15" s="10">
        <v>0.49</v>
      </c>
      <c r="G15" s="13">
        <f>IF(('DAILY READINGS'!D20-'DAILY READINGS'!D19)+('DAILY READINGS'!E20-'DAILY READINGS'!E19)&gt;0,('DAILY READINGS'!D20-'DAILY READINGS'!D19)+('DAILY READINGS'!E20-'DAILY READINGS'!E19),0)</f>
        <v>205</v>
      </c>
      <c r="H15" s="10">
        <v>1.61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40</v>
      </c>
      <c r="J15" s="10">
        <v>1.45</v>
      </c>
      <c r="K15" s="13">
        <f>'DAILY READINGS'!K20</f>
        <v>78</v>
      </c>
      <c r="L15" s="8">
        <f>'DAILY READINGS'!L20</f>
        <v>140</v>
      </c>
    </row>
    <row r="16" spans="1:23">
      <c r="A16" s="2" t="s">
        <v>12</v>
      </c>
      <c r="B16" s="11">
        <f t="shared" si="0"/>
        <v>15</v>
      </c>
      <c r="C16" s="12">
        <v>6</v>
      </c>
      <c r="D16" s="12">
        <v>2022</v>
      </c>
      <c r="E16" s="13">
        <f>IF(('DAILY READINGS'!B21-'DAILY READINGS'!B20)&gt;0,('DAILY READINGS'!B21-'DAILY READINGS'!B20),0)</f>
        <v>8658</v>
      </c>
      <c r="F16" s="10">
        <v>0.49</v>
      </c>
      <c r="G16" s="13">
        <f>IF(('DAILY READINGS'!D21-'DAILY READINGS'!D20)+('DAILY READINGS'!E21-'DAILY READINGS'!E20)&gt;0,('DAILY READINGS'!D21-'DAILY READINGS'!D20)+('DAILY READINGS'!E21-'DAILY READINGS'!E20),0)</f>
        <v>189</v>
      </c>
      <c r="H16" s="10">
        <v>1.61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142</v>
      </c>
      <c r="J16" s="10">
        <v>1.45</v>
      </c>
      <c r="K16" s="13">
        <f>'DAILY READINGS'!K21</f>
        <v>67</v>
      </c>
      <c r="L16" s="8">
        <f>'DAILY READINGS'!L21</f>
        <v>134</v>
      </c>
    </row>
    <row r="17" spans="1:12">
      <c r="A17" s="2" t="s">
        <v>12</v>
      </c>
      <c r="B17" s="11">
        <f t="shared" si="0"/>
        <v>16</v>
      </c>
      <c r="C17" s="12">
        <v>6</v>
      </c>
      <c r="D17" s="12">
        <v>2022</v>
      </c>
      <c r="E17" s="13">
        <f>IF(('DAILY READINGS'!B22-'DAILY READINGS'!B21)&gt;0,('DAILY READINGS'!B22-'DAILY READINGS'!B21),0)</f>
        <v>9046</v>
      </c>
      <c r="F17" s="10">
        <v>0.49</v>
      </c>
      <c r="G17" s="13">
        <f>IF(('DAILY READINGS'!D22-'DAILY READINGS'!D21)+('DAILY READINGS'!E22-'DAILY READINGS'!E21)&gt;0,('DAILY READINGS'!D22-'DAILY READINGS'!D21)+('DAILY READINGS'!E22-'DAILY READINGS'!E21),0)</f>
        <v>218</v>
      </c>
      <c r="H17" s="10">
        <v>1.61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108</v>
      </c>
      <c r="J17" s="10">
        <v>1.45</v>
      </c>
      <c r="K17" s="13">
        <f>'DAILY READINGS'!K22</f>
        <v>78</v>
      </c>
      <c r="L17" s="8">
        <f>'DAILY READINGS'!L22</f>
        <v>135</v>
      </c>
    </row>
    <row r="18" spans="1:12">
      <c r="A18" s="2" t="s">
        <v>12</v>
      </c>
      <c r="B18" s="11">
        <f t="shared" si="0"/>
        <v>17</v>
      </c>
      <c r="C18" s="12">
        <v>6</v>
      </c>
      <c r="D18" s="12">
        <v>2022</v>
      </c>
      <c r="E18" s="13">
        <f>IF(('DAILY READINGS'!B23-'DAILY READINGS'!B22)&gt;0,('DAILY READINGS'!B23-'DAILY READINGS'!B22),0)</f>
        <v>8510</v>
      </c>
      <c r="F18" s="10">
        <v>0.49</v>
      </c>
      <c r="G18" s="13">
        <f>IF(('DAILY READINGS'!D23-'DAILY READINGS'!D22)+('DAILY READINGS'!E23-'DAILY READINGS'!E22)&gt;0,('DAILY READINGS'!D23-'DAILY READINGS'!D22)+('DAILY READINGS'!E23-'DAILY READINGS'!E22),0)</f>
        <v>202</v>
      </c>
      <c r="H18" s="10">
        <v>1.61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206</v>
      </c>
      <c r="J18" s="10">
        <v>1.45</v>
      </c>
      <c r="K18" s="13">
        <f>'DAILY READINGS'!K23</f>
        <v>82</v>
      </c>
      <c r="L18" s="8">
        <f>'DAILY READINGS'!L23</f>
        <v>146</v>
      </c>
    </row>
    <row r="19" spans="1:12">
      <c r="A19" s="2" t="s">
        <v>12</v>
      </c>
      <c r="B19" s="11">
        <f t="shared" si="0"/>
        <v>18</v>
      </c>
      <c r="C19" s="12">
        <v>6</v>
      </c>
      <c r="D19" s="12">
        <v>2022</v>
      </c>
      <c r="E19" s="13">
        <f>IF(('DAILY READINGS'!B24-'DAILY READINGS'!B23)&gt;0,('DAILY READINGS'!B24-'DAILY READINGS'!B23),0)</f>
        <v>7480</v>
      </c>
      <c r="F19" s="10">
        <v>0.49</v>
      </c>
      <c r="G19" s="13">
        <f>IF(('DAILY READINGS'!D24-'DAILY READINGS'!D23)+('DAILY READINGS'!E24-'DAILY READINGS'!E23)&gt;0,('DAILY READINGS'!D24-'DAILY READINGS'!D23)+('DAILY READINGS'!E24-'DAILY READINGS'!E23),0)</f>
        <v>211</v>
      </c>
      <c r="H19" s="10">
        <v>1.61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107</v>
      </c>
      <c r="J19" s="10">
        <v>1.45</v>
      </c>
      <c r="K19" s="13">
        <f>'DAILY READINGS'!K24</f>
        <v>79</v>
      </c>
      <c r="L19" s="8">
        <f>'DAILY READINGS'!L24</f>
        <v>140</v>
      </c>
    </row>
    <row r="20" spans="1:12">
      <c r="A20" s="2" t="s">
        <v>12</v>
      </c>
      <c r="B20" s="11">
        <f t="shared" si="0"/>
        <v>19</v>
      </c>
      <c r="C20" s="12">
        <v>6</v>
      </c>
      <c r="D20" s="12">
        <v>2022</v>
      </c>
      <c r="E20" s="13">
        <f>IF(('DAILY READINGS'!B25-'DAILY READINGS'!B24)&gt;0,('DAILY READINGS'!B25-'DAILY READINGS'!B24),0)</f>
        <v>7832</v>
      </c>
      <c r="F20" s="10">
        <v>0.49</v>
      </c>
      <c r="G20" s="13">
        <f>IF(('DAILY READINGS'!D25-'DAILY READINGS'!D24)+('DAILY READINGS'!E25-'DAILY READINGS'!E24)&gt;0,('DAILY READINGS'!D25-'DAILY READINGS'!D24)+('DAILY READINGS'!E25-'DAILY READINGS'!E24),0)</f>
        <v>214</v>
      </c>
      <c r="H20" s="10">
        <v>1.61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89</v>
      </c>
      <c r="J20" s="10">
        <v>1.45</v>
      </c>
      <c r="K20" s="13">
        <f>'DAILY READINGS'!K25</f>
        <v>80</v>
      </c>
      <c r="L20" s="8">
        <f>'DAILY READINGS'!L25</f>
        <v>149</v>
      </c>
    </row>
    <row r="21" spans="1:12">
      <c r="A21" s="2" t="s">
        <v>12</v>
      </c>
      <c r="B21" s="11">
        <f t="shared" si="0"/>
        <v>20</v>
      </c>
      <c r="C21" s="12">
        <v>6</v>
      </c>
      <c r="D21" s="12">
        <v>2022</v>
      </c>
      <c r="E21" s="13">
        <f>IF(('DAILY READINGS'!B26-'DAILY READINGS'!B25)&gt;0,('DAILY READINGS'!B26-'DAILY READINGS'!B25),0)</f>
        <v>7344</v>
      </c>
      <c r="F21" s="10">
        <v>0.49</v>
      </c>
      <c r="G21" s="13">
        <f>IF(('DAILY READINGS'!D26-'DAILY READINGS'!D25)+('DAILY READINGS'!E26-'DAILY READINGS'!E25)&gt;0,('DAILY READINGS'!D26-'DAILY READINGS'!D25)+('DAILY READINGS'!E26-'DAILY READINGS'!E25),0)</f>
        <v>192</v>
      </c>
      <c r="H21" s="10">
        <v>1.61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143</v>
      </c>
      <c r="J21" s="10">
        <v>1.45</v>
      </c>
      <c r="K21" s="13">
        <f>'DAILY READINGS'!K26</f>
        <v>68</v>
      </c>
      <c r="L21" s="8">
        <f>'DAILY READINGS'!L26</f>
        <v>139</v>
      </c>
    </row>
    <row r="22" spans="1:12">
      <c r="A22" s="2" t="s">
        <v>12</v>
      </c>
      <c r="B22" s="11">
        <f t="shared" si="0"/>
        <v>21</v>
      </c>
      <c r="C22" s="12">
        <v>6</v>
      </c>
      <c r="D22" s="12">
        <v>2022</v>
      </c>
      <c r="E22" s="13">
        <f>IF(('DAILY READINGS'!B27-'DAILY READINGS'!B26)&gt;0,('DAILY READINGS'!B27-'DAILY READINGS'!B26),0)</f>
        <v>6606</v>
      </c>
      <c r="F22" s="10">
        <v>0.49</v>
      </c>
      <c r="G22" s="13">
        <f>IF(('DAILY READINGS'!D27-'DAILY READINGS'!D26)+('DAILY READINGS'!E27-'DAILY READINGS'!E26)&gt;0,('DAILY READINGS'!D27-'DAILY READINGS'!D26)+('DAILY READINGS'!E27-'DAILY READINGS'!E26),0)</f>
        <v>188</v>
      </c>
      <c r="H22" s="10">
        <v>1.61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104</v>
      </c>
      <c r="J22" s="10">
        <v>1.45</v>
      </c>
      <c r="K22" s="13">
        <f>'DAILY READINGS'!K27</f>
        <v>94</v>
      </c>
      <c r="L22" s="8">
        <f>'DAILY READINGS'!L27</f>
        <v>172</v>
      </c>
    </row>
    <row r="23" spans="1:12">
      <c r="A23" s="2" t="s">
        <v>12</v>
      </c>
      <c r="B23" s="11">
        <f t="shared" si="0"/>
        <v>22</v>
      </c>
      <c r="C23" s="12">
        <v>6</v>
      </c>
      <c r="D23" s="12">
        <v>2022</v>
      </c>
      <c r="E23" s="13">
        <f>IF(('DAILY READINGS'!B28-'DAILY READINGS'!B27)&gt;0,('DAILY READINGS'!B28-'DAILY READINGS'!B27),0)</f>
        <v>7016</v>
      </c>
      <c r="F23" s="10">
        <v>0.49</v>
      </c>
      <c r="G23" s="13">
        <f>IF(('DAILY READINGS'!D28-'DAILY READINGS'!D27)+('DAILY READINGS'!E28-'DAILY READINGS'!E27)&gt;0,('DAILY READINGS'!D28-'DAILY READINGS'!D27)+('DAILY READINGS'!E28-'DAILY READINGS'!E27),0)</f>
        <v>215</v>
      </c>
      <c r="H23" s="10">
        <v>1.61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106</v>
      </c>
      <c r="J23" s="10">
        <v>1.45</v>
      </c>
      <c r="K23" s="13">
        <f>'DAILY READINGS'!K28</f>
        <v>99</v>
      </c>
      <c r="L23" s="8">
        <f>'DAILY READINGS'!L28</f>
        <v>178</v>
      </c>
    </row>
    <row r="24" spans="1:12">
      <c r="A24" s="2" t="s">
        <v>12</v>
      </c>
      <c r="B24" s="11">
        <f t="shared" si="0"/>
        <v>23</v>
      </c>
      <c r="C24" s="12">
        <v>6</v>
      </c>
      <c r="D24" s="12">
        <v>2022</v>
      </c>
      <c r="E24" s="13">
        <f>IF(('DAILY READINGS'!B29-'DAILY READINGS'!B28)&gt;0,('DAILY READINGS'!B29-'DAILY READINGS'!B28),0)</f>
        <v>6134</v>
      </c>
      <c r="F24" s="10">
        <v>0.49</v>
      </c>
      <c r="G24" s="13">
        <f>IF(('DAILY READINGS'!D29-'DAILY READINGS'!D28)+('DAILY READINGS'!E29-'DAILY READINGS'!E28)&gt;0,('DAILY READINGS'!D29-'DAILY READINGS'!D28)+('DAILY READINGS'!E29-'DAILY READINGS'!E28),0)</f>
        <v>257</v>
      </c>
      <c r="H24" s="10">
        <v>1.61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120</v>
      </c>
      <c r="J24" s="10">
        <v>1.45</v>
      </c>
      <c r="K24" s="13">
        <f>'DAILY READINGS'!K29</f>
        <v>75</v>
      </c>
      <c r="L24" s="8">
        <f>'DAILY READINGS'!L29</f>
        <v>143</v>
      </c>
    </row>
    <row r="25" spans="1:12">
      <c r="A25" s="2" t="s">
        <v>12</v>
      </c>
      <c r="B25" s="11">
        <f t="shared" si="0"/>
        <v>24</v>
      </c>
      <c r="C25" s="12">
        <v>6</v>
      </c>
      <c r="D25" s="12">
        <v>2022</v>
      </c>
      <c r="E25" s="13">
        <f>IF(('DAILY READINGS'!B30-'DAILY READINGS'!B29)&gt;0,('DAILY READINGS'!B30-'DAILY READINGS'!B29),0)</f>
        <v>6138</v>
      </c>
      <c r="F25" s="10">
        <v>0.49</v>
      </c>
      <c r="G25" s="13">
        <f>IF(('DAILY READINGS'!D30-'DAILY READINGS'!D29)+('DAILY READINGS'!E30-'DAILY READINGS'!E29)&gt;0,('DAILY READINGS'!D30-'DAILY READINGS'!D29)+('DAILY READINGS'!E30-'DAILY READINGS'!E29),0)</f>
        <v>164</v>
      </c>
      <c r="H25" s="10">
        <v>1.61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93</v>
      </c>
      <c r="J25" s="10">
        <v>1.45</v>
      </c>
      <c r="K25" s="13">
        <f>'DAILY READINGS'!K30</f>
        <v>59</v>
      </c>
      <c r="L25" s="8">
        <f>'DAILY READINGS'!L30</f>
        <v>112</v>
      </c>
    </row>
    <row r="26" spans="1:12">
      <c r="A26" s="2" t="s">
        <v>12</v>
      </c>
      <c r="B26" s="11">
        <f t="shared" si="0"/>
        <v>25</v>
      </c>
      <c r="C26" s="12">
        <v>6</v>
      </c>
      <c r="D26" s="12">
        <v>2022</v>
      </c>
      <c r="E26" s="13">
        <f>IF(('DAILY READINGS'!B31-'DAILY READINGS'!B30)&gt;0,('DAILY READINGS'!B31-'DAILY READINGS'!B30),0)</f>
        <v>6728</v>
      </c>
      <c r="F26" s="10">
        <v>0.49</v>
      </c>
      <c r="G26" s="13">
        <f>IF(('DAILY READINGS'!D31-'DAILY READINGS'!D30)+('DAILY READINGS'!E31-'DAILY READINGS'!E30)&gt;0,('DAILY READINGS'!D31-'DAILY READINGS'!D30)+('DAILY READINGS'!E31-'DAILY READINGS'!E30),0)</f>
        <v>226</v>
      </c>
      <c r="H26" s="10">
        <v>1.61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102</v>
      </c>
      <c r="J26" s="10">
        <v>1.45</v>
      </c>
      <c r="K26" s="13">
        <f>'DAILY READINGS'!K31</f>
        <v>72</v>
      </c>
      <c r="L26" s="8">
        <f>'DAILY READINGS'!L31</f>
        <v>129</v>
      </c>
    </row>
    <row r="27" spans="1:12">
      <c r="A27" s="2" t="s">
        <v>12</v>
      </c>
      <c r="B27" s="11">
        <f t="shared" si="0"/>
        <v>26</v>
      </c>
      <c r="C27" s="12">
        <v>6</v>
      </c>
      <c r="D27" s="12">
        <v>2022</v>
      </c>
      <c r="E27" s="13">
        <f>IF(('DAILY READINGS'!B32-'DAILY READINGS'!B31)&gt;0,('DAILY READINGS'!B32-'DAILY READINGS'!B31),0)</f>
        <v>6970</v>
      </c>
      <c r="F27" s="10">
        <v>0.49</v>
      </c>
      <c r="G27" s="13">
        <f>IF(('DAILY READINGS'!D32-'DAILY READINGS'!D31)+('DAILY READINGS'!E32-'DAILY READINGS'!E31)&gt;0,('DAILY READINGS'!D32-'DAILY READINGS'!D31)+('DAILY READINGS'!E32-'DAILY READINGS'!E31),0)</f>
        <v>212</v>
      </c>
      <c r="H27" s="10">
        <v>1.61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90</v>
      </c>
      <c r="J27" s="10">
        <v>1.45</v>
      </c>
      <c r="K27" s="13">
        <f>'DAILY READINGS'!K32</f>
        <v>85</v>
      </c>
      <c r="L27" s="8">
        <f>'DAILY READINGS'!L32</f>
        <v>148</v>
      </c>
    </row>
    <row r="28" spans="1:12">
      <c r="A28" s="2" t="s">
        <v>12</v>
      </c>
      <c r="B28" s="11">
        <f t="shared" si="0"/>
        <v>27</v>
      </c>
      <c r="C28" s="12">
        <v>6</v>
      </c>
      <c r="D28" s="12">
        <v>2022</v>
      </c>
      <c r="E28" s="13">
        <f>IF(('DAILY READINGS'!B33-'DAILY READINGS'!B32)&gt;0,('DAILY READINGS'!B33-'DAILY READINGS'!B32),0)</f>
        <v>6454</v>
      </c>
      <c r="F28" s="10">
        <v>0.49</v>
      </c>
      <c r="G28" s="13">
        <f>IF(('DAILY READINGS'!D33-'DAILY READINGS'!D32)+('DAILY READINGS'!E33-'DAILY READINGS'!E32)&gt;0,('DAILY READINGS'!D33-'DAILY READINGS'!D32)+('DAILY READINGS'!E33-'DAILY READINGS'!E32),0)</f>
        <v>205</v>
      </c>
      <c r="H28" s="10">
        <v>1.61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22</v>
      </c>
      <c r="J28" s="10">
        <v>1.45</v>
      </c>
      <c r="K28" s="13">
        <f>'DAILY READINGS'!K33</f>
        <v>78</v>
      </c>
      <c r="L28" s="8">
        <f>'DAILY READINGS'!L33</f>
        <v>137</v>
      </c>
    </row>
    <row r="29" spans="1:12">
      <c r="A29" s="2" t="s">
        <v>12</v>
      </c>
      <c r="B29" s="11">
        <f t="shared" si="0"/>
        <v>28</v>
      </c>
      <c r="C29" s="12">
        <v>6</v>
      </c>
      <c r="D29" s="12">
        <v>2022</v>
      </c>
      <c r="E29" s="13">
        <f>IF(('DAILY READINGS'!B34-'DAILY READINGS'!B33)&gt;0,('DAILY READINGS'!B34-'DAILY READINGS'!B33),0)</f>
        <v>6864</v>
      </c>
      <c r="F29" s="10">
        <v>0.49</v>
      </c>
      <c r="G29" s="13">
        <f>IF(('DAILY READINGS'!D34-'DAILY READINGS'!D33)+('DAILY READINGS'!E34-'DAILY READINGS'!E33)&gt;0,('DAILY READINGS'!D34-'DAILY READINGS'!D33)+('DAILY READINGS'!E34-'DAILY READINGS'!E33),0)</f>
        <v>211</v>
      </c>
      <c r="H29" s="10">
        <v>1.61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168</v>
      </c>
      <c r="J29" s="10">
        <v>1.45</v>
      </c>
      <c r="K29" s="13">
        <f>'DAILY READINGS'!K34</f>
        <v>80</v>
      </c>
      <c r="L29" s="8">
        <f>'DAILY READINGS'!L34</f>
        <v>140</v>
      </c>
    </row>
    <row r="30" spans="1:12">
      <c r="A30" s="2" t="s">
        <v>12</v>
      </c>
      <c r="B30" s="11">
        <f t="shared" si="0"/>
        <v>29</v>
      </c>
      <c r="C30" s="12">
        <v>6</v>
      </c>
      <c r="D30" s="12">
        <v>2022</v>
      </c>
      <c r="E30" s="13">
        <f>IF(('DAILY READINGS'!B35-'DAILY READINGS'!B34)&gt;0,('DAILY READINGS'!B35-'DAILY READINGS'!B34),0)</f>
        <v>5786</v>
      </c>
      <c r="F30" s="10">
        <v>0.49</v>
      </c>
      <c r="G30" s="13">
        <f>IF(('DAILY READINGS'!D35-'DAILY READINGS'!D34)+('DAILY READINGS'!E35-'DAILY READINGS'!E34)&gt;0,('DAILY READINGS'!D35-'DAILY READINGS'!D34)+('DAILY READINGS'!E35-'DAILY READINGS'!E34),0)</f>
        <v>205</v>
      </c>
      <c r="H30" s="10">
        <v>1.61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60</v>
      </c>
      <c r="J30" s="10">
        <v>1.45</v>
      </c>
      <c r="K30" s="13">
        <f>'DAILY READINGS'!K35</f>
        <v>80</v>
      </c>
      <c r="L30" s="8">
        <f>'DAILY READINGS'!L35</f>
        <v>143</v>
      </c>
    </row>
    <row r="31" spans="1:12">
      <c r="A31" s="2" t="s">
        <v>12</v>
      </c>
      <c r="B31" s="11">
        <f t="shared" si="0"/>
        <v>30</v>
      </c>
      <c r="C31" s="12">
        <v>6</v>
      </c>
      <c r="D31" s="12">
        <v>2022</v>
      </c>
      <c r="E31" s="13">
        <f>IF(('DAILY READINGS'!B36-'DAILY READINGS'!B35)&gt;0,('DAILY READINGS'!B36-'DAILY READINGS'!B35),0)</f>
        <v>7286</v>
      </c>
      <c r="F31" s="10">
        <v>0.49</v>
      </c>
      <c r="G31" s="13">
        <f>IF(('DAILY READINGS'!D36-'DAILY READINGS'!D35)+('DAILY READINGS'!E36-'DAILY READINGS'!E35)&gt;0,('DAILY READINGS'!D36-'DAILY READINGS'!D35)+('DAILY READINGS'!E36-'DAILY READINGS'!E35),0)</f>
        <v>277</v>
      </c>
      <c r="H31" s="10">
        <v>1.61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95</v>
      </c>
      <c r="J31" s="10">
        <v>1.45</v>
      </c>
      <c r="K31" s="13">
        <f>'DAILY READINGS'!K36</f>
        <v>80</v>
      </c>
      <c r="L31" s="8">
        <f>'DAILY READINGS'!L36</f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A6" workbookViewId="0">
      <selection activeCell="S75" sqref="S75"/>
    </sheetView>
  </sheetViews>
  <sheetFormatPr defaultColWidth="11.5703125" defaultRowHeight="15"/>
  <cols>
    <col min="1" max="1" width="22.28515625" style="24" bestFit="1" customWidth="1"/>
    <col min="2" max="3" width="11.5703125" style="23"/>
    <col min="4" max="4" width="13.42578125" style="23" customWidth="1"/>
    <col min="5" max="12" width="12.5703125" style="13" customWidth="1"/>
  </cols>
  <sheetData>
    <row r="1" spans="1:14" s="2" customFormat="1" ht="81">
      <c r="A1" s="21" t="s">
        <v>0</v>
      </c>
      <c r="B1" s="18" t="s">
        <v>1</v>
      </c>
      <c r="C1" s="18" t="s">
        <v>2</v>
      </c>
      <c r="D1" s="18" t="s">
        <v>3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14" t="s">
        <v>10</v>
      </c>
      <c r="N1" s="14" t="s">
        <v>11</v>
      </c>
    </row>
    <row r="2" spans="1:14">
      <c r="A2" s="8" t="s">
        <v>12</v>
      </c>
      <c r="B2" s="23">
        <v>1</v>
      </c>
      <c r="C2" s="23">
        <v>6</v>
      </c>
      <c r="D2" s="23">
        <v>2022</v>
      </c>
      <c r="E2" s="13">
        <f>IF(('DAILY READINGS'!B7-'DAILY READINGS'!B6)&gt;0,('DAILY READINGS'!B7-'DAILY READINGS'!B6),0)</f>
        <v>8136</v>
      </c>
      <c r="F2" s="13">
        <f>IF(('DAILY READINGS'!D7-'DAILY READINGS'!D6)&gt;0,('DAILY READINGS'!D7-'DAILY READINGS'!D6),0)</f>
        <v>74</v>
      </c>
      <c r="G2" s="13">
        <f>IF(('DAILY READINGS'!E7-'DAILY READINGS'!E6)&gt;0,('DAILY READINGS'!E7-'DAILY READINGS'!E6),0)</f>
        <v>136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44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74</v>
      </c>
      <c r="N2" s="8">
        <f>'DAILY READINGS'!L7</f>
        <v>157</v>
      </c>
    </row>
    <row r="3" spans="1:14">
      <c r="A3" s="8" t="s">
        <v>12</v>
      </c>
      <c r="B3" s="23">
        <f>B2+1</f>
        <v>2</v>
      </c>
      <c r="C3" s="23">
        <v>6</v>
      </c>
      <c r="D3" s="23">
        <v>2022</v>
      </c>
      <c r="E3" s="13">
        <f>IF(('DAILY READINGS'!B8-'DAILY READINGS'!B7)&gt;0,('DAILY READINGS'!B8-'DAILY READINGS'!B7),0)</f>
        <v>8470</v>
      </c>
      <c r="F3" s="13">
        <f>IF(('DAILY READINGS'!D8-'DAILY READINGS'!D7)&gt;0,('DAILY READINGS'!D8-'DAILY READINGS'!D7),0)</f>
        <v>69</v>
      </c>
      <c r="G3" s="13">
        <f>IF(('DAILY READINGS'!E8-'DAILY READINGS'!E7)&gt;0,('DAILY READINGS'!E8-'DAILY READINGS'!E7),0)</f>
        <v>149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80</v>
      </c>
      <c r="M3" s="13">
        <f>'DAILY READINGS'!K8</f>
        <v>70</v>
      </c>
      <c r="N3" s="8">
        <f>'DAILY READINGS'!L8</f>
        <v>143</v>
      </c>
    </row>
    <row r="4" spans="1:14">
      <c r="A4" s="8" t="s">
        <v>12</v>
      </c>
      <c r="B4" s="23">
        <f t="shared" ref="B4:B31" si="0">B3+1</f>
        <v>3</v>
      </c>
      <c r="C4" s="23">
        <v>6</v>
      </c>
      <c r="D4" s="23">
        <v>2022</v>
      </c>
      <c r="E4" s="13">
        <f>IF(('DAILY READINGS'!B9-'DAILY READINGS'!B8)&gt;0,('DAILY READINGS'!B9-'DAILY READINGS'!B8),0)</f>
        <v>7848</v>
      </c>
      <c r="F4" s="13">
        <f>IF(('DAILY READINGS'!D9-'DAILY READINGS'!D8)&gt;0,('DAILY READINGS'!D9-'DAILY READINGS'!D8),0)</f>
        <v>67</v>
      </c>
      <c r="G4" s="13">
        <f>IF(('DAILY READINGS'!E9-'DAILY READINGS'!E8)&gt;0,('DAILY READINGS'!E9-'DAILY READINGS'!E8),0)</f>
        <v>84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29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73</v>
      </c>
      <c r="M4" s="13">
        <f>'DAILY READINGS'!K9</f>
        <v>76</v>
      </c>
      <c r="N4" s="8">
        <f>'DAILY READINGS'!L9</f>
        <v>153</v>
      </c>
    </row>
    <row r="5" spans="1:14">
      <c r="A5" s="8" t="s">
        <v>12</v>
      </c>
      <c r="B5" s="23">
        <f t="shared" si="0"/>
        <v>4</v>
      </c>
      <c r="C5" s="23">
        <v>6</v>
      </c>
      <c r="D5" s="23">
        <v>2022</v>
      </c>
      <c r="E5" s="13">
        <f>IF(('DAILY READINGS'!B10-'DAILY READINGS'!B9)&gt;0,('DAILY READINGS'!B10-'DAILY READINGS'!B9),0)</f>
        <v>8878</v>
      </c>
      <c r="F5" s="13">
        <f>IF(('DAILY READINGS'!D10-'DAILY READINGS'!D9)&gt;0,('DAILY READINGS'!D10-'DAILY READINGS'!D9),0)</f>
        <v>75</v>
      </c>
      <c r="G5" s="13">
        <f>IF(('DAILY READINGS'!E10-'DAILY READINGS'!E9)&gt;0,('DAILY READINGS'!E10-'DAILY READINGS'!E9),0)</f>
        <v>189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38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83</v>
      </c>
      <c r="N5" s="8">
        <f>'DAILY READINGS'!L10</f>
        <v>154</v>
      </c>
    </row>
    <row r="6" spans="1:14">
      <c r="A6" s="8" t="s">
        <v>12</v>
      </c>
      <c r="B6" s="23">
        <f t="shared" si="0"/>
        <v>5</v>
      </c>
      <c r="C6" s="23">
        <v>6</v>
      </c>
      <c r="D6" s="23">
        <v>2022</v>
      </c>
      <c r="E6" s="13">
        <f>IF(('DAILY READINGS'!B11-'DAILY READINGS'!B10)&gt;0,('DAILY READINGS'!B11-'DAILY READINGS'!B10),0)</f>
        <v>7866</v>
      </c>
      <c r="F6" s="13">
        <f>IF(('DAILY READINGS'!D11-'DAILY READINGS'!D10)&gt;0,('DAILY READINGS'!D11-'DAILY READINGS'!D10),0)</f>
        <v>66</v>
      </c>
      <c r="G6" s="13">
        <f>IF(('DAILY READINGS'!E11-'DAILY READINGS'!E10)&gt;0,('DAILY READINGS'!E11-'DAILY READINGS'!E10),0)</f>
        <v>132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41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89</v>
      </c>
      <c r="M6" s="13">
        <f>'DAILY READINGS'!K11</f>
        <v>75</v>
      </c>
      <c r="N6" s="8">
        <f>'DAILY READINGS'!L11</f>
        <v>137</v>
      </c>
    </row>
    <row r="7" spans="1:14">
      <c r="A7" s="8" t="s">
        <v>12</v>
      </c>
      <c r="B7" s="23">
        <f t="shared" si="0"/>
        <v>6</v>
      </c>
      <c r="C7" s="23">
        <v>6</v>
      </c>
      <c r="D7" s="23">
        <v>2022</v>
      </c>
      <c r="E7" s="13">
        <f>IF(('DAILY READINGS'!B12-'DAILY READINGS'!B11)&gt;0,('DAILY READINGS'!B12-'DAILY READINGS'!B11),0)</f>
        <v>9918</v>
      </c>
      <c r="F7" s="13">
        <f>IF(('DAILY READINGS'!D12-'DAILY READINGS'!D11)&gt;0,('DAILY READINGS'!D12-'DAILY READINGS'!D11),0)</f>
        <v>79</v>
      </c>
      <c r="G7" s="13">
        <f>IF(('DAILY READINGS'!E12-'DAILY READINGS'!E11)&gt;0,('DAILY READINGS'!E12-'DAILY READINGS'!E11),0)</f>
        <v>160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41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78</v>
      </c>
      <c r="M7" s="13">
        <f>'DAILY READINGS'!K12</f>
        <v>65</v>
      </c>
      <c r="N7" s="8">
        <f>'DAILY READINGS'!L12</f>
        <v>124</v>
      </c>
    </row>
    <row r="8" spans="1:14">
      <c r="A8" s="8" t="s">
        <v>12</v>
      </c>
      <c r="B8" s="23">
        <f t="shared" si="0"/>
        <v>7</v>
      </c>
      <c r="C8" s="23">
        <v>6</v>
      </c>
      <c r="D8" s="23">
        <v>2022</v>
      </c>
      <c r="E8" s="13">
        <f>IF(('DAILY READINGS'!B13-'DAILY READINGS'!B12)&gt;0,('DAILY READINGS'!B13-'DAILY READINGS'!B12),0)</f>
        <v>8706</v>
      </c>
      <c r="F8" s="13">
        <f>IF(('DAILY READINGS'!D13-'DAILY READINGS'!D12)&gt;0,('DAILY READINGS'!D13-'DAILY READINGS'!D12),0)</f>
        <v>72</v>
      </c>
      <c r="G8" s="13">
        <f>IF(('DAILY READINGS'!E13-'DAILY READINGS'!E12)&gt;0,('DAILY READINGS'!E13-'DAILY READINGS'!E12),0)</f>
        <v>133</v>
      </c>
      <c r="H8" s="13">
        <f>IF(('DAILY READINGS'!F13-'DAILY READINGS'!F12)&gt;0,('DAILY READINGS'!F13-'DAILY READINGS'!F12),0)</f>
        <v>4</v>
      </c>
      <c r="I8" s="13">
        <f>IF(('DAILY READINGS'!G13-'DAILY READINGS'!G12)&gt;0,('DAILY READINGS'!G13-'DAILY READINGS'!G12),0)</f>
        <v>38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78</v>
      </c>
      <c r="M8" s="13">
        <f>'DAILY READINGS'!K13</f>
        <v>81</v>
      </c>
      <c r="N8" s="8">
        <f>'DAILY READINGS'!L13</f>
        <v>149</v>
      </c>
    </row>
    <row r="9" spans="1:14">
      <c r="A9" s="8" t="s">
        <v>12</v>
      </c>
      <c r="B9" s="23">
        <f t="shared" si="0"/>
        <v>8</v>
      </c>
      <c r="C9" s="23">
        <v>6</v>
      </c>
      <c r="D9" s="23">
        <v>2022</v>
      </c>
      <c r="E9" s="13">
        <f>IF(('DAILY READINGS'!B14-'DAILY READINGS'!B13)&gt;0,('DAILY READINGS'!B14-'DAILY READINGS'!B13),0)</f>
        <v>8794</v>
      </c>
      <c r="F9" s="13">
        <f>IF(('DAILY READINGS'!D14-'DAILY READINGS'!D13)&gt;0,('DAILY READINGS'!D14-'DAILY READINGS'!D13),0)</f>
        <v>80</v>
      </c>
      <c r="G9" s="13">
        <f>IF(('DAILY READINGS'!E14-'DAILY READINGS'!E13)&gt;0,('DAILY READINGS'!E14-'DAILY READINGS'!E13),0)</f>
        <v>132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14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41</v>
      </c>
      <c r="M9" s="13">
        <f>'DAILY READINGS'!K14</f>
        <v>97</v>
      </c>
      <c r="N9" s="8">
        <f>'DAILY READINGS'!L14</f>
        <v>177</v>
      </c>
    </row>
    <row r="10" spans="1:14">
      <c r="A10" s="8" t="s">
        <v>12</v>
      </c>
      <c r="B10" s="23">
        <f t="shared" si="0"/>
        <v>9</v>
      </c>
      <c r="C10" s="23">
        <v>6</v>
      </c>
      <c r="D10" s="23">
        <v>2022</v>
      </c>
      <c r="E10" s="13">
        <f>IF(('DAILY READINGS'!B15-'DAILY READINGS'!B14)&gt;0,('DAILY READINGS'!B15-'DAILY READINGS'!B14),0)</f>
        <v>8668</v>
      </c>
      <c r="F10" s="13">
        <f>IF(('DAILY READINGS'!D15-'DAILY READINGS'!D14)&gt;0,('DAILY READINGS'!D15-'DAILY READINGS'!D14),0)</f>
        <v>71</v>
      </c>
      <c r="G10" s="13">
        <f>IF(('DAILY READINGS'!E15-'DAILY READINGS'!E14)&gt;0,('DAILY READINGS'!E15-'DAILY READINGS'!E14),0)</f>
        <v>126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52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1</v>
      </c>
      <c r="L10" s="13">
        <f>IF(('DAILY READINGS'!J15-'DAILY READINGS'!J14)&gt;0,('DAILY READINGS'!J15-'DAILY READINGS'!J14),0)</f>
        <v>88</v>
      </c>
      <c r="M10" s="13">
        <f>'DAILY READINGS'!K15</f>
        <v>100</v>
      </c>
      <c r="N10" s="8">
        <f>'DAILY READINGS'!L15</f>
        <v>183</v>
      </c>
    </row>
    <row r="11" spans="1:14">
      <c r="A11" s="8" t="s">
        <v>12</v>
      </c>
      <c r="B11" s="23">
        <f t="shared" si="0"/>
        <v>10</v>
      </c>
      <c r="C11" s="23">
        <v>6</v>
      </c>
      <c r="D11" s="23">
        <v>2022</v>
      </c>
      <c r="E11" s="13">
        <f>IF(('DAILY READINGS'!B16-'DAILY READINGS'!B15)&gt;0,('DAILY READINGS'!B16-'DAILY READINGS'!B15),0)</f>
        <v>11158</v>
      </c>
      <c r="F11" s="13">
        <f>IF(('DAILY READINGS'!D16-'DAILY READINGS'!D15)&gt;0,('DAILY READINGS'!D16-'DAILY READINGS'!D15),0)</f>
        <v>88</v>
      </c>
      <c r="G11" s="13">
        <f>IF(('DAILY READINGS'!E16-'DAILY READINGS'!E15)&gt;0,('DAILY READINGS'!E16-'DAILY READINGS'!E15),0)</f>
        <v>149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64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1</v>
      </c>
      <c r="L11" s="13">
        <f>IF(('DAILY READINGS'!J16-'DAILY READINGS'!J15)&gt;0,('DAILY READINGS'!J16-'DAILY READINGS'!J15),0)</f>
        <v>127</v>
      </c>
      <c r="M11" s="13">
        <f>'DAILY READINGS'!K16</f>
        <v>85</v>
      </c>
      <c r="N11" s="8">
        <f>'DAILY READINGS'!L16</f>
        <v>162</v>
      </c>
    </row>
    <row r="12" spans="1:14">
      <c r="A12" s="8" t="s">
        <v>12</v>
      </c>
      <c r="B12" s="23">
        <f t="shared" si="0"/>
        <v>11</v>
      </c>
      <c r="C12" s="23">
        <v>6</v>
      </c>
      <c r="D12" s="23">
        <v>2022</v>
      </c>
      <c r="E12" s="13">
        <f>IF(('DAILY READINGS'!B17-'DAILY READINGS'!B16)&gt;0,('DAILY READINGS'!B17-'DAILY READINGS'!B16),0)</f>
        <v>8756</v>
      </c>
      <c r="F12" s="13">
        <f>IF(('DAILY READINGS'!D17-'DAILY READINGS'!D16)&gt;0,('DAILY READINGS'!D17-'DAILY READINGS'!D16),0)</f>
        <v>73</v>
      </c>
      <c r="G12" s="13">
        <f>IF(('DAILY READINGS'!E17-'DAILY READINGS'!E16)&gt;0,('DAILY READINGS'!E17-'DAILY READINGS'!E16),0)</f>
        <v>128</v>
      </c>
      <c r="H12" s="13">
        <f>IF(('DAILY READINGS'!F17-'DAILY READINGS'!F16)&gt;0,('DAILY READINGS'!F17-'DAILY READINGS'!F16),0)</f>
        <v>0</v>
      </c>
      <c r="I12" s="13">
        <f>IF(('DAILY READINGS'!G17-'DAILY READINGS'!G16)&gt;0,('DAILY READINGS'!G17-'DAILY READINGS'!G16),0)</f>
        <v>35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72</v>
      </c>
      <c r="M12" s="13">
        <f>'DAILY READINGS'!K17</f>
        <v>67</v>
      </c>
      <c r="N12" s="8">
        <f>'DAILY READINGS'!L17</f>
        <v>132</v>
      </c>
    </row>
    <row r="13" spans="1:14">
      <c r="A13" s="8" t="s">
        <v>12</v>
      </c>
      <c r="B13" s="23">
        <f t="shared" si="0"/>
        <v>12</v>
      </c>
      <c r="C13" s="23">
        <v>6</v>
      </c>
      <c r="D13" s="23">
        <v>2022</v>
      </c>
      <c r="E13" s="13">
        <f>IF(('DAILY READINGS'!B18-'DAILY READINGS'!B17)&gt;0,('DAILY READINGS'!B18-'DAILY READINGS'!B17),0)</f>
        <v>7772</v>
      </c>
      <c r="F13" s="13">
        <f>IF(('DAILY READINGS'!D18-'DAILY READINGS'!D17)&gt;0,('DAILY READINGS'!D18-'DAILY READINGS'!D17),0)</f>
        <v>76</v>
      </c>
      <c r="G13" s="13">
        <f>IF(('DAILY READINGS'!E18-'DAILY READINGS'!E17)&gt;0,('DAILY READINGS'!E18-'DAILY READINGS'!E17),0)</f>
        <v>135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43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79</v>
      </c>
      <c r="M13" s="13">
        <f>'DAILY READINGS'!K18</f>
        <v>76</v>
      </c>
      <c r="N13" s="8">
        <f>'DAILY READINGS'!L18</f>
        <v>138</v>
      </c>
    </row>
    <row r="14" spans="1:14">
      <c r="A14" s="8" t="s">
        <v>12</v>
      </c>
      <c r="B14" s="23">
        <f t="shared" si="0"/>
        <v>13</v>
      </c>
      <c r="C14" s="23">
        <v>6</v>
      </c>
      <c r="D14" s="23">
        <v>2022</v>
      </c>
      <c r="E14" s="13">
        <f>IF(('DAILY READINGS'!B19-'DAILY READINGS'!B18)&gt;0,('DAILY READINGS'!B19-'DAILY READINGS'!B18),0)</f>
        <v>7972</v>
      </c>
      <c r="F14" s="13">
        <f>IF(('DAILY READINGS'!D19-'DAILY READINGS'!D18)&gt;0,('DAILY READINGS'!D19-'DAILY READINGS'!D18),0)</f>
        <v>71</v>
      </c>
      <c r="G14" s="13">
        <f>IF(('DAILY READINGS'!E19-'DAILY READINGS'!E18)&gt;0,('DAILY READINGS'!E19-'DAILY READINGS'!E18),0)</f>
        <v>126</v>
      </c>
      <c r="H14" s="13">
        <f>IF(('DAILY READINGS'!F19-'DAILY READINGS'!F18)&gt;0,('DAILY READINGS'!F19-'DAILY READINGS'!F18),0)</f>
        <v>2</v>
      </c>
      <c r="I14" s="13">
        <f>IF(('DAILY READINGS'!G19-'DAILY READINGS'!G18)&gt;0,('DAILY READINGS'!G19-'DAILY READINGS'!G18),0)</f>
        <v>20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2</v>
      </c>
      <c r="L14" s="13">
        <f>IF(('DAILY READINGS'!J19-'DAILY READINGS'!J18)&gt;0,('DAILY READINGS'!J19-'DAILY READINGS'!J18),0)</f>
        <v>52</v>
      </c>
      <c r="M14" s="13">
        <f>'DAILY READINGS'!K19</f>
        <v>77</v>
      </c>
      <c r="N14" s="8">
        <f>'DAILY READINGS'!L19</f>
        <v>141</v>
      </c>
    </row>
    <row r="15" spans="1:14">
      <c r="A15" s="8" t="s">
        <v>12</v>
      </c>
      <c r="B15" s="23">
        <f t="shared" si="0"/>
        <v>14</v>
      </c>
      <c r="C15" s="23">
        <v>6</v>
      </c>
      <c r="D15" s="23">
        <v>2022</v>
      </c>
      <c r="E15" s="13">
        <f>IF(('DAILY READINGS'!B20-'DAILY READINGS'!B19)&gt;0,('DAILY READINGS'!B20-'DAILY READINGS'!B19),0)</f>
        <v>7972</v>
      </c>
      <c r="F15" s="13">
        <f>IF(('DAILY READINGS'!D20-'DAILY READINGS'!D19)&gt;0,('DAILY READINGS'!D20-'DAILY READINGS'!D19),0)</f>
        <v>75</v>
      </c>
      <c r="G15" s="13">
        <f>IF(('DAILY READINGS'!E20-'DAILY READINGS'!E19)&gt;0,('DAILY READINGS'!E20-'DAILY READINGS'!E19),0)</f>
        <v>130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20</v>
      </c>
      <c r="M15" s="13">
        <f>'DAILY READINGS'!K20</f>
        <v>78</v>
      </c>
      <c r="N15" s="8">
        <f>'DAILY READINGS'!L20</f>
        <v>140</v>
      </c>
    </row>
    <row r="16" spans="1:14">
      <c r="A16" s="8" t="s">
        <v>12</v>
      </c>
      <c r="B16" s="23">
        <f t="shared" si="0"/>
        <v>15</v>
      </c>
      <c r="C16" s="23">
        <v>6</v>
      </c>
      <c r="D16" s="23">
        <v>2022</v>
      </c>
      <c r="E16" s="13">
        <f>IF(('DAILY READINGS'!B21-'DAILY READINGS'!B20)&gt;0,('DAILY READINGS'!B21-'DAILY READINGS'!B20),0)</f>
        <v>8658</v>
      </c>
      <c r="F16" s="13">
        <f>IF(('DAILY READINGS'!D21-'DAILY READINGS'!D20)&gt;0,('DAILY READINGS'!D21-'DAILY READINGS'!D20),0)</f>
        <v>68</v>
      </c>
      <c r="G16" s="13">
        <f>IF(('DAILY READINGS'!E21-'DAILY READINGS'!E20)&gt;0,('DAILY READINGS'!E21-'DAILY READINGS'!E20),0)</f>
        <v>121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45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96</v>
      </c>
      <c r="M16" s="13">
        <f>'DAILY READINGS'!K21</f>
        <v>67</v>
      </c>
      <c r="N16" s="8">
        <f>'DAILY READINGS'!L21</f>
        <v>134</v>
      </c>
    </row>
    <row r="17" spans="1:14">
      <c r="A17" s="8" t="s">
        <v>12</v>
      </c>
      <c r="B17" s="23">
        <f t="shared" si="0"/>
        <v>16</v>
      </c>
      <c r="C17" s="23">
        <v>6</v>
      </c>
      <c r="D17" s="23">
        <v>2022</v>
      </c>
      <c r="E17" s="13">
        <f>IF(('DAILY READINGS'!B22-'DAILY READINGS'!B21)&gt;0,('DAILY READINGS'!B22-'DAILY READINGS'!B21),0)</f>
        <v>9046</v>
      </c>
      <c r="F17" s="13">
        <f>IF(('DAILY READINGS'!D22-'DAILY READINGS'!D21)&gt;0,('DAILY READINGS'!D22-'DAILY READINGS'!D21),0)</f>
        <v>80</v>
      </c>
      <c r="G17" s="13">
        <f>IF(('DAILY READINGS'!E22-'DAILY READINGS'!E21)&gt;0,('DAILY READINGS'!E22-'DAILY READINGS'!E21),0)</f>
        <v>138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73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3</v>
      </c>
      <c r="L17" s="13">
        <f>IF(('DAILY READINGS'!J22-'DAILY READINGS'!J21)&gt;0,('DAILY READINGS'!J22-'DAILY READINGS'!J21),0)</f>
        <v>32</v>
      </c>
      <c r="M17" s="13">
        <f>'DAILY READINGS'!K22</f>
        <v>78</v>
      </c>
      <c r="N17" s="8">
        <f>'DAILY READINGS'!L22</f>
        <v>135</v>
      </c>
    </row>
    <row r="18" spans="1:14">
      <c r="A18" s="8" t="s">
        <v>12</v>
      </c>
      <c r="B18" s="23">
        <f t="shared" si="0"/>
        <v>17</v>
      </c>
      <c r="C18" s="23">
        <v>6</v>
      </c>
      <c r="D18" s="23">
        <v>2022</v>
      </c>
      <c r="E18" s="13">
        <f>IF(('DAILY READINGS'!B23-'DAILY READINGS'!B22)&gt;0,('DAILY READINGS'!B23-'DAILY READINGS'!B22),0)</f>
        <v>8510</v>
      </c>
      <c r="F18" s="13">
        <f>IF(('DAILY READINGS'!D23-'DAILY READINGS'!D22)&gt;0,('DAILY READINGS'!D23-'DAILY READINGS'!D22),0)</f>
        <v>73</v>
      </c>
      <c r="G18" s="13">
        <f>IF(('DAILY READINGS'!E23-'DAILY READINGS'!E22)&gt;0,('DAILY READINGS'!E23-'DAILY READINGS'!E22),0)</f>
        <v>129</v>
      </c>
      <c r="H18" s="13">
        <f>IF(('DAILY READINGS'!F23-'DAILY READINGS'!F22)&gt;0,('DAILY READINGS'!F23-'DAILY READINGS'!F22),0)</f>
        <v>4</v>
      </c>
      <c r="I18" s="13">
        <f>IF(('DAILY READINGS'!G23-'DAILY READINGS'!G22)&gt;0,('DAILY READINGS'!G23-'DAILY READINGS'!G22),0)</f>
        <v>34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167</v>
      </c>
      <c r="M18" s="13">
        <f>'DAILY READINGS'!K23</f>
        <v>82</v>
      </c>
      <c r="N18" s="8">
        <f>'DAILY READINGS'!L23</f>
        <v>146</v>
      </c>
    </row>
    <row r="19" spans="1:14">
      <c r="A19" s="8" t="s">
        <v>12</v>
      </c>
      <c r="B19" s="23">
        <f t="shared" si="0"/>
        <v>18</v>
      </c>
      <c r="C19" s="23">
        <v>6</v>
      </c>
      <c r="D19" s="23">
        <v>2022</v>
      </c>
      <c r="E19" s="13">
        <f>IF(('DAILY READINGS'!B24-'DAILY READINGS'!B23)&gt;0,('DAILY READINGS'!B24-'DAILY READINGS'!B23),0)</f>
        <v>7480</v>
      </c>
      <c r="F19" s="13">
        <f>IF(('DAILY READINGS'!D24-'DAILY READINGS'!D23)&gt;0,('DAILY READINGS'!D24-'DAILY READINGS'!D23),0)</f>
        <v>72</v>
      </c>
      <c r="G19" s="13">
        <f>IF(('DAILY READINGS'!E24-'DAILY READINGS'!E23)&gt;0,('DAILY READINGS'!E24-'DAILY READINGS'!E23),0)</f>
        <v>139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36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69</v>
      </c>
      <c r="M19" s="13">
        <f>'DAILY READINGS'!K24</f>
        <v>79</v>
      </c>
      <c r="N19" s="8">
        <f>'DAILY READINGS'!L24</f>
        <v>140</v>
      </c>
    </row>
    <row r="20" spans="1:14">
      <c r="A20" s="8" t="s">
        <v>12</v>
      </c>
      <c r="B20" s="23">
        <f t="shared" si="0"/>
        <v>19</v>
      </c>
      <c r="C20" s="23">
        <v>6</v>
      </c>
      <c r="D20" s="23">
        <v>2022</v>
      </c>
      <c r="E20" s="13">
        <f>IF(('DAILY READINGS'!B25-'DAILY READINGS'!B24)&gt;0,('DAILY READINGS'!B25-'DAILY READINGS'!B24),0)</f>
        <v>7832</v>
      </c>
      <c r="F20" s="13">
        <f>IF(('DAILY READINGS'!D25-'DAILY READINGS'!D24)&gt;0,('DAILY READINGS'!D25-'DAILY READINGS'!D24),0)</f>
        <v>80</v>
      </c>
      <c r="G20" s="13">
        <f>IF(('DAILY READINGS'!E25-'DAILY READINGS'!E24)&gt;0,('DAILY READINGS'!E25-'DAILY READINGS'!E24),0)</f>
        <v>134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30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1</v>
      </c>
      <c r="L20" s="13">
        <f>IF(('DAILY READINGS'!J25-'DAILY READINGS'!J24)&gt;0,('DAILY READINGS'!J25-'DAILY READINGS'!J24),0)</f>
        <v>58</v>
      </c>
      <c r="M20" s="13">
        <f>'DAILY READINGS'!K25</f>
        <v>80</v>
      </c>
      <c r="N20" s="8">
        <f>'DAILY READINGS'!L25</f>
        <v>149</v>
      </c>
    </row>
    <row r="21" spans="1:14">
      <c r="A21" s="8" t="s">
        <v>12</v>
      </c>
      <c r="B21" s="23">
        <f t="shared" si="0"/>
        <v>20</v>
      </c>
      <c r="C21" s="23">
        <v>6</v>
      </c>
      <c r="D21" s="23">
        <v>2022</v>
      </c>
      <c r="E21" s="13">
        <f>IF(('DAILY READINGS'!B26-'DAILY READINGS'!B25)&gt;0,('DAILY READINGS'!B26-'DAILY READINGS'!B25),0)</f>
        <v>7344</v>
      </c>
      <c r="F21" s="13">
        <f>IF(('DAILY READINGS'!D26-'DAILY READINGS'!D25)&gt;0,('DAILY READINGS'!D26-'DAILY READINGS'!D25),0)</f>
        <v>77</v>
      </c>
      <c r="G21" s="13">
        <f>IF(('DAILY READINGS'!E26-'DAILY READINGS'!E25)&gt;0,('DAILY READINGS'!E26-'DAILY READINGS'!E25),0)</f>
        <v>115</v>
      </c>
      <c r="H21" s="13">
        <f>IF(('DAILY READINGS'!F26-'DAILY READINGS'!F25)&gt;0,('DAILY READINGS'!F26-'DAILY READINGS'!F25),0)</f>
        <v>1</v>
      </c>
      <c r="I21" s="13">
        <f>IF(('DAILY READINGS'!G26-'DAILY READINGS'!G25)&gt;0,('DAILY READINGS'!G26-'DAILY READINGS'!G25),0)</f>
        <v>56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86</v>
      </c>
      <c r="M21" s="13">
        <f>'DAILY READINGS'!K26</f>
        <v>68</v>
      </c>
      <c r="N21" s="8">
        <f>'DAILY READINGS'!L26</f>
        <v>139</v>
      </c>
    </row>
    <row r="22" spans="1:14">
      <c r="A22" s="8" t="s">
        <v>12</v>
      </c>
      <c r="B22" s="23">
        <f t="shared" si="0"/>
        <v>21</v>
      </c>
      <c r="C22" s="23">
        <v>6</v>
      </c>
      <c r="D22" s="23">
        <v>2022</v>
      </c>
      <c r="E22" s="13">
        <f>IF(('DAILY READINGS'!B27-'DAILY READINGS'!B26)&gt;0,('DAILY READINGS'!B27-'DAILY READINGS'!B26),0)</f>
        <v>6606</v>
      </c>
      <c r="F22" s="13">
        <f>IF(('DAILY READINGS'!D27-'DAILY READINGS'!D26)&gt;0,('DAILY READINGS'!D27-'DAILY READINGS'!D26),0)</f>
        <v>75</v>
      </c>
      <c r="G22" s="13">
        <f>IF(('DAILY READINGS'!E27-'DAILY READINGS'!E26)&gt;0,('DAILY READINGS'!E27-'DAILY READINGS'!E26),0)</f>
        <v>113</v>
      </c>
      <c r="H22" s="13">
        <f>IF(('DAILY READINGS'!F27-'DAILY READINGS'!F26)&gt;0,('DAILY READINGS'!F27-'DAILY READINGS'!F26),0)</f>
        <v>3</v>
      </c>
      <c r="I22" s="13">
        <f>IF(('DAILY READINGS'!G27-'DAILY READINGS'!G26)&gt;0,('DAILY READINGS'!G27-'DAILY READINGS'!G26),0)</f>
        <v>38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62</v>
      </c>
      <c r="M22" s="13">
        <f>'DAILY READINGS'!K27</f>
        <v>94</v>
      </c>
      <c r="N22" s="8">
        <f>'DAILY READINGS'!L27</f>
        <v>172</v>
      </c>
    </row>
    <row r="23" spans="1:14">
      <c r="A23" s="8" t="s">
        <v>12</v>
      </c>
      <c r="B23" s="23">
        <f t="shared" si="0"/>
        <v>22</v>
      </c>
      <c r="C23" s="23">
        <v>6</v>
      </c>
      <c r="D23" s="23">
        <v>2022</v>
      </c>
      <c r="E23" s="13">
        <f>IF(('DAILY READINGS'!B28-'DAILY READINGS'!B27)&gt;0,('DAILY READINGS'!B28-'DAILY READINGS'!B27),0)</f>
        <v>7016</v>
      </c>
      <c r="F23" s="13">
        <f>IF(('DAILY READINGS'!D28-'DAILY READINGS'!D27)&gt;0,('DAILY READINGS'!D28-'DAILY READINGS'!D27),0)</f>
        <v>88</v>
      </c>
      <c r="G23" s="13">
        <f>IF(('DAILY READINGS'!E28-'DAILY READINGS'!E27)&gt;0,('DAILY READINGS'!E28-'DAILY READINGS'!E27),0)</f>
        <v>127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39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65</v>
      </c>
      <c r="M23" s="13">
        <f>'DAILY READINGS'!K28</f>
        <v>99</v>
      </c>
      <c r="N23" s="8">
        <f>'DAILY READINGS'!L28</f>
        <v>178</v>
      </c>
    </row>
    <row r="24" spans="1:14">
      <c r="A24" s="8" t="s">
        <v>12</v>
      </c>
      <c r="B24" s="23">
        <f t="shared" si="0"/>
        <v>23</v>
      </c>
      <c r="C24" s="23">
        <v>6</v>
      </c>
      <c r="D24" s="23">
        <v>2022</v>
      </c>
      <c r="E24" s="13">
        <f>IF(('DAILY READINGS'!B29-'DAILY READINGS'!B28)&gt;0,('DAILY READINGS'!B29-'DAILY READINGS'!B28),0)</f>
        <v>6134</v>
      </c>
      <c r="F24" s="13">
        <f>IF(('DAILY READINGS'!D29-'DAILY READINGS'!D28)&gt;0,('DAILY READINGS'!D29-'DAILY READINGS'!D28),0)</f>
        <v>83</v>
      </c>
      <c r="G24" s="13">
        <f>IF(('DAILY READINGS'!E29-'DAILY READINGS'!E28)&gt;0,('DAILY READINGS'!E29-'DAILY READINGS'!E28),0)</f>
        <v>174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44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75</v>
      </c>
      <c r="M24" s="13">
        <f>'DAILY READINGS'!K29</f>
        <v>75</v>
      </c>
      <c r="N24" s="8">
        <f>'DAILY READINGS'!L29</f>
        <v>143</v>
      </c>
    </row>
    <row r="25" spans="1:14">
      <c r="A25" s="8" t="s">
        <v>12</v>
      </c>
      <c r="B25" s="23">
        <f t="shared" si="0"/>
        <v>24</v>
      </c>
      <c r="C25" s="23">
        <v>6</v>
      </c>
      <c r="D25" s="23">
        <v>2022</v>
      </c>
      <c r="E25" s="13">
        <f>IF(('DAILY READINGS'!B30-'DAILY READINGS'!B29)&gt;0,('DAILY READINGS'!B30-'DAILY READINGS'!B29),0)</f>
        <v>6138</v>
      </c>
      <c r="F25" s="13">
        <f>IF(('DAILY READINGS'!D30-'DAILY READINGS'!D29)&gt;0,('DAILY READINGS'!D30-'DAILY READINGS'!D29),0)</f>
        <v>80</v>
      </c>
      <c r="G25" s="13">
        <f>IF(('DAILY READINGS'!E30-'DAILY READINGS'!E29)&gt;0,('DAILY READINGS'!E30-'DAILY READINGS'!E29),0)</f>
        <v>84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33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59</v>
      </c>
      <c r="M25" s="13">
        <f>'DAILY READINGS'!K30</f>
        <v>59</v>
      </c>
      <c r="N25" s="8">
        <f>'DAILY READINGS'!L30</f>
        <v>112</v>
      </c>
    </row>
    <row r="26" spans="1:14">
      <c r="A26" s="8" t="s">
        <v>12</v>
      </c>
      <c r="B26" s="23">
        <f>B25+1</f>
        <v>25</v>
      </c>
      <c r="C26" s="23">
        <v>6</v>
      </c>
      <c r="D26" s="23">
        <v>2022</v>
      </c>
      <c r="E26" s="13">
        <f>IF(('DAILY READINGS'!B31-'DAILY READINGS'!B30)&gt;0,('DAILY READINGS'!B31-'DAILY READINGS'!B30),0)</f>
        <v>6728</v>
      </c>
      <c r="F26" s="13">
        <f>IF(('DAILY READINGS'!D31-'DAILY READINGS'!D30)&gt;0,('DAILY READINGS'!D31-'DAILY READINGS'!D30),0)</f>
        <v>79</v>
      </c>
      <c r="G26" s="13">
        <f>IF(('DAILY READINGS'!E31-'DAILY READINGS'!E30)&gt;0,('DAILY READINGS'!E31-'DAILY READINGS'!E30),0)</f>
        <v>147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37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63</v>
      </c>
      <c r="M26" s="13">
        <f>'DAILY READINGS'!K31</f>
        <v>72</v>
      </c>
      <c r="N26" s="8">
        <f>'DAILY READINGS'!L31</f>
        <v>129</v>
      </c>
    </row>
    <row r="27" spans="1:14">
      <c r="A27" s="8" t="s">
        <v>12</v>
      </c>
      <c r="B27" s="23">
        <f t="shared" si="0"/>
        <v>26</v>
      </c>
      <c r="C27" s="23">
        <v>6</v>
      </c>
      <c r="D27" s="23">
        <v>2022</v>
      </c>
      <c r="E27" s="13">
        <f>IF(('DAILY READINGS'!B32-'DAILY READINGS'!B31)&gt;0,('DAILY READINGS'!B32-'DAILY READINGS'!B31),0)</f>
        <v>6970</v>
      </c>
      <c r="F27" s="13">
        <f>IF(('DAILY READINGS'!D32-'DAILY READINGS'!D31)&gt;0,('DAILY READINGS'!D32-'DAILY READINGS'!D31),0)</f>
        <v>77</v>
      </c>
      <c r="G27" s="13">
        <f>IF(('DAILY READINGS'!E32-'DAILY READINGS'!E31)&gt;0,('DAILY READINGS'!E32-'DAILY READINGS'!E31),0)</f>
        <v>135</v>
      </c>
      <c r="H27" s="13">
        <f>IF(('DAILY READINGS'!F32-'DAILY READINGS'!F31)&gt;0,('DAILY READINGS'!F32-'DAILY READINGS'!F31),0)</f>
        <v>1</v>
      </c>
      <c r="I27" s="13">
        <f>IF(('DAILY READINGS'!G32-'DAILY READINGS'!G31)&gt;0,('DAILY READINGS'!G32-'DAILY READINGS'!G31),0)</f>
        <v>35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53</v>
      </c>
      <c r="M27" s="13">
        <f>'DAILY READINGS'!K32</f>
        <v>85</v>
      </c>
      <c r="N27" s="8">
        <f>'DAILY READINGS'!L32</f>
        <v>148</v>
      </c>
    </row>
    <row r="28" spans="1:14">
      <c r="A28" s="8" t="s">
        <v>12</v>
      </c>
      <c r="B28" s="23">
        <f t="shared" si="0"/>
        <v>27</v>
      </c>
      <c r="C28" s="23">
        <v>6</v>
      </c>
      <c r="D28" s="23">
        <v>2022</v>
      </c>
      <c r="E28" s="13">
        <f>IF(('DAILY READINGS'!B33-'DAILY READINGS'!B32)&gt;0,('DAILY READINGS'!B33-'DAILY READINGS'!B32),0)</f>
        <v>6454</v>
      </c>
      <c r="F28" s="13">
        <f>IF(('DAILY READINGS'!D33-'DAILY READINGS'!D32)&gt;0,('DAILY READINGS'!D33-'DAILY READINGS'!D32),0)</f>
        <v>75</v>
      </c>
      <c r="G28" s="13">
        <f>IF(('DAILY READINGS'!E33-'DAILY READINGS'!E32)&gt;0,('DAILY READINGS'!E33-'DAILY READINGS'!E32),0)</f>
        <v>130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10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11</v>
      </c>
      <c r="M28" s="13">
        <f>'DAILY READINGS'!K33</f>
        <v>78</v>
      </c>
      <c r="N28" s="8">
        <f>'DAILY READINGS'!L33</f>
        <v>137</v>
      </c>
    </row>
    <row r="29" spans="1:14">
      <c r="A29" s="8" t="s">
        <v>12</v>
      </c>
      <c r="B29" s="23">
        <f t="shared" si="0"/>
        <v>28</v>
      </c>
      <c r="C29" s="23">
        <v>6</v>
      </c>
      <c r="D29" s="23">
        <v>2022</v>
      </c>
      <c r="E29" s="13">
        <f>IF(('DAILY READINGS'!B34-'DAILY READINGS'!B33)&gt;0,('DAILY READINGS'!B34-'DAILY READINGS'!B33),0)</f>
        <v>6864</v>
      </c>
      <c r="F29" s="13">
        <f>IF(('DAILY READINGS'!D34-'DAILY READINGS'!D33)&gt;0,('DAILY READINGS'!D34-'DAILY READINGS'!D33),0)</f>
        <v>78</v>
      </c>
      <c r="G29" s="13">
        <f>IF(('DAILY READINGS'!E34-'DAILY READINGS'!E33)&gt;0,('DAILY READINGS'!E34-'DAILY READINGS'!E33),0)</f>
        <v>133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68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99</v>
      </c>
      <c r="M29" s="13">
        <f>'DAILY READINGS'!K34</f>
        <v>80</v>
      </c>
      <c r="N29" s="8">
        <f>'DAILY READINGS'!L34</f>
        <v>140</v>
      </c>
    </row>
    <row r="30" spans="1:14">
      <c r="A30" s="8" t="s">
        <v>12</v>
      </c>
      <c r="B30" s="23">
        <f t="shared" si="0"/>
        <v>29</v>
      </c>
      <c r="C30" s="23">
        <v>6</v>
      </c>
      <c r="D30" s="23">
        <v>2022</v>
      </c>
      <c r="E30" s="13">
        <f>IF(('DAILY READINGS'!B35-'DAILY READINGS'!B34)&gt;0,('DAILY READINGS'!B35-'DAILY READINGS'!B34),0)</f>
        <v>5786</v>
      </c>
      <c r="F30" s="13">
        <f>IF(('DAILY READINGS'!D35-'DAILY READINGS'!D34)&gt;0,('DAILY READINGS'!D35-'DAILY READINGS'!D34),0)</f>
        <v>68</v>
      </c>
      <c r="G30" s="13">
        <f>IF(('DAILY READINGS'!E35-'DAILY READINGS'!E34)&gt;0,('DAILY READINGS'!E35-'DAILY READINGS'!E34),0)</f>
        <v>137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20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39</v>
      </c>
      <c r="M30" s="13">
        <f>'DAILY READINGS'!K35</f>
        <v>80</v>
      </c>
      <c r="N30" s="8">
        <f>'DAILY READINGS'!L35</f>
        <v>143</v>
      </c>
    </row>
    <row r="31" spans="1:14">
      <c r="A31" s="8" t="s">
        <v>12</v>
      </c>
      <c r="B31" s="23">
        <f t="shared" si="0"/>
        <v>30</v>
      </c>
      <c r="C31" s="23">
        <v>6</v>
      </c>
      <c r="D31" s="23">
        <v>2022</v>
      </c>
      <c r="E31" s="13">
        <f>IF(('DAILY READINGS'!B36-'DAILY READINGS'!B35)&gt;0,('DAILY READINGS'!B36-'DAILY READINGS'!B35),0)</f>
        <v>7286</v>
      </c>
      <c r="F31" s="13">
        <f>IF(('DAILY READINGS'!D36-'DAILY READINGS'!D35)&gt;0,('DAILY READINGS'!D36-'DAILY READINGS'!D35),0)</f>
        <v>107</v>
      </c>
      <c r="G31" s="13">
        <f>IF(('DAILY READINGS'!E36-'DAILY READINGS'!E35)&gt;0,('DAILY READINGS'!E36-'DAILY READINGS'!E35),0)</f>
        <v>170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32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62</v>
      </c>
      <c r="M31" s="13">
        <f>'DAILY READINGS'!K36</f>
        <v>80</v>
      </c>
      <c r="N31" s="8">
        <f>'DAILY READINGS'!L36</f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22" workbookViewId="0">
      <selection activeCell="J41" sqref="J41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26">
        <v>4382670</v>
      </c>
      <c r="C6" s="26">
        <v>627058</v>
      </c>
      <c r="D6" s="20">
        <v>36212</v>
      </c>
      <c r="E6" s="20">
        <v>56302</v>
      </c>
      <c r="F6" s="20">
        <v>6864</v>
      </c>
      <c r="G6" s="20">
        <v>72784</v>
      </c>
      <c r="H6" s="20">
        <v>49451</v>
      </c>
      <c r="I6" s="20">
        <v>45285</v>
      </c>
      <c r="J6" s="20">
        <v>57796</v>
      </c>
      <c r="K6" s="4"/>
      <c r="L6" s="4"/>
    </row>
    <row r="7" spans="1:12" ht="22.5" customHeight="1">
      <c r="A7" s="1">
        <v>1</v>
      </c>
      <c r="B7" s="27">
        <v>4390806</v>
      </c>
      <c r="C7" s="27">
        <v>628020</v>
      </c>
      <c r="D7" s="27">
        <v>36286</v>
      </c>
      <c r="E7" s="27">
        <v>56438</v>
      </c>
      <c r="F7" s="27">
        <v>6866</v>
      </c>
      <c r="G7" s="27">
        <v>72828</v>
      </c>
      <c r="H7" s="27">
        <v>49451</v>
      </c>
      <c r="I7" s="27">
        <v>45286</v>
      </c>
      <c r="J7" s="27">
        <v>57876</v>
      </c>
      <c r="K7" s="27">
        <v>74</v>
      </c>
      <c r="L7" s="27">
        <v>157</v>
      </c>
    </row>
    <row r="8" spans="1:12" ht="22.5" customHeight="1">
      <c r="A8" s="1">
        <v>2</v>
      </c>
      <c r="B8" s="27">
        <v>4399276</v>
      </c>
      <c r="C8" s="27">
        <v>628989</v>
      </c>
      <c r="D8" s="27">
        <v>36355</v>
      </c>
      <c r="E8" s="27">
        <v>56587</v>
      </c>
      <c r="F8" s="27">
        <v>6866</v>
      </c>
      <c r="G8" s="27">
        <v>72869</v>
      </c>
      <c r="H8" s="27">
        <v>49451</v>
      </c>
      <c r="I8" s="27">
        <v>45287</v>
      </c>
      <c r="J8" s="27">
        <v>57956</v>
      </c>
      <c r="K8" s="27">
        <v>70</v>
      </c>
      <c r="L8" s="27">
        <v>143</v>
      </c>
    </row>
    <row r="9" spans="1:12" ht="22.5" customHeight="1">
      <c r="A9" s="1">
        <v>3</v>
      </c>
      <c r="B9" s="27">
        <v>4407124</v>
      </c>
      <c r="C9" s="27">
        <v>629927</v>
      </c>
      <c r="D9" s="27">
        <v>36422</v>
      </c>
      <c r="E9" s="27">
        <v>56671</v>
      </c>
      <c r="F9" s="27">
        <v>6867</v>
      </c>
      <c r="G9" s="27">
        <v>72898</v>
      </c>
      <c r="H9" s="27">
        <v>49451</v>
      </c>
      <c r="I9" s="27">
        <v>45287</v>
      </c>
      <c r="J9" s="27">
        <v>58029</v>
      </c>
      <c r="K9" s="27">
        <v>76</v>
      </c>
      <c r="L9" s="27">
        <v>153</v>
      </c>
    </row>
    <row r="10" spans="1:12" ht="22.5" customHeight="1">
      <c r="A10" s="1">
        <v>4</v>
      </c>
      <c r="B10" s="27">
        <v>4416002</v>
      </c>
      <c r="C10" s="27">
        <v>631000</v>
      </c>
      <c r="D10" s="27">
        <v>36497</v>
      </c>
      <c r="E10" s="27">
        <v>56860</v>
      </c>
      <c r="F10" s="27">
        <v>6867</v>
      </c>
      <c r="G10" s="27">
        <v>72936</v>
      </c>
      <c r="H10" s="27">
        <v>49451</v>
      </c>
      <c r="I10" s="27">
        <v>45288</v>
      </c>
      <c r="J10" s="27">
        <v>58118</v>
      </c>
      <c r="K10" s="27">
        <v>83</v>
      </c>
      <c r="L10" s="27">
        <v>154</v>
      </c>
    </row>
    <row r="11" spans="1:12" ht="22.5" customHeight="1">
      <c r="A11" s="1">
        <v>5</v>
      </c>
      <c r="B11" s="27">
        <v>4423868</v>
      </c>
      <c r="C11" s="27">
        <v>631924</v>
      </c>
      <c r="D11" s="27">
        <v>36563</v>
      </c>
      <c r="E11" s="27">
        <v>56992</v>
      </c>
      <c r="F11" s="27">
        <v>6868</v>
      </c>
      <c r="G11" s="27">
        <v>72977</v>
      </c>
      <c r="H11" s="27">
        <v>49451</v>
      </c>
      <c r="I11" s="27">
        <v>45289</v>
      </c>
      <c r="J11" s="27">
        <v>58207</v>
      </c>
      <c r="K11" s="27">
        <v>75</v>
      </c>
      <c r="L11" s="27">
        <v>137</v>
      </c>
    </row>
    <row r="12" spans="1:12" ht="22.5" customHeight="1">
      <c r="A12" s="1">
        <v>6</v>
      </c>
      <c r="B12" s="27">
        <v>4433786</v>
      </c>
      <c r="C12" s="27">
        <v>633082</v>
      </c>
      <c r="D12" s="27">
        <v>36642</v>
      </c>
      <c r="E12" s="27">
        <v>57152</v>
      </c>
      <c r="F12" s="27">
        <v>6868</v>
      </c>
      <c r="G12" s="27">
        <v>73018</v>
      </c>
      <c r="H12" s="27">
        <v>49451</v>
      </c>
      <c r="I12" s="27">
        <v>45289</v>
      </c>
      <c r="J12" s="27">
        <v>58285</v>
      </c>
      <c r="K12" s="27">
        <v>65</v>
      </c>
      <c r="L12" s="27">
        <v>124</v>
      </c>
    </row>
    <row r="13" spans="1:12" ht="22.5" customHeight="1">
      <c r="A13" s="1">
        <v>7</v>
      </c>
      <c r="B13" s="27">
        <v>4442492</v>
      </c>
      <c r="C13" s="27">
        <v>634090</v>
      </c>
      <c r="D13" s="27">
        <v>36714</v>
      </c>
      <c r="E13" s="27">
        <v>57285</v>
      </c>
      <c r="F13" s="27">
        <v>6872</v>
      </c>
      <c r="G13" s="27">
        <v>73056</v>
      </c>
      <c r="H13" s="27">
        <v>49451</v>
      </c>
      <c r="I13" s="27">
        <v>45290</v>
      </c>
      <c r="J13" s="27">
        <v>58363</v>
      </c>
      <c r="K13" s="27">
        <v>81</v>
      </c>
      <c r="L13" s="27">
        <v>149</v>
      </c>
    </row>
    <row r="14" spans="1:12" ht="22.5" customHeight="1">
      <c r="A14" s="1">
        <v>8</v>
      </c>
      <c r="B14" s="27">
        <v>4451286</v>
      </c>
      <c r="C14" s="27">
        <v>635123</v>
      </c>
      <c r="D14" s="27">
        <v>36794</v>
      </c>
      <c r="E14" s="27">
        <v>57417</v>
      </c>
      <c r="F14" s="27">
        <v>6873</v>
      </c>
      <c r="G14" s="27">
        <v>73070</v>
      </c>
      <c r="H14" s="27">
        <v>49451</v>
      </c>
      <c r="I14" s="27">
        <v>45290</v>
      </c>
      <c r="J14" s="27">
        <v>58404</v>
      </c>
      <c r="K14" s="27">
        <v>97</v>
      </c>
      <c r="L14" s="27">
        <v>177</v>
      </c>
    </row>
    <row r="15" spans="1:12" ht="22.5" customHeight="1">
      <c r="A15" s="1">
        <v>9</v>
      </c>
      <c r="B15" s="27">
        <v>4459954</v>
      </c>
      <c r="C15" s="27">
        <v>636175</v>
      </c>
      <c r="D15" s="27">
        <v>36865</v>
      </c>
      <c r="E15" s="27">
        <v>57543</v>
      </c>
      <c r="F15" s="27">
        <v>6874</v>
      </c>
      <c r="G15" s="27">
        <v>73122</v>
      </c>
      <c r="H15" s="27">
        <v>49451</v>
      </c>
      <c r="I15" s="27">
        <v>45291</v>
      </c>
      <c r="J15" s="27">
        <v>58492</v>
      </c>
      <c r="K15" s="27">
        <v>100</v>
      </c>
      <c r="L15" s="27">
        <v>183</v>
      </c>
    </row>
    <row r="16" spans="1:12" ht="22.5" customHeight="1">
      <c r="A16" s="1">
        <v>10</v>
      </c>
      <c r="B16" s="27">
        <v>4471112</v>
      </c>
      <c r="C16" s="27">
        <v>637522</v>
      </c>
      <c r="D16" s="27">
        <v>36953</v>
      </c>
      <c r="E16" s="27">
        <v>57692</v>
      </c>
      <c r="F16" s="27">
        <v>6875</v>
      </c>
      <c r="G16" s="27">
        <v>73186</v>
      </c>
      <c r="H16" s="27">
        <v>49451</v>
      </c>
      <c r="I16" s="27">
        <v>45292</v>
      </c>
      <c r="J16" s="27">
        <v>58619</v>
      </c>
      <c r="K16" s="27">
        <v>85</v>
      </c>
      <c r="L16" s="27">
        <v>162</v>
      </c>
    </row>
    <row r="17" spans="1:12" ht="22.5" customHeight="1">
      <c r="A17" s="1">
        <v>11</v>
      </c>
      <c r="B17" s="27">
        <v>4479868</v>
      </c>
      <c r="C17" s="29">
        <v>638556</v>
      </c>
      <c r="D17" s="30">
        <v>37026</v>
      </c>
      <c r="E17" s="30">
        <v>57820</v>
      </c>
      <c r="F17" s="30">
        <v>6875</v>
      </c>
      <c r="G17" s="30">
        <v>73221</v>
      </c>
      <c r="H17" s="27">
        <v>49451</v>
      </c>
      <c r="I17" s="27">
        <v>45292</v>
      </c>
      <c r="J17" s="30">
        <v>58691</v>
      </c>
      <c r="K17" s="27">
        <v>67</v>
      </c>
      <c r="L17" s="27">
        <v>132</v>
      </c>
    </row>
    <row r="18" spans="1:12" ht="22.5" customHeight="1">
      <c r="A18" s="1">
        <v>12</v>
      </c>
      <c r="B18" s="27">
        <v>4487640</v>
      </c>
      <c r="C18" s="29">
        <v>639423</v>
      </c>
      <c r="D18" s="30">
        <v>37102</v>
      </c>
      <c r="E18" s="30">
        <v>57955</v>
      </c>
      <c r="F18" s="30">
        <v>6876</v>
      </c>
      <c r="G18" s="30">
        <v>73264</v>
      </c>
      <c r="H18" s="27">
        <v>49451</v>
      </c>
      <c r="I18" s="27">
        <v>45293</v>
      </c>
      <c r="J18" s="30">
        <v>58770</v>
      </c>
      <c r="K18" s="27">
        <v>76</v>
      </c>
      <c r="L18" s="27">
        <v>138</v>
      </c>
    </row>
    <row r="19" spans="1:12" ht="22.5" customHeight="1">
      <c r="A19" s="1">
        <v>13</v>
      </c>
      <c r="B19" s="27">
        <v>4495612</v>
      </c>
      <c r="C19" s="29">
        <v>640302</v>
      </c>
      <c r="D19" s="30">
        <v>37173</v>
      </c>
      <c r="E19" s="30">
        <v>58081</v>
      </c>
      <c r="F19" s="30">
        <v>6878</v>
      </c>
      <c r="G19" s="30">
        <v>73284</v>
      </c>
      <c r="H19" s="30">
        <v>49451</v>
      </c>
      <c r="I19" s="30">
        <v>45295</v>
      </c>
      <c r="J19" s="30">
        <v>58822</v>
      </c>
      <c r="K19" s="27">
        <v>77</v>
      </c>
      <c r="L19" s="27">
        <v>141</v>
      </c>
    </row>
    <row r="20" spans="1:12" ht="22.5" customHeight="1">
      <c r="A20" s="1">
        <v>14</v>
      </c>
      <c r="B20" s="27">
        <v>4503584</v>
      </c>
      <c r="C20" s="29">
        <v>641164</v>
      </c>
      <c r="D20" s="30">
        <v>37248</v>
      </c>
      <c r="E20" s="30">
        <v>58211</v>
      </c>
      <c r="F20" s="30">
        <v>6878</v>
      </c>
      <c r="G20" s="30">
        <v>73304</v>
      </c>
      <c r="H20" s="30">
        <v>49451</v>
      </c>
      <c r="I20" s="30">
        <v>45295</v>
      </c>
      <c r="J20" s="30">
        <v>58842</v>
      </c>
      <c r="K20" s="27">
        <v>78</v>
      </c>
      <c r="L20" s="27">
        <v>140</v>
      </c>
    </row>
    <row r="21" spans="1:12" ht="22.5" customHeight="1">
      <c r="A21" s="1">
        <v>15</v>
      </c>
      <c r="B21" s="27">
        <v>4512242</v>
      </c>
      <c r="C21" s="29">
        <v>642148</v>
      </c>
      <c r="D21" s="30">
        <v>37316</v>
      </c>
      <c r="E21" s="30">
        <v>58332</v>
      </c>
      <c r="F21" s="30">
        <v>6879</v>
      </c>
      <c r="G21" s="30">
        <v>73349</v>
      </c>
      <c r="H21" s="30">
        <v>49451</v>
      </c>
      <c r="I21" s="30">
        <v>45295</v>
      </c>
      <c r="J21" s="30">
        <v>58938</v>
      </c>
      <c r="K21" s="27">
        <v>67</v>
      </c>
      <c r="L21" s="27">
        <v>134</v>
      </c>
    </row>
    <row r="22" spans="1:12" ht="22.5" customHeight="1">
      <c r="A22" s="1">
        <v>16</v>
      </c>
      <c r="B22" s="27">
        <v>4521288</v>
      </c>
      <c r="C22" s="29">
        <v>643182</v>
      </c>
      <c r="D22" s="30">
        <v>37396</v>
      </c>
      <c r="E22" s="30">
        <v>58470</v>
      </c>
      <c r="F22" s="30">
        <v>6879</v>
      </c>
      <c r="G22" s="30">
        <v>73422</v>
      </c>
      <c r="H22" s="30">
        <v>49451</v>
      </c>
      <c r="I22" s="30">
        <v>45298</v>
      </c>
      <c r="J22" s="30">
        <v>58970</v>
      </c>
      <c r="K22" s="27">
        <v>78</v>
      </c>
      <c r="L22" s="27">
        <v>135</v>
      </c>
    </row>
    <row r="23" spans="1:12" ht="22.5" customHeight="1">
      <c r="A23" s="1">
        <v>17</v>
      </c>
      <c r="B23" s="27">
        <v>4529798</v>
      </c>
      <c r="C23" s="29">
        <v>644148</v>
      </c>
      <c r="D23" s="30">
        <v>37469</v>
      </c>
      <c r="E23" s="30">
        <v>58599</v>
      </c>
      <c r="F23" s="30">
        <v>6883</v>
      </c>
      <c r="G23" s="30">
        <v>73456</v>
      </c>
      <c r="H23" s="30">
        <v>49451</v>
      </c>
      <c r="I23" s="30">
        <v>45299</v>
      </c>
      <c r="J23" s="30">
        <v>59137</v>
      </c>
      <c r="K23" s="27">
        <v>82</v>
      </c>
      <c r="L23" s="27">
        <v>146</v>
      </c>
    </row>
    <row r="24" spans="1:12" ht="22.5" customHeight="1">
      <c r="A24" s="1">
        <v>18</v>
      </c>
      <c r="B24" s="27">
        <v>4537278</v>
      </c>
      <c r="C24" s="29">
        <v>644983</v>
      </c>
      <c r="D24" s="30">
        <v>37541</v>
      </c>
      <c r="E24" s="30">
        <v>58738</v>
      </c>
      <c r="F24" s="25">
        <v>6884</v>
      </c>
      <c r="G24" s="30">
        <v>73492</v>
      </c>
      <c r="H24" s="30">
        <v>49451</v>
      </c>
      <c r="I24" s="30">
        <v>45300</v>
      </c>
      <c r="J24" s="30">
        <v>59206</v>
      </c>
      <c r="K24" s="27">
        <v>79</v>
      </c>
      <c r="L24" s="27">
        <v>140</v>
      </c>
    </row>
    <row r="25" spans="1:12" ht="22.5" customHeight="1">
      <c r="A25" s="1">
        <v>19</v>
      </c>
      <c r="B25" s="27">
        <v>4545110</v>
      </c>
      <c r="C25" s="29">
        <v>645660</v>
      </c>
      <c r="D25" s="30">
        <v>37621</v>
      </c>
      <c r="E25" s="30">
        <v>58872</v>
      </c>
      <c r="F25" s="25">
        <v>6884</v>
      </c>
      <c r="G25" s="30">
        <v>73522</v>
      </c>
      <c r="H25" s="30">
        <v>49451</v>
      </c>
      <c r="I25" s="30">
        <v>45301</v>
      </c>
      <c r="J25" s="30">
        <v>59264</v>
      </c>
      <c r="K25" s="27">
        <v>80</v>
      </c>
      <c r="L25" s="27">
        <v>149</v>
      </c>
    </row>
    <row r="26" spans="1:12" ht="22.5" customHeight="1">
      <c r="A26" s="1">
        <v>20</v>
      </c>
      <c r="B26" s="27">
        <v>4552454</v>
      </c>
      <c r="C26" s="29">
        <v>646357</v>
      </c>
      <c r="D26" s="30">
        <v>37698</v>
      </c>
      <c r="E26" s="30">
        <v>58987</v>
      </c>
      <c r="F26" s="30">
        <v>6885</v>
      </c>
      <c r="G26" s="30">
        <v>73578</v>
      </c>
      <c r="H26" s="30">
        <v>49451</v>
      </c>
      <c r="I26" s="30">
        <v>45301</v>
      </c>
      <c r="J26" s="30">
        <v>59350</v>
      </c>
      <c r="K26" s="27">
        <v>68</v>
      </c>
      <c r="L26" s="27">
        <v>139</v>
      </c>
    </row>
    <row r="27" spans="1:12" ht="22.5" customHeight="1">
      <c r="A27" s="1">
        <v>21</v>
      </c>
      <c r="B27" s="27">
        <v>4559060</v>
      </c>
      <c r="C27" s="29">
        <v>646907</v>
      </c>
      <c r="D27" s="30">
        <v>37773</v>
      </c>
      <c r="E27" s="30">
        <v>59100</v>
      </c>
      <c r="F27" s="30">
        <v>6888</v>
      </c>
      <c r="G27" s="30">
        <v>73616</v>
      </c>
      <c r="H27" s="30">
        <v>49451</v>
      </c>
      <c r="I27" s="30">
        <v>45302</v>
      </c>
      <c r="J27" s="30">
        <v>59412</v>
      </c>
      <c r="K27" s="27">
        <v>94</v>
      </c>
      <c r="L27" s="27">
        <v>172</v>
      </c>
    </row>
    <row r="28" spans="1:12" ht="22.5" customHeight="1">
      <c r="A28" s="1">
        <v>22</v>
      </c>
      <c r="B28" s="27">
        <v>4566076</v>
      </c>
      <c r="C28" s="29">
        <v>647413</v>
      </c>
      <c r="D28" s="30">
        <v>37861</v>
      </c>
      <c r="E28" s="30">
        <v>59227</v>
      </c>
      <c r="F28" s="30">
        <v>6889</v>
      </c>
      <c r="G28" s="30">
        <v>73655</v>
      </c>
      <c r="H28" s="30">
        <v>49451</v>
      </c>
      <c r="I28" s="30">
        <v>45303</v>
      </c>
      <c r="J28" s="30">
        <v>59477</v>
      </c>
      <c r="K28" s="27">
        <v>99</v>
      </c>
      <c r="L28" s="27">
        <v>178</v>
      </c>
    </row>
    <row r="29" spans="1:12" ht="22.5" customHeight="1">
      <c r="A29" s="1">
        <v>23</v>
      </c>
      <c r="B29" s="27">
        <v>4572210</v>
      </c>
      <c r="C29" s="29">
        <v>647809</v>
      </c>
      <c r="D29" s="30">
        <v>37944</v>
      </c>
      <c r="E29" s="30">
        <v>59401</v>
      </c>
      <c r="F29" s="30">
        <v>6890</v>
      </c>
      <c r="G29" s="30">
        <v>73699</v>
      </c>
      <c r="H29" s="30">
        <v>49451</v>
      </c>
      <c r="I29" s="30">
        <v>45303</v>
      </c>
      <c r="J29" s="30">
        <v>59552</v>
      </c>
      <c r="K29" s="27">
        <v>75</v>
      </c>
      <c r="L29" s="27">
        <v>143</v>
      </c>
    </row>
    <row r="30" spans="1:12" ht="22.5" customHeight="1">
      <c r="A30" s="1">
        <v>24</v>
      </c>
      <c r="B30" s="27">
        <v>4578348</v>
      </c>
      <c r="C30" s="29">
        <v>648194</v>
      </c>
      <c r="D30" s="30">
        <v>38024</v>
      </c>
      <c r="E30" s="30">
        <v>59485</v>
      </c>
      <c r="F30" s="30">
        <v>6890</v>
      </c>
      <c r="G30" s="30">
        <v>73732</v>
      </c>
      <c r="H30" s="30">
        <v>49451</v>
      </c>
      <c r="I30" s="30">
        <v>45304</v>
      </c>
      <c r="J30" s="30">
        <v>59611</v>
      </c>
      <c r="K30" s="27">
        <v>59</v>
      </c>
      <c r="L30" s="27">
        <v>112</v>
      </c>
    </row>
    <row r="31" spans="1:12" ht="22.5" customHeight="1">
      <c r="A31" s="1">
        <v>25</v>
      </c>
      <c r="B31" s="27">
        <v>4585076</v>
      </c>
      <c r="C31" s="29">
        <v>648670</v>
      </c>
      <c r="D31" s="30">
        <v>38103</v>
      </c>
      <c r="E31" s="30">
        <v>59632</v>
      </c>
      <c r="F31" s="30">
        <v>6891</v>
      </c>
      <c r="G31" s="30">
        <v>73769</v>
      </c>
      <c r="H31" s="30">
        <v>49451</v>
      </c>
      <c r="I31" s="30">
        <v>45305</v>
      </c>
      <c r="J31" s="30">
        <v>59674</v>
      </c>
      <c r="K31" s="27">
        <v>72</v>
      </c>
      <c r="L31" s="27">
        <v>129</v>
      </c>
    </row>
    <row r="32" spans="1:12" ht="22.5" customHeight="1">
      <c r="A32" s="1">
        <v>26</v>
      </c>
      <c r="B32" s="27">
        <v>4592046</v>
      </c>
      <c r="C32" s="29">
        <v>649197</v>
      </c>
      <c r="D32" s="30">
        <v>38180</v>
      </c>
      <c r="E32" s="30">
        <v>59767</v>
      </c>
      <c r="F32" s="30">
        <v>6892</v>
      </c>
      <c r="G32" s="30">
        <v>73804</v>
      </c>
      <c r="H32" s="30">
        <v>49451</v>
      </c>
      <c r="I32" s="30">
        <v>45306</v>
      </c>
      <c r="J32" s="30">
        <v>59727</v>
      </c>
      <c r="K32" s="27">
        <v>85</v>
      </c>
      <c r="L32" s="27">
        <v>148</v>
      </c>
    </row>
    <row r="33" spans="1:12" ht="22.5" customHeight="1">
      <c r="A33" s="1">
        <v>27</v>
      </c>
      <c r="B33" s="27">
        <v>4598500</v>
      </c>
      <c r="C33" s="29">
        <v>649703</v>
      </c>
      <c r="D33" s="30">
        <v>38255</v>
      </c>
      <c r="E33" s="30">
        <v>59897</v>
      </c>
      <c r="F33" s="30">
        <v>6892</v>
      </c>
      <c r="G33" s="30">
        <v>73814</v>
      </c>
      <c r="H33" s="30">
        <v>49451</v>
      </c>
      <c r="I33" s="30">
        <v>45307</v>
      </c>
      <c r="J33" s="30">
        <v>59738</v>
      </c>
      <c r="K33" s="27">
        <v>78</v>
      </c>
      <c r="L33" s="27">
        <v>137</v>
      </c>
    </row>
    <row r="34" spans="1:12" ht="22.5" customHeight="1">
      <c r="A34" s="1">
        <v>28</v>
      </c>
      <c r="B34" s="27">
        <v>4605364</v>
      </c>
      <c r="C34" s="29">
        <v>650189</v>
      </c>
      <c r="D34" s="30">
        <v>38333</v>
      </c>
      <c r="E34" s="30">
        <v>60030</v>
      </c>
      <c r="F34" s="30">
        <v>6893</v>
      </c>
      <c r="G34" s="30">
        <v>73882</v>
      </c>
      <c r="H34" s="30">
        <v>49451</v>
      </c>
      <c r="I34" s="30">
        <v>45307</v>
      </c>
      <c r="J34" s="30">
        <v>59837</v>
      </c>
      <c r="K34" s="27">
        <v>80</v>
      </c>
      <c r="L34" s="27">
        <v>140</v>
      </c>
    </row>
    <row r="35" spans="1:12" ht="22.5" customHeight="1">
      <c r="A35" s="1">
        <v>29</v>
      </c>
      <c r="B35" s="27">
        <v>4611150</v>
      </c>
      <c r="C35" s="29">
        <v>650616</v>
      </c>
      <c r="D35" s="30">
        <v>38401</v>
      </c>
      <c r="E35" s="30">
        <v>60167</v>
      </c>
      <c r="F35" s="30">
        <v>6893</v>
      </c>
      <c r="G35" s="30">
        <v>73902</v>
      </c>
      <c r="H35" s="30">
        <v>49451</v>
      </c>
      <c r="I35" s="30">
        <v>45308</v>
      </c>
      <c r="J35" s="30">
        <v>59876</v>
      </c>
      <c r="K35" s="27">
        <v>80</v>
      </c>
      <c r="L35" s="27">
        <v>143</v>
      </c>
    </row>
    <row r="36" spans="1:12" ht="22.5" customHeight="1">
      <c r="A36" s="1">
        <v>30</v>
      </c>
      <c r="B36" s="27">
        <v>4618436</v>
      </c>
      <c r="C36" s="29">
        <v>651175</v>
      </c>
      <c r="D36" s="30">
        <v>38508</v>
      </c>
      <c r="E36" s="30">
        <v>60337</v>
      </c>
      <c r="F36" s="30">
        <v>6894</v>
      </c>
      <c r="G36" s="30">
        <v>73934</v>
      </c>
      <c r="H36" s="30">
        <v>49451</v>
      </c>
      <c r="I36" s="30">
        <v>45308</v>
      </c>
      <c r="J36" s="30">
        <v>59938</v>
      </c>
      <c r="K36" s="27">
        <v>80</v>
      </c>
      <c r="L36" s="27">
        <v>140</v>
      </c>
    </row>
    <row r="37" spans="1:12" ht="25.5">
      <c r="A37" s="5" t="s">
        <v>29</v>
      </c>
      <c r="B37" s="28">
        <f>B36-B6</f>
        <v>235766</v>
      </c>
      <c r="C37" s="28">
        <f>C36-C6</f>
        <v>24117</v>
      </c>
      <c r="D37" s="28">
        <f>D36-D6</f>
        <v>2296</v>
      </c>
      <c r="E37" s="28">
        <f>E36-E6</f>
        <v>4035</v>
      </c>
      <c r="F37" s="28">
        <f>F36-F6</f>
        <v>30</v>
      </c>
      <c r="G37" s="28">
        <f>G36-G6</f>
        <v>1150</v>
      </c>
      <c r="H37" s="28">
        <f>H36-H6</f>
        <v>0</v>
      </c>
      <c r="I37" s="28">
        <f>I36-I6</f>
        <v>23</v>
      </c>
      <c r="J37" s="28">
        <f>J36-J6</f>
        <v>2142</v>
      </c>
      <c r="K37" s="30">
        <f>SUM(K7:K36)</f>
        <v>2360</v>
      </c>
      <c r="L37" s="30">
        <f>SUM(L7:L36)</f>
        <v>4375</v>
      </c>
    </row>
    <row r="38" spans="1:12" ht="22.5" customHeight="1">
      <c r="A38" s="1" t="s">
        <v>30</v>
      </c>
      <c r="B38" s="31">
        <f>B37</f>
        <v>235766</v>
      </c>
      <c r="C38" s="7"/>
      <c r="D38" s="32">
        <f>SUM(D37:E37)</f>
        <v>6331</v>
      </c>
      <c r="E38" s="33"/>
      <c r="F38" s="32">
        <f>SUM(F37:J37)</f>
        <v>3345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9F907F73-2B1C-4994-B680-5D287821F466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2022-10-18T12:52:28Z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