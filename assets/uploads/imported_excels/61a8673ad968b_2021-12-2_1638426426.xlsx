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K326" i="4" l="1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S350" i="4"/>
  <c r="R350" i="4"/>
  <c r="O350" i="4"/>
  <c r="L350" i="4"/>
  <c r="M350" i="4" s="1"/>
  <c r="J350" i="4"/>
  <c r="K350" i="4" s="1"/>
  <c r="S349" i="4"/>
  <c r="R349" i="4"/>
  <c r="O349" i="4"/>
  <c r="M349" i="4"/>
  <c r="J349" i="4"/>
  <c r="K349" i="4" s="1"/>
  <c r="S348" i="4"/>
  <c r="R348" i="4"/>
  <c r="O348" i="4"/>
  <c r="M348" i="4"/>
  <c r="J348" i="4"/>
  <c r="K348" i="4" s="1"/>
  <c r="S347" i="4"/>
  <c r="R347" i="4"/>
  <c r="O347" i="4"/>
  <c r="M347" i="4"/>
  <c r="J347" i="4"/>
  <c r="K347" i="4" s="1"/>
  <c r="S346" i="4"/>
  <c r="R346" i="4"/>
  <c r="O346" i="4"/>
  <c r="M346" i="4"/>
  <c r="J346" i="4"/>
  <c r="K346" i="4" s="1"/>
  <c r="S345" i="4"/>
  <c r="R345" i="4"/>
  <c r="O345" i="4"/>
  <c r="M345" i="4"/>
  <c r="J345" i="4"/>
  <c r="K345" i="4" s="1"/>
  <c r="S344" i="4"/>
  <c r="R344" i="4"/>
  <c r="O344" i="4"/>
  <c r="M344" i="4"/>
  <c r="J344" i="4"/>
  <c r="K344" i="4" s="1"/>
  <c r="S343" i="4"/>
  <c r="R343" i="4"/>
  <c r="O343" i="4"/>
  <c r="M343" i="4"/>
  <c r="J343" i="4"/>
  <c r="K343" i="4" s="1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6" i="1" s="1"/>
  <c r="L277" i="4"/>
  <c r="M277" i="4" s="1"/>
  <c r="K277" i="4"/>
  <c r="S276" i="4"/>
  <c r="R276" i="4"/>
  <c r="O276" i="4"/>
  <c r="E275" i="1" s="1"/>
  <c r="L276" i="4"/>
  <c r="S275" i="4"/>
  <c r="R275" i="4"/>
  <c r="O275" i="4"/>
  <c r="L275" i="4"/>
  <c r="M275" i="4" s="1"/>
  <c r="K275" i="4"/>
  <c r="S274" i="4"/>
  <c r="R274" i="4"/>
  <c r="O274" i="4"/>
  <c r="E273" i="1" s="1"/>
  <c r="L274" i="4"/>
  <c r="M274" i="4" s="1"/>
  <c r="K274" i="4"/>
  <c r="S273" i="4"/>
  <c r="R273" i="4"/>
  <c r="O273" i="4"/>
  <c r="E272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F347" i="1" s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F360" i="1" s="1"/>
  <c r="E308" i="1"/>
  <c r="E322" i="1"/>
  <c r="E327" i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<sst xmlns="http://schemas.openxmlformats.org/spreadsheetml/2006/main" count="608" uniqueCount="78">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</sst>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12" workbookViewId="0">
      <selection activeCell="Q335" sqref="Q33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0.97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0.97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0.97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0.97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0.97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0.97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0.97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0.97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0.97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0.97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13.9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0.97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13.9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0.97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13.9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0.97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13.9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0.97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13.9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0.97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13.9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>
        <f>'Electricity '!I322+'Electricity '!O322</f>
        <v>23308.200000000452</v>
      </c>
      <c r="F321" s="153">
        <v>0.97</v>
      </c>
      <c r="G321" s="4">
        <f>'Gas Water'!M323</f>
        <v>1897</v>
      </c>
      <c r="H321" s="153">
        <v>3.85</v>
      </c>
      <c r="I321" s="2">
        <f>'Gas Water'!L323</f>
        <v>231</v>
      </c>
      <c r="J321" s="153">
        <v>13.9</v>
      </c>
      <c r="K321" s="5">
        <v>118</v>
      </c>
      <c r="L321" s="5">
        <v>183</v>
      </c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>
        <f>'Electricity '!I323+'Electricity '!O323</f>
        <v>22939.739999999751</v>
      </c>
      <c r="F322" s="153">
        <v>0.97</v>
      </c>
      <c r="G322" s="4">
        <f>'Gas Water'!M324</f>
        <v>1954</v>
      </c>
      <c r="H322" s="153">
        <v>3.85</v>
      </c>
      <c r="I322" s="2">
        <f>'Gas Water'!L324</f>
        <v>159</v>
      </c>
      <c r="J322" s="153">
        <v>13.9</v>
      </c>
      <c r="K322" s="5">
        <v>98</v>
      </c>
      <c r="L322" s="5">
        <v>166</v>
      </c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>
        <f>'Electricity '!I324+'Electricity '!O324</f>
        <v>23614.559999999798</v>
      </c>
      <c r="F323" s="153">
        <v>0.97</v>
      </c>
      <c r="G323" s="4">
        <f>'Gas Water'!M325</f>
        <v>2113</v>
      </c>
      <c r="H323" s="153">
        <v>3.85</v>
      </c>
      <c r="I323" s="2">
        <f>'Gas Water'!L325</f>
        <v>217</v>
      </c>
      <c r="J323" s="153">
        <v>13.9</v>
      </c>
      <c r="K323" s="5">
        <v>122</v>
      </c>
      <c r="L323" s="5">
        <v>205</v>
      </c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>
        <f>'Electricity '!I325+'Electricity '!O325</f>
        <v>25432.02000000012</v>
      </c>
      <c r="F324" s="153">
        <v>0.97</v>
      </c>
      <c r="G324" s="4">
        <f>'Gas Water'!M326</f>
        <v>2339</v>
      </c>
      <c r="H324" s="153">
        <v>3.85</v>
      </c>
      <c r="I324" s="2">
        <f>'Gas Water'!L326</f>
        <v>178</v>
      </c>
      <c r="J324" s="153">
        <v>13.9</v>
      </c>
      <c r="K324" s="5">
        <v>141</v>
      </c>
      <c r="L324" s="5">
        <v>243</v>
      </c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>
        <f>'Electricity '!I326+'Electricity '!O326</f>
        <v>24202.440000000017</v>
      </c>
      <c r="F325" s="153">
        <v>0.97</v>
      </c>
      <c r="G325" s="4">
        <f>'Gas Water'!M327</f>
        <v>2342</v>
      </c>
      <c r="H325" s="153">
        <v>3.85</v>
      </c>
      <c r="I325" s="2">
        <f>'Gas Water'!L327</f>
        <v>193</v>
      </c>
      <c r="J325" s="153">
        <v>13.9</v>
      </c>
      <c r="K325" s="5">
        <v>138</v>
      </c>
      <c r="L325" s="5">
        <v>237</v>
      </c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>
        <f>'Electricity '!I327+'Electricity '!O327</f>
        <v>22724.460000000137</v>
      </c>
      <c r="F326" s="153">
        <v>0.97</v>
      </c>
      <c r="G326" s="4">
        <f>'Gas Water'!M328</f>
        <v>2017</v>
      </c>
      <c r="H326" s="153">
        <v>3.85</v>
      </c>
      <c r="I326" s="2">
        <f>'Gas Water'!L328</f>
        <v>169</v>
      </c>
      <c r="J326" s="153">
        <v>13.9</v>
      </c>
      <c r="K326" s="5">
        <v>117</v>
      </c>
      <c r="L326" s="5">
        <v>190</v>
      </c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>
        <f>'Electricity '!I328+'Electricity '!O328</f>
        <v>21921.300000000301</v>
      </c>
      <c r="F327" s="153">
        <v>0.97</v>
      </c>
      <c r="G327" s="4">
        <f>'Gas Water'!M329</f>
        <v>1716</v>
      </c>
      <c r="H327" s="153">
        <v>3.85</v>
      </c>
      <c r="I327" s="2">
        <f>'Gas Water'!L329</f>
        <v>166</v>
      </c>
      <c r="J327" s="153">
        <v>13.9</v>
      </c>
      <c r="K327" s="5">
        <v>127</v>
      </c>
      <c r="L327" s="5">
        <v>198</v>
      </c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>
        <f>'Electricity '!I329+'Electricity '!O329</f>
        <v>24604.019999999931</v>
      </c>
      <c r="F328" s="153">
        <v>0.97</v>
      </c>
      <c r="G328" s="4">
        <f>'Gas Water'!M330</f>
        <v>1923</v>
      </c>
      <c r="H328" s="153">
        <v>3.85</v>
      </c>
      <c r="I328" s="2">
        <f>'Gas Water'!L330</f>
        <v>171</v>
      </c>
      <c r="J328" s="153">
        <v>13.9</v>
      </c>
      <c r="K328" s="5">
        <v>142</v>
      </c>
      <c r="L328" s="5">
        <v>217</v>
      </c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>
        <f>'Electricity '!I330+'Electricity '!O330</f>
        <v>24111.359999999346</v>
      </c>
      <c r="F329" s="153">
        <v>0.97</v>
      </c>
      <c r="G329" s="4">
        <f>'Gas Water'!M331</f>
        <v>2248</v>
      </c>
      <c r="H329" s="153">
        <v>3.85</v>
      </c>
      <c r="I329" s="2">
        <f>'Gas Water'!L331</f>
        <v>286</v>
      </c>
      <c r="J329" s="153">
        <v>13.9</v>
      </c>
      <c r="K329" s="5">
        <v>138</v>
      </c>
      <c r="L329" s="5">
        <v>229</v>
      </c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>
        <f>'Electricity '!I331+'Electricity '!O331</f>
        <v>24136.200000000641</v>
      </c>
      <c r="F330" s="153">
        <v>0.97</v>
      </c>
      <c r="G330" s="4">
        <f>'Gas Water'!M332</f>
        <v>2253</v>
      </c>
      <c r="H330" s="153">
        <v>3.85</v>
      </c>
      <c r="I330" s="2">
        <f>'Gas Water'!L332</f>
        <v>159</v>
      </c>
      <c r="J330" s="153">
        <v>13.9</v>
      </c>
      <c r="K330" s="5">
        <v>147</v>
      </c>
      <c r="L330" s="5">
        <v>271</v>
      </c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>
        <f>'Electricity '!I332+'Electricity '!O332</f>
        <v>25324.379999999841</v>
      </c>
      <c r="F331" s="153">
        <v>0.97</v>
      </c>
      <c r="G331" s="4">
        <f>'Gas Water'!M333</f>
        <v>1849</v>
      </c>
      <c r="H331" s="153">
        <v>3.85</v>
      </c>
      <c r="I331" s="2">
        <f>'Gas Water'!L333</f>
        <v>181</v>
      </c>
      <c r="J331" s="153">
        <v>13.9</v>
      </c>
      <c r="K331" s="5">
        <v>136</v>
      </c>
      <c r="L331" s="5">
        <v>265</v>
      </c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>
        <f>'Electricity '!I333+'Electricity '!O333</f>
        <v>22749.299999999548</v>
      </c>
      <c r="F332" s="153">
        <v>0.97</v>
      </c>
      <c r="G332" s="4">
        <f>'Gas Water'!M334</f>
        <v>1632</v>
      </c>
      <c r="H332" s="153">
        <v>3.85</v>
      </c>
      <c r="I332" s="2">
        <f>'Gas Water'!L334</f>
        <v>219</v>
      </c>
      <c r="J332" s="153">
        <v>13.9</v>
      </c>
      <c r="K332" s="5">
        <v>141</v>
      </c>
      <c r="L332" s="5">
        <v>280</v>
      </c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>
        <f>'Electricity '!I334+'Electricity '!O334</f>
        <v>23573.159999999836</v>
      </c>
      <c r="F333" s="153">
        <v>0.97</v>
      </c>
      <c r="G333" s="4">
        <f>'Gas Water'!M335</f>
        <v>1526</v>
      </c>
      <c r="H333" s="153">
        <v>3.85</v>
      </c>
      <c r="I333" s="2">
        <f>'Gas Water'!L335</f>
        <v>184</v>
      </c>
      <c r="J333" s="153">
        <v>13.9</v>
      </c>
      <c r="K333" s="5">
        <v>111</v>
      </c>
      <c r="L333" s="5">
        <v>206</v>
      </c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>
        <f>'Electricity '!I335+'Electricity '!O335</f>
        <v>19391.760000000813</v>
      </c>
      <c r="F334" s="153">
        <v>0.97</v>
      </c>
      <c r="G334" s="4">
        <f>'Gas Water'!M336</f>
        <v>1550</v>
      </c>
      <c r="H334" s="153">
        <v>3.85</v>
      </c>
      <c r="I334" s="2">
        <f>'Gas Water'!L336</f>
        <v>145</v>
      </c>
      <c r="J334" s="153">
        <v>13.9</v>
      </c>
      <c r="K334" s="5">
        <v>86</v>
      </c>
      <c r="L334" s="5">
        <v>164</v>
      </c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>
        <f>'Electricity '!I336+'Electricity '!O336</f>
        <v>21565.259999999307</v>
      </c>
      <c r="F335" s="153">
        <v>0.97</v>
      </c>
      <c r="G335" s="4">
        <f>'Gas Water'!M337</f>
        <v>2192</v>
      </c>
      <c r="H335" s="153">
        <v>3.85</v>
      </c>
      <c r="I335" s="2">
        <f>'Gas Water'!L337</f>
        <v>178</v>
      </c>
      <c r="J335" s="153">
        <v>13.9</v>
      </c>
      <c r="K335" s="5">
        <v>98</v>
      </c>
      <c r="L335" s="5">
        <v>184</v>
      </c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>
        <f>'Electricity '!I337+'Electricity '!O337</f>
        <v>20911.140000000654</v>
      </c>
      <c r="F336" s="153">
        <f>('Electricity '!I337*0.55+'Gas Water'!H338*1.88)/(Total!E336)</f>
        <v>0.55000000000000004</v>
      </c>
      <c r="G336" s="4">
        <f>'Gas Water'!M338</f>
        <v>2217</v>
      </c>
      <c r="H336" s="153">
        <v>1.88</v>
      </c>
      <c r="I336" s="2">
        <f>'Gas Water'!L338</f>
        <v>189</v>
      </c>
      <c r="J336" s="153">
        <v>11.3</v>
      </c>
      <c r="K336" s="5">
        <v>95</v>
      </c>
      <c r="L336" s="5">
        <v>169</v>
      </c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98" workbookViewId="0">
      <selection activeCell="R321" sqref="R321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>
        <v>16228335</v>
      </c>
      <c r="D323" s="24">
        <v>5009210</v>
      </c>
      <c r="E323" s="25">
        <v>235422</v>
      </c>
      <c r="F323" s="26">
        <v>630174</v>
      </c>
      <c r="G323" s="27">
        <v>285883</v>
      </c>
      <c r="H323" s="28">
        <f t="shared" si="26"/>
        <v>0</v>
      </c>
      <c r="I323" s="28">
        <f t="shared" si="26"/>
        <v>1499</v>
      </c>
      <c r="J323" s="28">
        <f t="shared" si="26"/>
        <v>218</v>
      </c>
      <c r="K323" s="28">
        <f t="shared" si="26"/>
        <v>180</v>
      </c>
      <c r="L323" s="29">
        <f t="shared" si="26"/>
        <v>231</v>
      </c>
      <c r="M323" s="30">
        <f t="shared" si="24"/>
        <v>1897</v>
      </c>
      <c r="Q323" s="20">
        <f t="shared" si="25"/>
        <v>0</v>
      </c>
    </row>
    <row r="324" spans="1:17" ht="12.95" customHeight="1" x14ac:dyDescent="0.2">
      <c r="A324" s="9" t="s">
        <v>30</v>
      </c>
      <c r="B324" s="22">
        <v>44517</v>
      </c>
      <c r="C324" s="41">
        <v>16228335</v>
      </c>
      <c r="D324" s="24">
        <v>5010749</v>
      </c>
      <c r="E324" s="25">
        <v>235639</v>
      </c>
      <c r="F324" s="26">
        <v>630372</v>
      </c>
      <c r="G324" s="27">
        <v>286042</v>
      </c>
      <c r="H324" s="28">
        <f t="shared" si="26"/>
        <v>0</v>
      </c>
      <c r="I324" s="28">
        <f t="shared" si="26"/>
        <v>1539</v>
      </c>
      <c r="J324" s="28">
        <f t="shared" si="26"/>
        <v>217</v>
      </c>
      <c r="K324" s="28">
        <f t="shared" si="26"/>
        <v>198</v>
      </c>
      <c r="L324" s="29">
        <f t="shared" si="26"/>
        <v>159</v>
      </c>
      <c r="M324" s="30">
        <f t="shared" si="24"/>
        <v>1954</v>
      </c>
      <c r="Q324" s="20">
        <f t="shared" si="25"/>
        <v>0</v>
      </c>
    </row>
    <row r="325" spans="1:17" ht="12.95" customHeight="1" x14ac:dyDescent="0.2">
      <c r="B325" s="22">
        <v>44518</v>
      </c>
      <c r="C325" s="41">
        <v>16228335</v>
      </c>
      <c r="D325" s="24">
        <v>5012470</v>
      </c>
      <c r="E325" s="25">
        <v>235848</v>
      </c>
      <c r="F325" s="26">
        <v>630555</v>
      </c>
      <c r="G325" s="27">
        <v>286259</v>
      </c>
      <c r="H325" s="28">
        <f t="shared" si="26"/>
        <v>0</v>
      </c>
      <c r="I325" s="28">
        <f t="shared" si="26"/>
        <v>1721</v>
      </c>
      <c r="J325" s="28">
        <f t="shared" si="26"/>
        <v>209</v>
      </c>
      <c r="K325" s="28">
        <f t="shared" si="26"/>
        <v>183</v>
      </c>
      <c r="L325" s="29">
        <f t="shared" si="26"/>
        <v>217</v>
      </c>
      <c r="M325" s="30">
        <f t="shared" si="24"/>
        <v>2113</v>
      </c>
      <c r="Q325" s="20">
        <f t="shared" si="25"/>
        <v>0</v>
      </c>
    </row>
    <row r="326" spans="1:17" ht="12.95" customHeight="1" x14ac:dyDescent="0.2">
      <c r="B326" s="22">
        <v>44519</v>
      </c>
      <c r="C326" s="41">
        <v>16228335</v>
      </c>
      <c r="D326" s="24">
        <v>5014438</v>
      </c>
      <c r="E326" s="25">
        <v>236045</v>
      </c>
      <c r="F326" s="26">
        <v>630729</v>
      </c>
      <c r="G326" s="27">
        <v>286437</v>
      </c>
      <c r="H326" s="28">
        <f t="shared" si="26"/>
        <v>0</v>
      </c>
      <c r="I326" s="28">
        <f t="shared" si="26"/>
        <v>1968</v>
      </c>
      <c r="J326" s="28">
        <f t="shared" si="26"/>
        <v>197</v>
      </c>
      <c r="K326" s="28">
        <f t="shared" si="26"/>
        <v>174</v>
      </c>
      <c r="L326" s="29">
        <f t="shared" si="26"/>
        <v>178</v>
      </c>
      <c r="M326" s="30">
        <f t="shared" ref="M326:M369" si="27">IF(H326="","",+(H326+I326+J326+K326))</f>
        <v>2339</v>
      </c>
      <c r="Q326" s="20">
        <f t="shared" si="25"/>
        <v>0</v>
      </c>
    </row>
    <row r="327" spans="1:17" ht="12.95" customHeight="1" thickBot="1" x14ac:dyDescent="0.25">
      <c r="B327" s="22">
        <v>44520</v>
      </c>
      <c r="C327" s="41">
        <v>16228335</v>
      </c>
      <c r="D327" s="24">
        <v>5016362</v>
      </c>
      <c r="E327" s="25">
        <v>236264</v>
      </c>
      <c r="F327" s="26">
        <v>630928</v>
      </c>
      <c r="G327" s="27">
        <v>286630</v>
      </c>
      <c r="H327" s="28">
        <f t="shared" si="26"/>
        <v>0</v>
      </c>
      <c r="I327" s="28">
        <f t="shared" si="26"/>
        <v>1924</v>
      </c>
      <c r="J327" s="28">
        <f t="shared" si="26"/>
        <v>219</v>
      </c>
      <c r="K327" s="28">
        <f t="shared" si="26"/>
        <v>199</v>
      </c>
      <c r="L327" s="29">
        <f t="shared" si="26"/>
        <v>193</v>
      </c>
      <c r="M327" s="30">
        <f t="shared" si="27"/>
        <v>2342</v>
      </c>
      <c r="Q327" s="20">
        <f t="shared" si="25"/>
        <v>0</v>
      </c>
    </row>
    <row r="328" spans="1:17" ht="12.95" customHeight="1" x14ac:dyDescent="0.2">
      <c r="B328" s="22">
        <v>44521</v>
      </c>
      <c r="C328" s="41">
        <v>16228335</v>
      </c>
      <c r="D328" s="24">
        <v>5018004</v>
      </c>
      <c r="E328" s="25">
        <v>236415</v>
      </c>
      <c r="F328" s="26">
        <v>631152</v>
      </c>
      <c r="G328" s="27">
        <v>286799</v>
      </c>
      <c r="H328" s="28">
        <f t="shared" si="26"/>
        <v>0</v>
      </c>
      <c r="I328" s="28">
        <f t="shared" si="26"/>
        <v>1642</v>
      </c>
      <c r="J328" s="28">
        <f t="shared" si="26"/>
        <v>151</v>
      </c>
      <c r="K328" s="28">
        <f t="shared" si="26"/>
        <v>224</v>
      </c>
      <c r="L328" s="29">
        <f t="shared" si="26"/>
        <v>169</v>
      </c>
      <c r="M328" s="30">
        <f t="shared" si="27"/>
        <v>2017</v>
      </c>
      <c r="N328" s="198" t="s">
        <v>21</v>
      </c>
      <c r="O328" s="198" t="s">
        <v>22</v>
      </c>
      <c r="Q328" s="20">
        <f t="shared" si="25"/>
        <v>0</v>
      </c>
    </row>
    <row r="329" spans="1:17" ht="12.95" customHeight="1" x14ac:dyDescent="0.2">
      <c r="B329" s="22">
        <v>44522</v>
      </c>
      <c r="C329" s="41">
        <v>16228335</v>
      </c>
      <c r="D329" s="24">
        <v>5019350</v>
      </c>
      <c r="E329" s="25">
        <v>236570</v>
      </c>
      <c r="F329" s="26">
        <v>631367</v>
      </c>
      <c r="G329" s="27">
        <v>286965</v>
      </c>
      <c r="H329" s="28">
        <f t="shared" si="26"/>
        <v>0</v>
      </c>
      <c r="I329" s="28">
        <f t="shared" si="26"/>
        <v>1346</v>
      </c>
      <c r="J329" s="28">
        <f t="shared" si="26"/>
        <v>155</v>
      </c>
      <c r="K329" s="28">
        <f t="shared" si="26"/>
        <v>215</v>
      </c>
      <c r="L329" s="29">
        <f t="shared" si="26"/>
        <v>166</v>
      </c>
      <c r="M329" s="30">
        <f t="shared" si="27"/>
        <v>1716</v>
      </c>
      <c r="N329" s="199"/>
      <c r="O329" s="199"/>
      <c r="Q329" s="20">
        <f t="shared" si="25"/>
        <v>0</v>
      </c>
    </row>
    <row r="330" spans="1:17" ht="12.95" customHeight="1" thickBot="1" x14ac:dyDescent="0.25">
      <c r="B330" s="22">
        <v>44523</v>
      </c>
      <c r="C330" s="41">
        <v>16228335</v>
      </c>
      <c r="D330" s="24">
        <v>5020919</v>
      </c>
      <c r="E330" s="25">
        <v>236726</v>
      </c>
      <c r="F330" s="26">
        <v>631565</v>
      </c>
      <c r="G330" s="27">
        <v>287136</v>
      </c>
      <c r="H330" s="28">
        <f t="shared" si="26"/>
        <v>0</v>
      </c>
      <c r="I330" s="28">
        <f t="shared" si="26"/>
        <v>1569</v>
      </c>
      <c r="J330" s="28">
        <f t="shared" si="26"/>
        <v>156</v>
      </c>
      <c r="K330" s="28">
        <f t="shared" si="26"/>
        <v>198</v>
      </c>
      <c r="L330" s="29">
        <f t="shared" si="26"/>
        <v>171</v>
      </c>
      <c r="M330" s="30">
        <f t="shared" si="27"/>
        <v>1923</v>
      </c>
      <c r="N330" s="200"/>
      <c r="O330" s="200"/>
      <c r="Q330" s="20">
        <f t="shared" si="25"/>
        <v>0</v>
      </c>
    </row>
    <row r="331" spans="1:17" ht="12.95" customHeight="1" thickBot="1" x14ac:dyDescent="0.25">
      <c r="B331" s="22">
        <v>44524</v>
      </c>
      <c r="C331" s="41">
        <v>16228335</v>
      </c>
      <c r="D331" s="24">
        <v>5022778</v>
      </c>
      <c r="E331" s="25">
        <v>236927</v>
      </c>
      <c r="F331" s="26">
        <v>631753</v>
      </c>
      <c r="G331" s="27">
        <v>287422</v>
      </c>
      <c r="H331" s="28">
        <f t="shared" si="26"/>
        <v>0</v>
      </c>
      <c r="I331" s="28">
        <f t="shared" si="26"/>
        <v>1859</v>
      </c>
      <c r="J331" s="28">
        <f t="shared" si="26"/>
        <v>201</v>
      </c>
      <c r="K331" s="28">
        <f t="shared" si="26"/>
        <v>188</v>
      </c>
      <c r="L331" s="29">
        <f t="shared" si="26"/>
        <v>286</v>
      </c>
      <c r="M331" s="30">
        <f t="shared" si="27"/>
        <v>2248</v>
      </c>
      <c r="N331" s="32">
        <f>SUM(L309:L338)</f>
        <v>5673</v>
      </c>
      <c r="O331" s="32">
        <f>SUM(M309:M338)</f>
        <v>56908</v>
      </c>
      <c r="Q331" s="20">
        <f t="shared" si="25"/>
        <v>0</v>
      </c>
    </row>
    <row r="332" spans="1:17" ht="12.95" customHeight="1" x14ac:dyDescent="0.2">
      <c r="B332" s="22">
        <v>44525</v>
      </c>
      <c r="C332" s="41">
        <v>16228335</v>
      </c>
      <c r="D332" s="24">
        <v>5024644</v>
      </c>
      <c r="E332" s="25">
        <v>237121</v>
      </c>
      <c r="F332" s="26">
        <v>631946</v>
      </c>
      <c r="G332" s="27">
        <v>287581</v>
      </c>
      <c r="H332" s="28">
        <f t="shared" si="26"/>
        <v>0</v>
      </c>
      <c r="I332" s="28">
        <f t="shared" si="26"/>
        <v>1866</v>
      </c>
      <c r="J332" s="28">
        <f t="shared" si="26"/>
        <v>194</v>
      </c>
      <c r="K332" s="28">
        <f t="shared" si="26"/>
        <v>193</v>
      </c>
      <c r="L332" s="29">
        <f t="shared" si="26"/>
        <v>159</v>
      </c>
      <c r="M332" s="30">
        <f t="shared" si="27"/>
        <v>2253</v>
      </c>
      <c r="N332" s="198" t="s">
        <v>23</v>
      </c>
      <c r="O332" s="198" t="s">
        <v>24</v>
      </c>
      <c r="Q332" s="20">
        <f t="shared" si="25"/>
        <v>0</v>
      </c>
    </row>
    <row r="333" spans="1:17" ht="12.95" customHeight="1" thickBot="1" x14ac:dyDescent="0.25">
      <c r="B333" s="22">
        <v>44526</v>
      </c>
      <c r="C333" s="41">
        <v>16228335</v>
      </c>
      <c r="D333" s="24">
        <v>5026118</v>
      </c>
      <c r="E333" s="25">
        <v>237301</v>
      </c>
      <c r="F333" s="26">
        <v>632141</v>
      </c>
      <c r="G333" s="27">
        <v>287762</v>
      </c>
      <c r="H333" s="28">
        <f t="shared" si="26"/>
        <v>0</v>
      </c>
      <c r="I333" s="28">
        <f t="shared" si="26"/>
        <v>1474</v>
      </c>
      <c r="J333" s="28">
        <f t="shared" si="26"/>
        <v>180</v>
      </c>
      <c r="K333" s="28">
        <f t="shared" si="26"/>
        <v>195</v>
      </c>
      <c r="L333" s="29">
        <f t="shared" si="26"/>
        <v>181</v>
      </c>
      <c r="M333" s="30">
        <f t="shared" si="27"/>
        <v>1849</v>
      </c>
      <c r="N333" s="200"/>
      <c r="O333" s="200"/>
      <c r="Q333" s="20">
        <f t="shared" si="25"/>
        <v>0</v>
      </c>
    </row>
    <row r="334" spans="1:17" ht="12.95" customHeight="1" thickBot="1" x14ac:dyDescent="0.25">
      <c r="B334" s="22">
        <v>44527</v>
      </c>
      <c r="C334" s="41">
        <v>16228335</v>
      </c>
      <c r="D334" s="24">
        <v>5027374</v>
      </c>
      <c r="E334" s="25">
        <v>237440</v>
      </c>
      <c r="F334" s="26">
        <v>632378</v>
      </c>
      <c r="G334" s="27">
        <v>287981</v>
      </c>
      <c r="H334" s="28">
        <f t="shared" si="26"/>
        <v>0</v>
      </c>
      <c r="I334" s="28">
        <f t="shared" si="26"/>
        <v>1256</v>
      </c>
      <c r="J334" s="28">
        <f t="shared" si="26"/>
        <v>139</v>
      </c>
      <c r="K334" s="28">
        <f t="shared" si="26"/>
        <v>237</v>
      </c>
      <c r="L334" s="29">
        <f t="shared" si="26"/>
        <v>219</v>
      </c>
      <c r="M334" s="30">
        <f t="shared" si="27"/>
        <v>1632</v>
      </c>
      <c r="N334" s="32">
        <f>AVERAGE(L309:L338)</f>
        <v>189.1</v>
      </c>
      <c r="O334" s="32">
        <f>AVERAGE(M309:M338)</f>
        <v>1896.9333333333334</v>
      </c>
      <c r="Q334" s="20">
        <f t="shared" si="25"/>
        <v>0</v>
      </c>
    </row>
    <row r="335" spans="1:17" ht="12.95" customHeight="1" x14ac:dyDescent="0.2">
      <c r="B335" s="22">
        <v>44528</v>
      </c>
      <c r="C335" s="41">
        <v>16228335</v>
      </c>
      <c r="D335" s="24">
        <v>5028519</v>
      </c>
      <c r="E335" s="25">
        <v>237609</v>
      </c>
      <c r="F335" s="26">
        <v>632590</v>
      </c>
      <c r="G335" s="27">
        <v>288165</v>
      </c>
      <c r="H335" s="28">
        <f t="shared" si="26"/>
        <v>0</v>
      </c>
      <c r="I335" s="28">
        <f t="shared" si="26"/>
        <v>1145</v>
      </c>
      <c r="J335" s="28">
        <f t="shared" si="26"/>
        <v>169</v>
      </c>
      <c r="K335" s="28">
        <f t="shared" si="26"/>
        <v>212</v>
      </c>
      <c r="L335" s="29">
        <f t="shared" si="26"/>
        <v>184</v>
      </c>
      <c r="M335" s="30">
        <f t="shared" si="27"/>
        <v>1526</v>
      </c>
      <c r="O335" s="20">
        <f>IF(L335="",1,0)</f>
        <v>0</v>
      </c>
    </row>
    <row r="336" spans="1:17" ht="12.95" customHeight="1" x14ac:dyDescent="0.2">
      <c r="B336" s="22">
        <v>44529</v>
      </c>
      <c r="C336" s="41">
        <v>16228335</v>
      </c>
      <c r="D336" s="24">
        <v>5029676</v>
      </c>
      <c r="E336" s="25">
        <v>237773</v>
      </c>
      <c r="F336" s="26">
        <v>632819</v>
      </c>
      <c r="G336" s="27">
        <v>288310</v>
      </c>
      <c r="H336" s="28">
        <f t="shared" si="26"/>
        <v>0</v>
      </c>
      <c r="I336" s="28">
        <f t="shared" si="26"/>
        <v>1157</v>
      </c>
      <c r="J336" s="28">
        <f>IF(E336="","",+(E336-E335))</f>
        <v>164</v>
      </c>
      <c r="K336" s="28">
        <f t="shared" si="26"/>
        <v>229</v>
      </c>
      <c r="L336" s="29">
        <f t="shared" si="26"/>
        <v>145</v>
      </c>
      <c r="M336" s="30">
        <f t="shared" si="27"/>
        <v>1550</v>
      </c>
      <c r="O336" s="20">
        <f>IF(L336="",1,0)</f>
        <v>0</v>
      </c>
    </row>
    <row r="337" spans="2:17" ht="12.95" customHeight="1" x14ac:dyDescent="0.2">
      <c r="B337" s="22">
        <v>44530</v>
      </c>
      <c r="C337" s="41">
        <v>16228335</v>
      </c>
      <c r="D337" s="24">
        <v>5031550</v>
      </c>
      <c r="E337" s="25">
        <v>237912</v>
      </c>
      <c r="F337" s="26">
        <v>632998</v>
      </c>
      <c r="G337" s="27">
        <v>288488</v>
      </c>
      <c r="H337" s="28">
        <f t="shared" si="26"/>
        <v>0</v>
      </c>
      <c r="I337" s="28">
        <f t="shared" si="26"/>
        <v>1874</v>
      </c>
      <c r="J337" s="28">
        <f>IF(E337="","",+(E337-E336))</f>
        <v>139</v>
      </c>
      <c r="K337" s="28">
        <f t="shared" si="26"/>
        <v>179</v>
      </c>
      <c r="L337" s="29">
        <f>IF(G337="","",+(G337-G336))</f>
        <v>178</v>
      </c>
      <c r="M337" s="30">
        <f t="shared" si="27"/>
        <v>2192</v>
      </c>
      <c r="O337" s="20">
        <f>IF(L337="",1,0)</f>
        <v>0</v>
      </c>
    </row>
    <row r="338" spans="2:17" ht="12.95" customHeight="1" x14ac:dyDescent="0.2">
      <c r="B338" s="22">
        <v>44531</v>
      </c>
      <c r="C338" s="41">
        <v>16228335</v>
      </c>
      <c r="D338" s="34">
        <v>5033393</v>
      </c>
      <c r="E338" s="34">
        <v>238107</v>
      </c>
      <c r="F338" s="34">
        <v>633177</v>
      </c>
      <c r="G338" s="34">
        <v>288677</v>
      </c>
      <c r="H338" s="35">
        <f t="shared" si="26"/>
        <v>0</v>
      </c>
      <c r="I338" s="39">
        <f t="shared" si="26"/>
        <v>1843</v>
      </c>
      <c r="J338" s="35">
        <f t="shared" si="26"/>
        <v>195</v>
      </c>
      <c r="K338" s="35">
        <f t="shared" si="26"/>
        <v>179</v>
      </c>
      <c r="L338" s="36">
        <f t="shared" si="26"/>
        <v>189</v>
      </c>
      <c r="M338" s="35">
        <f t="shared" si="27"/>
        <v>2217</v>
      </c>
      <c r="Q338" s="20">
        <f t="shared" si="25"/>
        <v>0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592831</v>
      </c>
      <c r="J371" s="40">
        <f t="shared" si="30"/>
        <v>61825</v>
      </c>
      <c r="K371" s="40">
        <f t="shared" si="30"/>
        <v>57387</v>
      </c>
      <c r="L371" s="40">
        <f t="shared" si="30"/>
        <v>63119</v>
      </c>
      <c r="M371" s="40">
        <f t="shared" si="30"/>
        <v>712043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17" workbookViewId="0">
      <selection activeCell="M343" sqref="M343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51" si="42">IF(D316="","",+(E316-E315)*4140)</f>
        <v>22960.440000000202</v>
      </c>
      <c r="J316" s="59">
        <f t="shared" ref="J316:J342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>
        <v>0.14199999999999999</v>
      </c>
      <c r="E322" s="57">
        <v>1621.0350000000001</v>
      </c>
      <c r="F322" s="58">
        <v>55.363999999999997</v>
      </c>
      <c r="G322" s="59"/>
      <c r="H322" s="59">
        <v>4140</v>
      </c>
      <c r="I322" s="59">
        <f t="shared" si="42"/>
        <v>23308.200000000452</v>
      </c>
      <c r="J322" s="59">
        <f t="shared" si="43"/>
        <v>496.79999999998938</v>
      </c>
      <c r="K322" s="60">
        <f t="shared" si="39"/>
        <v>2.1314387211366803E-2</v>
      </c>
      <c r="L322" s="59">
        <f t="shared" si="36"/>
        <v>496.79999999998938</v>
      </c>
      <c r="M322" s="60">
        <f t="shared" si="40"/>
        <v>2.1314387211366803E-2</v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>
        <v>0.14199999999999999</v>
      </c>
      <c r="E323" s="57">
        <v>1626.576</v>
      </c>
      <c r="F323" s="58">
        <v>55.484000000000002</v>
      </c>
      <c r="G323" s="59"/>
      <c r="H323" s="59">
        <v>4140</v>
      </c>
      <c r="I323" s="59">
        <f t="shared" si="42"/>
        <v>22939.739999999751</v>
      </c>
      <c r="J323" s="59">
        <f t="shared" si="43"/>
        <v>496.80000000001883</v>
      </c>
      <c r="K323" s="60">
        <f t="shared" si="39"/>
        <v>2.1656740660531647E-2</v>
      </c>
      <c r="L323" s="59">
        <f t="shared" si="36"/>
        <v>496.80000000001883</v>
      </c>
      <c r="M323" s="60">
        <f t="shared" si="40"/>
        <v>2.1656740660531647E-2</v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>
        <v>0.14199999999999999</v>
      </c>
      <c r="E324" s="57">
        <v>1632.28</v>
      </c>
      <c r="F324" s="58">
        <v>55.616</v>
      </c>
      <c r="G324" s="59"/>
      <c r="H324" s="59">
        <v>4140</v>
      </c>
      <c r="I324" s="59">
        <f t="shared" si="42"/>
        <v>23614.559999999798</v>
      </c>
      <c r="J324" s="59">
        <f t="shared" si="43"/>
        <v>546.47999999999126</v>
      </c>
      <c r="K324" s="60">
        <f t="shared" si="39"/>
        <v>2.3141654978961961E-2</v>
      </c>
      <c r="L324" s="59">
        <f t="shared" si="36"/>
        <v>546.47999999999126</v>
      </c>
      <c r="M324" s="60">
        <f t="shared" si="40"/>
        <v>2.3141654978961961E-2</v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>
        <v>0.14199999999999999</v>
      </c>
      <c r="E325" s="57">
        <v>1638.423</v>
      </c>
      <c r="F325" s="58">
        <v>55.79</v>
      </c>
      <c r="G325" s="59"/>
      <c r="H325" s="59">
        <v>4140</v>
      </c>
      <c r="I325" s="59">
        <f t="shared" si="42"/>
        <v>25432.02000000012</v>
      </c>
      <c r="J325" s="59">
        <f t="shared" si="43"/>
        <v>720.35999999999785</v>
      </c>
      <c r="K325" s="60">
        <f t="shared" si="39"/>
        <v>2.8324922676216613E-2</v>
      </c>
      <c r="L325" s="59">
        <f t="shared" ref="L325:L368" si="46">IF(F325="","",+(F325-F324)*4140)</f>
        <v>720.35999999999785</v>
      </c>
      <c r="M325" s="60">
        <f t="shared" si="40"/>
        <v>2.8324922676216613E-2</v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>
        <v>0.14199999999999999</v>
      </c>
      <c r="E326" s="57">
        <v>1644.269</v>
      </c>
      <c r="F326" s="58">
        <v>55.923000000000002</v>
      </c>
      <c r="G326" s="59"/>
      <c r="H326" s="59">
        <v>4140</v>
      </c>
      <c r="I326" s="59">
        <f t="shared" ref="I326:J328" si="47">IF(D326="","",+(E326-E325)*4140)</f>
        <v>24202.440000000017</v>
      </c>
      <c r="J326" s="59">
        <f t="shared" si="47"/>
        <v>550.62000000001103</v>
      </c>
      <c r="K326" s="60">
        <f t="shared" si="39"/>
        <v>2.2750598699966228E-2</v>
      </c>
      <c r="L326" s="59">
        <f>IF(F326="","",+(F326-F325)*4140)</f>
        <v>550.62000000001103</v>
      </c>
      <c r="M326" s="60">
        <f t="shared" si="40"/>
        <v>2.2750598699966228E-2</v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>
        <v>0.14199999999999999</v>
      </c>
      <c r="E327" s="57">
        <v>1649.758</v>
      </c>
      <c r="F327" s="58">
        <v>56.069000000000003</v>
      </c>
      <c r="G327" s="59"/>
      <c r="H327" s="59">
        <v>4140</v>
      </c>
      <c r="I327" s="59">
        <f t="shared" si="47"/>
        <v>22724.460000000137</v>
      </c>
      <c r="J327" s="59">
        <f t="shared" si="47"/>
        <v>604.44000000000324</v>
      </c>
      <c r="K327" s="60">
        <f t="shared" si="39"/>
        <v>2.6598651849152832E-2</v>
      </c>
      <c r="L327" s="59">
        <f>IF(F327="","",+(F327-F326)*4140)</f>
        <v>604.44000000000324</v>
      </c>
      <c r="M327" s="60">
        <f t="shared" si="40"/>
        <v>2.6598651849152832E-2</v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>
        <v>0.14199999999999999</v>
      </c>
      <c r="E328" s="57">
        <v>1655.0530000000001</v>
      </c>
      <c r="F328" s="58">
        <v>56.207999999999998</v>
      </c>
      <c r="G328" s="59"/>
      <c r="H328" s="59">
        <v>4140</v>
      </c>
      <c r="I328" s="59">
        <f t="shared" si="47"/>
        <v>21921.300000000301</v>
      </c>
      <c r="J328" s="59">
        <f t="shared" si="47"/>
        <v>575.45999999998253</v>
      </c>
      <c r="K328" s="60">
        <f t="shared" si="39"/>
        <v>2.6251180358827925E-2</v>
      </c>
      <c r="L328" s="59">
        <f>IF(F328="","",+(F328-F327)*4140)</f>
        <v>575.45999999998253</v>
      </c>
      <c r="M328" s="60">
        <f t="shared" si="40"/>
        <v>2.6251180358827925E-2</v>
      </c>
      <c r="N328" s="61">
        <v>66068309</v>
      </c>
      <c r="O328" s="61">
        <f>IF(N328="","",N328-N327)</f>
        <v>0</v>
      </c>
      <c r="P328" s="70">
        <f>IF(J308="",0,+SUM(J308:J337)/SUM(I308:I337))</f>
        <v>2.667364940009298E-2</v>
      </c>
      <c r="Q328" s="70">
        <f>IF(L308="",0,+SUM(L308:L337)/SUM(I308:I337))</f>
        <v>2.667364940009298E-2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>
        <v>0.14199999999999999</v>
      </c>
      <c r="E329" s="57">
        <v>1660.9960000000001</v>
      </c>
      <c r="F329" s="58">
        <v>56.447000000000003</v>
      </c>
      <c r="G329" s="59"/>
      <c r="H329" s="59">
        <v>4140</v>
      </c>
      <c r="I329" s="59">
        <f t="shared" si="42"/>
        <v>24604.019999999931</v>
      </c>
      <c r="J329" s="59">
        <f t="shared" si="43"/>
        <v>989.46000000001789</v>
      </c>
      <c r="K329" s="60">
        <f t="shared" si="39"/>
        <v>4.0215379437995115E-2</v>
      </c>
      <c r="L329" s="59">
        <f t="shared" si="46"/>
        <v>989.46000000001789</v>
      </c>
      <c r="M329" s="60">
        <f t="shared" si="40"/>
        <v>4.0215379437995115E-2</v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>
        <v>0.14199999999999999</v>
      </c>
      <c r="E330" s="57">
        <v>1666.82</v>
      </c>
      <c r="F330" s="58">
        <v>56.622999999999998</v>
      </c>
      <c r="G330" s="59"/>
      <c r="H330" s="59">
        <v>4140</v>
      </c>
      <c r="I330" s="59">
        <f t="shared" si="42"/>
        <v>24111.359999999346</v>
      </c>
      <c r="J330" s="59">
        <f t="shared" si="43"/>
        <v>728.63999999997861</v>
      </c>
      <c r="K330" s="60">
        <f t="shared" si="39"/>
        <v>3.0219780219780154E-2</v>
      </c>
      <c r="L330" s="59">
        <f t="shared" si="46"/>
        <v>728.63999999997861</v>
      </c>
      <c r="M330" s="60">
        <f t="shared" si="40"/>
        <v>3.0219780219780154E-2</v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>
        <v>0.14199999999999999</v>
      </c>
      <c r="E331" s="57">
        <v>1672.65</v>
      </c>
      <c r="F331" s="58">
        <v>56.802</v>
      </c>
      <c r="G331" s="59"/>
      <c r="H331" s="59">
        <v>4140</v>
      </c>
      <c r="I331" s="59">
        <f t="shared" si="42"/>
        <v>24136.200000000641</v>
      </c>
      <c r="J331" s="59">
        <f t="shared" si="43"/>
        <v>741.06000000000847</v>
      </c>
      <c r="K331" s="60">
        <f t="shared" si="39"/>
        <v>3.0703259005145332E-2</v>
      </c>
      <c r="L331" s="59">
        <f t="shared" si="46"/>
        <v>741.06000000000847</v>
      </c>
      <c r="M331" s="60">
        <f t="shared" si="40"/>
        <v>3.0703259005145332E-2</v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>
        <v>0.14199999999999999</v>
      </c>
      <c r="E332" s="57">
        <v>1678.7670000000001</v>
      </c>
      <c r="F332" s="58">
        <v>57.036999999999999</v>
      </c>
      <c r="G332" s="59"/>
      <c r="H332" s="59">
        <v>4140</v>
      </c>
      <c r="I332" s="59">
        <f t="shared" si="42"/>
        <v>25324.379999999841</v>
      </c>
      <c r="J332" s="59">
        <f t="shared" si="43"/>
        <v>972.89999999999759</v>
      </c>
      <c r="K332" s="60">
        <f t="shared" si="39"/>
        <v>3.841752493052164E-2</v>
      </c>
      <c r="L332" s="59">
        <f t="shared" si="46"/>
        <v>972.89999999999759</v>
      </c>
      <c r="M332" s="60">
        <f t="shared" si="40"/>
        <v>3.841752493052164E-2</v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>
        <v>0.14199999999999999</v>
      </c>
      <c r="E333" s="57">
        <v>1684.2619999999999</v>
      </c>
      <c r="F333" s="58">
        <v>57.143999999999998</v>
      </c>
      <c r="G333" s="59"/>
      <c r="H333" s="59">
        <v>4140</v>
      </c>
      <c r="I333" s="59">
        <f t="shared" si="42"/>
        <v>22749.299999999548</v>
      </c>
      <c r="J333" s="59">
        <f t="shared" si="43"/>
        <v>442.97999999999718</v>
      </c>
      <c r="K333" s="60">
        <f t="shared" ref="K333:K337" si="49">IF(J333="","",+(J333/I333))</f>
        <v>1.9472247497725467E-2</v>
      </c>
      <c r="L333" s="59">
        <f t="shared" si="46"/>
        <v>442.97999999999718</v>
      </c>
      <c r="M333" s="60">
        <f t="shared" ref="M333:M362" si="50">IF(L333="","",(L333/I333))</f>
        <v>1.9472247497725467E-2</v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>
        <v>0.14199999999999999</v>
      </c>
      <c r="E334" s="57">
        <v>1689.9559999999999</v>
      </c>
      <c r="F334" s="58">
        <v>57.305</v>
      </c>
      <c r="G334" s="59"/>
      <c r="H334" s="59">
        <v>4140</v>
      </c>
      <c r="I334" s="59">
        <f t="shared" si="42"/>
        <v>23573.159999999836</v>
      </c>
      <c r="J334" s="59">
        <f t="shared" si="43"/>
        <v>666.54000000000565</v>
      </c>
      <c r="K334" s="60">
        <f t="shared" si="49"/>
        <v>2.8275377590446519E-2</v>
      </c>
      <c r="L334" s="59">
        <f t="shared" si="46"/>
        <v>666.54000000000565</v>
      </c>
      <c r="M334" s="60">
        <f t="shared" si="50"/>
        <v>2.8275377590446519E-2</v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>
        <v>0.14199999999999999</v>
      </c>
      <c r="E335" s="57">
        <v>1694.64</v>
      </c>
      <c r="F335" s="58">
        <v>57.460999999999999</v>
      </c>
      <c r="G335" s="59"/>
      <c r="H335" s="59">
        <v>4140</v>
      </c>
      <c r="I335" s="59">
        <f t="shared" si="42"/>
        <v>19391.760000000813</v>
      </c>
      <c r="J335" s="59">
        <f t="shared" si="43"/>
        <v>645.83999999999503</v>
      </c>
      <c r="K335" s="60">
        <f t="shared" si="49"/>
        <v>3.3304867634498775E-2</v>
      </c>
      <c r="L335" s="59">
        <f t="shared" si="46"/>
        <v>645.83999999999503</v>
      </c>
      <c r="M335" s="60">
        <f t="shared" si="50"/>
        <v>3.3304867634498775E-2</v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>
        <v>0.14199999999999999</v>
      </c>
      <c r="E336" s="57">
        <v>1699.8489999999999</v>
      </c>
      <c r="F336" s="58">
        <v>57.747</v>
      </c>
      <c r="G336" s="59"/>
      <c r="H336" s="59">
        <v>4140</v>
      </c>
      <c r="I336" s="59">
        <f t="shared" si="42"/>
        <v>21565.259999999307</v>
      </c>
      <c r="J336" s="59">
        <f t="shared" si="43"/>
        <v>1184.0400000000056</v>
      </c>
      <c r="K336" s="60">
        <f t="shared" si="49"/>
        <v>5.4904972163565088E-2</v>
      </c>
      <c r="L336" s="59">
        <f t="shared" si="46"/>
        <v>1184.0400000000056</v>
      </c>
      <c r="M336" s="60">
        <f t="shared" si="50"/>
        <v>5.4904972163565088E-2</v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56">
        <v>0.14199999999999999</v>
      </c>
      <c r="E337" s="57">
        <v>1704.9</v>
      </c>
      <c r="F337" s="58">
        <v>57.865000000000002</v>
      </c>
      <c r="G337" s="90"/>
      <c r="H337" s="59">
        <v>4140</v>
      </c>
      <c r="I337" s="59">
        <f t="shared" si="42"/>
        <v>20911.140000000654</v>
      </c>
      <c r="J337" s="59">
        <f t="shared" si="43"/>
        <v>488.52000000000874</v>
      </c>
      <c r="K337" s="60">
        <f t="shared" si="49"/>
        <v>2.3361710552365553E-2</v>
      </c>
      <c r="L337" s="59">
        <f t="shared" si="46"/>
        <v>488.52000000000874</v>
      </c>
      <c r="M337" s="60">
        <f t="shared" si="50"/>
        <v>2.3361710552365553E-2</v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2"/>
        <v/>
      </c>
      <c r="J338" s="59" t="str">
        <f t="shared" si="43"/>
        <v/>
      </c>
      <c r="K338" s="60" t="str">
        <f t="shared" ref="K338:K368" si="51">IF(J338="","",+(J338/I338))</f>
        <v/>
      </c>
      <c r="L338" s="59" t="str">
        <f t="shared" si="46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2"/>
        <v/>
      </c>
      <c r="J339" s="59" t="str">
        <f t="shared" si="43"/>
        <v/>
      </c>
      <c r="K339" s="60" t="str">
        <f t="shared" si="51"/>
        <v/>
      </c>
      <c r="L339" s="59" t="str">
        <f t="shared" si="46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2"/>
        <v/>
      </c>
      <c r="J340" s="59" t="str">
        <f t="shared" si="43"/>
        <v/>
      </c>
      <c r="K340" s="60" t="str">
        <f t="shared" si="51"/>
        <v/>
      </c>
      <c r="L340" s="59" t="str">
        <f t="shared" si="46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2"/>
        <v/>
      </c>
      <c r="J341" s="59" t="str">
        <f t="shared" si="43"/>
        <v/>
      </c>
      <c r="K341" s="60" t="str">
        <f t="shared" si="51"/>
        <v/>
      </c>
      <c r="L341" s="59" t="str">
        <f t="shared" si="46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2"/>
        <v/>
      </c>
      <c r="J342" s="59" t="str">
        <f t="shared" si="43"/>
        <v/>
      </c>
      <c r="K342" s="60" t="str">
        <f t="shared" si="51"/>
        <v/>
      </c>
      <c r="L342" s="59" t="str">
        <f t="shared" si="46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2"/>
        <v/>
      </c>
      <c r="J343" s="59" t="str">
        <f t="shared" ref="I336:J368" si="52">IF(E343="","",+(E343-E342)*4140)</f>
        <v/>
      </c>
      <c r="K343" s="60" t="str">
        <f t="shared" si="51"/>
        <v/>
      </c>
      <c r="L343" s="59" t="str">
        <f t="shared" si="46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2"/>
        <v/>
      </c>
      <c r="J344" s="59" t="str">
        <f t="shared" si="52"/>
        <v/>
      </c>
      <c r="K344" s="60" t="str">
        <f t="shared" si="51"/>
        <v/>
      </c>
      <c r="L344" s="59" t="str">
        <f t="shared" si="46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2"/>
        <v/>
      </c>
      <c r="J345" s="59" t="str">
        <f t="shared" si="52"/>
        <v/>
      </c>
      <c r="K345" s="60" t="str">
        <f t="shared" si="51"/>
        <v/>
      </c>
      <c r="L345" s="59" t="str">
        <f t="shared" si="46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2"/>
        <v/>
      </c>
      <c r="J346" s="59" t="str">
        <f t="shared" si="52"/>
        <v/>
      </c>
      <c r="K346" s="60" t="str">
        <f t="shared" si="51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2"/>
        <v/>
      </c>
      <c r="J347" s="59" t="str">
        <f t="shared" si="52"/>
        <v/>
      </c>
      <c r="K347" s="60" t="str">
        <f t="shared" si="51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2"/>
        <v/>
      </c>
      <c r="J348" s="59" t="str">
        <f t="shared" si="52"/>
        <v/>
      </c>
      <c r="K348" s="60" t="str">
        <f t="shared" si="51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2"/>
        <v/>
      </c>
      <c r="J349" s="59" t="str">
        <f t="shared" si="52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2"/>
        <v/>
      </c>
      <c r="J350" s="59" t="str">
        <f t="shared" si="52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2"/>
        <v/>
      </c>
      <c r="J351" s="59" t="str">
        <f t="shared" si="52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52"/>
        <v/>
      </c>
      <c r="J352" s="59" t="str">
        <f t="shared" si="52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52"/>
        <v/>
      </c>
      <c r="J353" s="59" t="str">
        <f t="shared" si="52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52"/>
        <v/>
      </c>
      <c r="J354" s="59" t="str">
        <f t="shared" si="52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52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52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52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52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52"/>
        <v/>
      </c>
      <c r="J359" s="59" t="str">
        <f t="shared" si="52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52"/>
        <v/>
      </c>
      <c r="J360" s="59" t="str">
        <f t="shared" si="52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52"/>
        <v/>
      </c>
      <c r="J361" s="59" t="str">
        <f t="shared" si="52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52"/>
        <v/>
      </c>
      <c r="J362" s="59" t="str">
        <f t="shared" si="52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52"/>
        <v/>
      </c>
      <c r="J363" s="59" t="str">
        <f t="shared" si="52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3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52"/>
        <v/>
      </c>
      <c r="J364" s="59" t="str">
        <f t="shared" si="52"/>
        <v/>
      </c>
      <c r="K364" s="60" t="str">
        <f t="shared" si="51"/>
        <v/>
      </c>
      <c r="L364" s="59" t="str">
        <f t="shared" si="46"/>
        <v/>
      </c>
      <c r="M364" s="60" t="str">
        <f t="shared" si="53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52"/>
        <v/>
      </c>
      <c r="J365" s="59" t="str">
        <f t="shared" si="52"/>
        <v/>
      </c>
      <c r="K365" s="60" t="str">
        <f t="shared" si="51"/>
        <v/>
      </c>
      <c r="L365" s="59" t="str">
        <f t="shared" si="46"/>
        <v/>
      </c>
      <c r="M365" s="60" t="str">
        <f t="shared" si="53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52"/>
        <v/>
      </c>
      <c r="K366" s="60" t="str">
        <f t="shared" si="51"/>
        <v/>
      </c>
      <c r="L366" s="59" t="str">
        <f t="shared" si="46"/>
        <v/>
      </c>
      <c r="M366" s="60" t="str">
        <f t="shared" si="53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52"/>
        <v/>
      </c>
      <c r="J367" s="59" t="str">
        <f t="shared" si="52"/>
        <v/>
      </c>
      <c r="K367" s="60" t="str">
        <f t="shared" si="51"/>
        <v/>
      </c>
      <c r="L367" s="59" t="str">
        <f t="shared" si="46"/>
        <v/>
      </c>
      <c r="M367" s="60" t="str">
        <f t="shared" si="53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52"/>
        <v/>
      </c>
      <c r="J368" s="90" t="str">
        <f t="shared" si="52"/>
        <v/>
      </c>
      <c r="K368" s="91" t="str">
        <f t="shared" si="51"/>
        <v/>
      </c>
      <c r="L368" s="90" t="str">
        <f t="shared" si="46"/>
        <v/>
      </c>
      <c r="M368" s="91" t="str">
        <f t="shared" si="53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8646902.8800000008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2021-12-02T06:26:46Z</dcterms:modified>
  <cp:category/>
  <cp:contentStatus/>
</cp:coreProperties>
</file>