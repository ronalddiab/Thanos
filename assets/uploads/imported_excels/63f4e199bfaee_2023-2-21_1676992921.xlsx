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59AEAD57-4EF7-4E1C-8E02-9BFD3530EAA6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2" l="1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11" i="2"/>
  <c r="F12" i="2"/>
  <c r="F13" i="2"/>
  <c r="F14" i="2"/>
  <c r="F15" i="2"/>
  <c r="H15" i="2" s="1"/>
  <c r="F16" i="2"/>
  <c r="H16" i="2" s="1"/>
  <c r="F17" i="2"/>
  <c r="F18" i="2"/>
  <c r="H18" i="2" s="1"/>
  <c r="F19" i="2"/>
  <c r="F20" i="2"/>
  <c r="F21" i="2"/>
  <c r="F22" i="2"/>
  <c r="F23" i="2"/>
  <c r="H23" i="2" s="1"/>
  <c r="F24" i="2"/>
  <c r="H24" i="2" s="1"/>
  <c r="F25" i="2"/>
  <c r="F26" i="2"/>
  <c r="H26" i="2" s="1"/>
  <c r="F27" i="2"/>
  <c r="F28" i="2"/>
  <c r="F29" i="2"/>
  <c r="F30" i="2"/>
  <c r="F31" i="2"/>
  <c r="H31" i="2" s="1"/>
  <c r="F32" i="2"/>
  <c r="H32" i="2" s="1"/>
  <c r="F33" i="2"/>
  <c r="F34" i="2"/>
  <c r="H34" i="2" s="1"/>
  <c r="F35" i="2"/>
  <c r="F36" i="2"/>
  <c r="F37" i="2"/>
  <c r="F38" i="2"/>
  <c r="F39" i="2"/>
  <c r="H39" i="2" s="1"/>
  <c r="F40" i="2"/>
  <c r="H40" i="2" s="1"/>
  <c r="H11" i="2"/>
  <c r="H12" i="2"/>
  <c r="H13" i="2"/>
  <c r="H14" i="2"/>
  <c r="H17" i="2"/>
  <c r="H19" i="2"/>
  <c r="H20" i="2"/>
  <c r="H21" i="2"/>
  <c r="H22" i="2"/>
  <c r="H25" i="2"/>
  <c r="H27" i="2"/>
  <c r="H28" i="2"/>
  <c r="H29" i="2"/>
  <c r="H30" i="2"/>
  <c r="H33" i="2"/>
  <c r="H35" i="2"/>
  <c r="H36" i="2"/>
  <c r="H37" i="2"/>
  <c r="H38" i="2"/>
  <c r="H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O24" i="2" s="1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O31" i="2" s="1"/>
  <c r="L32" i="2"/>
  <c r="M32" i="2"/>
  <c r="N32" i="2"/>
  <c r="L33" i="2"/>
  <c r="M33" i="2"/>
  <c r="N33" i="2"/>
  <c r="L34" i="2"/>
  <c r="M34" i="2"/>
  <c r="N34" i="2"/>
  <c r="L35" i="2"/>
  <c r="M35" i="2"/>
  <c r="N35" i="2"/>
  <c r="L36" i="2"/>
  <c r="M36" i="2"/>
  <c r="N36" i="2"/>
  <c r="L37" i="2"/>
  <c r="M37" i="2"/>
  <c r="N37" i="2"/>
  <c r="L38" i="2"/>
  <c r="M38" i="2"/>
  <c r="N38" i="2"/>
  <c r="L39" i="2"/>
  <c r="M39" i="2"/>
  <c r="N39" i="2"/>
  <c r="O39" i="2" s="1"/>
  <c r="L40" i="2"/>
  <c r="O40" i="2" s="1"/>
  <c r="M40" i="2"/>
  <c r="N4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O20" i="2"/>
  <c r="O28" i="2"/>
  <c r="O36" i="2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M5" i="4"/>
  <c r="M6" i="4"/>
  <c r="M7" i="4"/>
  <c r="M8" i="4"/>
  <c r="M9" i="4"/>
  <c r="M10" i="4"/>
  <c r="M11" i="4"/>
  <c r="N11" i="4" s="1"/>
  <c r="M12" i="4"/>
  <c r="N12" i="4" s="1"/>
  <c r="M13" i="4"/>
  <c r="M14" i="4"/>
  <c r="M15" i="4"/>
  <c r="M16" i="4"/>
  <c r="M17" i="4"/>
  <c r="M18" i="4"/>
  <c r="M19" i="4"/>
  <c r="M20" i="4"/>
  <c r="N20" i="4" s="1"/>
  <c r="M21" i="4"/>
  <c r="M22" i="4"/>
  <c r="M23" i="4"/>
  <c r="M24" i="4"/>
  <c r="M25" i="4"/>
  <c r="M26" i="4"/>
  <c r="M27" i="4"/>
  <c r="N27" i="4" s="1"/>
  <c r="M28" i="4"/>
  <c r="N28" i="4" s="1"/>
  <c r="M29" i="4"/>
  <c r="M30" i="4"/>
  <c r="M31" i="4"/>
  <c r="M32" i="4"/>
  <c r="M33" i="4"/>
  <c r="M34" i="4"/>
  <c r="M35" i="4"/>
  <c r="N35" i="4" s="1"/>
  <c r="O35" i="4" s="1"/>
  <c r="P35" i="4" s="1"/>
  <c r="M4" i="4"/>
  <c r="M48" i="4"/>
  <c r="G28" i="4"/>
  <c r="G29" i="4"/>
  <c r="G30" i="4"/>
  <c r="G31" i="4"/>
  <c r="G32" i="4"/>
  <c r="G33" i="4"/>
  <c r="G34" i="4"/>
  <c r="G35" i="4"/>
  <c r="E28" i="4"/>
  <c r="E29" i="4"/>
  <c r="E30" i="4"/>
  <c r="E31" i="4"/>
  <c r="E32" i="4"/>
  <c r="E33" i="4"/>
  <c r="E34" i="4"/>
  <c r="E35" i="4"/>
  <c r="C28" i="4"/>
  <c r="C29" i="4"/>
  <c r="C30" i="4"/>
  <c r="C31" i="4"/>
  <c r="C32" i="4"/>
  <c r="C33" i="4"/>
  <c r="C34" i="4"/>
  <c r="C35" i="4"/>
  <c r="C39" i="6"/>
  <c r="C36" i="6"/>
  <c r="C37" i="6"/>
  <c r="C38" i="6"/>
  <c r="I30" i="4"/>
  <c r="C35" i="6"/>
  <c r="C34" i="6"/>
  <c r="C33" i="6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30" i="6"/>
  <c r="C31" i="6"/>
  <c r="C32" i="6"/>
  <c r="C29" i="6"/>
  <c r="C28" i="6"/>
  <c r="C27" i="6"/>
  <c r="V20" i="2"/>
  <c r="C26" i="6"/>
  <c r="C25" i="6"/>
  <c r="C24" i="6"/>
  <c r="C23" i="6"/>
  <c r="C22" i="6"/>
  <c r="C21" i="6"/>
  <c r="C19" i="6"/>
  <c r="C20" i="6"/>
  <c r="C18" i="6"/>
  <c r="C16" i="6"/>
  <c r="C17" i="6"/>
  <c r="AC9" i="4"/>
  <c r="AC10" i="4"/>
  <c r="C15" i="6"/>
  <c r="C14" i="6"/>
  <c r="V13" i="2"/>
  <c r="C13" i="6"/>
  <c r="C12" i="6"/>
  <c r="C11" i="6"/>
  <c r="K10" i="6"/>
  <c r="I10" i="6"/>
  <c r="G10" i="6"/>
  <c r="E10" i="6"/>
  <c r="C10" i="6"/>
  <c r="B31" i="21"/>
  <c r="B32" i="21"/>
  <c r="B31" i="22"/>
  <c r="B32" i="22"/>
  <c r="N10" i="2"/>
  <c r="M10" i="2"/>
  <c r="L10" i="2"/>
  <c r="F10" i="2"/>
  <c r="G4" i="4"/>
  <c r="E4" i="4"/>
  <c r="C4" i="4"/>
  <c r="M36" i="4"/>
  <c r="M37" i="4"/>
  <c r="M38" i="4"/>
  <c r="M39" i="4"/>
  <c r="M40" i="4"/>
  <c r="M41" i="4"/>
  <c r="M42" i="4"/>
  <c r="G2" i="21"/>
  <c r="O10" i="2"/>
  <c r="I2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I5" i="4"/>
  <c r="AD5" i="4"/>
  <c r="AE5" i="4"/>
  <c r="AC6" i="4"/>
  <c r="L6" i="4" s="1"/>
  <c r="N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N23" i="4"/>
  <c r="L17" i="4"/>
  <c r="N17" i="4"/>
  <c r="V23" i="2"/>
  <c r="L13" i="4"/>
  <c r="N13" i="4"/>
  <c r="L10" i="4"/>
  <c r="N10" i="4"/>
  <c r="L31" i="4"/>
  <c r="N31" i="4"/>
  <c r="L28" i="4"/>
  <c r="L16" i="4"/>
  <c r="N16" i="4"/>
  <c r="V22" i="2"/>
  <c r="L14" i="4"/>
  <c r="N14" i="4"/>
  <c r="L27" i="4"/>
  <c r="L34" i="4"/>
  <c r="N34" i="4"/>
  <c r="L30" i="4"/>
  <c r="N30" i="4"/>
  <c r="L18" i="4"/>
  <c r="N18" i="4"/>
  <c r="L21" i="4"/>
  <c r="N21" i="4"/>
  <c r="L29" i="4"/>
  <c r="N29" i="4"/>
  <c r="L24" i="4"/>
  <c r="N24" i="4"/>
  <c r="V30" i="2"/>
  <c r="L12" i="4"/>
  <c r="L11" i="4"/>
  <c r="L32" i="4"/>
  <c r="N32" i="4"/>
  <c r="V38" i="2"/>
  <c r="L26" i="4"/>
  <c r="N26" i="4"/>
  <c r="L25" i="4"/>
  <c r="N25" i="4"/>
  <c r="V31" i="2"/>
  <c r="L19" i="4"/>
  <c r="N19" i="4"/>
  <c r="L20" i="4"/>
  <c r="L33" i="4"/>
  <c r="N33" i="4"/>
  <c r="V39" i="2"/>
  <c r="L15" i="4"/>
  <c r="N15" i="4"/>
  <c r="V21" i="2"/>
  <c r="Q10" i="2"/>
  <c r="E2" i="21"/>
  <c r="J2" i="21"/>
  <c r="E2" i="22"/>
  <c r="Q44" i="4"/>
  <c r="AC44" i="4"/>
  <c r="K48" i="4"/>
  <c r="L48" i="4"/>
  <c r="L9" i="4"/>
  <c r="N9" i="4"/>
  <c r="AC43" i="4"/>
  <c r="I9" i="4"/>
  <c r="O17" i="2" l="1"/>
  <c r="J9" i="21"/>
  <c r="O34" i="2"/>
  <c r="O26" i="2"/>
  <c r="O18" i="2"/>
  <c r="O27" i="2"/>
  <c r="O32" i="2"/>
  <c r="O30" i="2"/>
  <c r="O22" i="2"/>
  <c r="O35" i="2"/>
  <c r="O19" i="2"/>
  <c r="O23" i="2"/>
  <c r="O38" i="2"/>
  <c r="O37" i="2"/>
  <c r="O29" i="2"/>
  <c r="O21" i="2"/>
  <c r="O33" i="2"/>
  <c r="O25" i="2"/>
  <c r="J17" i="21"/>
  <c r="F41" i="2"/>
  <c r="V24" i="2"/>
  <c r="V16" i="2"/>
  <c r="V33" i="2"/>
  <c r="V17" i="2"/>
  <c r="V18" i="2"/>
  <c r="V40" i="2"/>
  <c r="V26" i="2"/>
  <c r="V36" i="2"/>
  <c r="V25" i="2"/>
  <c r="V37" i="2"/>
  <c r="V34" i="2"/>
  <c r="V19" i="2"/>
  <c r="V27" i="2"/>
  <c r="V15" i="2"/>
  <c r="V32" i="2"/>
  <c r="V29" i="2"/>
  <c r="V12" i="2"/>
  <c r="V28" i="2"/>
  <c r="V11" i="2"/>
  <c r="V35" i="2"/>
  <c r="J21" i="21"/>
  <c r="J8" i="21"/>
  <c r="O16" i="2"/>
  <c r="O11" i="2"/>
  <c r="J25" i="21"/>
  <c r="J13" i="21"/>
  <c r="N41" i="2"/>
  <c r="I46" i="2" s="1"/>
  <c r="L46" i="2" s="1"/>
  <c r="M41" i="2"/>
  <c r="I45" i="2" s="1"/>
  <c r="L45" i="2" s="1"/>
  <c r="J12" i="21"/>
  <c r="J24" i="21"/>
  <c r="O14" i="2"/>
  <c r="L8" i="4"/>
  <c r="N8" i="4" s="1"/>
  <c r="J14" i="21"/>
  <c r="I4" i="4"/>
  <c r="L4" i="4"/>
  <c r="N4" i="4" s="1"/>
  <c r="M11" i="22" l="1"/>
  <c r="M10" i="22"/>
  <c r="V14" i="2"/>
  <c r="M3" i="22"/>
  <c r="J3" i="21"/>
  <c r="M18" i="22"/>
  <c r="J18" i="21"/>
  <c r="J23" i="21"/>
  <c r="M23" i="22"/>
  <c r="M22" i="22"/>
  <c r="J22" i="21"/>
  <c r="J11" i="21"/>
  <c r="J19" i="21"/>
  <c r="M19" i="22"/>
  <c r="J30" i="21"/>
  <c r="J10" i="21"/>
  <c r="M26" i="22"/>
  <c r="J26" i="21"/>
  <c r="J20" i="21"/>
  <c r="M15" i="22"/>
  <c r="J15" i="21"/>
  <c r="J16" i="21"/>
  <c r="M16" i="22"/>
  <c r="M20" i="22"/>
  <c r="M14" i="22"/>
  <c r="M25" i="22"/>
  <c r="M13" i="22"/>
  <c r="M24" i="22"/>
  <c r="M21" i="22"/>
  <c r="M9" i="22"/>
  <c r="M17" i="22"/>
  <c r="M12" i="22"/>
  <c r="O15" i="2"/>
  <c r="O13" i="2"/>
  <c r="L41" i="2"/>
  <c r="O12" i="2"/>
  <c r="M8" i="22"/>
  <c r="O4" i="4"/>
  <c r="N43" i="4"/>
  <c r="H41" i="2" l="1"/>
  <c r="P4" i="4"/>
  <c r="V10" i="2"/>
  <c r="O41" i="2"/>
  <c r="Q41" i="2"/>
  <c r="I48" i="2"/>
  <c r="L48" i="2" s="1"/>
  <c r="N48" i="2" s="1"/>
  <c r="M32" i="2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J32" i="21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<sst xmlns="http://schemas.openxmlformats.org/spreadsheetml/2006/main" count="480" uniqueCount="187">
  <si>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</si>
  <si>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</si>
  <si>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</si>
  <si>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</si>
  <si>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</si>
  <si>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</si>
  <si>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</si>
  <si>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</si>
  <si>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</si>
  <si>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</si>
  <si>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</si>
  <si>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</si>
  <si>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</si>
  <si>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</si>
  <si>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</si>
  <si>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</si>
  <si>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</si>
  <si>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</si>
  <si>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</si>
  <si>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</si>
  <si>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</si>
  <si>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</si>
  <si>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</si>
  <si>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</si>
  <si>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</si>
  <si>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</si>
  <si>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</si>
  <si>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</si>
  <si>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</si>
  <si>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</si>
  <si>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</si>
  <si>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</si>
  <si>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</si>
  <si>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</si>
  <si>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</si>
  <si>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</si>
  <si>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</si>
  <si>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</si>
  <si>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</si>
  <si>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</si>
  <si>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</si>
  <si>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</si>
  <si>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</si>
  <si>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</si>
  <si>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</si>
  <si>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</si>
  <si>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</si>
  <si>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</si>
  <si>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</si>
  <si>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</si>
  <si>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</si>
  <si>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</si>
  <si>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</si>
  <si>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</si>
  <si>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</si>
  <si>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</si>
  <si>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</si>
  <si>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</si>
  <si>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</si>
  <si>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</si>
  <si>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</si>
  <si>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</si>
  <si>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</si>
  <si>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</si>
  <si>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</si>
  <si>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</si>
  <si>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</si>
  <si>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</si>
  <si>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</si>
  <si>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</si>
  <si>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</si>
  <si>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</si>
  <si>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</si>
  <si>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</si>
  <si>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</si>
  <si>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</si>
  <si>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</si>
  <si>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</si>
  <si>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</si>
  <si>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</si>
  <si>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</si>
  <si>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</si>
  <si>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</si>
  <si>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</si>
  <si>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</si>
  <si>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</si>
  <si>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</si>
  <si>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</si>
  <si>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</si>
  <si>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</si>
  <si>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</si>
  <si>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</si>
  <si>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</si>
  <si>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</si>
  <si>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</si>
  <si>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</si>
  <si>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</si>
  <si>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</si>
  <si>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</si>
  <si>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</si>
  <si>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</si>
  <si>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</si>
  <si>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</si>
  <si>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</si>
  <si>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</si>
  <si>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</si>
  <si>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</si>
  <si>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</si>
  <si>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</si>
  <si>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</si>
  <si>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</si>
  <si>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</si>
  <si>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</si>
  <si>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</si>
  <si>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</si>
  <si>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</si>
  <si>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</si>
  <si>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</si>
  <si>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</si>
  <si>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</si>
  <si>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</si>
  <si>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</si>
  <si>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</si>
  <si>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</si>
  <si>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</si>
  <si>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</si>
  <si>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</si>
  <si>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</si>
  <si>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</si>
  <si>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</si>
  <si>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</si>
  <si>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17/5/2021</t>
  </si>
  <si>
    <t>18/5/2021</t>
  </si>
  <si>
    <t>01jours</t>
  </si>
  <si>
    <t>Estimation de la consommation d'Eau Sanitaire Mai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</si>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</sst>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39.80000000000291</c:v>
                </c:pt>
                <c:pt idx="1">
                  <c:v>55.400000000008731</c:v>
                </c:pt>
                <c:pt idx="2">
                  <c:v>45.099999999991269</c:v>
                </c:pt>
                <c:pt idx="3">
                  <c:v>87.69999999999709</c:v>
                </c:pt>
                <c:pt idx="4">
                  <c:v>68.30000000000291</c:v>
                </c:pt>
                <c:pt idx="5">
                  <c:v>54.80000000000291</c:v>
                </c:pt>
                <c:pt idx="6">
                  <c:v>48.30000000000291</c:v>
                </c:pt>
                <c:pt idx="7">
                  <c:v>88.399999999994179</c:v>
                </c:pt>
                <c:pt idx="8">
                  <c:v>58.900000000008731</c:v>
                </c:pt>
                <c:pt idx="9">
                  <c:v>40.899999999994179</c:v>
                </c:pt>
                <c:pt idx="10">
                  <c:v>93</c:v>
                </c:pt>
                <c:pt idx="11">
                  <c:v>94.5</c:v>
                </c:pt>
                <c:pt idx="12">
                  <c:v>79.899999999994179</c:v>
                </c:pt>
                <c:pt idx="13">
                  <c:v>114.30000000000291</c:v>
                </c:pt>
                <c:pt idx="14">
                  <c:v>89.30000000000291</c:v>
                </c:pt>
                <c:pt idx="15">
                  <c:v>128.89999999999418</c:v>
                </c:pt>
                <c:pt idx="16">
                  <c:v>227.90000000000873</c:v>
                </c:pt>
                <c:pt idx="17">
                  <c:v>89.69999999999709</c:v>
                </c:pt>
                <c:pt idx="18">
                  <c:v>81.100000000005821</c:v>
                </c:pt>
                <c:pt idx="19">
                  <c:v>60.5</c:v>
                </c:pt>
                <c:pt idx="20">
                  <c:v>70.599999999991269</c:v>
                </c:pt>
                <c:pt idx="21">
                  <c:v>81.400000000008731</c:v>
                </c:pt>
                <c:pt idx="22">
                  <c:v>83.899999999994179</c:v>
                </c:pt>
                <c:pt idx="23">
                  <c:v>71</c:v>
                </c:pt>
                <c:pt idx="24">
                  <c:v>80.899999999994179</c:v>
                </c:pt>
                <c:pt idx="25">
                  <c:v>99.700000000011642</c:v>
                </c:pt>
                <c:pt idx="26">
                  <c:v>78.69999999999709</c:v>
                </c:pt>
                <c:pt idx="27">
                  <c:v>68.80000000000291</c:v>
                </c:pt>
                <c:pt idx="28">
                  <c:v>78.899999999994179</c:v>
                </c:pt>
                <c:pt idx="29">
                  <c:v>77.100000000005821</c:v>
                </c:pt>
                <c:pt idx="3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2179</c:v>
                </c:pt>
                <c:pt idx="1">
                  <c:v>2110</c:v>
                </c:pt>
                <c:pt idx="2">
                  <c:v>2140</c:v>
                </c:pt>
                <c:pt idx="3">
                  <c:v>2305</c:v>
                </c:pt>
                <c:pt idx="4">
                  <c:v>2272</c:v>
                </c:pt>
                <c:pt idx="5">
                  <c:v>2540</c:v>
                </c:pt>
                <c:pt idx="6">
                  <c:v>2189</c:v>
                </c:pt>
                <c:pt idx="7">
                  <c:v>2405</c:v>
                </c:pt>
                <c:pt idx="8">
                  <c:v>2361</c:v>
                </c:pt>
                <c:pt idx="9">
                  <c:v>2018</c:v>
                </c:pt>
                <c:pt idx="10">
                  <c:v>2509</c:v>
                </c:pt>
                <c:pt idx="11">
                  <c:v>2352</c:v>
                </c:pt>
                <c:pt idx="12">
                  <c:v>1813</c:v>
                </c:pt>
                <c:pt idx="13">
                  <c:v>2409</c:v>
                </c:pt>
                <c:pt idx="14">
                  <c:v>2046</c:v>
                </c:pt>
                <c:pt idx="15">
                  <c:v>2002</c:v>
                </c:pt>
                <c:pt idx="16">
                  <c:v>2228</c:v>
                </c:pt>
                <c:pt idx="17">
                  <c:v>2321</c:v>
                </c:pt>
                <c:pt idx="18">
                  <c:v>2579</c:v>
                </c:pt>
                <c:pt idx="19">
                  <c:v>2272</c:v>
                </c:pt>
                <c:pt idx="20">
                  <c:v>2784</c:v>
                </c:pt>
                <c:pt idx="21">
                  <c:v>2613</c:v>
                </c:pt>
                <c:pt idx="22">
                  <c:v>3229</c:v>
                </c:pt>
                <c:pt idx="23">
                  <c:v>2697</c:v>
                </c:pt>
                <c:pt idx="24">
                  <c:v>2337</c:v>
                </c:pt>
                <c:pt idx="25">
                  <c:v>2340</c:v>
                </c:pt>
                <c:pt idx="26">
                  <c:v>2832</c:v>
                </c:pt>
                <c:pt idx="27">
                  <c:v>2928</c:v>
                </c:pt>
                <c:pt idx="28">
                  <c:v>2366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4209</c:v>
                </c:pt>
                <c:pt idx="1">
                  <c:v>4163</c:v>
                </c:pt>
                <c:pt idx="2">
                  <c:v>4363</c:v>
                </c:pt>
                <c:pt idx="3">
                  <c:v>4560</c:v>
                </c:pt>
                <c:pt idx="4">
                  <c:v>4652</c:v>
                </c:pt>
                <c:pt idx="5">
                  <c:v>4525</c:v>
                </c:pt>
                <c:pt idx="6">
                  <c:v>5081</c:v>
                </c:pt>
                <c:pt idx="7">
                  <c:v>5123</c:v>
                </c:pt>
                <c:pt idx="8">
                  <c:v>4690</c:v>
                </c:pt>
                <c:pt idx="9">
                  <c:v>3884</c:v>
                </c:pt>
                <c:pt idx="10">
                  <c:v>3408</c:v>
                </c:pt>
                <c:pt idx="11">
                  <c:v>4549</c:v>
                </c:pt>
                <c:pt idx="12">
                  <c:v>4432</c:v>
                </c:pt>
                <c:pt idx="13">
                  <c:v>4657</c:v>
                </c:pt>
                <c:pt idx="14">
                  <c:v>4540</c:v>
                </c:pt>
                <c:pt idx="15">
                  <c:v>4495</c:v>
                </c:pt>
                <c:pt idx="16">
                  <c:v>5209</c:v>
                </c:pt>
                <c:pt idx="17">
                  <c:v>4284</c:v>
                </c:pt>
                <c:pt idx="18">
                  <c:v>5006</c:v>
                </c:pt>
                <c:pt idx="19">
                  <c:v>5410</c:v>
                </c:pt>
                <c:pt idx="20">
                  <c:v>5527</c:v>
                </c:pt>
                <c:pt idx="21">
                  <c:v>5902</c:v>
                </c:pt>
                <c:pt idx="22">
                  <c:v>5717</c:v>
                </c:pt>
                <c:pt idx="23">
                  <c:v>5437</c:v>
                </c:pt>
                <c:pt idx="24">
                  <c:v>5440</c:v>
                </c:pt>
                <c:pt idx="25">
                  <c:v>5517</c:v>
                </c:pt>
                <c:pt idx="26">
                  <c:v>5247</c:v>
                </c:pt>
                <c:pt idx="27">
                  <c:v>5929</c:v>
                </c:pt>
                <c:pt idx="28">
                  <c:v>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1751</c:v>
                </c:pt>
                <c:pt idx="1">
                  <c:v>1825</c:v>
                </c:pt>
                <c:pt idx="2">
                  <c:v>1702</c:v>
                </c:pt>
                <c:pt idx="3">
                  <c:v>1593</c:v>
                </c:pt>
                <c:pt idx="4">
                  <c:v>1722</c:v>
                </c:pt>
                <c:pt idx="5">
                  <c:v>1752</c:v>
                </c:pt>
                <c:pt idx="6">
                  <c:v>1862</c:v>
                </c:pt>
                <c:pt idx="7">
                  <c:v>1899</c:v>
                </c:pt>
                <c:pt idx="8">
                  <c:v>2032</c:v>
                </c:pt>
                <c:pt idx="9">
                  <c:v>1697</c:v>
                </c:pt>
                <c:pt idx="10">
                  <c:v>1981</c:v>
                </c:pt>
                <c:pt idx="11">
                  <c:v>1732</c:v>
                </c:pt>
                <c:pt idx="12">
                  <c:v>1673</c:v>
                </c:pt>
                <c:pt idx="13">
                  <c:v>1927</c:v>
                </c:pt>
                <c:pt idx="14">
                  <c:v>1936</c:v>
                </c:pt>
                <c:pt idx="15">
                  <c:v>1812</c:v>
                </c:pt>
                <c:pt idx="16">
                  <c:v>1784</c:v>
                </c:pt>
                <c:pt idx="17">
                  <c:v>1945</c:v>
                </c:pt>
                <c:pt idx="18">
                  <c:v>1819</c:v>
                </c:pt>
                <c:pt idx="19">
                  <c:v>1945</c:v>
                </c:pt>
                <c:pt idx="20">
                  <c:v>1970</c:v>
                </c:pt>
                <c:pt idx="21">
                  <c:v>2369</c:v>
                </c:pt>
                <c:pt idx="22">
                  <c:v>3096</c:v>
                </c:pt>
                <c:pt idx="23">
                  <c:v>1585</c:v>
                </c:pt>
                <c:pt idx="24">
                  <c:v>2037</c:v>
                </c:pt>
                <c:pt idx="25">
                  <c:v>2115</c:v>
                </c:pt>
                <c:pt idx="26">
                  <c:v>2001</c:v>
                </c:pt>
                <c:pt idx="27">
                  <c:v>2219</c:v>
                </c:pt>
                <c:pt idx="28">
                  <c:v>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351.99131</c:v>
                </c:pt>
                <c:pt idx="2">
                  <c:v>287.99288999999999</c:v>
                </c:pt>
                <c:pt idx="3">
                  <c:v>287.99288999999999</c:v>
                </c:pt>
                <c:pt idx="4">
                  <c:v>127.99684000000001</c:v>
                </c:pt>
                <c:pt idx="5">
                  <c:v>223.99447000000001</c:v>
                </c:pt>
                <c:pt idx="6">
                  <c:v>63.998420000000003</c:v>
                </c:pt>
                <c:pt idx="7">
                  <c:v>255.99368000000001</c:v>
                </c:pt>
                <c:pt idx="8">
                  <c:v>319.99209999999999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319.99209999999999</c:v>
                </c:pt>
                <c:pt idx="12">
                  <c:v>319.99209999999999</c:v>
                </c:pt>
                <c:pt idx="13">
                  <c:v>447.98894000000001</c:v>
                </c:pt>
                <c:pt idx="14">
                  <c:v>319.99209999999999</c:v>
                </c:pt>
                <c:pt idx="15">
                  <c:v>287.99288999999999</c:v>
                </c:pt>
                <c:pt idx="16">
                  <c:v>31.999210000000001</c:v>
                </c:pt>
                <c:pt idx="17">
                  <c:v>479.98815000000002</c:v>
                </c:pt>
                <c:pt idx="18">
                  <c:v>319.99209999999999</c:v>
                </c:pt>
                <c:pt idx="19">
                  <c:v>415.98973000000001</c:v>
                </c:pt>
                <c:pt idx="20">
                  <c:v>127.99684000000001</c:v>
                </c:pt>
                <c:pt idx="21">
                  <c:v>383.99052</c:v>
                </c:pt>
                <c:pt idx="22">
                  <c:v>255.99368000000001</c:v>
                </c:pt>
                <c:pt idx="23">
                  <c:v>575.98577999999998</c:v>
                </c:pt>
                <c:pt idx="24">
                  <c:v>319.99209999999999</c:v>
                </c:pt>
                <c:pt idx="25">
                  <c:v>223.99447000000001</c:v>
                </c:pt>
                <c:pt idx="26">
                  <c:v>223.99447000000001</c:v>
                </c:pt>
                <c:pt idx="27">
                  <c:v>415.98973000000001</c:v>
                </c:pt>
                <c:pt idx="28">
                  <c:v>255.99368000000001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R18" sqref="R1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5</v>
      </c>
      <c r="D2" s="141">
        <v>2021</v>
      </c>
      <c r="E2" s="137">
        <f>submetering!E2+submetering!F2+submetering!G2</f>
        <v>8139</v>
      </c>
      <c r="F2" s="134">
        <v>1.05</v>
      </c>
      <c r="G2" s="134">
        <f>'Consommation mensuel énergie'!V10</f>
        <v>223.99447000000001</v>
      </c>
      <c r="H2" s="134">
        <v>8.3000000000000007</v>
      </c>
      <c r="I2" s="134">
        <f>'Consommation mensuel énergie'!F10</f>
        <v>39.80000000000291</v>
      </c>
      <c r="J2" s="134">
        <v>11.4</v>
      </c>
      <c r="K2" s="137">
        <f>'Consommation mensuel énergie'!D10</f>
        <v>36</v>
      </c>
      <c r="L2" s="137">
        <f>'Consommation mensuel énergie'!E10</f>
        <v>62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submetering!E3+submetering!F3+submetering!G3</f>
        <v>8098</v>
      </c>
      <c r="F3" s="134">
        <v>1.05</v>
      </c>
      <c r="G3" s="134">
        <f>'Consommation mensuel énergie'!V11</f>
        <v>351.99131</v>
      </c>
      <c r="H3" s="134">
        <v>8.3000000000000007</v>
      </c>
      <c r="I3" s="134">
        <f>'Consommation mensuel énergie'!F11</f>
        <v>55.400000000008731</v>
      </c>
      <c r="J3" s="134">
        <v>11.4</v>
      </c>
      <c r="K3" s="137">
        <f>'Consommation mensuel énergie'!D11</f>
        <v>24</v>
      </c>
      <c r="L3" s="137">
        <f>'Consommation mensuel énergie'!E11</f>
        <v>37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submetering!E4+submetering!F4+submetering!G4</f>
        <v>8205</v>
      </c>
      <c r="F4" s="134">
        <v>1.05</v>
      </c>
      <c r="G4" s="134">
        <f>'Consommation mensuel énergie'!V12</f>
        <v>287.99288999999999</v>
      </c>
      <c r="H4" s="134">
        <v>8.3000000000000007</v>
      </c>
      <c r="I4" s="134">
        <f>'Consommation mensuel énergie'!F12</f>
        <v>45.099999999991269</v>
      </c>
      <c r="J4" s="134">
        <v>11.4</v>
      </c>
      <c r="K4" s="137">
        <f>'Consommation mensuel énergie'!D12</f>
        <v>10</v>
      </c>
      <c r="L4" s="137">
        <f>'Consommation mensuel énergie'!E12</f>
        <v>20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submetering!E5+submetering!F5+submetering!G5</f>
        <v>8458</v>
      </c>
      <c r="F5" s="134">
        <v>1.05</v>
      </c>
      <c r="G5" s="134">
        <f>'Consommation mensuel énergie'!V13</f>
        <v>287.99288999999999</v>
      </c>
      <c r="H5" s="134">
        <v>8.3000000000000007</v>
      </c>
      <c r="I5" s="134">
        <f>'Consommation mensuel énergie'!F13</f>
        <v>87.69999999999709</v>
      </c>
      <c r="J5" s="134">
        <v>11.4</v>
      </c>
      <c r="K5" s="137">
        <f>'Consommation mensuel énergie'!D13</f>
        <v>7</v>
      </c>
      <c r="L5" s="137">
        <f>'Consommation mensuel énergie'!E13</f>
        <v>12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submetering!E6+submetering!F6+submetering!G6</f>
        <v>8646</v>
      </c>
      <c r="F6" s="134">
        <v>1.05</v>
      </c>
      <c r="G6" s="134">
        <f>'Consommation mensuel énergie'!V14</f>
        <v>127.99684000000001</v>
      </c>
      <c r="H6" s="134">
        <v>8.3000000000000007</v>
      </c>
      <c r="I6" s="134">
        <f>'Consommation mensuel énergie'!F14</f>
        <v>68.30000000000291</v>
      </c>
      <c r="J6" s="134">
        <v>11.4</v>
      </c>
      <c r="K6" s="137">
        <f>'Consommation mensuel énergie'!D14</f>
        <v>31</v>
      </c>
      <c r="L6" s="137">
        <f>'Consommation mensuel énergie'!E14</f>
        <v>41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submetering!E7+submetering!F7+submetering!G7</f>
        <v>8817</v>
      </c>
      <c r="F7" s="134">
        <v>1.05</v>
      </c>
      <c r="G7" s="134">
        <f>'Consommation mensuel énergie'!V15</f>
        <v>223.99447000000001</v>
      </c>
      <c r="H7" s="134">
        <v>8.3000000000000007</v>
      </c>
      <c r="I7" s="134">
        <f>'Consommation mensuel énergie'!F15</f>
        <v>54.80000000000291</v>
      </c>
      <c r="J7" s="134">
        <v>11.4</v>
      </c>
      <c r="K7" s="137">
        <f>'Consommation mensuel énergie'!D15</f>
        <v>24</v>
      </c>
      <c r="L7" s="137">
        <f>'Consommation mensuel énergie'!E15</f>
        <v>32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submetering!E8+submetering!F8+submetering!G8</f>
        <v>9132</v>
      </c>
      <c r="F8" s="134">
        <v>1.05</v>
      </c>
      <c r="G8" s="134">
        <f>'Consommation mensuel énergie'!V16</f>
        <v>63.998420000000003</v>
      </c>
      <c r="H8" s="134">
        <v>8.3000000000000007</v>
      </c>
      <c r="I8" s="134">
        <f>'Consommation mensuel énergie'!F16</f>
        <v>48.30000000000291</v>
      </c>
      <c r="J8" s="134">
        <v>11.4</v>
      </c>
      <c r="K8" s="137">
        <f>'Consommation mensuel énergie'!D16</f>
        <v>21</v>
      </c>
      <c r="L8" s="137">
        <f>'Consommation mensuel énergie'!E16</f>
        <v>27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submetering!E9+submetering!F9+submetering!G9</f>
        <v>9427</v>
      </c>
      <c r="F9" s="134">
        <v>1.05</v>
      </c>
      <c r="G9" s="134">
        <f>'Consommation mensuel énergie'!V17</f>
        <v>255.99368000000001</v>
      </c>
      <c r="H9" s="134">
        <v>8.3000000000000007</v>
      </c>
      <c r="I9" s="134">
        <f>'Consommation mensuel énergie'!F17</f>
        <v>88.399999999994179</v>
      </c>
      <c r="J9" s="134">
        <v>11.4</v>
      </c>
      <c r="K9" s="137">
        <f>'Consommation mensuel énergie'!D17</f>
        <v>11</v>
      </c>
      <c r="L9" s="137">
        <f>'Consommation mensuel énergie'!E17</f>
        <v>18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submetering!E10+submetering!F10+submetering!G10</f>
        <v>9083</v>
      </c>
      <c r="F10" s="134">
        <v>1.05</v>
      </c>
      <c r="G10" s="134">
        <f>'Consommation mensuel énergie'!V18</f>
        <v>319.99209999999999</v>
      </c>
      <c r="H10" s="134">
        <v>8.3000000000000007</v>
      </c>
      <c r="I10" s="134">
        <f>'Consommation mensuel énergie'!F18</f>
        <v>58.900000000008731</v>
      </c>
      <c r="J10" s="134">
        <v>11.4</v>
      </c>
      <c r="K10" s="137">
        <f>'Consommation mensuel énergie'!D18</f>
        <v>22</v>
      </c>
      <c r="L10" s="137">
        <f>'Consommation mensuel énergie'!E18</f>
        <v>39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submetering!E11+submetering!F11+submetering!G11</f>
        <v>7599</v>
      </c>
      <c r="F11" s="134">
        <v>1.05</v>
      </c>
      <c r="G11" s="134">
        <f>'Consommation mensuel énergie'!V19</f>
        <v>351.99131</v>
      </c>
      <c r="H11" s="134">
        <v>8.3000000000000007</v>
      </c>
      <c r="I11" s="134">
        <f>'Consommation mensuel énergie'!F19</f>
        <v>40.899999999994179</v>
      </c>
      <c r="J11" s="134">
        <v>11.4</v>
      </c>
      <c r="K11" s="137">
        <f>'Consommation mensuel énergie'!D19</f>
        <v>18</v>
      </c>
      <c r="L11" s="137">
        <f>'Consommation mensuel énergie'!E19</f>
        <v>28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submetering!E12+submetering!F12+submetering!G12</f>
        <v>7898</v>
      </c>
      <c r="F12" s="134">
        <v>1.05</v>
      </c>
      <c r="G12" s="134">
        <f>'Consommation mensuel énergie'!V20</f>
        <v>255.99368000000001</v>
      </c>
      <c r="H12" s="134">
        <v>8.3000000000000007</v>
      </c>
      <c r="I12" s="134">
        <f>'Consommation mensuel énergie'!F20</f>
        <v>93</v>
      </c>
      <c r="J12" s="134">
        <v>11.4</v>
      </c>
      <c r="K12" s="137">
        <f>'Consommation mensuel énergie'!D20</f>
        <v>14</v>
      </c>
      <c r="L12" s="137">
        <f>'Consommation mensuel énergie'!E20</f>
        <v>31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submetering!E13+submetering!F13+submetering!G13</f>
        <v>8633</v>
      </c>
      <c r="F13" s="134">
        <v>1.05</v>
      </c>
      <c r="G13" s="134">
        <f>'Consommation mensuel énergie'!V21</f>
        <v>319.99209999999999</v>
      </c>
      <c r="H13" s="134">
        <v>8.3000000000000007</v>
      </c>
      <c r="I13" s="134">
        <f>'Consommation mensuel énergie'!F21</f>
        <v>94.5</v>
      </c>
      <c r="J13" s="134">
        <v>11.4</v>
      </c>
      <c r="K13" s="137">
        <f>'Consommation mensuel énergie'!D21</f>
        <v>15</v>
      </c>
      <c r="L13" s="137">
        <f>'Consommation mensuel énergie'!E21</f>
        <v>33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submetering!E14+submetering!F14+submetering!G14</f>
        <v>7918</v>
      </c>
      <c r="F14" s="134">
        <v>1.05</v>
      </c>
      <c r="G14" s="134">
        <f>'Consommation mensuel énergie'!V22</f>
        <v>319.99209999999999</v>
      </c>
      <c r="H14" s="134">
        <v>8.3000000000000007</v>
      </c>
      <c r="I14" s="134">
        <f>'Consommation mensuel énergie'!F22</f>
        <v>79.899999999994179</v>
      </c>
      <c r="J14" s="134">
        <v>11.4</v>
      </c>
      <c r="K14" s="137">
        <f>'Consommation mensuel énergie'!D22</f>
        <v>18</v>
      </c>
      <c r="L14" s="137">
        <f>'Consommation mensuel énergie'!E22</f>
        <v>35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submetering!E15+submetering!F15+submetering!G15</f>
        <v>8993</v>
      </c>
      <c r="F15" s="134">
        <v>1.05</v>
      </c>
      <c r="G15" s="134">
        <f>'Consommation mensuel énergie'!V23</f>
        <v>447.98894000000001</v>
      </c>
      <c r="H15" s="134">
        <v>8.3000000000000007</v>
      </c>
      <c r="I15" s="134">
        <f>'Consommation mensuel énergie'!F23</f>
        <v>114.30000000000291</v>
      </c>
      <c r="J15" s="134">
        <v>11.4</v>
      </c>
      <c r="K15" s="137">
        <f>'Consommation mensuel énergie'!D23</f>
        <v>13</v>
      </c>
      <c r="L15" s="137">
        <f>'Consommation mensuel énergie'!E23</f>
        <v>26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submetering!E16+submetering!F16+submetering!G16</f>
        <v>8522</v>
      </c>
      <c r="F16" s="134">
        <v>1.05</v>
      </c>
      <c r="G16" s="134">
        <f>'Consommation mensuel énergie'!V24</f>
        <v>319.99209999999999</v>
      </c>
      <c r="H16" s="134">
        <v>8.3000000000000007</v>
      </c>
      <c r="I16" s="134">
        <f>'Consommation mensuel énergie'!F24</f>
        <v>89.30000000000291</v>
      </c>
      <c r="J16" s="134">
        <v>11.4</v>
      </c>
      <c r="K16" s="137">
        <f>'Consommation mensuel énergie'!D24</f>
        <v>18</v>
      </c>
      <c r="L16" s="137">
        <f>'Consommation mensuel énergie'!E24</f>
        <v>35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submetering!E17+submetering!F17+submetering!G17</f>
        <v>8309</v>
      </c>
      <c r="F17" s="134">
        <v>1.05</v>
      </c>
      <c r="G17" s="134">
        <f>'Consommation mensuel énergie'!V25</f>
        <v>287.99288999999999</v>
      </c>
      <c r="H17" s="134">
        <v>8.3000000000000007</v>
      </c>
      <c r="I17" s="134">
        <f>'Consommation mensuel énergie'!F25</f>
        <v>128.89999999999418</v>
      </c>
      <c r="J17" s="134">
        <v>11.4</v>
      </c>
      <c r="K17" s="137">
        <f>'Consommation mensuel énergie'!D25</f>
        <v>14</v>
      </c>
      <c r="L17" s="137">
        <f>'Consommation mensuel énergie'!E25</f>
        <v>20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submetering!E18+submetering!F18+submetering!G18</f>
        <v>9221</v>
      </c>
      <c r="F18" s="134">
        <v>1.05</v>
      </c>
      <c r="G18" s="134">
        <f>'Consommation mensuel énergie'!V26</f>
        <v>31.999210000000001</v>
      </c>
      <c r="H18" s="134">
        <v>8.3000000000000007</v>
      </c>
      <c r="I18" s="134">
        <f>'Consommation mensuel énergie'!F26</f>
        <v>227.90000000000873</v>
      </c>
      <c r="J18" s="134">
        <v>11.4</v>
      </c>
      <c r="K18" s="137">
        <f>'Consommation mensuel énergie'!D26</f>
        <v>14</v>
      </c>
      <c r="L18" s="137">
        <f>'Consommation mensuel énergie'!E26</f>
        <v>23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submetering!E19+submetering!F19+submetering!G19</f>
        <v>8550</v>
      </c>
      <c r="F19" s="134">
        <v>1.05</v>
      </c>
      <c r="G19" s="134">
        <f>'Consommation mensuel énergie'!V27</f>
        <v>479.98815000000002</v>
      </c>
      <c r="H19" s="134">
        <v>8.3000000000000007</v>
      </c>
      <c r="I19" s="134">
        <f>'Consommation mensuel énergie'!F27</f>
        <v>89.69999999999709</v>
      </c>
      <c r="J19" s="134">
        <v>11.4</v>
      </c>
      <c r="K19" s="137">
        <f>'Consommation mensuel énergie'!D27</f>
        <v>19</v>
      </c>
      <c r="L19" s="137">
        <f>'Consommation mensuel énergie'!E27</f>
        <v>33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submetering!E20+submetering!F20+submetering!G20</f>
        <v>9404</v>
      </c>
      <c r="F20" s="134">
        <v>1.05</v>
      </c>
      <c r="G20" s="134">
        <f>'Consommation mensuel énergie'!V28</f>
        <v>319.99209999999999</v>
      </c>
      <c r="H20" s="134">
        <v>8.3000000000000007</v>
      </c>
      <c r="I20" s="134">
        <f>'Consommation mensuel énergie'!F28</f>
        <v>81.100000000005821</v>
      </c>
      <c r="J20" s="134">
        <v>11.4</v>
      </c>
      <c r="K20" s="137">
        <f>'Consommation mensuel énergie'!D28</f>
        <v>23</v>
      </c>
      <c r="L20" s="137">
        <f>'Consommation mensuel énergie'!E28</f>
        <v>38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submetering!E21+submetering!F21+submetering!G21</f>
        <v>9627</v>
      </c>
      <c r="F21" s="134">
        <v>1.05</v>
      </c>
      <c r="G21" s="134">
        <f>'Consommation mensuel énergie'!V29</f>
        <v>415.98973000000001</v>
      </c>
      <c r="H21" s="134">
        <v>8.3000000000000007</v>
      </c>
      <c r="I21" s="134">
        <f>'Consommation mensuel énergie'!F29</f>
        <v>60.5</v>
      </c>
      <c r="J21" s="134">
        <v>11.4</v>
      </c>
      <c r="K21" s="137">
        <f>'Consommation mensuel énergie'!D29</f>
        <v>40</v>
      </c>
      <c r="L21" s="137">
        <f>'Consommation mensuel énergie'!E29</f>
        <v>50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submetering!E22+submetering!F22+submetering!G22</f>
        <v>10281</v>
      </c>
      <c r="F22" s="134">
        <v>1.05</v>
      </c>
      <c r="G22" s="134">
        <f>'Consommation mensuel énergie'!V30</f>
        <v>127.99684000000001</v>
      </c>
      <c r="H22" s="134">
        <v>8.3000000000000007</v>
      </c>
      <c r="I22" s="134">
        <f>'Consommation mensuel énergie'!F30</f>
        <v>70.599999999991269</v>
      </c>
      <c r="J22" s="134">
        <v>11.4</v>
      </c>
      <c r="K22" s="137">
        <f>'Consommation mensuel énergie'!D30</f>
        <v>69</v>
      </c>
      <c r="L22" s="137">
        <f>'Consommation mensuel énergie'!E30</f>
        <v>76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submetering!E23+submetering!F23+submetering!G23</f>
        <v>10884</v>
      </c>
      <c r="F23" s="134">
        <v>1.05</v>
      </c>
      <c r="G23" s="134">
        <f>'Consommation mensuel énergie'!V31</f>
        <v>383.99052</v>
      </c>
      <c r="H23" s="134">
        <v>8.3000000000000007</v>
      </c>
      <c r="I23" s="134">
        <f>'Consommation mensuel énergie'!F31</f>
        <v>81.400000000008731</v>
      </c>
      <c r="J23" s="134">
        <v>11.4</v>
      </c>
      <c r="K23" s="137">
        <f>'Consommation mensuel énergie'!D31</f>
        <v>78</v>
      </c>
      <c r="L23" s="137">
        <f>'Consommation mensuel énergie'!E31</f>
        <v>109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submetering!E24+submetering!F24+submetering!G24</f>
        <v>12042</v>
      </c>
      <c r="F24" s="134">
        <v>1.05</v>
      </c>
      <c r="G24" s="134">
        <f>'Consommation mensuel énergie'!V32</f>
        <v>255.99368000000001</v>
      </c>
      <c r="H24" s="134">
        <v>8.3000000000000007</v>
      </c>
      <c r="I24" s="134">
        <f>'Consommation mensuel énergie'!F32</f>
        <v>83.899999999994179</v>
      </c>
      <c r="J24" s="134">
        <v>11.4</v>
      </c>
      <c r="K24" s="137">
        <f>'Consommation mensuel énergie'!D32</f>
        <v>61</v>
      </c>
      <c r="L24" s="137">
        <f>'Consommation mensuel énergie'!E32</f>
        <v>80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submetering!E25+submetering!F25+submetering!G25</f>
        <v>9719</v>
      </c>
      <c r="F25" s="134">
        <v>1.05</v>
      </c>
      <c r="G25" s="134">
        <f>'Consommation mensuel énergie'!V33</f>
        <v>575.98577999999998</v>
      </c>
      <c r="H25" s="134">
        <v>8.3000000000000007</v>
      </c>
      <c r="I25" s="134">
        <f>'Consommation mensuel énergie'!F33</f>
        <v>71</v>
      </c>
      <c r="J25" s="134">
        <v>11.4</v>
      </c>
      <c r="K25" s="137">
        <f>'Consommation mensuel énergie'!D33</f>
        <v>49</v>
      </c>
      <c r="L25" s="137">
        <f>'Consommation mensuel énergie'!E33</f>
        <v>69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submetering!E26+submetering!F26+submetering!G26</f>
        <v>9814</v>
      </c>
      <c r="F26" s="134">
        <v>1.05</v>
      </c>
      <c r="G26" s="134">
        <f>'Consommation mensuel énergie'!V34</f>
        <v>319.99209999999999</v>
      </c>
      <c r="H26" s="134">
        <v>8.3000000000000007</v>
      </c>
      <c r="I26" s="134">
        <f>'Consommation mensuel énergie'!F34</f>
        <v>80.899999999994179</v>
      </c>
      <c r="J26" s="134">
        <v>11.4</v>
      </c>
      <c r="K26" s="137">
        <f>'Consommation mensuel énergie'!D34</f>
        <v>52</v>
      </c>
      <c r="L26" s="137">
        <f>'Consommation mensuel énergie'!E34</f>
        <v>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submetering!E27+submetering!F27+submetering!G27</f>
        <v>9972</v>
      </c>
      <c r="F27" s="134">
        <v>1.05</v>
      </c>
      <c r="G27" s="134">
        <f>'Consommation mensuel énergie'!V35</f>
        <v>223.99447000000001</v>
      </c>
      <c r="H27" s="134">
        <v>8.3000000000000007</v>
      </c>
      <c r="I27" s="134">
        <f>'Consommation mensuel énergie'!F35</f>
        <v>99.700000000011642</v>
      </c>
      <c r="J27" s="134">
        <v>11.4</v>
      </c>
      <c r="K27" s="137">
        <f>'Consommation mensuel énergie'!D35</f>
        <v>54</v>
      </c>
      <c r="L27" s="137">
        <f>'Consommation mensuel énergie'!E35</f>
        <v>57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submetering!E28+submetering!F28+submetering!G28</f>
        <v>10080</v>
      </c>
      <c r="F28" s="134">
        <v>1.05</v>
      </c>
      <c r="G28" s="134">
        <f>'Consommation mensuel énergie'!V36</f>
        <v>223.99447000000001</v>
      </c>
      <c r="H28" s="134">
        <v>8.3000000000000007</v>
      </c>
      <c r="I28" s="134">
        <f>'Consommation mensuel énergie'!F36</f>
        <v>78.69999999999709</v>
      </c>
      <c r="J28" s="134">
        <v>11.4</v>
      </c>
      <c r="K28" s="137">
        <f>'Consommation mensuel énergie'!D36</f>
        <v>38</v>
      </c>
      <c r="L28" s="137">
        <f>'Consommation mensuel énergie'!E36</f>
        <v>58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submetering!E29+submetering!F29+submetering!G29</f>
        <v>11076</v>
      </c>
      <c r="F29" s="134">
        <v>1.05</v>
      </c>
      <c r="G29" s="134">
        <f>'Consommation mensuel énergie'!V37</f>
        <v>415.98973000000001</v>
      </c>
      <c r="H29" s="134">
        <v>8.3000000000000007</v>
      </c>
      <c r="I29" s="134">
        <f>'Consommation mensuel énergie'!F37</f>
        <v>68.80000000000291</v>
      </c>
      <c r="J29" s="134">
        <v>11.4</v>
      </c>
      <c r="K29" s="137">
        <f>'Consommation mensuel énergie'!D37</f>
        <v>49</v>
      </c>
      <c r="L29" s="137">
        <f>'Consommation mensuel énergie'!E37</f>
        <v>71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submetering!E30+submetering!F30+submetering!G30</f>
        <v>10819</v>
      </c>
      <c r="F30" s="134">
        <v>1.05</v>
      </c>
      <c r="G30" s="134">
        <f>'Consommation mensuel énergie'!V38</f>
        <v>255.99368000000001</v>
      </c>
      <c r="H30" s="134">
        <v>8.3000000000000007</v>
      </c>
      <c r="I30" s="134">
        <f>'Consommation mensuel énergie'!F38</f>
        <v>78.899999999994179</v>
      </c>
      <c r="J30" s="134">
        <v>11.4</v>
      </c>
      <c r="K30" s="137">
        <f>'Consommation mensuel énergie'!D38</f>
        <v>46</v>
      </c>
      <c r="L30" s="137">
        <f>'Consommation mensuel énergie'!E38</f>
        <v>66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submetering!E31+submetering!F31+submetering!G31</f>
        <v>10315</v>
      </c>
      <c r="F31" s="134">
        <v>1.05</v>
      </c>
      <c r="G31" s="134">
        <f>'Consommation mensuel énergie'!V39</f>
        <v>287.99288999999999</v>
      </c>
      <c r="H31" s="134">
        <v>8.3000000000000007</v>
      </c>
      <c r="I31" s="134">
        <f>'Consommation mensuel énergie'!F39</f>
        <v>77.100000000005821</v>
      </c>
      <c r="J31" s="134">
        <v>11.4</v>
      </c>
      <c r="K31" s="137">
        <f>'Consommation mensuel énergie'!D39</f>
        <v>30</v>
      </c>
      <c r="L31" s="137">
        <f>'Consommation mensuel énergie'!E39</f>
        <v>43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submetering!E32+submetering!F32+submetering!G32</f>
        <v>9897</v>
      </c>
      <c r="F32" s="134">
        <v>1.05</v>
      </c>
      <c r="G32" s="134">
        <f>'Consommation mensuel énergie'!V40</f>
        <v>351.99131</v>
      </c>
      <c r="H32" s="134">
        <v>8.3000000000000007</v>
      </c>
      <c r="I32" s="134">
        <f>'Consommation mensuel énergie'!F40</f>
        <v>60</v>
      </c>
      <c r="J32" s="134">
        <v>11.4</v>
      </c>
      <c r="K32" s="137">
        <f>'Consommation mensuel énergie'!D40</f>
        <v>32</v>
      </c>
      <c r="L32" s="137">
        <f>'Consommation mensuel énergie'!E40</f>
        <v>43</v>
      </c>
      <c r="M32" s="133" t="e">
        <f>E32*F32+G32*H32+#REF!*#REF!+I32*J32</f>
        <v>#REF!</v>
      </c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O23" sqref="O2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5</v>
      </c>
      <c r="D2" s="141">
        <v>2021</v>
      </c>
      <c r="E2" s="137">
        <f>'Consommation mensuel énergie'!L10</f>
        <v>2179</v>
      </c>
      <c r="F2" s="137">
        <f>'Consommation mensuel énergie'!M10</f>
        <v>4209</v>
      </c>
      <c r="G2" s="137">
        <f>'Consommation mensuel énergie'!N10</f>
        <v>1751</v>
      </c>
      <c r="H2" s="137">
        <f>'Consommation mensuel énergie'!D10</f>
        <v>36</v>
      </c>
      <c r="I2" s="137">
        <f>'Consommation mensuel énergie'!E10</f>
        <v>62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'Consommation mensuel énergie'!L11</f>
        <v>2110</v>
      </c>
      <c r="F3" s="137">
        <f>'Consommation mensuel énergie'!M11</f>
        <v>4163</v>
      </c>
      <c r="G3" s="137">
        <f>'Consommation mensuel énergie'!N11</f>
        <v>1825</v>
      </c>
      <c r="H3" s="137">
        <f>'Consommation mensuel énergie'!D11</f>
        <v>24</v>
      </c>
      <c r="I3" s="137">
        <f>'Consommation mensuel énergie'!E11</f>
        <v>37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'Consommation mensuel énergie'!L12</f>
        <v>2140</v>
      </c>
      <c r="F4" s="137">
        <f>'Consommation mensuel énergie'!M12</f>
        <v>4363</v>
      </c>
      <c r="G4" s="137">
        <f>'Consommation mensuel énergie'!N12</f>
        <v>1702</v>
      </c>
      <c r="H4" s="137">
        <f>'Consommation mensuel énergie'!D12</f>
        <v>10</v>
      </c>
      <c r="I4" s="137">
        <f>'Consommation mensuel énergie'!E12</f>
        <v>20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'Consommation mensuel énergie'!L13</f>
        <v>2305</v>
      </c>
      <c r="F5" s="137">
        <f>'Consommation mensuel énergie'!M13</f>
        <v>4560</v>
      </c>
      <c r="G5" s="137">
        <f>'Consommation mensuel énergie'!N13</f>
        <v>1593</v>
      </c>
      <c r="H5" s="137">
        <f>'Consommation mensuel énergie'!D13</f>
        <v>7</v>
      </c>
      <c r="I5" s="137">
        <f>'Consommation mensuel énergie'!E13</f>
        <v>12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'Consommation mensuel énergie'!L14</f>
        <v>2272</v>
      </c>
      <c r="F6" s="137">
        <f>'Consommation mensuel énergie'!M14</f>
        <v>4652</v>
      </c>
      <c r="G6" s="137">
        <f>'Consommation mensuel énergie'!N14</f>
        <v>1722</v>
      </c>
      <c r="H6" s="137">
        <f>'Consommation mensuel énergie'!D14</f>
        <v>31</v>
      </c>
      <c r="I6" s="137">
        <f>'Consommation mensuel énergie'!E14</f>
        <v>41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'Consommation mensuel énergie'!L15</f>
        <v>2540</v>
      </c>
      <c r="F7" s="137">
        <f>'Consommation mensuel énergie'!M15</f>
        <v>4525</v>
      </c>
      <c r="G7" s="137">
        <f>'Consommation mensuel énergie'!N15</f>
        <v>1752</v>
      </c>
      <c r="H7" s="137">
        <f>'Consommation mensuel énergie'!D15</f>
        <v>24</v>
      </c>
      <c r="I7" s="137">
        <f>'Consommation mensuel énergie'!E15</f>
        <v>32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'Consommation mensuel énergie'!L16</f>
        <v>2189</v>
      </c>
      <c r="F8" s="137">
        <f>'Consommation mensuel énergie'!M16</f>
        <v>5081</v>
      </c>
      <c r="G8" s="137">
        <f>'Consommation mensuel énergie'!N16</f>
        <v>1862</v>
      </c>
      <c r="H8" s="137">
        <f>'Consommation mensuel énergie'!D16</f>
        <v>21</v>
      </c>
      <c r="I8" s="137">
        <f>'Consommation mensuel énergie'!E16</f>
        <v>27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'Consommation mensuel énergie'!L17</f>
        <v>2405</v>
      </c>
      <c r="F9" s="137">
        <f>'Consommation mensuel énergie'!M17</f>
        <v>5123</v>
      </c>
      <c r="G9" s="137">
        <f>'Consommation mensuel énergie'!N17</f>
        <v>1899</v>
      </c>
      <c r="H9" s="137">
        <f>'Consommation mensuel énergie'!D17</f>
        <v>11</v>
      </c>
      <c r="I9" s="137">
        <f>'Consommation mensuel énergie'!E17</f>
        <v>18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'Consommation mensuel énergie'!L18</f>
        <v>2361</v>
      </c>
      <c r="F10" s="137">
        <f>'Consommation mensuel énergie'!M18</f>
        <v>4690</v>
      </c>
      <c r="G10" s="137">
        <f>'Consommation mensuel énergie'!N18</f>
        <v>2032</v>
      </c>
      <c r="H10" s="137">
        <f>'Consommation mensuel énergie'!D18</f>
        <v>22</v>
      </c>
      <c r="I10" s="137">
        <f>'Consommation mensuel énergie'!E18</f>
        <v>39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'Consommation mensuel énergie'!L19</f>
        <v>2018</v>
      </c>
      <c r="F11" s="137">
        <f>'Consommation mensuel énergie'!M19</f>
        <v>3884</v>
      </c>
      <c r="G11" s="137">
        <f>'Consommation mensuel énergie'!N19</f>
        <v>1697</v>
      </c>
      <c r="H11" s="137">
        <f>'Consommation mensuel énergie'!D19</f>
        <v>18</v>
      </c>
      <c r="I11" s="137">
        <f>'Consommation mensuel énergie'!E19</f>
        <v>28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'Consommation mensuel énergie'!L20</f>
        <v>2509</v>
      </c>
      <c r="F12" s="137">
        <f>'Consommation mensuel énergie'!M20</f>
        <v>3408</v>
      </c>
      <c r="G12" s="137">
        <f>'Consommation mensuel énergie'!N20</f>
        <v>1981</v>
      </c>
      <c r="H12" s="137">
        <f>'Consommation mensuel énergie'!D20</f>
        <v>14</v>
      </c>
      <c r="I12" s="137">
        <f>'Consommation mensuel énergie'!E20</f>
        <v>31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'Consommation mensuel énergie'!L21</f>
        <v>2352</v>
      </c>
      <c r="F13" s="137">
        <f>'Consommation mensuel énergie'!M21</f>
        <v>4549</v>
      </c>
      <c r="G13" s="137">
        <f>'Consommation mensuel énergie'!N21</f>
        <v>1732</v>
      </c>
      <c r="H13" s="137">
        <f>'Consommation mensuel énergie'!D21</f>
        <v>15</v>
      </c>
      <c r="I13" s="137">
        <f>'Consommation mensuel énergie'!E21</f>
        <v>33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'Consommation mensuel énergie'!L22</f>
        <v>1813</v>
      </c>
      <c r="F14" s="137">
        <f>'Consommation mensuel énergie'!M22</f>
        <v>4432</v>
      </c>
      <c r="G14" s="137">
        <f>'Consommation mensuel énergie'!N22</f>
        <v>1673</v>
      </c>
      <c r="H14" s="137">
        <f>'Consommation mensuel énergie'!D22</f>
        <v>18</v>
      </c>
      <c r="I14" s="137">
        <f>'Consommation mensuel énergie'!E22</f>
        <v>35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'Consommation mensuel énergie'!L23</f>
        <v>2409</v>
      </c>
      <c r="F15" s="137">
        <f>'Consommation mensuel énergie'!M23</f>
        <v>4657</v>
      </c>
      <c r="G15" s="137">
        <f>'Consommation mensuel énergie'!N23</f>
        <v>1927</v>
      </c>
      <c r="H15" s="137">
        <f>'Consommation mensuel énergie'!D23</f>
        <v>13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'Consommation mensuel énergie'!L24</f>
        <v>2046</v>
      </c>
      <c r="F16" s="137">
        <f>'Consommation mensuel énergie'!M24</f>
        <v>4540</v>
      </c>
      <c r="G16" s="137">
        <f>'Consommation mensuel énergie'!N24</f>
        <v>1936</v>
      </c>
      <c r="H16" s="137">
        <f>'Consommation mensuel énergie'!D24</f>
        <v>18</v>
      </c>
      <c r="I16" s="137">
        <f>'Consommation mensuel énergie'!E24</f>
        <v>35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'Consommation mensuel énergie'!L25</f>
        <v>2002</v>
      </c>
      <c r="F17" s="137">
        <f>'Consommation mensuel énergie'!M25</f>
        <v>4495</v>
      </c>
      <c r="G17" s="137">
        <f>'Consommation mensuel énergie'!N25</f>
        <v>1812</v>
      </c>
      <c r="H17" s="137">
        <f>'Consommation mensuel énergie'!D25</f>
        <v>14</v>
      </c>
      <c r="I17" s="137">
        <f>'Consommation mensuel énergie'!E25</f>
        <v>20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'Consommation mensuel énergie'!L26</f>
        <v>2228</v>
      </c>
      <c r="F18" s="137">
        <f>'Consommation mensuel énergie'!M26</f>
        <v>5209</v>
      </c>
      <c r="G18" s="137">
        <f>'Consommation mensuel énergie'!N26</f>
        <v>1784</v>
      </c>
      <c r="H18" s="137">
        <f>'Consommation mensuel énergie'!D26</f>
        <v>14</v>
      </c>
      <c r="I18" s="137">
        <f>'Consommation mensuel énergie'!E26</f>
        <v>23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'Consommation mensuel énergie'!L27</f>
        <v>2321</v>
      </c>
      <c r="F19" s="137">
        <f>'Consommation mensuel énergie'!M27</f>
        <v>4284</v>
      </c>
      <c r="G19" s="137">
        <f>'Consommation mensuel énergie'!N27</f>
        <v>1945</v>
      </c>
      <c r="H19" s="137">
        <f>'Consommation mensuel énergie'!D27</f>
        <v>19</v>
      </c>
      <c r="I19" s="137">
        <f>'Consommation mensuel énergie'!E27</f>
        <v>33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'Consommation mensuel énergie'!L28</f>
        <v>2579</v>
      </c>
      <c r="F20" s="137">
        <f>'Consommation mensuel énergie'!M28</f>
        <v>5006</v>
      </c>
      <c r="G20" s="137">
        <f>'Consommation mensuel énergie'!N28</f>
        <v>1819</v>
      </c>
      <c r="H20" s="137">
        <f>'Consommation mensuel énergie'!D28</f>
        <v>23</v>
      </c>
      <c r="I20" s="137">
        <f>'Consommation mensuel énergie'!E28</f>
        <v>38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'Consommation mensuel énergie'!L29</f>
        <v>2272</v>
      </c>
      <c r="F21" s="137">
        <f>'Consommation mensuel énergie'!M29</f>
        <v>5410</v>
      </c>
      <c r="G21" s="137">
        <f>'Consommation mensuel énergie'!N29</f>
        <v>1945</v>
      </c>
      <c r="H21" s="137">
        <f>'Consommation mensuel énergie'!D29</f>
        <v>40</v>
      </c>
      <c r="I21" s="137">
        <f>'Consommation mensuel énergie'!E29</f>
        <v>50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'Consommation mensuel énergie'!L30</f>
        <v>2784</v>
      </c>
      <c r="F22" s="137">
        <f>'Consommation mensuel énergie'!M30</f>
        <v>5527</v>
      </c>
      <c r="G22" s="137">
        <f>'Consommation mensuel énergie'!N30</f>
        <v>1970</v>
      </c>
      <c r="H22" s="137">
        <f>'Consommation mensuel énergie'!D30</f>
        <v>69</v>
      </c>
      <c r="I22" s="137">
        <f>'Consommation mensuel énergie'!E30</f>
        <v>76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'Consommation mensuel énergie'!L31</f>
        <v>2613</v>
      </c>
      <c r="F23" s="137">
        <f>'Consommation mensuel énergie'!M31</f>
        <v>5902</v>
      </c>
      <c r="G23" s="137">
        <f>'Consommation mensuel énergie'!N31</f>
        <v>2369</v>
      </c>
      <c r="H23" s="137">
        <f>'Consommation mensuel énergie'!D31</f>
        <v>78</v>
      </c>
      <c r="I23" s="137">
        <f>'Consommation mensuel énergie'!E31</f>
        <v>109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'Consommation mensuel énergie'!L32</f>
        <v>3229</v>
      </c>
      <c r="F24" s="137">
        <f>'Consommation mensuel énergie'!M32</f>
        <v>5717</v>
      </c>
      <c r="G24" s="137">
        <f>'Consommation mensuel énergie'!N32</f>
        <v>3096</v>
      </c>
      <c r="H24" s="137">
        <f>'Consommation mensuel énergie'!D32</f>
        <v>61</v>
      </c>
      <c r="I24" s="137">
        <f>'Consommation mensuel énergie'!E32</f>
        <v>80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'Consommation mensuel énergie'!L33</f>
        <v>2697</v>
      </c>
      <c r="F25" s="137">
        <f>'Consommation mensuel énergie'!M33</f>
        <v>5437</v>
      </c>
      <c r="G25" s="137">
        <f>'Consommation mensuel énergie'!N33</f>
        <v>1585</v>
      </c>
      <c r="H25" s="137">
        <f>'Consommation mensuel énergie'!D33</f>
        <v>49</v>
      </c>
      <c r="I25" s="137">
        <f>'Consommation mensuel énergie'!E33</f>
        <v>69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'Consommation mensuel énergie'!L34</f>
        <v>2337</v>
      </c>
      <c r="F26" s="137">
        <f>'Consommation mensuel énergie'!M34</f>
        <v>5440</v>
      </c>
      <c r="G26" s="137">
        <f>'Consommation mensuel énergie'!N34</f>
        <v>2037</v>
      </c>
      <c r="H26" s="137">
        <f>'Consommation mensuel énergie'!D34</f>
        <v>52</v>
      </c>
      <c r="I26" s="137">
        <f>'Consommation mensuel énergie'!E34</f>
        <v>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'Consommation mensuel énergie'!L35</f>
        <v>2340</v>
      </c>
      <c r="F27" s="137">
        <f>'Consommation mensuel énergie'!M35</f>
        <v>5517</v>
      </c>
      <c r="G27" s="137">
        <f>'Consommation mensuel énergie'!N35</f>
        <v>2115</v>
      </c>
      <c r="H27" s="137">
        <f>'Consommation mensuel énergie'!D35</f>
        <v>54</v>
      </c>
      <c r="I27" s="137">
        <f>'Consommation mensuel énergie'!E35</f>
        <v>57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'Consommation mensuel énergie'!L36</f>
        <v>2832</v>
      </c>
      <c r="F28" s="137">
        <f>'Consommation mensuel énergie'!M36</f>
        <v>5247</v>
      </c>
      <c r="G28" s="137">
        <f>'Consommation mensuel énergie'!N36</f>
        <v>2001</v>
      </c>
      <c r="H28" s="137">
        <f>'Consommation mensuel énergie'!D36</f>
        <v>38</v>
      </c>
      <c r="I28" s="137">
        <f>'Consommation mensuel énergie'!E36</f>
        <v>58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'Consommation mensuel énergie'!L37</f>
        <v>2928</v>
      </c>
      <c r="F29" s="137">
        <f>'Consommation mensuel énergie'!M37</f>
        <v>5929</v>
      </c>
      <c r="G29" s="137">
        <f>'Consommation mensuel énergie'!N37</f>
        <v>2219</v>
      </c>
      <c r="H29" s="137">
        <f>'Consommation mensuel énergie'!D37</f>
        <v>49</v>
      </c>
      <c r="I29" s="137">
        <f>'Consommation mensuel énergie'!E37</f>
        <v>71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'Consommation mensuel énergie'!L38</f>
        <v>2366</v>
      </c>
      <c r="F30" s="137">
        <f>'Consommation mensuel énergie'!M38</f>
        <v>6163</v>
      </c>
      <c r="G30" s="137">
        <f>'Consommation mensuel énergie'!N38</f>
        <v>2290</v>
      </c>
      <c r="H30" s="137">
        <f>'Consommation mensuel énergie'!D38</f>
        <v>46</v>
      </c>
      <c r="I30" s="137">
        <f>'Consommation mensuel énergie'!E38</f>
        <v>66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'Consommation mensuel énergie'!L39</f>
        <v>2745</v>
      </c>
      <c r="F31" s="137">
        <f>'Consommation mensuel énergie'!M39</f>
        <v>5291</v>
      </c>
      <c r="G31" s="137">
        <f>'Consommation mensuel énergie'!N39</f>
        <v>2279</v>
      </c>
      <c r="H31" s="137">
        <f>'Consommation mensuel énergie'!D39</f>
        <v>30</v>
      </c>
      <c r="I31" s="137">
        <f>'Consommation mensuel énergie'!E39</f>
        <v>43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'Consommation mensuel énergie'!L40</f>
        <v>2597</v>
      </c>
      <c r="F32" s="137">
        <f>'Consommation mensuel énergie'!M40</f>
        <v>5330</v>
      </c>
      <c r="G32" s="137">
        <f>'Consommation mensuel énergie'!N40</f>
        <v>1970</v>
      </c>
      <c r="H32" s="137">
        <f>'Consommation mensuel énergie'!D40</f>
        <v>32</v>
      </c>
      <c r="I32" s="137">
        <f>'Consommation mensuel énergie'!E40</f>
        <v>43</v>
      </c>
      <c r="J32" s="133" t="e">
        <f>E32*F32+G32*#REF!+#REF!*#REF!+#REF!*#REF!</f>
        <v>#REF!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H10" sqref="H10:J1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20"/>
      <c r="B2" s="221"/>
      <c r="C2" s="221"/>
      <c r="D2" s="221"/>
      <c r="E2" s="221"/>
      <c r="F2" s="221"/>
      <c r="G2" s="221"/>
      <c r="H2" s="222"/>
      <c r="I2" s="231" t="s">
        <v>17</v>
      </c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</row>
    <row r="3" spans="1:24" ht="15" hidden="1" customHeight="1" thickBot="1" x14ac:dyDescent="0.25"/>
    <row r="4" spans="1:24" ht="39" hidden="1" customHeight="1" thickBot="1" x14ac:dyDescent="0.25">
      <c r="A4" s="223"/>
      <c r="B4" s="223"/>
      <c r="C4" s="223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23"/>
      <c r="B5" s="223"/>
      <c r="C5" s="223"/>
      <c r="D5" s="5"/>
      <c r="E5" s="5"/>
      <c r="F5" s="5"/>
      <c r="G5" s="5"/>
      <c r="H5" s="5"/>
      <c r="I5" s="5"/>
      <c r="J5" s="5"/>
      <c r="K5" s="5"/>
      <c r="L5" s="5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</row>
    <row r="6" spans="1:24" s="5" customFormat="1" ht="44.25" hidden="1" customHeight="1" thickBot="1" x14ac:dyDescent="0.25">
      <c r="A6" s="3"/>
      <c r="B6" s="3"/>
      <c r="C6" s="3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</row>
    <row r="7" spans="1:24" s="5" customFormat="1" ht="18.75" hidden="1" customHeight="1" thickBot="1" x14ac:dyDescent="0.25">
      <c r="F7" s="224"/>
      <c r="G7" s="224"/>
      <c r="H7" s="224"/>
      <c r="I7" s="224"/>
      <c r="J7" s="224"/>
      <c r="K7" s="224"/>
      <c r="L7" s="224"/>
      <c r="M7" s="224"/>
      <c r="N7" s="233"/>
      <c r="O7" s="233"/>
      <c r="P7" s="224"/>
      <c r="Q7" s="224"/>
      <c r="R7" s="224"/>
      <c r="S7" s="224"/>
      <c r="T7" s="224"/>
      <c r="U7" s="224"/>
      <c r="V7" s="224"/>
      <c r="W7" s="224"/>
      <c r="X7" s="224"/>
    </row>
    <row r="8" spans="1:24" ht="18.75" customHeight="1" thickBot="1" x14ac:dyDescent="0.25">
      <c r="A8" s="224"/>
      <c r="B8" s="238" t="s">
        <v>19</v>
      </c>
      <c r="C8" s="4"/>
      <c r="D8" s="239" t="s">
        <v>20</v>
      </c>
      <c r="E8" s="239" t="s">
        <v>21</v>
      </c>
      <c r="F8" s="243" t="s">
        <v>22</v>
      </c>
      <c r="G8" s="2"/>
      <c r="H8" s="225" t="s">
        <v>23</v>
      </c>
      <c r="I8" s="226"/>
      <c r="J8" s="227"/>
      <c r="K8" s="245" t="s">
        <v>24</v>
      </c>
      <c r="L8" s="236" t="s">
        <v>25</v>
      </c>
      <c r="M8" s="236"/>
      <c r="N8" s="236"/>
      <c r="O8" s="236" t="s">
        <v>26</v>
      </c>
      <c r="P8" s="2"/>
      <c r="Q8" s="234" t="s">
        <v>23</v>
      </c>
      <c r="R8" s="2"/>
      <c r="S8" s="234" t="s">
        <v>27</v>
      </c>
      <c r="T8" s="2"/>
      <c r="U8" s="234" t="s">
        <v>28</v>
      </c>
      <c r="V8" s="241" t="s">
        <v>29</v>
      </c>
      <c r="W8" s="2"/>
      <c r="X8" s="234" t="s">
        <v>23</v>
      </c>
    </row>
    <row r="9" spans="1:24" ht="59.25" customHeight="1" thickBot="1" x14ac:dyDescent="0.25">
      <c r="A9" s="224"/>
      <c r="B9" s="238"/>
      <c r="C9" s="4"/>
      <c r="D9" s="240"/>
      <c r="E9" s="240"/>
      <c r="F9" s="244"/>
      <c r="G9" s="2"/>
      <c r="H9" s="228"/>
      <c r="I9" s="229"/>
      <c r="J9" s="230"/>
      <c r="K9" s="246"/>
      <c r="L9" s="161" t="s">
        <v>30</v>
      </c>
      <c r="M9" s="161" t="s">
        <v>31</v>
      </c>
      <c r="N9" s="161" t="s">
        <v>32</v>
      </c>
      <c r="O9" s="237"/>
      <c r="P9" s="2"/>
      <c r="Q9" s="235"/>
      <c r="R9" s="2"/>
      <c r="S9" s="235"/>
      <c r="T9" s="2"/>
      <c r="U9" s="235"/>
      <c r="V9" s="242"/>
      <c r="W9" s="2"/>
      <c r="X9" s="235"/>
    </row>
    <row r="10" spans="1:24" ht="32.25" customHeight="1" thickBot="1" x14ac:dyDescent="0.25">
      <c r="A10" s="2"/>
      <c r="B10" s="6">
        <v>44317</v>
      </c>
      <c r="C10" s="7"/>
      <c r="D10" s="143">
        <v>36</v>
      </c>
      <c r="E10" s="143">
        <v>62</v>
      </c>
      <c r="F10" s="13">
        <f>'Suivi EAU-ELEC'!E9</f>
        <v>39.80000000000291</v>
      </c>
      <c r="G10" s="11"/>
      <c r="H10" s="202">
        <f>F10*11.4</f>
        <v>453.72000000003317</v>
      </c>
      <c r="I10" s="203"/>
      <c r="J10" s="203"/>
      <c r="K10" s="60">
        <v>42278</v>
      </c>
      <c r="L10" s="90">
        <f>'Suivi EAU-ELEC'!G9</f>
        <v>2179</v>
      </c>
      <c r="M10" s="91">
        <f>'Suivi EAU-ELEC'!I9</f>
        <v>4209</v>
      </c>
      <c r="N10" s="91">
        <f>'Suivi EAU-ELEC'!K9</f>
        <v>1751</v>
      </c>
      <c r="O10" s="91">
        <f>L10+M10+N10</f>
        <v>8139</v>
      </c>
      <c r="P10" s="11"/>
      <c r="Q10" s="34">
        <f>L10*0.6985+M10*0.9514+N10*1.3304</f>
        <v>7856.0045000000009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V10*8.3</f>
        <v>1859.1541010000003</v>
      </c>
    </row>
    <row r="11" spans="1:24" ht="32.25" customHeight="1" thickBot="1" x14ac:dyDescent="0.25">
      <c r="A11" s="2"/>
      <c r="B11" s="6">
        <v>44318</v>
      </c>
      <c r="C11" s="7"/>
      <c r="D11" s="143">
        <v>24</v>
      </c>
      <c r="E11" s="143">
        <v>37</v>
      </c>
      <c r="F11" s="13">
        <f>'Suivi EAU-ELEC'!E10</f>
        <v>55.400000000008731</v>
      </c>
      <c r="G11" s="11"/>
      <c r="H11" s="202">
        <f t="shared" ref="H11:H40" si="0">F11*11.4</f>
        <v>631.56000000009954</v>
      </c>
      <c r="I11" s="203"/>
      <c r="J11" s="203"/>
      <c r="K11" s="60">
        <v>42279</v>
      </c>
      <c r="L11" s="90">
        <f>'Suivi EAU-ELEC'!G10</f>
        <v>2110</v>
      </c>
      <c r="M11" s="91">
        <f>'Suivi EAU-ELEC'!I10</f>
        <v>4163</v>
      </c>
      <c r="N11" s="91">
        <f>'Suivi EAU-ELEC'!K10</f>
        <v>1825</v>
      </c>
      <c r="O11" s="91">
        <f>L11+M11+N11</f>
        <v>8098</v>
      </c>
      <c r="P11" s="11"/>
      <c r="Q11" s="34">
        <f t="shared" ref="Q11:Q40" si="1">L11*0.6985+M11*0.9514+N11*1.3304</f>
        <v>7862.4932000000008</v>
      </c>
      <c r="R11" s="11"/>
      <c r="S11" s="28"/>
      <c r="T11" s="11"/>
      <c r="U11" s="28"/>
      <c r="V11" s="146">
        <f>'Suvi Gaz'!O5</f>
        <v>351.99131</v>
      </c>
      <c r="W11" s="11"/>
      <c r="X11" s="34">
        <f t="shared" ref="X11:X40" si="2">V11*8.3</f>
        <v>2921.5278730000005</v>
      </c>
    </row>
    <row r="12" spans="1:24" ht="32.25" customHeight="1" thickBot="1" x14ac:dyDescent="0.25">
      <c r="A12" s="2"/>
      <c r="B12" s="6">
        <v>44319</v>
      </c>
      <c r="C12" s="7"/>
      <c r="D12" s="143">
        <v>10</v>
      </c>
      <c r="E12" s="143">
        <v>20</v>
      </c>
      <c r="F12" s="13">
        <f>'Suivi EAU-ELEC'!E11</f>
        <v>45.099999999991269</v>
      </c>
      <c r="G12" s="11"/>
      <c r="H12" s="202">
        <f t="shared" si="0"/>
        <v>514.13999999990051</v>
      </c>
      <c r="I12" s="203"/>
      <c r="J12" s="203"/>
      <c r="K12" s="60">
        <v>42280</v>
      </c>
      <c r="L12" s="90">
        <f>'Suivi EAU-ELEC'!G11</f>
        <v>2140</v>
      </c>
      <c r="M12" s="91">
        <f>'Suivi EAU-ELEC'!I11</f>
        <v>4363</v>
      </c>
      <c r="N12" s="91">
        <f>'Suivi EAU-ELEC'!K11</f>
        <v>1702</v>
      </c>
      <c r="O12" s="91">
        <f>L12+M12+N12</f>
        <v>8205</v>
      </c>
      <c r="P12" s="11"/>
      <c r="Q12" s="34">
        <f t="shared" si="1"/>
        <v>7910.0889999999999</v>
      </c>
      <c r="R12" s="11"/>
      <c r="S12" s="28"/>
      <c r="T12" s="11"/>
      <c r="U12" s="28"/>
      <c r="V12" s="146">
        <f>'Suvi Gaz'!O6</f>
        <v>287.99288999999999</v>
      </c>
      <c r="W12" s="11"/>
      <c r="X12" s="34">
        <f t="shared" si="2"/>
        <v>2390.340987</v>
      </c>
    </row>
    <row r="13" spans="1:24" ht="32.25" customHeight="1" thickBot="1" x14ac:dyDescent="0.25">
      <c r="A13" s="2"/>
      <c r="B13" s="6">
        <v>44320</v>
      </c>
      <c r="C13" s="7"/>
      <c r="D13" s="143">
        <v>7</v>
      </c>
      <c r="E13" s="143">
        <v>12</v>
      </c>
      <c r="F13" s="13">
        <f>'Suivi EAU-ELEC'!E12</f>
        <v>87.69999999999709</v>
      </c>
      <c r="G13" s="11"/>
      <c r="H13" s="202">
        <f t="shared" si="0"/>
        <v>999.77999999996689</v>
      </c>
      <c r="I13" s="203"/>
      <c r="J13" s="203"/>
      <c r="K13" s="60">
        <v>42281</v>
      </c>
      <c r="L13" s="90">
        <f>'Suivi EAU-ELEC'!G12</f>
        <v>2305</v>
      </c>
      <c r="M13" s="91">
        <f>'Suivi EAU-ELEC'!I12</f>
        <v>4560</v>
      </c>
      <c r="N13" s="91">
        <f>'Suivi EAU-ELEC'!K12</f>
        <v>1593</v>
      </c>
      <c r="O13" s="91">
        <f t="shared" ref="O13:O40" si="3">L13+M13+N13</f>
        <v>8458</v>
      </c>
      <c r="P13" s="11"/>
      <c r="Q13" s="34">
        <f t="shared" si="1"/>
        <v>8067.7536999999993</v>
      </c>
      <c r="R13" s="11"/>
      <c r="S13" s="28"/>
      <c r="T13" s="11"/>
      <c r="U13" s="28"/>
      <c r="V13" s="146">
        <f>'Suvi Gaz'!O7</f>
        <v>287.99288999999999</v>
      </c>
      <c r="W13" s="11"/>
      <c r="X13" s="34">
        <f t="shared" si="2"/>
        <v>2390.340987</v>
      </c>
    </row>
    <row r="14" spans="1:24" ht="32.25" customHeight="1" thickBot="1" x14ac:dyDescent="0.25">
      <c r="A14" s="2"/>
      <c r="B14" s="6">
        <v>44321</v>
      </c>
      <c r="C14" s="7"/>
      <c r="D14" s="143">
        <v>31</v>
      </c>
      <c r="E14" s="143">
        <v>41</v>
      </c>
      <c r="F14" s="13">
        <f>'Suivi EAU-ELEC'!E13</f>
        <v>68.30000000000291</v>
      </c>
      <c r="G14" s="12"/>
      <c r="H14" s="202">
        <f t="shared" si="0"/>
        <v>778.6200000000332</v>
      </c>
      <c r="I14" s="203"/>
      <c r="J14" s="203"/>
      <c r="K14" s="60">
        <v>42282</v>
      </c>
      <c r="L14" s="90">
        <f>'Suivi EAU-ELEC'!G13</f>
        <v>2272</v>
      </c>
      <c r="M14" s="91">
        <f>'Suivi EAU-ELEC'!I13</f>
        <v>4652</v>
      </c>
      <c r="N14" s="91">
        <f>'Suivi EAU-ELEC'!K13</f>
        <v>1722</v>
      </c>
      <c r="O14" s="91">
        <f t="shared" si="3"/>
        <v>8646</v>
      </c>
      <c r="P14" s="12"/>
      <c r="Q14" s="34">
        <f t="shared" si="1"/>
        <v>8303.8536000000004</v>
      </c>
      <c r="R14" s="12"/>
      <c r="S14" s="28"/>
      <c r="T14" s="12"/>
      <c r="U14" s="28"/>
      <c r="V14" s="146">
        <f>'Suvi Gaz'!O8</f>
        <v>127.99684000000001</v>
      </c>
      <c r="W14" s="11"/>
      <c r="X14" s="34">
        <f t="shared" si="2"/>
        <v>1062.3737720000001</v>
      </c>
    </row>
    <row r="15" spans="1:24" ht="32.25" customHeight="1" thickBot="1" x14ac:dyDescent="0.25">
      <c r="A15" s="5"/>
      <c r="B15" s="6">
        <v>44322</v>
      </c>
      <c r="C15" s="7"/>
      <c r="D15" s="143">
        <v>24</v>
      </c>
      <c r="E15" s="143">
        <v>32</v>
      </c>
      <c r="F15" s="13">
        <f>'Suivi EAU-ELEC'!E14</f>
        <v>54.80000000000291</v>
      </c>
      <c r="G15" s="11"/>
      <c r="H15" s="202">
        <f t="shared" si="0"/>
        <v>624.72000000003322</v>
      </c>
      <c r="I15" s="203"/>
      <c r="J15" s="203"/>
      <c r="K15" s="60">
        <v>42283</v>
      </c>
      <c r="L15" s="90">
        <f>'Suivi EAU-ELEC'!G14</f>
        <v>2540</v>
      </c>
      <c r="M15" s="91">
        <f>'Suivi EAU-ELEC'!I14</f>
        <v>4525</v>
      </c>
      <c r="N15" s="91">
        <f>'Suivi EAU-ELEC'!K14</f>
        <v>1752</v>
      </c>
      <c r="O15" s="91">
        <f t="shared" si="3"/>
        <v>8817</v>
      </c>
      <c r="P15" s="12"/>
      <c r="Q15" s="34">
        <f t="shared" si="1"/>
        <v>8410.1358</v>
      </c>
      <c r="R15" s="12"/>
      <c r="S15" s="28"/>
      <c r="T15" s="12"/>
      <c r="U15" s="28"/>
      <c r="V15" s="146">
        <f>'Suvi Gaz'!O9</f>
        <v>223.99447000000001</v>
      </c>
      <c r="W15" s="11"/>
      <c r="X15" s="34">
        <f t="shared" si="2"/>
        <v>1859.1541010000003</v>
      </c>
    </row>
    <row r="16" spans="1:24" ht="32.25" customHeight="1" thickBot="1" x14ac:dyDescent="0.25">
      <c r="A16" s="5"/>
      <c r="B16" s="6">
        <v>44323</v>
      </c>
      <c r="C16" s="7"/>
      <c r="D16" s="143">
        <v>21</v>
      </c>
      <c r="E16" s="143">
        <v>27</v>
      </c>
      <c r="F16" s="13">
        <f>'Suivi EAU-ELEC'!E15</f>
        <v>48.30000000000291</v>
      </c>
      <c r="G16" s="11"/>
      <c r="H16" s="202">
        <f t="shared" si="0"/>
        <v>550.6200000000332</v>
      </c>
      <c r="I16" s="203"/>
      <c r="J16" s="203"/>
      <c r="K16" s="60">
        <v>42284</v>
      </c>
      <c r="L16" s="90">
        <f>'Suivi EAU-ELEC'!G15</f>
        <v>2189</v>
      </c>
      <c r="M16" s="91">
        <f>'Suivi EAU-ELEC'!I15</f>
        <v>5081</v>
      </c>
      <c r="N16" s="91">
        <f>'Suivi EAU-ELEC'!K15</f>
        <v>1862</v>
      </c>
      <c r="O16" s="91">
        <f t="shared" si="3"/>
        <v>9132</v>
      </c>
      <c r="P16" s="11"/>
      <c r="Q16" s="34">
        <f t="shared" si="1"/>
        <v>8840.2847000000002</v>
      </c>
      <c r="R16" s="11"/>
      <c r="S16" s="28"/>
      <c r="T16" s="11"/>
      <c r="U16" s="28"/>
      <c r="V16" s="146">
        <f>'Suvi Gaz'!O10</f>
        <v>63.998420000000003</v>
      </c>
      <c r="W16" s="11"/>
      <c r="X16" s="34">
        <f t="shared" si="2"/>
        <v>531.18688600000007</v>
      </c>
    </row>
    <row r="17" spans="1:24" s="5" customFormat="1" ht="32.25" customHeight="1" thickBot="1" x14ac:dyDescent="0.25">
      <c r="A17" s="2"/>
      <c r="B17" s="6">
        <v>44324</v>
      </c>
      <c r="C17" s="7"/>
      <c r="D17" s="143">
        <v>11</v>
      </c>
      <c r="E17" s="143">
        <v>18</v>
      </c>
      <c r="F17" s="13">
        <f>'Suivi EAU-ELEC'!E16</f>
        <v>88.399999999994179</v>
      </c>
      <c r="G17" s="11"/>
      <c r="H17" s="202">
        <f t="shared" si="0"/>
        <v>1007.7599999999337</v>
      </c>
      <c r="I17" s="203"/>
      <c r="J17" s="203"/>
      <c r="K17" s="60">
        <v>42285</v>
      </c>
      <c r="L17" s="90">
        <f>'Suivi EAU-ELEC'!G16</f>
        <v>2405</v>
      </c>
      <c r="M17" s="91">
        <f>'Suivi EAU-ELEC'!I16</f>
        <v>5123</v>
      </c>
      <c r="N17" s="91">
        <f>'Suivi EAU-ELEC'!K16</f>
        <v>1899</v>
      </c>
      <c r="O17" s="91">
        <f t="shared" si="3"/>
        <v>9427</v>
      </c>
      <c r="P17" s="12"/>
      <c r="Q17" s="34">
        <f t="shared" si="1"/>
        <v>9080.3443000000007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2"/>
        <v>2124.7475440000003</v>
      </c>
    </row>
    <row r="18" spans="1:24" ht="32.25" customHeight="1" thickBot="1" x14ac:dyDescent="0.25">
      <c r="A18" s="2"/>
      <c r="B18" s="6">
        <v>44325</v>
      </c>
      <c r="C18" s="7"/>
      <c r="D18" s="143">
        <v>22</v>
      </c>
      <c r="E18" s="143">
        <v>39</v>
      </c>
      <c r="F18" s="13">
        <f>'Suivi EAU-ELEC'!E17</f>
        <v>58.900000000008731</v>
      </c>
      <c r="G18" s="11"/>
      <c r="H18" s="202">
        <f t="shared" si="0"/>
        <v>671.46000000009951</v>
      </c>
      <c r="I18" s="203"/>
      <c r="J18" s="203"/>
      <c r="K18" s="60">
        <v>42286</v>
      </c>
      <c r="L18" s="90">
        <f>'Suivi EAU-ELEC'!G17</f>
        <v>2361</v>
      </c>
      <c r="M18" s="91">
        <f>'Suivi EAU-ELEC'!I17</f>
        <v>4690</v>
      </c>
      <c r="N18" s="91">
        <f>'Suivi EAU-ELEC'!K17</f>
        <v>2032</v>
      </c>
      <c r="O18" s="91">
        <f t="shared" si="3"/>
        <v>9083</v>
      </c>
      <c r="P18" s="12"/>
      <c r="Q18" s="34">
        <f t="shared" si="1"/>
        <v>8814.5973000000013</v>
      </c>
      <c r="R18" s="12"/>
      <c r="S18" s="28"/>
      <c r="T18" s="12"/>
      <c r="U18" s="28"/>
      <c r="V18" s="146">
        <f>'Suvi Gaz'!O12</f>
        <v>319.99209999999999</v>
      </c>
      <c r="W18" s="11"/>
      <c r="X18" s="34">
        <f t="shared" si="2"/>
        <v>2655.9344300000002</v>
      </c>
    </row>
    <row r="19" spans="1:24" ht="32.25" customHeight="1" thickBot="1" x14ac:dyDescent="0.25">
      <c r="A19" s="2"/>
      <c r="B19" s="6">
        <v>44326</v>
      </c>
      <c r="C19" s="7"/>
      <c r="D19" s="143">
        <v>18</v>
      </c>
      <c r="E19" s="143">
        <v>28</v>
      </c>
      <c r="F19" s="13">
        <f>'Suivi EAU-ELEC'!E18</f>
        <v>40.899999999994179</v>
      </c>
      <c r="G19" s="12"/>
      <c r="H19" s="202">
        <f t="shared" si="0"/>
        <v>466.25999999993365</v>
      </c>
      <c r="I19" s="203"/>
      <c r="J19" s="203"/>
      <c r="K19" s="60">
        <v>42287</v>
      </c>
      <c r="L19" s="90">
        <f>'Suivi EAU-ELEC'!G18</f>
        <v>2018</v>
      </c>
      <c r="M19" s="91">
        <f>'Suivi EAU-ELEC'!I18</f>
        <v>3884</v>
      </c>
      <c r="N19" s="91">
        <f>'Suivi EAU-ELEC'!K18</f>
        <v>1697</v>
      </c>
      <c r="O19" s="91">
        <f t="shared" si="3"/>
        <v>7599</v>
      </c>
      <c r="P19" s="12"/>
      <c r="Q19" s="34">
        <f t="shared" si="1"/>
        <v>7362.4993999999997</v>
      </c>
      <c r="R19" s="12"/>
      <c r="S19" s="28"/>
      <c r="T19" s="12"/>
      <c r="U19" s="28"/>
      <c r="V19" s="146">
        <f>'Suvi Gaz'!O13</f>
        <v>351.99131</v>
      </c>
      <c r="W19" s="11"/>
      <c r="X19" s="34">
        <f t="shared" si="2"/>
        <v>2921.5278730000005</v>
      </c>
    </row>
    <row r="20" spans="1:24" ht="32.25" customHeight="1" thickBot="1" x14ac:dyDescent="0.25">
      <c r="A20" s="2"/>
      <c r="B20" s="6">
        <v>44327</v>
      </c>
      <c r="C20" s="7"/>
      <c r="D20" s="143">
        <v>14</v>
      </c>
      <c r="E20" s="143">
        <v>31</v>
      </c>
      <c r="F20" s="13">
        <f>'Suivi EAU-ELEC'!E19</f>
        <v>93</v>
      </c>
      <c r="G20" s="12"/>
      <c r="H20" s="202">
        <f t="shared" si="0"/>
        <v>1060.2</v>
      </c>
      <c r="I20" s="203"/>
      <c r="J20" s="203"/>
      <c r="K20" s="60">
        <v>42288</v>
      </c>
      <c r="L20" s="90">
        <f>'Suivi EAU-ELEC'!G19</f>
        <v>2509</v>
      </c>
      <c r="M20" s="91">
        <f>'Suivi EAU-ELEC'!I19</f>
        <v>3408</v>
      </c>
      <c r="N20" s="91">
        <f>'Suivi EAU-ELEC'!K19</f>
        <v>1981</v>
      </c>
      <c r="O20" s="91">
        <f t="shared" si="3"/>
        <v>7898</v>
      </c>
      <c r="P20" s="12"/>
      <c r="Q20" s="34">
        <f t="shared" si="1"/>
        <v>7630.4300999999996</v>
      </c>
      <c r="R20" s="12"/>
      <c r="S20" s="28"/>
      <c r="T20" s="12"/>
      <c r="U20" s="28"/>
      <c r="V20" s="146">
        <f>'Suvi Gaz'!O14</f>
        <v>255.99368000000001</v>
      </c>
      <c r="W20" s="11"/>
      <c r="X20" s="34">
        <f t="shared" si="2"/>
        <v>2124.7475440000003</v>
      </c>
    </row>
    <row r="21" spans="1:24" ht="32.25" customHeight="1" thickBot="1" x14ac:dyDescent="0.25">
      <c r="A21" s="2"/>
      <c r="B21" s="6">
        <v>44328</v>
      </c>
      <c r="C21" s="7"/>
      <c r="D21" s="143">
        <v>15</v>
      </c>
      <c r="E21" s="143">
        <v>33</v>
      </c>
      <c r="F21" s="13">
        <f>'Suivi EAU-ELEC'!E20</f>
        <v>94.5</v>
      </c>
      <c r="G21" s="12"/>
      <c r="H21" s="202">
        <f t="shared" si="0"/>
        <v>1077.3</v>
      </c>
      <c r="I21" s="203"/>
      <c r="J21" s="203"/>
      <c r="K21" s="60">
        <v>42289</v>
      </c>
      <c r="L21" s="90">
        <f>'Suivi EAU-ELEC'!G20</f>
        <v>2352</v>
      </c>
      <c r="M21" s="91">
        <f>'Suivi EAU-ELEC'!I20</f>
        <v>4549</v>
      </c>
      <c r="N21" s="91">
        <f>'Suivi EAU-ELEC'!K20</f>
        <v>1732</v>
      </c>
      <c r="O21" s="91">
        <f t="shared" si="3"/>
        <v>8633</v>
      </c>
      <c r="P21" s="12"/>
      <c r="Q21" s="34">
        <f t="shared" si="1"/>
        <v>8275.0434000000005</v>
      </c>
      <c r="R21" s="12"/>
      <c r="S21" s="28"/>
      <c r="T21" s="12"/>
      <c r="U21" s="28"/>
      <c r="V21" s="146">
        <f>'Suvi Gaz'!O15</f>
        <v>319.99209999999999</v>
      </c>
      <c r="W21" s="11"/>
      <c r="X21" s="34">
        <f t="shared" si="2"/>
        <v>2655.9344300000002</v>
      </c>
    </row>
    <row r="22" spans="1:24" ht="32.25" customHeight="1" thickBot="1" x14ac:dyDescent="0.25">
      <c r="A22" s="2"/>
      <c r="B22" s="6">
        <v>44329</v>
      </c>
      <c r="C22" s="7"/>
      <c r="D22" s="143">
        <v>18</v>
      </c>
      <c r="E22" s="143">
        <v>35</v>
      </c>
      <c r="F22" s="13">
        <f>'Suivi EAU-ELEC'!E21</f>
        <v>79.899999999994179</v>
      </c>
      <c r="G22" s="12"/>
      <c r="H22" s="202">
        <f t="shared" si="0"/>
        <v>910.85999999993362</v>
      </c>
      <c r="I22" s="203"/>
      <c r="J22" s="203"/>
      <c r="K22" s="60">
        <v>42290</v>
      </c>
      <c r="L22" s="90">
        <f>'Suivi EAU-ELEC'!G21</f>
        <v>1813</v>
      </c>
      <c r="M22" s="91">
        <f>'Suivi EAU-ELEC'!I21</f>
        <v>4432</v>
      </c>
      <c r="N22" s="91">
        <f>'Suivi EAU-ELEC'!K21</f>
        <v>1673</v>
      </c>
      <c r="O22" s="91">
        <f t="shared" si="3"/>
        <v>7918</v>
      </c>
      <c r="P22" s="12"/>
      <c r="Q22" s="34">
        <f t="shared" si="1"/>
        <v>7708.7445000000007</v>
      </c>
      <c r="R22" s="12"/>
      <c r="S22" s="28"/>
      <c r="T22" s="12"/>
      <c r="U22" s="28"/>
      <c r="V22" s="146">
        <f>'Suvi Gaz'!O16</f>
        <v>319.99209999999999</v>
      </c>
      <c r="W22" s="11"/>
      <c r="X22" s="34">
        <f t="shared" si="2"/>
        <v>2655.9344300000002</v>
      </c>
    </row>
    <row r="23" spans="1:24" ht="32.25" customHeight="1" thickBot="1" x14ac:dyDescent="0.25">
      <c r="A23" s="2"/>
      <c r="B23" s="6">
        <v>44330</v>
      </c>
      <c r="C23" s="7"/>
      <c r="D23" s="143">
        <v>13</v>
      </c>
      <c r="E23" s="143">
        <v>26</v>
      </c>
      <c r="F23" s="13">
        <f>'Suivi EAU-ELEC'!E22</f>
        <v>114.30000000000291</v>
      </c>
      <c r="G23" s="14"/>
      <c r="H23" s="202">
        <f t="shared" si="0"/>
        <v>1303.0200000000332</v>
      </c>
      <c r="I23" s="203"/>
      <c r="J23" s="203"/>
      <c r="K23" s="60">
        <v>42291</v>
      </c>
      <c r="L23" s="90">
        <f>'Suivi EAU-ELEC'!G22</f>
        <v>2409</v>
      </c>
      <c r="M23" s="91">
        <f>'Suivi EAU-ELEC'!I22</f>
        <v>4657</v>
      </c>
      <c r="N23" s="91">
        <f>'Suivi EAU-ELEC'!K22</f>
        <v>1927</v>
      </c>
      <c r="O23" s="91">
        <f t="shared" si="3"/>
        <v>8993</v>
      </c>
      <c r="P23" s="12"/>
      <c r="Q23" s="34">
        <f t="shared" si="1"/>
        <v>8677.0370999999996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2"/>
        <v>3718.3082020000006</v>
      </c>
    </row>
    <row r="24" spans="1:24" ht="32.25" customHeight="1" thickBot="1" x14ac:dyDescent="0.25">
      <c r="A24" s="2"/>
      <c r="B24" s="6">
        <v>44331</v>
      </c>
      <c r="C24" s="7"/>
      <c r="D24" s="143">
        <v>18</v>
      </c>
      <c r="E24" s="143">
        <v>35</v>
      </c>
      <c r="F24" s="13">
        <f>'Suivi EAU-ELEC'!E23</f>
        <v>89.30000000000291</v>
      </c>
      <c r="G24" s="14"/>
      <c r="H24" s="202">
        <f t="shared" si="0"/>
        <v>1018.0200000000332</v>
      </c>
      <c r="I24" s="203"/>
      <c r="J24" s="203"/>
      <c r="K24" s="60">
        <v>42292</v>
      </c>
      <c r="L24" s="90">
        <f>'Suivi EAU-ELEC'!G23</f>
        <v>2046</v>
      </c>
      <c r="M24" s="91">
        <f>'Suivi EAU-ELEC'!I23</f>
        <v>4540</v>
      </c>
      <c r="N24" s="91">
        <f>'Suivi EAU-ELEC'!K23</f>
        <v>1936</v>
      </c>
      <c r="O24" s="91">
        <f t="shared" si="3"/>
        <v>8522</v>
      </c>
      <c r="P24" s="12"/>
      <c r="Q24" s="34">
        <f t="shared" si="1"/>
        <v>8324.1414000000004</v>
      </c>
      <c r="R24" s="12"/>
      <c r="S24" s="28"/>
      <c r="T24" s="14"/>
      <c r="U24" s="28"/>
      <c r="V24" s="146">
        <f>'Suvi Gaz'!O18</f>
        <v>319.99209999999999</v>
      </c>
      <c r="W24" s="11"/>
      <c r="X24" s="34">
        <f t="shared" si="2"/>
        <v>2655.9344300000002</v>
      </c>
    </row>
    <row r="25" spans="1:24" ht="32.25" customHeight="1" thickBot="1" x14ac:dyDescent="0.25">
      <c r="A25" s="2"/>
      <c r="B25" s="6">
        <v>44332</v>
      </c>
      <c r="C25" s="7"/>
      <c r="D25" s="143">
        <v>14</v>
      </c>
      <c r="E25" s="143">
        <v>20</v>
      </c>
      <c r="F25" s="13">
        <f>'Suivi EAU-ELEC'!E24</f>
        <v>128.89999999999418</v>
      </c>
      <c r="G25" s="14"/>
      <c r="H25" s="202">
        <f t="shared" si="0"/>
        <v>1469.4599999999336</v>
      </c>
      <c r="I25" s="203"/>
      <c r="J25" s="203"/>
      <c r="K25" s="60">
        <v>42293</v>
      </c>
      <c r="L25" s="90">
        <f>'Suivi EAU-ELEC'!G24</f>
        <v>2002</v>
      </c>
      <c r="M25" s="91">
        <f>'Suivi EAU-ELEC'!I24</f>
        <v>4495</v>
      </c>
      <c r="N25" s="91">
        <f>'Suivi EAU-ELEC'!K24</f>
        <v>1812</v>
      </c>
      <c r="O25" s="91">
        <f t="shared" si="3"/>
        <v>8309</v>
      </c>
      <c r="P25" s="12"/>
      <c r="Q25" s="34">
        <f t="shared" si="1"/>
        <v>8085.6247999999996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2"/>
        <v>2390.340987</v>
      </c>
    </row>
    <row r="26" spans="1:24" ht="32.25" customHeight="1" thickBot="1" x14ac:dyDescent="0.25">
      <c r="A26" s="2"/>
      <c r="B26" s="6">
        <v>44333</v>
      </c>
      <c r="C26" s="7"/>
      <c r="D26" s="143">
        <v>14</v>
      </c>
      <c r="E26" s="143">
        <v>23</v>
      </c>
      <c r="F26" s="13">
        <f>'Suivi EAU-ELEC'!E25</f>
        <v>227.90000000000873</v>
      </c>
      <c r="G26" s="14"/>
      <c r="H26" s="202">
        <f t="shared" si="0"/>
        <v>2598.0600000000995</v>
      </c>
      <c r="I26" s="203"/>
      <c r="J26" s="203"/>
      <c r="K26" s="60">
        <v>42294</v>
      </c>
      <c r="L26" s="90">
        <f>'Suivi EAU-ELEC'!G25</f>
        <v>2228</v>
      </c>
      <c r="M26" s="91">
        <f>'Suivi EAU-ELEC'!I25</f>
        <v>5209</v>
      </c>
      <c r="N26" s="91">
        <f>'Suivi EAU-ELEC'!K25</f>
        <v>1784</v>
      </c>
      <c r="O26" s="91">
        <f t="shared" si="3"/>
        <v>9221</v>
      </c>
      <c r="P26" s="14"/>
      <c r="Q26" s="34">
        <f t="shared" si="1"/>
        <v>8885.5342000000001</v>
      </c>
      <c r="R26" s="14"/>
      <c r="S26" s="28"/>
      <c r="T26" s="14"/>
      <c r="U26" s="28"/>
      <c r="V26" s="146">
        <f>'Suvi Gaz'!O20</f>
        <v>31.999210000000001</v>
      </c>
      <c r="W26" s="11"/>
      <c r="X26" s="34">
        <f t="shared" si="2"/>
        <v>265.59344300000004</v>
      </c>
    </row>
    <row r="27" spans="1:24" ht="32.25" customHeight="1" thickBot="1" x14ac:dyDescent="0.25">
      <c r="A27" s="2"/>
      <c r="B27" s="6">
        <v>44334</v>
      </c>
      <c r="C27" s="7"/>
      <c r="D27" s="143">
        <v>19</v>
      </c>
      <c r="E27" s="143">
        <v>33</v>
      </c>
      <c r="F27" s="13">
        <f>'Suivi EAU-ELEC'!E26</f>
        <v>89.69999999999709</v>
      </c>
      <c r="G27" s="14"/>
      <c r="H27" s="202">
        <f t="shared" si="0"/>
        <v>1022.5799999999668</v>
      </c>
      <c r="I27" s="203"/>
      <c r="J27" s="203"/>
      <c r="K27" s="60">
        <v>42295</v>
      </c>
      <c r="L27" s="90">
        <f>'Suivi EAU-ELEC'!G26</f>
        <v>2321</v>
      </c>
      <c r="M27" s="91">
        <f>'Suivi EAU-ELEC'!I26</f>
        <v>4284</v>
      </c>
      <c r="N27" s="91">
        <f>'Suivi EAU-ELEC'!K26</f>
        <v>1945</v>
      </c>
      <c r="O27" s="91">
        <f t="shared" si="3"/>
        <v>8550</v>
      </c>
      <c r="P27" s="14"/>
      <c r="Q27" s="34">
        <f t="shared" si="1"/>
        <v>8284.6440999999995</v>
      </c>
      <c r="R27" s="14"/>
      <c r="S27" s="28"/>
      <c r="T27" s="14"/>
      <c r="U27" s="28"/>
      <c r="V27" s="146">
        <f>'Suvi Gaz'!O21</f>
        <v>479.98815000000002</v>
      </c>
      <c r="W27" s="11"/>
      <c r="X27" s="34">
        <f t="shared" si="2"/>
        <v>3983.9016450000004</v>
      </c>
    </row>
    <row r="28" spans="1:24" ht="32.25" customHeight="1" thickBot="1" x14ac:dyDescent="0.25">
      <c r="A28" s="2"/>
      <c r="B28" s="6">
        <v>44335</v>
      </c>
      <c r="C28" s="7"/>
      <c r="D28" s="143">
        <v>23</v>
      </c>
      <c r="E28" s="143">
        <v>38</v>
      </c>
      <c r="F28" s="13">
        <f>'Suivi EAU-ELEC'!E27</f>
        <v>81.100000000005821</v>
      </c>
      <c r="G28" s="11"/>
      <c r="H28" s="202">
        <f t="shared" si="0"/>
        <v>924.54000000006636</v>
      </c>
      <c r="I28" s="203"/>
      <c r="J28" s="203"/>
      <c r="K28" s="60">
        <v>42296</v>
      </c>
      <c r="L28" s="90">
        <f>'Suivi EAU-ELEC'!G27</f>
        <v>2579</v>
      </c>
      <c r="M28" s="91">
        <f>'Suivi EAU-ELEC'!I27</f>
        <v>5006</v>
      </c>
      <c r="N28" s="91">
        <f>'Suivi EAU-ELEC'!K27</f>
        <v>1819</v>
      </c>
      <c r="O28" s="91">
        <f t="shared" si="3"/>
        <v>9404</v>
      </c>
      <c r="P28" s="11"/>
      <c r="Q28" s="34">
        <f t="shared" si="1"/>
        <v>8984.1375000000007</v>
      </c>
      <c r="R28" s="11"/>
      <c r="S28" s="28"/>
      <c r="T28" s="11"/>
      <c r="U28" s="28"/>
      <c r="V28" s="146">
        <f>'Suvi Gaz'!O22</f>
        <v>319.99209999999999</v>
      </c>
      <c r="W28" s="11"/>
      <c r="X28" s="34">
        <f t="shared" si="2"/>
        <v>2655.9344300000002</v>
      </c>
    </row>
    <row r="29" spans="1:24" ht="32.25" customHeight="1" thickBot="1" x14ac:dyDescent="0.25">
      <c r="A29" s="2"/>
      <c r="B29" s="6">
        <v>44336</v>
      </c>
      <c r="C29" s="7"/>
      <c r="D29" s="143">
        <v>40</v>
      </c>
      <c r="E29" s="143">
        <v>50</v>
      </c>
      <c r="F29" s="13">
        <f>'Suivi EAU-ELEC'!E28</f>
        <v>60.5</v>
      </c>
      <c r="G29" s="11"/>
      <c r="H29" s="202">
        <f t="shared" si="0"/>
        <v>689.7</v>
      </c>
      <c r="I29" s="203"/>
      <c r="J29" s="203"/>
      <c r="K29" s="60">
        <v>42297</v>
      </c>
      <c r="L29" s="90">
        <f>'Suivi EAU-ELEC'!G28</f>
        <v>2272</v>
      </c>
      <c r="M29" s="91">
        <f>'Suivi EAU-ELEC'!I28</f>
        <v>5410</v>
      </c>
      <c r="N29" s="91">
        <f>'Suivi EAU-ELEC'!K28</f>
        <v>1945</v>
      </c>
      <c r="O29" s="91">
        <f t="shared" si="3"/>
        <v>9627</v>
      </c>
      <c r="P29" s="11"/>
      <c r="Q29" s="34">
        <f t="shared" si="1"/>
        <v>9321.6940000000013</v>
      </c>
      <c r="R29" s="11"/>
      <c r="S29" s="28"/>
      <c r="T29" s="11"/>
      <c r="U29" s="28"/>
      <c r="V29" s="146">
        <f>'Suvi Gaz'!O23</f>
        <v>415.98973000000001</v>
      </c>
      <c r="W29" s="11"/>
      <c r="X29" s="34">
        <f t="shared" si="2"/>
        <v>3452.7147590000004</v>
      </c>
    </row>
    <row r="30" spans="1:24" ht="32.25" customHeight="1" thickBot="1" x14ac:dyDescent="0.25">
      <c r="A30" s="2"/>
      <c r="B30" s="6">
        <v>44337</v>
      </c>
      <c r="C30" s="7"/>
      <c r="D30" s="143">
        <v>69</v>
      </c>
      <c r="E30" s="143">
        <v>76</v>
      </c>
      <c r="F30" s="13">
        <f>'Suivi EAU-ELEC'!E29</f>
        <v>70.599999999991269</v>
      </c>
      <c r="G30" s="11"/>
      <c r="H30" s="202">
        <f t="shared" si="0"/>
        <v>804.83999999990044</v>
      </c>
      <c r="I30" s="203"/>
      <c r="J30" s="203"/>
      <c r="K30" s="60">
        <v>42298</v>
      </c>
      <c r="L30" s="90">
        <f>'Suivi EAU-ELEC'!G29</f>
        <v>2784</v>
      </c>
      <c r="M30" s="91">
        <f>'Suivi EAU-ELEC'!I29</f>
        <v>5527</v>
      </c>
      <c r="N30" s="91">
        <f>'Suivi EAU-ELEC'!K29</f>
        <v>1970</v>
      </c>
      <c r="O30" s="91">
        <f t="shared" si="3"/>
        <v>10281</v>
      </c>
      <c r="P30" s="11"/>
      <c r="Q30" s="34">
        <f t="shared" si="1"/>
        <v>9823.8997999999992</v>
      </c>
      <c r="R30" s="11"/>
      <c r="S30" s="28"/>
      <c r="T30" s="11"/>
      <c r="U30" s="28"/>
      <c r="V30" s="146">
        <f>'Suvi Gaz'!O24</f>
        <v>127.99684000000001</v>
      </c>
      <c r="W30" s="11"/>
      <c r="X30" s="34">
        <f t="shared" si="2"/>
        <v>1062.3737720000001</v>
      </c>
    </row>
    <row r="31" spans="1:24" ht="27.75" customHeight="1" thickBot="1" x14ac:dyDescent="0.25">
      <c r="A31" s="2"/>
      <c r="B31" s="6">
        <v>44338</v>
      </c>
      <c r="C31" s="7"/>
      <c r="D31" s="143">
        <v>78</v>
      </c>
      <c r="E31" s="143">
        <v>109</v>
      </c>
      <c r="F31" s="13">
        <f>'Suivi EAU-ELEC'!E30</f>
        <v>81.400000000008731</v>
      </c>
      <c r="G31" s="11"/>
      <c r="H31" s="202">
        <f t="shared" si="0"/>
        <v>927.96000000009951</v>
      </c>
      <c r="I31" s="203"/>
      <c r="J31" s="203"/>
      <c r="K31" s="60">
        <v>42299</v>
      </c>
      <c r="L31" s="90">
        <f>'Suivi EAU-ELEC'!G30</f>
        <v>2613</v>
      </c>
      <c r="M31" s="91">
        <f>'Suivi EAU-ELEC'!I30</f>
        <v>5902</v>
      </c>
      <c r="N31" s="91">
        <f>'Suivi EAU-ELEC'!K30</f>
        <v>2369</v>
      </c>
      <c r="O31" s="91">
        <f t="shared" si="3"/>
        <v>10884</v>
      </c>
      <c r="P31" s="11"/>
      <c r="Q31" s="34">
        <f t="shared" si="1"/>
        <v>10592.0609</v>
      </c>
      <c r="R31" s="11"/>
      <c r="S31" s="28"/>
      <c r="T31" s="11"/>
      <c r="U31" s="28"/>
      <c r="V31" s="146">
        <f>'Suvi Gaz'!O25</f>
        <v>383.99052</v>
      </c>
      <c r="W31" s="11"/>
      <c r="X31" s="34">
        <f t="shared" si="2"/>
        <v>3187.1213160000002</v>
      </c>
    </row>
    <row r="32" spans="1:24" ht="37.5" customHeight="1" thickBot="1" x14ac:dyDescent="0.25">
      <c r="A32" s="2"/>
      <c r="B32" s="6">
        <v>44339</v>
      </c>
      <c r="C32" s="7"/>
      <c r="D32" s="143">
        <v>61</v>
      </c>
      <c r="E32" s="143">
        <v>80</v>
      </c>
      <c r="F32" s="13">
        <f>'Suivi EAU-ELEC'!E31</f>
        <v>83.899999999994179</v>
      </c>
      <c r="G32" s="11"/>
      <c r="H32" s="202">
        <f t="shared" si="0"/>
        <v>956.45999999993364</v>
      </c>
      <c r="I32" s="203"/>
      <c r="J32" s="203"/>
      <c r="K32" s="60">
        <v>42300</v>
      </c>
      <c r="L32" s="90">
        <f>'Suivi EAU-ELEC'!G31</f>
        <v>3229</v>
      </c>
      <c r="M32" s="91">
        <f>'Suivi EAU-ELEC'!I31</f>
        <v>5717</v>
      </c>
      <c r="N32" s="91">
        <f>'Suivi EAU-ELEC'!K31</f>
        <v>3096</v>
      </c>
      <c r="O32" s="91">
        <f t="shared" si="3"/>
        <v>12042</v>
      </c>
      <c r="P32" s="11"/>
      <c r="Q32" s="34">
        <f t="shared" si="1"/>
        <v>11813.528700000001</v>
      </c>
      <c r="R32" s="11"/>
      <c r="S32" s="28"/>
      <c r="T32" s="11"/>
      <c r="U32" s="28"/>
      <c r="V32" s="146">
        <f>'Suvi Gaz'!O26</f>
        <v>255.99368000000001</v>
      </c>
      <c r="W32" s="11"/>
      <c r="X32" s="34">
        <f t="shared" si="2"/>
        <v>2124.7475440000003</v>
      </c>
    </row>
    <row r="33" spans="1:24" ht="37.5" customHeight="1" thickBot="1" x14ac:dyDescent="0.25">
      <c r="A33" s="2"/>
      <c r="B33" s="6">
        <v>44340</v>
      </c>
      <c r="C33" s="7"/>
      <c r="D33" s="143">
        <v>49</v>
      </c>
      <c r="E33" s="143">
        <v>69</v>
      </c>
      <c r="F33" s="13">
        <f>'Suivi EAU-ELEC'!E32</f>
        <v>71</v>
      </c>
      <c r="G33" s="11"/>
      <c r="H33" s="202">
        <f t="shared" si="0"/>
        <v>809.4</v>
      </c>
      <c r="I33" s="203"/>
      <c r="J33" s="203"/>
      <c r="K33" s="60">
        <v>42301</v>
      </c>
      <c r="L33" s="90">
        <f>'Suivi EAU-ELEC'!G32</f>
        <v>2697</v>
      </c>
      <c r="M33" s="91">
        <f>'Suivi EAU-ELEC'!I32</f>
        <v>5437</v>
      </c>
      <c r="N33" s="91">
        <f>'Suivi EAU-ELEC'!K32</f>
        <v>1585</v>
      </c>
      <c r="O33" s="91">
        <f t="shared" si="3"/>
        <v>9719</v>
      </c>
      <c r="P33" s="11"/>
      <c r="Q33" s="34">
        <f t="shared" si="1"/>
        <v>9165.300299999999</v>
      </c>
      <c r="R33" s="11"/>
      <c r="S33" s="28"/>
      <c r="T33" s="11"/>
      <c r="U33" s="28"/>
      <c r="V33" s="146">
        <f>'Suvi Gaz'!O27</f>
        <v>575.98577999999998</v>
      </c>
      <c r="W33" s="11"/>
      <c r="X33" s="34">
        <f t="shared" si="2"/>
        <v>4780.6819740000001</v>
      </c>
    </row>
    <row r="34" spans="1:24" ht="37.5" customHeight="1" thickBot="1" x14ac:dyDescent="0.25">
      <c r="A34" s="2"/>
      <c r="B34" s="6">
        <v>44341</v>
      </c>
      <c r="C34" s="7"/>
      <c r="D34" s="143">
        <v>52</v>
      </c>
      <c r="E34" s="143">
        <v>73</v>
      </c>
      <c r="F34" s="13">
        <f>'Suivi EAU-ELEC'!E33</f>
        <v>80.899999999994179</v>
      </c>
      <c r="G34" s="11"/>
      <c r="H34" s="202">
        <f t="shared" si="0"/>
        <v>922.25999999993371</v>
      </c>
      <c r="I34" s="203"/>
      <c r="J34" s="203"/>
      <c r="K34" s="60">
        <v>42302</v>
      </c>
      <c r="L34" s="90">
        <f>'Suivi EAU-ELEC'!G33</f>
        <v>2337</v>
      </c>
      <c r="M34" s="91">
        <f>'Suivi EAU-ELEC'!I33</f>
        <v>5440</v>
      </c>
      <c r="N34" s="91">
        <f>'Suivi EAU-ELEC'!K33</f>
        <v>2037</v>
      </c>
      <c r="O34" s="91">
        <f t="shared" si="3"/>
        <v>9814</v>
      </c>
      <c r="P34" s="11"/>
      <c r="Q34" s="34">
        <f t="shared" si="1"/>
        <v>9518.0352999999996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2"/>
        <v>2655.9344300000002</v>
      </c>
    </row>
    <row r="35" spans="1:24" ht="33.75" customHeight="1" thickBot="1" x14ac:dyDescent="0.25">
      <c r="A35" s="2"/>
      <c r="B35" s="6">
        <v>44342</v>
      </c>
      <c r="C35" s="7"/>
      <c r="D35" s="143">
        <v>54</v>
      </c>
      <c r="E35" s="143">
        <v>57</v>
      </c>
      <c r="F35" s="13">
        <f>'Suivi EAU-ELEC'!E34</f>
        <v>99.700000000011642</v>
      </c>
      <c r="G35" s="11"/>
      <c r="H35" s="202">
        <f t="shared" si="0"/>
        <v>1136.5800000001327</v>
      </c>
      <c r="I35" s="203"/>
      <c r="J35" s="203"/>
      <c r="K35" s="60">
        <v>42303</v>
      </c>
      <c r="L35" s="90">
        <f>'Suivi EAU-ELEC'!G34</f>
        <v>2340</v>
      </c>
      <c r="M35" s="91">
        <f>'Suivi EAU-ELEC'!I34</f>
        <v>5517</v>
      </c>
      <c r="N35" s="91">
        <f>'Suivi EAU-ELEC'!K34</f>
        <v>2115</v>
      </c>
      <c r="O35" s="91">
        <f t="shared" si="3"/>
        <v>9972</v>
      </c>
      <c r="P35" s="11"/>
      <c r="Q35" s="34">
        <f t="shared" si="1"/>
        <v>9697.1598000000013</v>
      </c>
      <c r="R35" s="11"/>
      <c r="S35" s="28"/>
      <c r="T35" s="11"/>
      <c r="U35" s="28"/>
      <c r="V35" s="146">
        <f>'Suvi Gaz'!O29</f>
        <v>223.99447000000001</v>
      </c>
      <c r="W35" s="11"/>
      <c r="X35" s="34">
        <f t="shared" si="2"/>
        <v>1859.1541010000003</v>
      </c>
    </row>
    <row r="36" spans="1:24" ht="33.75" customHeight="1" thickBot="1" x14ac:dyDescent="0.25">
      <c r="A36" s="2"/>
      <c r="B36" s="6">
        <v>44343</v>
      </c>
      <c r="C36" s="7"/>
      <c r="D36" s="143">
        <v>38</v>
      </c>
      <c r="E36" s="143">
        <v>58</v>
      </c>
      <c r="F36" s="13">
        <f>'Suivi EAU-ELEC'!E35</f>
        <v>78.69999999999709</v>
      </c>
      <c r="G36" s="11"/>
      <c r="H36" s="202">
        <f t="shared" si="0"/>
        <v>897.17999999996687</v>
      </c>
      <c r="I36" s="203"/>
      <c r="J36" s="203"/>
      <c r="K36" s="60">
        <v>42304</v>
      </c>
      <c r="L36" s="90">
        <f>'Suivi EAU-ELEC'!G35</f>
        <v>2832</v>
      </c>
      <c r="M36" s="91">
        <f>'Suivi EAU-ELEC'!I35</f>
        <v>5247</v>
      </c>
      <c r="N36" s="91">
        <f>'Suivi EAU-ELEC'!K35</f>
        <v>2001</v>
      </c>
      <c r="O36" s="91">
        <f t="shared" si="3"/>
        <v>10080</v>
      </c>
      <c r="P36" s="11"/>
      <c r="Q36" s="34">
        <f t="shared" si="1"/>
        <v>9632.2782000000007</v>
      </c>
      <c r="R36" s="11"/>
      <c r="S36" s="28"/>
      <c r="T36" s="11"/>
      <c r="U36" s="28"/>
      <c r="V36" s="146">
        <f>'Suvi Gaz'!O30</f>
        <v>223.99447000000001</v>
      </c>
      <c r="W36" s="11"/>
      <c r="X36" s="34">
        <f t="shared" si="2"/>
        <v>1859.1541010000003</v>
      </c>
    </row>
    <row r="37" spans="1:24" ht="33.75" customHeight="1" thickBot="1" x14ac:dyDescent="0.25">
      <c r="A37" s="2"/>
      <c r="B37" s="6">
        <v>44344</v>
      </c>
      <c r="C37" s="7"/>
      <c r="D37" s="143">
        <v>49</v>
      </c>
      <c r="E37" s="143">
        <v>71</v>
      </c>
      <c r="F37" s="13">
        <f>'Suivi EAU-ELEC'!E36</f>
        <v>68.80000000000291</v>
      </c>
      <c r="G37" s="11"/>
      <c r="H37" s="202">
        <f t="shared" si="0"/>
        <v>784.32000000003325</v>
      </c>
      <c r="I37" s="203"/>
      <c r="J37" s="203"/>
      <c r="K37" s="60"/>
      <c r="L37" s="90">
        <f>'Suivi EAU-ELEC'!G36</f>
        <v>2928</v>
      </c>
      <c r="M37" s="91">
        <f>'Suivi EAU-ELEC'!I36</f>
        <v>5929</v>
      </c>
      <c r="N37" s="91">
        <f>'Suivi EAU-ELEC'!K36</f>
        <v>2219</v>
      </c>
      <c r="O37" s="91">
        <f t="shared" si="3"/>
        <v>11076</v>
      </c>
      <c r="P37" s="11"/>
      <c r="Q37" s="34">
        <f t="shared" si="1"/>
        <v>10638.216200000001</v>
      </c>
      <c r="R37" s="11"/>
      <c r="S37" s="28"/>
      <c r="T37" s="11"/>
      <c r="U37" s="28"/>
      <c r="V37" s="146">
        <f>'Suvi Gaz'!O31</f>
        <v>415.98973000000001</v>
      </c>
      <c r="W37" s="11"/>
      <c r="X37" s="34">
        <f t="shared" si="2"/>
        <v>3452.7147590000004</v>
      </c>
    </row>
    <row r="38" spans="1:24" ht="33.75" customHeight="1" thickBot="1" x14ac:dyDescent="0.25">
      <c r="A38" s="2"/>
      <c r="B38" s="6">
        <v>44345</v>
      </c>
      <c r="C38" s="7"/>
      <c r="D38" s="143">
        <v>46</v>
      </c>
      <c r="E38" s="143">
        <v>66</v>
      </c>
      <c r="F38" s="13">
        <f>'Suivi EAU-ELEC'!E37</f>
        <v>78.899999999994179</v>
      </c>
      <c r="G38" s="11"/>
      <c r="H38" s="202">
        <f t="shared" si="0"/>
        <v>899.45999999993364</v>
      </c>
      <c r="I38" s="203"/>
      <c r="J38" s="203"/>
      <c r="K38" s="60"/>
      <c r="L38" s="90">
        <f>'Suivi EAU-ELEC'!G37</f>
        <v>2366</v>
      </c>
      <c r="M38" s="91">
        <f>'Suivi EAU-ELEC'!I37</f>
        <v>6163</v>
      </c>
      <c r="N38" s="91">
        <f>'Suivi EAU-ELEC'!K37</f>
        <v>2290</v>
      </c>
      <c r="O38" s="91">
        <f t="shared" si="3"/>
        <v>10819</v>
      </c>
      <c r="P38" s="11"/>
      <c r="Q38" s="34">
        <f t="shared" si="1"/>
        <v>10562.745200000001</v>
      </c>
      <c r="R38" s="11"/>
      <c r="S38" s="28"/>
      <c r="T38" s="11"/>
      <c r="U38" s="28"/>
      <c r="V38" s="146">
        <f>'Suvi Gaz'!O32</f>
        <v>255.99368000000001</v>
      </c>
      <c r="W38" s="11"/>
      <c r="X38" s="34">
        <f t="shared" si="2"/>
        <v>2124.7475440000003</v>
      </c>
    </row>
    <row r="39" spans="1:24" ht="33.75" customHeight="1" thickBot="1" x14ac:dyDescent="0.25">
      <c r="A39" s="2"/>
      <c r="B39" s="6">
        <v>44346</v>
      </c>
      <c r="C39" s="7"/>
      <c r="D39" s="143">
        <v>30</v>
      </c>
      <c r="E39" s="143">
        <v>43</v>
      </c>
      <c r="F39" s="13">
        <f>'Suivi EAU-ELEC'!E38</f>
        <v>77.100000000005821</v>
      </c>
      <c r="G39" s="11"/>
      <c r="H39" s="202">
        <f t="shared" si="0"/>
        <v>878.94000000006633</v>
      </c>
      <c r="I39" s="203"/>
      <c r="J39" s="203"/>
      <c r="K39" s="60"/>
      <c r="L39" s="90">
        <f>'Suivi EAU-ELEC'!G38</f>
        <v>2745</v>
      </c>
      <c r="M39" s="91">
        <f>'Suivi EAU-ELEC'!I38</f>
        <v>5291</v>
      </c>
      <c r="N39" s="91">
        <f>'Suivi EAU-ELEC'!K38</f>
        <v>2279</v>
      </c>
      <c r="O39" s="91">
        <f t="shared" si="3"/>
        <v>10315</v>
      </c>
      <c r="P39" s="11"/>
      <c r="Q39" s="34">
        <f t="shared" si="1"/>
        <v>9983.2214999999997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2"/>
        <v>2390.340987</v>
      </c>
    </row>
    <row r="40" spans="1:24" ht="33.75" customHeight="1" thickBot="1" x14ac:dyDescent="0.25">
      <c r="A40" s="2"/>
      <c r="B40" s="6">
        <v>44347</v>
      </c>
      <c r="C40" s="7"/>
      <c r="D40" s="143">
        <v>32</v>
      </c>
      <c r="E40" s="143">
        <v>43</v>
      </c>
      <c r="F40" s="13">
        <f>'Suivi EAU-ELEC'!E39</f>
        <v>60</v>
      </c>
      <c r="G40" s="11"/>
      <c r="H40" s="202">
        <f t="shared" si="0"/>
        <v>684</v>
      </c>
      <c r="I40" s="203"/>
      <c r="J40" s="203"/>
      <c r="K40" s="60">
        <v>42305</v>
      </c>
      <c r="L40" s="90">
        <f>'Suivi EAU-ELEC'!G39</f>
        <v>2597</v>
      </c>
      <c r="M40" s="91">
        <f>'Suivi EAU-ELEC'!I39</f>
        <v>5330</v>
      </c>
      <c r="N40" s="91">
        <f>'Suivi EAU-ELEC'!K39</f>
        <v>1970</v>
      </c>
      <c r="O40" s="91">
        <f t="shared" si="3"/>
        <v>9897</v>
      </c>
      <c r="P40" s="11"/>
      <c r="Q40" s="34">
        <f t="shared" si="1"/>
        <v>9505.8545000000013</v>
      </c>
      <c r="R40" s="11"/>
      <c r="S40" s="28"/>
      <c r="T40" s="11"/>
      <c r="U40" s="28"/>
      <c r="V40" s="146">
        <f>'Suvi Gaz'!O34</f>
        <v>351.99131</v>
      </c>
      <c r="W40" s="11"/>
      <c r="X40" s="34">
        <f t="shared" si="2"/>
        <v>2921.5278730000005</v>
      </c>
    </row>
    <row r="41" spans="1:24" ht="42.75" customHeight="1" thickBot="1" x14ac:dyDescent="0.25">
      <c r="A41" s="2"/>
      <c r="B41" s="10"/>
      <c r="C41" s="10"/>
      <c r="D41" s="8">
        <f>SUM(D10:D40)</f>
        <v>950</v>
      </c>
      <c r="E41" s="8">
        <f>SUM(E10:E40)</f>
        <v>1385</v>
      </c>
      <c r="F41" s="151">
        <f>SUM(F10:F40)</f>
        <v>2497.7000000000116</v>
      </c>
      <c r="G41" s="1"/>
      <c r="H41" s="247">
        <f>SUM(H10:H40)</f>
        <v>28473.780000000137</v>
      </c>
      <c r="I41" s="248"/>
      <c r="J41" s="249"/>
      <c r="K41" s="1"/>
      <c r="L41" s="53">
        <f>SUM(L10:L40)</f>
        <v>74518</v>
      </c>
      <c r="M41" s="53">
        <f>SUM(M10:M40)</f>
        <v>152740</v>
      </c>
      <c r="N41" s="54">
        <f>SUM(N10:N40)</f>
        <v>60320</v>
      </c>
      <c r="O41" s="55">
        <f>SUM(O10:O40)</f>
        <v>287578</v>
      </c>
      <c r="P41" s="31"/>
      <c r="Q41" s="32">
        <f>SUM(Q10:Q40)</f>
        <v>277617.38699999999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9119.774849999998</v>
      </c>
      <c r="W41" s="31"/>
      <c r="X41" s="32">
        <f>SUM(X10:X40)</f>
        <v>75694.131255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2" t="s">
        <v>33</v>
      </c>
      <c r="B43" s="183"/>
      <c r="C43" s="183"/>
      <c r="D43" s="183"/>
      <c r="E43" s="183"/>
      <c r="F43" s="184"/>
      <c r="G43" s="26"/>
      <c r="H43" s="27" t="s">
        <v>34</v>
      </c>
      <c r="I43" s="194" t="s">
        <v>35</v>
      </c>
      <c r="J43" s="195"/>
      <c r="K43" s="196"/>
      <c r="L43" s="218" t="s">
        <v>36</v>
      </c>
      <c r="M43" s="219"/>
      <c r="N43" s="182" t="s">
        <v>37</v>
      </c>
      <c r="O43" s="183"/>
      <c r="P43" s="183"/>
      <c r="Q43" s="183"/>
      <c r="R43" s="183"/>
      <c r="S43" s="183"/>
      <c r="T43" s="183"/>
      <c r="U43" s="183"/>
      <c r="V43" s="183"/>
      <c r="W43" s="183"/>
      <c r="X43" s="184"/>
    </row>
    <row r="44" spans="1:24" s="18" customFormat="1" ht="29.25" customHeight="1" thickBot="1" x14ac:dyDescent="0.25">
      <c r="A44" s="212" t="s">
        <v>38</v>
      </c>
      <c r="B44" s="213"/>
      <c r="C44" s="214"/>
      <c r="D44" s="158" t="s">
        <v>30</v>
      </c>
      <c r="E44" s="158" t="s">
        <v>30</v>
      </c>
      <c r="F44" s="158" t="s">
        <v>30</v>
      </c>
      <c r="G44" s="16"/>
      <c r="H44" s="17">
        <v>0.69850000000000001</v>
      </c>
      <c r="I44" s="209">
        <f>L41</f>
        <v>74518</v>
      </c>
      <c r="J44" s="210"/>
      <c r="K44" s="211"/>
      <c r="L44" s="200">
        <f>I44*H44</f>
        <v>52050.823000000004</v>
      </c>
      <c r="M44" s="201"/>
      <c r="N44" s="173">
        <f>L44+L45+L46</f>
        <v>277617.38699999999</v>
      </c>
      <c r="O44" s="174"/>
      <c r="P44" s="174"/>
      <c r="Q44" s="174"/>
      <c r="R44" s="174"/>
      <c r="S44" s="174"/>
      <c r="T44" s="174"/>
      <c r="U44" s="174"/>
      <c r="V44" s="174"/>
      <c r="W44" s="174"/>
      <c r="X44" s="175"/>
    </row>
    <row r="45" spans="1:24" s="18" customFormat="1" ht="29.25" customHeight="1" thickBot="1" x14ac:dyDescent="0.25">
      <c r="A45" s="215"/>
      <c r="B45" s="216"/>
      <c r="C45" s="217"/>
      <c r="D45" s="157" t="s">
        <v>31</v>
      </c>
      <c r="E45" s="157" t="s">
        <v>31</v>
      </c>
      <c r="F45" s="157" t="s">
        <v>31</v>
      </c>
      <c r="G45" s="16"/>
      <c r="H45" s="19">
        <v>0.95140000000000002</v>
      </c>
      <c r="I45" s="209">
        <f>M41</f>
        <v>152740</v>
      </c>
      <c r="J45" s="210"/>
      <c r="K45" s="211"/>
      <c r="L45" s="200">
        <f>I45*H45</f>
        <v>145316.83600000001</v>
      </c>
      <c r="M45" s="201"/>
      <c r="N45" s="176"/>
      <c r="O45" s="177"/>
      <c r="P45" s="177"/>
      <c r="Q45" s="177"/>
      <c r="R45" s="177"/>
      <c r="S45" s="177"/>
      <c r="T45" s="177"/>
      <c r="U45" s="177"/>
      <c r="V45" s="177"/>
      <c r="W45" s="177"/>
      <c r="X45" s="178"/>
    </row>
    <row r="46" spans="1:24" s="18" customFormat="1" ht="24.75" customHeight="1" thickBot="1" x14ac:dyDescent="0.25">
      <c r="A46" s="215"/>
      <c r="B46" s="216"/>
      <c r="C46" s="217"/>
      <c r="D46" s="154" t="s">
        <v>32</v>
      </c>
      <c r="E46" s="154" t="s">
        <v>32</v>
      </c>
      <c r="F46" s="154" t="s">
        <v>32</v>
      </c>
      <c r="G46" s="20"/>
      <c r="H46" s="20">
        <v>1.3304</v>
      </c>
      <c r="I46" s="191">
        <f>N41</f>
        <v>60320</v>
      </c>
      <c r="J46" s="192"/>
      <c r="K46" s="193"/>
      <c r="L46" s="200">
        <f>I46*H46</f>
        <v>80249.728000000003</v>
      </c>
      <c r="M46" s="201"/>
      <c r="N46" s="179"/>
      <c r="O46" s="180"/>
      <c r="P46" s="180"/>
      <c r="Q46" s="180"/>
      <c r="R46" s="180"/>
      <c r="S46" s="180"/>
      <c r="T46" s="180"/>
      <c r="U46" s="180"/>
      <c r="V46" s="180"/>
      <c r="W46" s="180"/>
      <c r="X46" s="181"/>
    </row>
    <row r="47" spans="1:24" s="18" customFormat="1" ht="43.5" customHeight="1" thickBot="1" x14ac:dyDescent="0.25">
      <c r="A47" s="159"/>
      <c r="B47" s="160"/>
      <c r="C47" s="160"/>
      <c r="D47" s="154"/>
      <c r="E47" s="154"/>
      <c r="F47" s="154"/>
      <c r="G47" s="16"/>
      <c r="H47" s="16"/>
      <c r="I47" s="152"/>
      <c r="J47" s="153"/>
      <c r="K47" s="154"/>
      <c r="L47" s="155"/>
      <c r="M47" s="156"/>
      <c r="N47" s="197">
        <f>N44*1.3</f>
        <v>360902.60310000001</v>
      </c>
      <c r="O47" s="198"/>
      <c r="P47" s="198"/>
      <c r="Q47" s="198"/>
      <c r="R47" s="198"/>
      <c r="S47" s="198"/>
      <c r="T47" s="198"/>
      <c r="U47" s="198"/>
      <c r="V47" s="198"/>
      <c r="W47" s="198"/>
      <c r="X47" s="199"/>
    </row>
    <row r="48" spans="1:24" s="23" customFormat="1" ht="32.25" customHeight="1" thickBot="1" x14ac:dyDescent="0.25">
      <c r="A48" s="204" t="s">
        <v>39</v>
      </c>
      <c r="B48" s="205"/>
      <c r="C48" s="205"/>
      <c r="D48" s="205"/>
      <c r="E48" s="205"/>
      <c r="F48" s="206"/>
      <c r="G48" s="21"/>
      <c r="H48" s="22">
        <v>8.7899999999999991</v>
      </c>
      <c r="I48" s="204">
        <f>F41</f>
        <v>2497.7000000000116</v>
      </c>
      <c r="J48" s="205"/>
      <c r="K48" s="206"/>
      <c r="L48" s="207">
        <f>I48*H48</f>
        <v>21954.783000000101</v>
      </c>
      <c r="M48" s="208"/>
      <c r="N48" s="170">
        <f>L48</f>
        <v>21954.783000000101</v>
      </c>
      <c r="O48" s="171"/>
      <c r="P48" s="171"/>
      <c r="Q48" s="171"/>
      <c r="R48" s="171"/>
      <c r="S48" s="171"/>
      <c r="T48" s="171"/>
      <c r="U48" s="171"/>
      <c r="V48" s="171"/>
      <c r="W48" s="171"/>
      <c r="X48" s="172"/>
    </row>
    <row r="49" spans="1:24" s="23" customFormat="1" ht="36.75" customHeight="1" x14ac:dyDescent="0.2">
      <c r="A49" s="185" t="s">
        <v>40</v>
      </c>
      <c r="B49" s="186"/>
      <c r="C49" s="186"/>
      <c r="D49" s="186"/>
      <c r="E49" s="186"/>
      <c r="F49" s="187"/>
      <c r="G49" s="24"/>
      <c r="H49" s="25">
        <v>9.8209</v>
      </c>
      <c r="I49" s="188">
        <f>V41</f>
        <v>9119.774849999998</v>
      </c>
      <c r="J49" s="189"/>
      <c r="K49" s="190"/>
      <c r="L49" s="188">
        <f>I49*H49</f>
        <v>89564.396824364987</v>
      </c>
      <c r="M49" s="190"/>
      <c r="N49" s="167">
        <f>L49</f>
        <v>89564.396824364987</v>
      </c>
      <c r="O49" s="168"/>
      <c r="P49" s="168"/>
      <c r="Q49" s="168"/>
      <c r="R49" s="168"/>
      <c r="S49" s="168"/>
      <c r="T49" s="168"/>
      <c r="U49" s="168"/>
      <c r="V49" s="168"/>
      <c r="W49" s="168"/>
      <c r="X49" s="169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</row>
  </sheetData>
  <mergeCells count="73">
    <mergeCell ref="H41:J41"/>
    <mergeCell ref="H30:J30"/>
    <mergeCell ref="H36:J36"/>
    <mergeCell ref="L44:M44"/>
    <mergeCell ref="H33:J33"/>
    <mergeCell ref="H31:J31"/>
    <mergeCell ref="H35:J35"/>
    <mergeCell ref="H37:J37"/>
    <mergeCell ref="H38:J38"/>
    <mergeCell ref="H39:J39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40:J40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N24" sqref="N2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 x14ac:dyDescent="0.2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 x14ac:dyDescent="0.2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 x14ac:dyDescent="0.25"/>
    <row r="7" spans="1:12" ht="16.5" customHeight="1" x14ac:dyDescent="0.2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 x14ac:dyDescent="0.2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44317</v>
      </c>
      <c r="B9" s="116">
        <v>2559</v>
      </c>
      <c r="C9" s="115">
        <v>0</v>
      </c>
      <c r="D9" s="57">
        <v>108477.2</v>
      </c>
      <c r="E9" s="50">
        <v>39.80000000000291</v>
      </c>
      <c r="F9" s="51">
        <v>10530051</v>
      </c>
      <c r="G9" s="50">
        <v>2179</v>
      </c>
      <c r="H9" s="51">
        <v>17698664</v>
      </c>
      <c r="I9" s="50">
        <v>4209</v>
      </c>
      <c r="J9" s="51">
        <v>7837632</v>
      </c>
      <c r="K9" s="50">
        <v>1751</v>
      </c>
    </row>
    <row r="10" spans="1:12" ht="19.5" x14ac:dyDescent="0.3">
      <c r="A10" s="59">
        <v>44318</v>
      </c>
      <c r="B10" s="116">
        <v>2559</v>
      </c>
      <c r="C10" s="115">
        <f t="shared" ref="C10:C15" si="0">B10-B9</f>
        <v>0</v>
      </c>
      <c r="D10" s="57">
        <v>108532.6</v>
      </c>
      <c r="E10" s="50">
        <f t="shared" ref="E10:E39" si="1">D10-D9</f>
        <v>55.400000000008731</v>
      </c>
      <c r="F10" s="51">
        <v>10532161</v>
      </c>
      <c r="G10" s="50">
        <f t="shared" ref="G10:G39" si="2">F10-F9</f>
        <v>2110</v>
      </c>
      <c r="H10" s="51">
        <v>17702827</v>
      </c>
      <c r="I10" s="50">
        <f t="shared" ref="I10:I39" si="3">H10-H9</f>
        <v>4163</v>
      </c>
      <c r="J10" s="51">
        <v>7839457</v>
      </c>
      <c r="K10" s="50">
        <f t="shared" ref="K10:K39" si="4">J10-J9</f>
        <v>1825</v>
      </c>
    </row>
    <row r="11" spans="1:12" ht="19.5" x14ac:dyDescent="0.3">
      <c r="A11" s="59">
        <v>44319</v>
      </c>
      <c r="B11" s="116">
        <v>2559</v>
      </c>
      <c r="C11" s="115">
        <f t="shared" si="0"/>
        <v>0</v>
      </c>
      <c r="D11" s="57">
        <v>108577.7</v>
      </c>
      <c r="E11" s="50">
        <f t="shared" si="1"/>
        <v>45.099999999991269</v>
      </c>
      <c r="F11" s="51">
        <v>10534301</v>
      </c>
      <c r="G11" s="50">
        <f t="shared" si="2"/>
        <v>2140</v>
      </c>
      <c r="H11" s="51">
        <v>17707190</v>
      </c>
      <c r="I11" s="50">
        <f t="shared" si="3"/>
        <v>4363</v>
      </c>
      <c r="J11" s="51">
        <v>7841159</v>
      </c>
      <c r="K11" s="50">
        <f t="shared" si="4"/>
        <v>1702</v>
      </c>
    </row>
    <row r="12" spans="1:12" ht="19.5" x14ac:dyDescent="0.3">
      <c r="A12" s="59">
        <v>44320</v>
      </c>
      <c r="B12" s="116">
        <v>2559</v>
      </c>
      <c r="C12" s="115">
        <f t="shared" si="0"/>
        <v>0</v>
      </c>
      <c r="D12" s="57">
        <v>108665.4</v>
      </c>
      <c r="E12" s="50">
        <f t="shared" si="1"/>
        <v>87.69999999999709</v>
      </c>
      <c r="F12" s="51">
        <v>10536606</v>
      </c>
      <c r="G12" s="50">
        <f t="shared" si="2"/>
        <v>2305</v>
      </c>
      <c r="H12" s="51">
        <v>17711750</v>
      </c>
      <c r="I12" s="50">
        <f t="shared" si="3"/>
        <v>4560</v>
      </c>
      <c r="J12" s="51">
        <v>7842752</v>
      </c>
      <c r="K12" s="50">
        <f t="shared" si="4"/>
        <v>1593</v>
      </c>
    </row>
    <row r="13" spans="1:12" ht="19.5" x14ac:dyDescent="0.3">
      <c r="A13" s="59">
        <v>44321</v>
      </c>
      <c r="B13" s="116">
        <v>2559</v>
      </c>
      <c r="C13" s="115">
        <f t="shared" si="0"/>
        <v>0</v>
      </c>
      <c r="D13" s="57">
        <v>108733.7</v>
      </c>
      <c r="E13" s="50">
        <f t="shared" si="1"/>
        <v>68.30000000000291</v>
      </c>
      <c r="F13" s="51">
        <v>10538878</v>
      </c>
      <c r="G13" s="50">
        <f t="shared" si="2"/>
        <v>2272</v>
      </c>
      <c r="H13" s="51">
        <v>17716402</v>
      </c>
      <c r="I13" s="50">
        <f t="shared" si="3"/>
        <v>4652</v>
      </c>
      <c r="J13" s="51">
        <v>7844474</v>
      </c>
      <c r="K13" s="50">
        <f t="shared" si="4"/>
        <v>1722</v>
      </c>
    </row>
    <row r="14" spans="1:12" ht="19.5" x14ac:dyDescent="0.3">
      <c r="A14" s="59">
        <v>44322</v>
      </c>
      <c r="B14" s="116">
        <v>2559</v>
      </c>
      <c r="C14" s="115">
        <f t="shared" si="0"/>
        <v>0</v>
      </c>
      <c r="D14" s="57">
        <v>108788.5</v>
      </c>
      <c r="E14" s="50">
        <f t="shared" si="1"/>
        <v>54.80000000000291</v>
      </c>
      <c r="F14" s="51">
        <v>10541418</v>
      </c>
      <c r="G14" s="50">
        <f t="shared" si="2"/>
        <v>2540</v>
      </c>
      <c r="H14" s="51">
        <v>17720927</v>
      </c>
      <c r="I14" s="50">
        <f t="shared" si="3"/>
        <v>4525</v>
      </c>
      <c r="J14" s="51">
        <v>7846226</v>
      </c>
      <c r="K14" s="50">
        <f t="shared" si="4"/>
        <v>1752</v>
      </c>
    </row>
    <row r="15" spans="1:12" ht="19.5" x14ac:dyDescent="0.3">
      <c r="A15" s="59">
        <v>44323</v>
      </c>
      <c r="B15" s="116">
        <v>2559</v>
      </c>
      <c r="C15" s="115">
        <f t="shared" si="0"/>
        <v>0</v>
      </c>
      <c r="D15" s="57">
        <v>108836.8</v>
      </c>
      <c r="E15" s="50">
        <f t="shared" si="1"/>
        <v>48.30000000000291</v>
      </c>
      <c r="F15" s="51">
        <v>10543607</v>
      </c>
      <c r="G15" s="50">
        <f t="shared" si="2"/>
        <v>2189</v>
      </c>
      <c r="H15" s="51">
        <v>17726008</v>
      </c>
      <c r="I15" s="50">
        <f t="shared" si="3"/>
        <v>5081</v>
      </c>
      <c r="J15" s="51">
        <v>7848088</v>
      </c>
      <c r="K15" s="50">
        <f t="shared" si="4"/>
        <v>1862</v>
      </c>
    </row>
    <row r="16" spans="1:12" ht="19.5" x14ac:dyDescent="0.3">
      <c r="A16" s="59">
        <v>44324</v>
      </c>
      <c r="B16" s="116">
        <v>2559</v>
      </c>
      <c r="C16" s="115">
        <f t="shared" ref="C16:C39" si="5">B16-B15</f>
        <v>0</v>
      </c>
      <c r="D16" s="57">
        <v>108925.2</v>
      </c>
      <c r="E16" s="50">
        <f t="shared" si="1"/>
        <v>88.399999999994179</v>
      </c>
      <c r="F16" s="51">
        <v>10546012</v>
      </c>
      <c r="G16" s="50">
        <f t="shared" si="2"/>
        <v>2405</v>
      </c>
      <c r="H16" s="51">
        <v>17731131</v>
      </c>
      <c r="I16" s="50">
        <f t="shared" si="3"/>
        <v>5123</v>
      </c>
      <c r="J16" s="51">
        <v>7849987</v>
      </c>
      <c r="K16" s="50">
        <f t="shared" si="4"/>
        <v>1899</v>
      </c>
    </row>
    <row r="17" spans="1:29" ht="19.5" x14ac:dyDescent="0.3">
      <c r="A17" s="59">
        <v>44325</v>
      </c>
      <c r="B17" s="116">
        <v>2559</v>
      </c>
      <c r="C17" s="115">
        <f t="shared" si="5"/>
        <v>0</v>
      </c>
      <c r="D17" s="57">
        <v>108984.1</v>
      </c>
      <c r="E17" s="50">
        <f t="shared" si="1"/>
        <v>58.900000000008731</v>
      </c>
      <c r="F17" s="51">
        <v>10548373</v>
      </c>
      <c r="G17" s="50">
        <f t="shared" si="2"/>
        <v>2361</v>
      </c>
      <c r="H17" s="51">
        <v>17735821</v>
      </c>
      <c r="I17" s="50">
        <f t="shared" si="3"/>
        <v>4690</v>
      </c>
      <c r="J17" s="51">
        <v>7852019</v>
      </c>
      <c r="K17" s="50">
        <f t="shared" si="4"/>
        <v>2032</v>
      </c>
    </row>
    <row r="18" spans="1:29" ht="19.5" x14ac:dyDescent="0.3">
      <c r="A18" s="59">
        <v>44326</v>
      </c>
      <c r="B18" s="116">
        <v>2559</v>
      </c>
      <c r="C18" s="115">
        <f t="shared" si="5"/>
        <v>0</v>
      </c>
      <c r="D18" s="57">
        <v>109025</v>
      </c>
      <c r="E18" s="50">
        <f t="shared" si="1"/>
        <v>40.899999999994179</v>
      </c>
      <c r="F18" s="51">
        <v>10550391</v>
      </c>
      <c r="G18" s="50">
        <f t="shared" si="2"/>
        <v>2018</v>
      </c>
      <c r="H18" s="51">
        <v>17739705</v>
      </c>
      <c r="I18" s="50">
        <f t="shared" si="3"/>
        <v>3884</v>
      </c>
      <c r="J18" s="51">
        <v>7853716</v>
      </c>
      <c r="K18" s="50">
        <f t="shared" si="4"/>
        <v>1697</v>
      </c>
    </row>
    <row r="19" spans="1:29" ht="19.5" x14ac:dyDescent="0.3">
      <c r="A19" s="59">
        <v>44327</v>
      </c>
      <c r="B19" s="116">
        <v>2559</v>
      </c>
      <c r="C19" s="115">
        <f t="shared" si="5"/>
        <v>0</v>
      </c>
      <c r="D19" s="57">
        <v>109118</v>
      </c>
      <c r="E19" s="50">
        <f t="shared" si="1"/>
        <v>93</v>
      </c>
      <c r="F19" s="51">
        <v>10552900</v>
      </c>
      <c r="G19" s="50">
        <f t="shared" si="2"/>
        <v>2509</v>
      </c>
      <c r="H19" s="51">
        <v>17743113</v>
      </c>
      <c r="I19" s="50">
        <f t="shared" si="3"/>
        <v>3408</v>
      </c>
      <c r="J19" s="51">
        <v>7855697</v>
      </c>
      <c r="K19" s="50">
        <f t="shared" si="4"/>
        <v>1981</v>
      </c>
    </row>
    <row r="20" spans="1:29" ht="18.75" customHeight="1" x14ac:dyDescent="0.35">
      <c r="A20" s="59">
        <v>44328</v>
      </c>
      <c r="B20" s="116">
        <v>2559</v>
      </c>
      <c r="C20" s="115">
        <f t="shared" si="5"/>
        <v>0</v>
      </c>
      <c r="D20" s="57">
        <v>109212.5</v>
      </c>
      <c r="E20" s="50">
        <f t="shared" si="1"/>
        <v>94.5</v>
      </c>
      <c r="F20" s="51">
        <v>10555252</v>
      </c>
      <c r="G20" s="50">
        <f t="shared" si="2"/>
        <v>2352</v>
      </c>
      <c r="H20" s="51">
        <v>17747662</v>
      </c>
      <c r="I20" s="50">
        <f t="shared" si="3"/>
        <v>4549</v>
      </c>
      <c r="J20" s="51">
        <v>7857429</v>
      </c>
      <c r="K20" s="50">
        <f t="shared" si="4"/>
        <v>1732</v>
      </c>
      <c r="L20" s="117" t="s">
        <v>18</v>
      </c>
      <c r="AC20" t="s">
        <v>56</v>
      </c>
    </row>
    <row r="21" spans="1:29" ht="19.5" x14ac:dyDescent="0.3">
      <c r="A21" s="59">
        <v>44329</v>
      </c>
      <c r="B21" s="116">
        <v>2559</v>
      </c>
      <c r="C21" s="115">
        <f t="shared" si="5"/>
        <v>0</v>
      </c>
      <c r="D21" s="57">
        <v>109292.4</v>
      </c>
      <c r="E21" s="50">
        <f t="shared" si="1"/>
        <v>79.899999999994179</v>
      </c>
      <c r="F21" s="51">
        <v>10557065</v>
      </c>
      <c r="G21" s="50">
        <f t="shared" si="2"/>
        <v>1813</v>
      </c>
      <c r="H21" s="51">
        <v>17752094</v>
      </c>
      <c r="I21" s="50">
        <f t="shared" si="3"/>
        <v>4432</v>
      </c>
      <c r="J21" s="51">
        <v>7859102</v>
      </c>
      <c r="K21" s="50">
        <f t="shared" si="4"/>
        <v>1673</v>
      </c>
    </row>
    <row r="22" spans="1:29" ht="19.5" x14ac:dyDescent="0.3">
      <c r="A22" s="59">
        <v>44330</v>
      </c>
      <c r="B22" s="116">
        <v>2559</v>
      </c>
      <c r="C22" s="115">
        <f t="shared" si="5"/>
        <v>0</v>
      </c>
      <c r="D22" s="57">
        <v>109406.7</v>
      </c>
      <c r="E22" s="50">
        <f t="shared" si="1"/>
        <v>114.30000000000291</v>
      </c>
      <c r="F22" s="51">
        <v>10559474</v>
      </c>
      <c r="G22" s="50">
        <f t="shared" si="2"/>
        <v>2409</v>
      </c>
      <c r="H22" s="51">
        <v>17756751</v>
      </c>
      <c r="I22" s="50">
        <f t="shared" si="3"/>
        <v>4657</v>
      </c>
      <c r="J22" s="51">
        <v>7861029</v>
      </c>
      <c r="K22" s="50">
        <f t="shared" si="4"/>
        <v>1927</v>
      </c>
    </row>
    <row r="23" spans="1:29" ht="19.5" x14ac:dyDescent="0.3">
      <c r="A23" s="59">
        <v>44331</v>
      </c>
      <c r="B23" s="116">
        <v>2559</v>
      </c>
      <c r="C23" s="115">
        <f t="shared" si="5"/>
        <v>0</v>
      </c>
      <c r="D23" s="57">
        <v>109496</v>
      </c>
      <c r="E23" s="50">
        <f t="shared" si="1"/>
        <v>89.30000000000291</v>
      </c>
      <c r="F23" s="51">
        <v>10561520</v>
      </c>
      <c r="G23" s="50">
        <f t="shared" si="2"/>
        <v>2046</v>
      </c>
      <c r="H23" s="51">
        <v>17761291</v>
      </c>
      <c r="I23" s="50">
        <f t="shared" si="3"/>
        <v>4540</v>
      </c>
      <c r="J23" s="51">
        <v>7862965</v>
      </c>
      <c r="K23" s="50">
        <f t="shared" si="4"/>
        <v>1936</v>
      </c>
    </row>
    <row r="24" spans="1:29" ht="19.5" x14ac:dyDescent="0.3">
      <c r="A24" s="59">
        <v>44332</v>
      </c>
      <c r="B24" s="116">
        <v>2559</v>
      </c>
      <c r="C24" s="115">
        <f t="shared" si="5"/>
        <v>0</v>
      </c>
      <c r="D24" s="57">
        <v>109624.9</v>
      </c>
      <c r="E24" s="50">
        <f t="shared" si="1"/>
        <v>128.89999999999418</v>
      </c>
      <c r="F24" s="51">
        <v>10563522</v>
      </c>
      <c r="G24" s="50">
        <f t="shared" si="2"/>
        <v>2002</v>
      </c>
      <c r="H24" s="51">
        <v>17765786</v>
      </c>
      <c r="I24" s="50">
        <f t="shared" si="3"/>
        <v>4495</v>
      </c>
      <c r="J24" s="51">
        <v>7864777</v>
      </c>
      <c r="K24" s="50">
        <f t="shared" si="4"/>
        <v>1812</v>
      </c>
    </row>
    <row r="25" spans="1:29" ht="19.5" x14ac:dyDescent="0.3">
      <c r="A25" s="59">
        <v>44333</v>
      </c>
      <c r="B25" s="116">
        <v>2559</v>
      </c>
      <c r="C25" s="115">
        <f t="shared" si="5"/>
        <v>0</v>
      </c>
      <c r="D25" s="57">
        <v>109852.8</v>
      </c>
      <c r="E25" s="165">
        <f t="shared" si="1"/>
        <v>227.90000000000873</v>
      </c>
      <c r="F25" s="51">
        <v>10565750</v>
      </c>
      <c r="G25" s="50">
        <f t="shared" si="2"/>
        <v>2228</v>
      </c>
      <c r="H25" s="51">
        <v>17770995</v>
      </c>
      <c r="I25" s="50">
        <f t="shared" si="3"/>
        <v>5209</v>
      </c>
      <c r="J25" s="51">
        <v>7866561</v>
      </c>
      <c r="K25" s="50">
        <f t="shared" si="4"/>
        <v>1784</v>
      </c>
    </row>
    <row r="26" spans="1:29" ht="19.5" x14ac:dyDescent="0.3">
      <c r="A26" s="59">
        <v>44334</v>
      </c>
      <c r="B26" s="116">
        <v>2559</v>
      </c>
      <c r="C26" s="115">
        <f t="shared" si="5"/>
        <v>0</v>
      </c>
      <c r="D26" s="57">
        <v>109942.5</v>
      </c>
      <c r="E26" s="50">
        <f t="shared" si="1"/>
        <v>89.69999999999709</v>
      </c>
      <c r="F26" s="51">
        <v>10568071</v>
      </c>
      <c r="G26" s="50">
        <f t="shared" si="2"/>
        <v>2321</v>
      </c>
      <c r="H26" s="51">
        <v>17775279</v>
      </c>
      <c r="I26" s="50">
        <f t="shared" si="3"/>
        <v>4284</v>
      </c>
      <c r="J26" s="51">
        <v>7868506</v>
      </c>
      <c r="K26" s="50">
        <f t="shared" si="4"/>
        <v>1945</v>
      </c>
    </row>
    <row r="27" spans="1:29" ht="19.5" x14ac:dyDescent="0.3">
      <c r="A27" s="59">
        <v>44335</v>
      </c>
      <c r="B27" s="116">
        <v>2559</v>
      </c>
      <c r="C27" s="115">
        <f t="shared" si="5"/>
        <v>0</v>
      </c>
      <c r="D27" s="57">
        <v>110023.6</v>
      </c>
      <c r="E27" s="50">
        <f t="shared" si="1"/>
        <v>81.100000000005821</v>
      </c>
      <c r="F27" s="51">
        <v>10570650</v>
      </c>
      <c r="G27" s="50">
        <f t="shared" si="2"/>
        <v>2579</v>
      </c>
      <c r="H27" s="51">
        <v>17780285</v>
      </c>
      <c r="I27" s="50">
        <f t="shared" si="3"/>
        <v>5006</v>
      </c>
      <c r="J27" s="51">
        <v>7870325</v>
      </c>
      <c r="K27" s="50">
        <f t="shared" si="4"/>
        <v>1819</v>
      </c>
    </row>
    <row r="28" spans="1:29" ht="19.5" x14ac:dyDescent="0.3">
      <c r="A28" s="59">
        <v>44336</v>
      </c>
      <c r="B28" s="116">
        <v>2559</v>
      </c>
      <c r="C28" s="115">
        <f t="shared" si="5"/>
        <v>0</v>
      </c>
      <c r="D28" s="57">
        <v>110084.1</v>
      </c>
      <c r="E28" s="50">
        <f t="shared" si="1"/>
        <v>60.5</v>
      </c>
      <c r="F28" s="51">
        <v>10572922</v>
      </c>
      <c r="G28" s="50">
        <f t="shared" si="2"/>
        <v>2272</v>
      </c>
      <c r="H28" s="51">
        <v>17785695</v>
      </c>
      <c r="I28" s="50">
        <f t="shared" si="3"/>
        <v>5410</v>
      </c>
      <c r="J28" s="51">
        <v>7872270</v>
      </c>
      <c r="K28" s="50">
        <f t="shared" si="4"/>
        <v>1945</v>
      </c>
    </row>
    <row r="29" spans="1:29" ht="19.5" x14ac:dyDescent="0.3">
      <c r="A29" s="59">
        <v>44337</v>
      </c>
      <c r="B29" s="116">
        <v>2559</v>
      </c>
      <c r="C29" s="115">
        <f t="shared" si="5"/>
        <v>0</v>
      </c>
      <c r="D29" s="57">
        <v>110154.7</v>
      </c>
      <c r="E29" s="50">
        <f t="shared" si="1"/>
        <v>70.599999999991269</v>
      </c>
      <c r="F29" s="51">
        <v>10575706</v>
      </c>
      <c r="G29" s="50">
        <f t="shared" si="2"/>
        <v>2784</v>
      </c>
      <c r="H29" s="51">
        <v>17791222</v>
      </c>
      <c r="I29" s="50">
        <f t="shared" si="3"/>
        <v>5527</v>
      </c>
      <c r="J29" s="51">
        <v>7874240</v>
      </c>
      <c r="K29" s="50">
        <f t="shared" si="4"/>
        <v>1970</v>
      </c>
    </row>
    <row r="30" spans="1:29" ht="19.5" x14ac:dyDescent="0.3">
      <c r="A30" s="59">
        <v>44338</v>
      </c>
      <c r="B30" s="116">
        <v>2559</v>
      </c>
      <c r="C30" s="115">
        <f t="shared" si="5"/>
        <v>0</v>
      </c>
      <c r="D30" s="57">
        <v>110236.1</v>
      </c>
      <c r="E30" s="50">
        <f t="shared" si="1"/>
        <v>81.400000000008731</v>
      </c>
      <c r="F30" s="51">
        <v>10578319</v>
      </c>
      <c r="G30" s="50">
        <f t="shared" si="2"/>
        <v>2613</v>
      </c>
      <c r="H30" s="51">
        <v>17797124</v>
      </c>
      <c r="I30" s="50">
        <f t="shared" si="3"/>
        <v>5902</v>
      </c>
      <c r="J30" s="51">
        <v>7876609</v>
      </c>
      <c r="K30" s="50">
        <f t="shared" si="4"/>
        <v>2369</v>
      </c>
    </row>
    <row r="31" spans="1:29" ht="19.5" x14ac:dyDescent="0.3">
      <c r="A31" s="59">
        <v>44339</v>
      </c>
      <c r="B31" s="116">
        <v>2559</v>
      </c>
      <c r="C31" s="115">
        <f t="shared" si="5"/>
        <v>0</v>
      </c>
      <c r="D31" s="57">
        <v>110320</v>
      </c>
      <c r="E31" s="50">
        <f t="shared" si="1"/>
        <v>83.899999999994179</v>
      </c>
      <c r="F31" s="51">
        <v>10581548</v>
      </c>
      <c r="G31" s="50">
        <f t="shared" si="2"/>
        <v>3229</v>
      </c>
      <c r="H31" s="51">
        <v>17802841</v>
      </c>
      <c r="I31" s="50">
        <f t="shared" si="3"/>
        <v>5717</v>
      </c>
      <c r="J31" s="51">
        <v>7879705</v>
      </c>
      <c r="K31" s="50">
        <f t="shared" si="4"/>
        <v>3096</v>
      </c>
    </row>
    <row r="32" spans="1:29" ht="19.5" x14ac:dyDescent="0.3">
      <c r="A32" s="59">
        <v>44340</v>
      </c>
      <c r="B32" s="116">
        <v>2559</v>
      </c>
      <c r="C32" s="115">
        <f t="shared" si="5"/>
        <v>0</v>
      </c>
      <c r="D32" s="57">
        <v>110391</v>
      </c>
      <c r="E32" s="50">
        <f t="shared" si="1"/>
        <v>71</v>
      </c>
      <c r="F32" s="51">
        <v>10584245</v>
      </c>
      <c r="G32" s="50">
        <f t="shared" si="2"/>
        <v>2697</v>
      </c>
      <c r="H32" s="51">
        <v>17808278</v>
      </c>
      <c r="I32" s="50">
        <f t="shared" si="3"/>
        <v>5437</v>
      </c>
      <c r="J32" s="51">
        <v>7881290</v>
      </c>
      <c r="K32" s="50">
        <f t="shared" si="4"/>
        <v>1585</v>
      </c>
    </row>
    <row r="33" spans="1:11" ht="19.5" x14ac:dyDescent="0.3">
      <c r="A33" s="59">
        <v>44341</v>
      </c>
      <c r="B33" s="116">
        <v>2559</v>
      </c>
      <c r="C33" s="115">
        <f t="shared" si="5"/>
        <v>0</v>
      </c>
      <c r="D33" s="57">
        <v>110471.9</v>
      </c>
      <c r="E33" s="50">
        <f t="shared" si="1"/>
        <v>80.899999999994179</v>
      </c>
      <c r="F33" s="51">
        <v>10586582</v>
      </c>
      <c r="G33" s="50">
        <f t="shared" si="2"/>
        <v>2337</v>
      </c>
      <c r="H33" s="51">
        <v>17813718</v>
      </c>
      <c r="I33" s="50">
        <f t="shared" si="3"/>
        <v>5440</v>
      </c>
      <c r="J33" s="51">
        <v>7883327</v>
      </c>
      <c r="K33" s="50">
        <f t="shared" si="4"/>
        <v>2037</v>
      </c>
    </row>
    <row r="34" spans="1:11" ht="19.5" x14ac:dyDescent="0.3">
      <c r="A34" s="59">
        <v>44342</v>
      </c>
      <c r="B34" s="116">
        <v>2559</v>
      </c>
      <c r="C34" s="115">
        <f t="shared" si="5"/>
        <v>0</v>
      </c>
      <c r="D34" s="57">
        <v>110571.6</v>
      </c>
      <c r="E34" s="50">
        <f t="shared" si="1"/>
        <v>99.700000000011642</v>
      </c>
      <c r="F34" s="51">
        <v>10588922</v>
      </c>
      <c r="G34" s="50">
        <f t="shared" si="2"/>
        <v>2340</v>
      </c>
      <c r="H34" s="51">
        <v>17819235</v>
      </c>
      <c r="I34" s="50">
        <f t="shared" si="3"/>
        <v>5517</v>
      </c>
      <c r="J34" s="51">
        <v>7885442</v>
      </c>
      <c r="K34" s="50">
        <f t="shared" si="4"/>
        <v>2115</v>
      </c>
    </row>
    <row r="35" spans="1:11" ht="19.5" x14ac:dyDescent="0.3">
      <c r="A35" s="59">
        <v>44343</v>
      </c>
      <c r="B35" s="116">
        <v>2559</v>
      </c>
      <c r="C35" s="115">
        <f t="shared" si="5"/>
        <v>0</v>
      </c>
      <c r="D35" s="57">
        <v>110650.3</v>
      </c>
      <c r="E35" s="50">
        <f t="shared" si="1"/>
        <v>78.69999999999709</v>
      </c>
      <c r="F35" s="51">
        <v>10591754</v>
      </c>
      <c r="G35" s="50">
        <f t="shared" si="2"/>
        <v>2832</v>
      </c>
      <c r="H35" s="51">
        <v>17824482</v>
      </c>
      <c r="I35" s="50">
        <f t="shared" si="3"/>
        <v>5247</v>
      </c>
      <c r="J35" s="51">
        <v>7887443</v>
      </c>
      <c r="K35" s="50">
        <f t="shared" si="4"/>
        <v>2001</v>
      </c>
    </row>
    <row r="36" spans="1:11" ht="19.5" x14ac:dyDescent="0.3">
      <c r="A36" s="59">
        <v>44344</v>
      </c>
      <c r="B36" s="116">
        <v>2559</v>
      </c>
      <c r="C36" s="115">
        <f t="shared" si="5"/>
        <v>0</v>
      </c>
      <c r="D36" s="57">
        <v>110719.1</v>
      </c>
      <c r="E36" s="50">
        <f t="shared" si="1"/>
        <v>68.80000000000291</v>
      </c>
      <c r="F36" s="51">
        <v>10594682</v>
      </c>
      <c r="G36" s="50">
        <f t="shared" si="2"/>
        <v>2928</v>
      </c>
      <c r="H36" s="51">
        <v>17830411</v>
      </c>
      <c r="I36" s="50">
        <f t="shared" si="3"/>
        <v>5929</v>
      </c>
      <c r="J36" s="51">
        <v>7889662</v>
      </c>
      <c r="K36" s="50">
        <f t="shared" si="4"/>
        <v>2219</v>
      </c>
    </row>
    <row r="37" spans="1:11" ht="19.5" x14ac:dyDescent="0.3">
      <c r="A37" s="59">
        <v>44345</v>
      </c>
      <c r="B37" s="116">
        <v>2559</v>
      </c>
      <c r="C37" s="115">
        <f t="shared" si="5"/>
        <v>0</v>
      </c>
      <c r="D37" s="57">
        <v>110798</v>
      </c>
      <c r="E37" s="50">
        <f t="shared" si="1"/>
        <v>78.899999999994179</v>
      </c>
      <c r="F37" s="51">
        <v>10597048</v>
      </c>
      <c r="G37" s="50">
        <f t="shared" si="2"/>
        <v>2366</v>
      </c>
      <c r="H37" s="51">
        <v>17836574</v>
      </c>
      <c r="I37" s="50">
        <f t="shared" si="3"/>
        <v>6163</v>
      </c>
      <c r="J37" s="51">
        <v>7891952</v>
      </c>
      <c r="K37" s="50">
        <f t="shared" si="4"/>
        <v>2290</v>
      </c>
    </row>
    <row r="38" spans="1:11" ht="19.5" x14ac:dyDescent="0.3">
      <c r="A38" s="59">
        <v>44346</v>
      </c>
      <c r="B38" s="116">
        <v>2559</v>
      </c>
      <c r="C38" s="115">
        <f t="shared" si="5"/>
        <v>0</v>
      </c>
      <c r="D38" s="57">
        <v>110875.1</v>
      </c>
      <c r="E38" s="50">
        <f t="shared" si="1"/>
        <v>77.100000000005821</v>
      </c>
      <c r="F38" s="51">
        <v>10599793</v>
      </c>
      <c r="G38" s="50">
        <f t="shared" si="2"/>
        <v>2745</v>
      </c>
      <c r="H38" s="51">
        <v>17841865</v>
      </c>
      <c r="I38" s="50">
        <f t="shared" si="3"/>
        <v>5291</v>
      </c>
      <c r="J38" s="51">
        <v>7894231</v>
      </c>
      <c r="K38" s="50">
        <f t="shared" si="4"/>
        <v>2279</v>
      </c>
    </row>
    <row r="39" spans="1:11" ht="19.5" x14ac:dyDescent="0.3">
      <c r="A39" s="59">
        <v>44347</v>
      </c>
      <c r="B39" s="116">
        <v>2559</v>
      </c>
      <c r="C39" s="115">
        <f t="shared" si="5"/>
        <v>0</v>
      </c>
      <c r="D39" s="57">
        <v>110935.1</v>
      </c>
      <c r="E39" s="50">
        <f t="shared" si="1"/>
        <v>60</v>
      </c>
      <c r="F39" s="51">
        <v>10602390</v>
      </c>
      <c r="G39" s="50">
        <f t="shared" si="2"/>
        <v>2597</v>
      </c>
      <c r="H39" s="51">
        <v>17847195</v>
      </c>
      <c r="I39" s="50">
        <f t="shared" si="3"/>
        <v>5330</v>
      </c>
      <c r="J39" s="51">
        <v>7896201</v>
      </c>
      <c r="K39" s="50">
        <f t="shared" si="4"/>
        <v>1970</v>
      </c>
    </row>
    <row r="40" spans="1:11" ht="21.75" customHeight="1" x14ac:dyDescent="0.3">
      <c r="A40" s="52"/>
      <c r="B40" s="52"/>
      <c r="C40" s="52"/>
      <c r="D40" s="52"/>
      <c r="E40" s="52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22" sqref="P22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 x14ac:dyDescent="0.4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44317</v>
      </c>
      <c r="B4" s="41">
        <v>60</v>
      </c>
      <c r="C4" s="39">
        <f t="shared" ref="C4:C35" si="0">IF(AC4&gt;0,((B4-R4)+(S4-B5)),IF(B5=0, ,(B4-B5)))</f>
        <v>1</v>
      </c>
      <c r="D4" s="41">
        <v>61</v>
      </c>
      <c r="E4" s="39">
        <f t="shared" ref="E4:E35" si="1">IF(AC4&gt;0,((D4-U4)+(V4-D5)),IF(D5=0, ,(D4-D5)))</f>
        <v>2</v>
      </c>
      <c r="F4" s="41">
        <v>62</v>
      </c>
      <c r="G4" s="39">
        <f t="shared" ref="G4:G35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245</v>
      </c>
      <c r="K4" s="39">
        <f>J4/4</f>
        <v>61.25</v>
      </c>
      <c r="L4" s="39">
        <f>IF(AC4&gt;0,((K4-AD4)+(AE4-K5)),IF(K5=0, ,(K4-K5)))</f>
        <v>1.75</v>
      </c>
      <c r="M4" s="148">
        <f>6049*4</f>
        <v>24196</v>
      </c>
      <c r="N4" s="39">
        <f>L4*M4/100</f>
        <v>423.43</v>
      </c>
      <c r="O4" s="39">
        <f>N4*0.529</f>
        <v>223.99447000000001</v>
      </c>
      <c r="P4" s="42">
        <f>O4*8.3</f>
        <v>1859.1541010000003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44318</v>
      </c>
      <c r="B5" s="41">
        <v>59</v>
      </c>
      <c r="C5" s="39">
        <f t="shared" si="0"/>
        <v>4</v>
      </c>
      <c r="D5" s="41">
        <v>59</v>
      </c>
      <c r="E5" s="39">
        <f t="shared" si="1"/>
        <v>3</v>
      </c>
      <c r="F5" s="41">
        <v>60</v>
      </c>
      <c r="G5" s="39">
        <f t="shared" si="2"/>
        <v>2</v>
      </c>
      <c r="H5" s="41">
        <v>60</v>
      </c>
      <c r="I5" s="39">
        <f>IF(AC5&gt;0,((H5-AA5)+(AB5-H6)),IF(H6=0, ,(H5-H6)))</f>
        <v>2</v>
      </c>
      <c r="J5" s="39">
        <f>B5+D5+F5+H5</f>
        <v>238</v>
      </c>
      <c r="K5" s="39">
        <f>J5/4</f>
        <v>59.5</v>
      </c>
      <c r="L5" s="39">
        <f>IF(AC5&gt;0,((K5-AD5)+(AE5-K6)),IF(K6=0, ,(K5-K6)))</f>
        <v>2.75</v>
      </c>
      <c r="M5" s="148">
        <f t="shared" ref="M5:M35" si="6">6049*4</f>
        <v>24196</v>
      </c>
      <c r="N5" s="39">
        <f>L5*M5/100</f>
        <v>665.39</v>
      </c>
      <c r="O5" s="39">
        <f t="shared" ref="O5:O34" si="7">N5*0.529</f>
        <v>351.99131</v>
      </c>
      <c r="P5" s="42">
        <f t="shared" ref="P5:P34" si="8">O5*8.3</f>
        <v>2921.5278730000005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44319</v>
      </c>
      <c r="B6" s="41">
        <v>55</v>
      </c>
      <c r="C6" s="39">
        <f t="shared" si="0"/>
        <v>1</v>
      </c>
      <c r="D6" s="41">
        <v>56</v>
      </c>
      <c r="E6" s="39">
        <f t="shared" si="1"/>
        <v>2</v>
      </c>
      <c r="F6" s="41">
        <v>58</v>
      </c>
      <c r="G6" s="39">
        <f t="shared" si="2"/>
        <v>3</v>
      </c>
      <c r="H6" s="41">
        <v>58</v>
      </c>
      <c r="I6" s="39">
        <f t="shared" ref="I6:I36" si="9">IF(AC6&gt;0,((H6-AA6)+(AB6-H7)),IF(H7=0, ,(H6-H7)))</f>
        <v>3</v>
      </c>
      <c r="J6" s="39">
        <f t="shared" ref="J6:J42" si="10">B6+D6+F6+H6</f>
        <v>227</v>
      </c>
      <c r="K6" s="39">
        <f t="shared" ref="K6:K42" si="11">J6/4</f>
        <v>56.75</v>
      </c>
      <c r="L6" s="39">
        <f t="shared" ref="L6:L19" si="12">IF(AC6&gt;0,((K6-AD6)+(AE6-K7)),IF(K7=0, ,(K6-K7)))</f>
        <v>2.25</v>
      </c>
      <c r="M6" s="148">
        <f t="shared" si="6"/>
        <v>24196</v>
      </c>
      <c r="N6" s="39">
        <f t="shared" ref="N6:N42" si="13">L6*M6/100</f>
        <v>544.41</v>
      </c>
      <c r="O6" s="39">
        <f t="shared" si="7"/>
        <v>287.99288999999999</v>
      </c>
      <c r="P6" s="42">
        <f t="shared" si="8"/>
        <v>2390.340987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44320</v>
      </c>
      <c r="B7" s="41">
        <v>54</v>
      </c>
      <c r="C7" s="39">
        <f t="shared" si="0"/>
        <v>3</v>
      </c>
      <c r="D7" s="41">
        <v>54</v>
      </c>
      <c r="E7" s="39">
        <f t="shared" si="1"/>
        <v>4</v>
      </c>
      <c r="F7" s="41">
        <v>55</v>
      </c>
      <c r="G7" s="39">
        <f t="shared" si="2"/>
        <v>1</v>
      </c>
      <c r="H7" s="41">
        <v>55</v>
      </c>
      <c r="I7" s="39">
        <f t="shared" si="9"/>
        <v>1</v>
      </c>
      <c r="J7" s="39">
        <f t="shared" si="10"/>
        <v>218</v>
      </c>
      <c r="K7" s="39">
        <f t="shared" si="11"/>
        <v>54.5</v>
      </c>
      <c r="L7" s="39">
        <f t="shared" si="12"/>
        <v>2.25</v>
      </c>
      <c r="M7" s="148">
        <f t="shared" si="6"/>
        <v>24196</v>
      </c>
      <c r="N7" s="39">
        <f t="shared" si="13"/>
        <v>544.41</v>
      </c>
      <c r="O7" s="39">
        <f t="shared" si="7"/>
        <v>287.99288999999999</v>
      </c>
      <c r="P7" s="42">
        <f t="shared" si="8"/>
        <v>2390.340987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44321</v>
      </c>
      <c r="B8" s="41">
        <v>51</v>
      </c>
      <c r="C8" s="39">
        <f t="shared" si="0"/>
        <v>1</v>
      </c>
      <c r="D8" s="41">
        <v>50</v>
      </c>
      <c r="E8" s="39">
        <f t="shared" si="1"/>
        <v>-1</v>
      </c>
      <c r="F8" s="41">
        <v>54</v>
      </c>
      <c r="G8" s="39">
        <f t="shared" si="2"/>
        <v>2</v>
      </c>
      <c r="H8" s="41">
        <v>54</v>
      </c>
      <c r="I8" s="39">
        <f t="shared" si="9"/>
        <v>2</v>
      </c>
      <c r="J8" s="39">
        <f t="shared" si="10"/>
        <v>209</v>
      </c>
      <c r="K8" s="39">
        <f t="shared" si="11"/>
        <v>52.25</v>
      </c>
      <c r="L8" s="39">
        <f t="shared" si="12"/>
        <v>1</v>
      </c>
      <c r="M8" s="148">
        <f t="shared" si="6"/>
        <v>24196</v>
      </c>
      <c r="N8" s="39">
        <f t="shared" si="13"/>
        <v>241.96</v>
      </c>
      <c r="O8" s="39">
        <f t="shared" si="7"/>
        <v>127.99684000000001</v>
      </c>
      <c r="P8" s="42">
        <f t="shared" si="8"/>
        <v>1062.3737720000001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44322</v>
      </c>
      <c r="B9" s="41">
        <v>50</v>
      </c>
      <c r="C9" s="39">
        <f t="shared" si="0"/>
        <v>2</v>
      </c>
      <c r="D9" s="41">
        <v>51</v>
      </c>
      <c r="E9" s="39">
        <f t="shared" si="1"/>
        <v>1</v>
      </c>
      <c r="F9" s="41">
        <v>52</v>
      </c>
      <c r="G9" s="39">
        <f t="shared" si="2"/>
        <v>2</v>
      </c>
      <c r="H9" s="41">
        <v>52</v>
      </c>
      <c r="I9" s="39">
        <f t="shared" si="9"/>
        <v>2</v>
      </c>
      <c r="J9" s="39">
        <f t="shared" si="10"/>
        <v>205</v>
      </c>
      <c r="K9" s="39">
        <f t="shared" si="11"/>
        <v>51.25</v>
      </c>
      <c r="L9" s="39">
        <f t="shared" si="12"/>
        <v>1.75</v>
      </c>
      <c r="M9" s="148">
        <f t="shared" si="6"/>
        <v>24196</v>
      </c>
      <c r="N9" s="39">
        <f t="shared" si="13"/>
        <v>423.43</v>
      </c>
      <c r="O9" s="39">
        <f t="shared" si="7"/>
        <v>223.99447000000001</v>
      </c>
      <c r="P9" s="42">
        <f t="shared" si="8"/>
        <v>1859.1541010000003</v>
      </c>
      <c r="Q9" s="39">
        <v>2690</v>
      </c>
      <c r="R9" s="39">
        <v>48</v>
      </c>
      <c r="S9" s="39">
        <v>85</v>
      </c>
      <c r="T9" s="39">
        <v>2736</v>
      </c>
      <c r="U9" s="39">
        <v>50</v>
      </c>
      <c r="V9" s="39">
        <v>85</v>
      </c>
      <c r="W9" s="39">
        <v>2659</v>
      </c>
      <c r="X9" s="39">
        <v>50</v>
      </c>
      <c r="Y9" s="39">
        <v>85</v>
      </c>
      <c r="Z9" s="39">
        <v>2534</v>
      </c>
      <c r="AA9" s="39">
        <v>50</v>
      </c>
      <c r="AB9" s="39">
        <v>85</v>
      </c>
      <c r="AC9" s="39">
        <f t="shared" si="3"/>
        <v>10619</v>
      </c>
      <c r="AD9" s="38">
        <f t="shared" si="4"/>
        <v>49.5</v>
      </c>
      <c r="AE9" s="38">
        <f t="shared" si="5"/>
        <v>85</v>
      </c>
    </row>
    <row r="10" spans="1:31" ht="32.25" customHeight="1" x14ac:dyDescent="0.3">
      <c r="A10" s="40">
        <v>44323</v>
      </c>
      <c r="B10" s="41">
        <v>85</v>
      </c>
      <c r="C10" s="39">
        <f t="shared" si="0"/>
        <v>0</v>
      </c>
      <c r="D10" s="41">
        <v>85</v>
      </c>
      <c r="E10" s="39">
        <f t="shared" si="1"/>
        <v>0</v>
      </c>
      <c r="F10" s="41">
        <v>85</v>
      </c>
      <c r="G10" s="39">
        <f t="shared" si="2"/>
        <v>1</v>
      </c>
      <c r="H10" s="41">
        <v>85</v>
      </c>
      <c r="I10" s="39">
        <f t="shared" si="9"/>
        <v>1</v>
      </c>
      <c r="J10" s="39">
        <f t="shared" si="10"/>
        <v>340</v>
      </c>
      <c r="K10" s="39">
        <f t="shared" si="11"/>
        <v>85</v>
      </c>
      <c r="L10" s="39">
        <f t="shared" si="12"/>
        <v>0.5</v>
      </c>
      <c r="M10" s="148">
        <f t="shared" si="6"/>
        <v>24196</v>
      </c>
      <c r="N10" s="39">
        <f t="shared" si="13"/>
        <v>120.98</v>
      </c>
      <c r="O10" s="39">
        <f t="shared" si="7"/>
        <v>63.998420000000003</v>
      </c>
      <c r="P10" s="42">
        <f t="shared" si="8"/>
        <v>531.18688600000007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44324</v>
      </c>
      <c r="B11" s="41">
        <v>85</v>
      </c>
      <c r="C11" s="39">
        <f t="shared" si="0"/>
        <v>2</v>
      </c>
      <c r="D11" s="41">
        <v>85</v>
      </c>
      <c r="E11" s="39">
        <f t="shared" si="1"/>
        <v>2</v>
      </c>
      <c r="F11" s="41">
        <v>84</v>
      </c>
      <c r="G11" s="39">
        <f t="shared" si="2"/>
        <v>2</v>
      </c>
      <c r="H11" s="41">
        <v>84</v>
      </c>
      <c r="I11" s="39">
        <f t="shared" si="9"/>
        <v>2</v>
      </c>
      <c r="J11" s="39">
        <f t="shared" si="10"/>
        <v>338</v>
      </c>
      <c r="K11" s="39">
        <f t="shared" si="11"/>
        <v>84.5</v>
      </c>
      <c r="L11" s="39">
        <f t="shared" si="12"/>
        <v>2</v>
      </c>
      <c r="M11" s="148">
        <f t="shared" si="6"/>
        <v>24196</v>
      </c>
      <c r="N11" s="39">
        <f t="shared" si="13"/>
        <v>483.92</v>
      </c>
      <c r="O11" s="39">
        <f t="shared" si="7"/>
        <v>255.99368000000001</v>
      </c>
      <c r="P11" s="42">
        <f t="shared" si="8"/>
        <v>2124.7475440000003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44325</v>
      </c>
      <c r="B12" s="41">
        <v>83</v>
      </c>
      <c r="C12" s="39">
        <f t="shared" si="0"/>
        <v>3</v>
      </c>
      <c r="D12" s="41">
        <v>83</v>
      </c>
      <c r="E12" s="39">
        <f t="shared" si="1"/>
        <v>2</v>
      </c>
      <c r="F12" s="41">
        <v>82</v>
      </c>
      <c r="G12" s="39">
        <f t="shared" si="2"/>
        <v>2</v>
      </c>
      <c r="H12" s="41">
        <v>82</v>
      </c>
      <c r="I12" s="39">
        <f t="shared" si="9"/>
        <v>3</v>
      </c>
      <c r="J12" s="39">
        <f t="shared" si="10"/>
        <v>330</v>
      </c>
      <c r="K12" s="39">
        <f t="shared" si="11"/>
        <v>82.5</v>
      </c>
      <c r="L12" s="39">
        <f t="shared" si="12"/>
        <v>2.5</v>
      </c>
      <c r="M12" s="148">
        <f t="shared" si="6"/>
        <v>24196</v>
      </c>
      <c r="N12" s="39">
        <f t="shared" si="13"/>
        <v>604.9</v>
      </c>
      <c r="O12" s="39">
        <f t="shared" si="7"/>
        <v>319.99209999999999</v>
      </c>
      <c r="P12" s="42">
        <f t="shared" si="8"/>
        <v>2655.9344300000002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44326</v>
      </c>
      <c r="B13" s="41">
        <v>80</v>
      </c>
      <c r="C13" s="39">
        <f t="shared" si="0"/>
        <v>2</v>
      </c>
      <c r="D13" s="41">
        <v>81</v>
      </c>
      <c r="E13" s="39">
        <f t="shared" si="1"/>
        <v>5</v>
      </c>
      <c r="F13" s="41">
        <v>80</v>
      </c>
      <c r="G13" s="39">
        <f t="shared" si="2"/>
        <v>1</v>
      </c>
      <c r="H13" s="41">
        <v>79</v>
      </c>
      <c r="I13" s="39">
        <f t="shared" si="9"/>
        <v>3</v>
      </c>
      <c r="J13" s="39">
        <f t="shared" si="10"/>
        <v>320</v>
      </c>
      <c r="K13" s="39">
        <f t="shared" si="11"/>
        <v>80</v>
      </c>
      <c r="L13" s="39">
        <f t="shared" si="12"/>
        <v>2.75</v>
      </c>
      <c r="M13" s="148">
        <f t="shared" si="6"/>
        <v>24196</v>
      </c>
      <c r="N13" s="39">
        <f t="shared" si="13"/>
        <v>665.39</v>
      </c>
      <c r="O13" s="39">
        <f t="shared" si="7"/>
        <v>351.99131</v>
      </c>
      <c r="P13" s="42">
        <f t="shared" si="8"/>
        <v>2921.5278730000005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44327</v>
      </c>
      <c r="B14" s="41">
        <v>78</v>
      </c>
      <c r="C14" s="39">
        <f t="shared" si="0"/>
        <v>1</v>
      </c>
      <c r="D14" s="41">
        <v>76</v>
      </c>
      <c r="E14" s="39">
        <f t="shared" si="1"/>
        <v>2</v>
      </c>
      <c r="F14" s="41">
        <v>79</v>
      </c>
      <c r="G14" s="39">
        <f t="shared" si="2"/>
        <v>3</v>
      </c>
      <c r="H14" s="41">
        <v>76</v>
      </c>
      <c r="I14" s="39">
        <f>IF(AC14&gt;0,((H14-AA14)+(AB14-H15)),IF(H15=0, ,(H14-H15)))</f>
        <v>2</v>
      </c>
      <c r="J14" s="39">
        <f t="shared" si="10"/>
        <v>309</v>
      </c>
      <c r="K14" s="39">
        <f t="shared" si="11"/>
        <v>77.25</v>
      </c>
      <c r="L14" s="39">
        <f t="shared" si="12"/>
        <v>2</v>
      </c>
      <c r="M14" s="148">
        <f t="shared" si="6"/>
        <v>24196</v>
      </c>
      <c r="N14" s="39">
        <f t="shared" si="13"/>
        <v>483.92</v>
      </c>
      <c r="O14" s="39">
        <f t="shared" si="7"/>
        <v>255.99368000000001</v>
      </c>
      <c r="P14" s="42">
        <f t="shared" si="8"/>
        <v>2124.7475440000003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44328</v>
      </c>
      <c r="B15" s="41">
        <v>77</v>
      </c>
      <c r="C15" s="39">
        <f t="shared" si="0"/>
        <v>3</v>
      </c>
      <c r="D15" s="41">
        <v>74</v>
      </c>
      <c r="E15" s="39">
        <f t="shared" si="1"/>
        <v>3</v>
      </c>
      <c r="F15" s="41">
        <v>76</v>
      </c>
      <c r="G15" s="39">
        <f t="shared" si="2"/>
        <v>2</v>
      </c>
      <c r="H15" s="41">
        <v>74</v>
      </c>
      <c r="I15" s="39">
        <f>IF(AC15&gt;0,((H15-AA15)+(AB15-H16)),IF(H16=0, ,(H15-H16)))</f>
        <v>2</v>
      </c>
      <c r="J15" s="39">
        <f t="shared" si="10"/>
        <v>301</v>
      </c>
      <c r="K15" s="39">
        <f t="shared" si="11"/>
        <v>75.25</v>
      </c>
      <c r="L15" s="39">
        <f t="shared" si="12"/>
        <v>2.5</v>
      </c>
      <c r="M15" s="148">
        <f t="shared" si="6"/>
        <v>24196</v>
      </c>
      <c r="N15" s="39">
        <f t="shared" si="13"/>
        <v>604.9</v>
      </c>
      <c r="O15" s="39">
        <f t="shared" si="7"/>
        <v>319.99209999999999</v>
      </c>
      <c r="P15" s="42">
        <f t="shared" si="8"/>
        <v>2655.9344300000002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44329</v>
      </c>
      <c r="B16" s="41">
        <v>74</v>
      </c>
      <c r="C16" s="39">
        <f t="shared" si="0"/>
        <v>3</v>
      </c>
      <c r="D16" s="41">
        <v>71</v>
      </c>
      <c r="E16" s="39">
        <f t="shared" si="1"/>
        <v>1</v>
      </c>
      <c r="F16" s="41">
        <v>74</v>
      </c>
      <c r="G16" s="39">
        <f t="shared" si="2"/>
        <v>3</v>
      </c>
      <c r="H16" s="41">
        <v>72</v>
      </c>
      <c r="I16" s="39">
        <f t="shared" si="9"/>
        <v>3</v>
      </c>
      <c r="J16" s="39">
        <f t="shared" si="10"/>
        <v>291</v>
      </c>
      <c r="K16" s="39">
        <f t="shared" si="11"/>
        <v>72.75</v>
      </c>
      <c r="L16" s="39">
        <f t="shared" si="12"/>
        <v>2.5</v>
      </c>
      <c r="M16" s="148">
        <f t="shared" si="6"/>
        <v>24196</v>
      </c>
      <c r="N16" s="39">
        <f t="shared" si="13"/>
        <v>604.9</v>
      </c>
      <c r="O16" s="39">
        <f t="shared" si="7"/>
        <v>319.99209999999999</v>
      </c>
      <c r="P16" s="42">
        <f t="shared" si="8"/>
        <v>2655.9344300000002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44330</v>
      </c>
      <c r="B17" s="41">
        <v>71</v>
      </c>
      <c r="C17" s="39">
        <f t="shared" si="0"/>
        <v>6</v>
      </c>
      <c r="D17" s="41">
        <v>70</v>
      </c>
      <c r="E17" s="39">
        <f t="shared" si="1"/>
        <v>3</v>
      </c>
      <c r="F17" s="41">
        <v>71</v>
      </c>
      <c r="G17" s="39">
        <f t="shared" si="2"/>
        <v>5</v>
      </c>
      <c r="H17" s="41">
        <v>69</v>
      </c>
      <c r="I17" s="39">
        <f t="shared" si="9"/>
        <v>0</v>
      </c>
      <c r="J17" s="39">
        <f t="shared" si="10"/>
        <v>281</v>
      </c>
      <c r="K17" s="39">
        <f t="shared" si="11"/>
        <v>70.25</v>
      </c>
      <c r="L17" s="39">
        <f t="shared" si="12"/>
        <v>3.5</v>
      </c>
      <c r="M17" s="148">
        <f t="shared" si="6"/>
        <v>24196</v>
      </c>
      <c r="N17" s="39">
        <f t="shared" si="13"/>
        <v>846.86</v>
      </c>
      <c r="O17" s="39">
        <f t="shared" si="7"/>
        <v>447.98894000000001</v>
      </c>
      <c r="P17" s="42">
        <f t="shared" si="8"/>
        <v>3718.3082020000006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44331</v>
      </c>
      <c r="B18" s="41">
        <v>65</v>
      </c>
      <c r="C18" s="39">
        <f t="shared" si="0"/>
        <v>3</v>
      </c>
      <c r="D18" s="41">
        <v>67</v>
      </c>
      <c r="E18" s="39">
        <f t="shared" si="1"/>
        <v>3</v>
      </c>
      <c r="F18" s="41">
        <v>66</v>
      </c>
      <c r="G18" s="39">
        <f t="shared" si="2"/>
        <v>1</v>
      </c>
      <c r="H18" s="41">
        <v>69</v>
      </c>
      <c r="I18" s="39">
        <f t="shared" si="9"/>
        <v>3</v>
      </c>
      <c r="J18" s="39">
        <f t="shared" si="10"/>
        <v>267</v>
      </c>
      <c r="K18" s="39">
        <f t="shared" si="11"/>
        <v>66.75</v>
      </c>
      <c r="L18" s="39">
        <f t="shared" si="12"/>
        <v>2.5</v>
      </c>
      <c r="M18" s="148">
        <f t="shared" si="6"/>
        <v>24196</v>
      </c>
      <c r="N18" s="39">
        <f t="shared" si="13"/>
        <v>604.9</v>
      </c>
      <c r="O18" s="39">
        <f t="shared" si="7"/>
        <v>319.99209999999999</v>
      </c>
      <c r="P18" s="42">
        <f t="shared" si="8"/>
        <v>2655.9344300000002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44332</v>
      </c>
      <c r="B19" s="41">
        <v>62</v>
      </c>
      <c r="C19" s="39">
        <f t="shared" si="0"/>
        <v>2</v>
      </c>
      <c r="D19" s="41">
        <v>64</v>
      </c>
      <c r="E19" s="39">
        <f t="shared" si="1"/>
        <v>1</v>
      </c>
      <c r="F19" s="41">
        <v>65</v>
      </c>
      <c r="G19" s="39">
        <f t="shared" si="2"/>
        <v>4</v>
      </c>
      <c r="H19" s="41">
        <v>66</v>
      </c>
      <c r="I19" s="39">
        <f t="shared" si="9"/>
        <v>2</v>
      </c>
      <c r="J19" s="39">
        <f t="shared" si="10"/>
        <v>257</v>
      </c>
      <c r="K19" s="39">
        <f t="shared" si="11"/>
        <v>64.25</v>
      </c>
      <c r="L19" s="39">
        <f t="shared" si="12"/>
        <v>2.25</v>
      </c>
      <c r="M19" s="148">
        <f t="shared" si="6"/>
        <v>24196</v>
      </c>
      <c r="N19" s="39">
        <f t="shared" si="13"/>
        <v>544.41</v>
      </c>
      <c r="O19" s="39">
        <f t="shared" si="7"/>
        <v>287.99288999999999</v>
      </c>
      <c r="P19" s="42">
        <f t="shared" si="8"/>
        <v>2390.340987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44333</v>
      </c>
      <c r="B20" s="41">
        <v>60</v>
      </c>
      <c r="C20" s="39">
        <f t="shared" si="0"/>
        <v>0</v>
      </c>
      <c r="D20" s="41">
        <v>63</v>
      </c>
      <c r="E20" s="39">
        <f t="shared" si="1"/>
        <v>1</v>
      </c>
      <c r="F20" s="41">
        <v>61</v>
      </c>
      <c r="G20" s="39">
        <f t="shared" si="2"/>
        <v>0</v>
      </c>
      <c r="H20" s="41">
        <v>64</v>
      </c>
      <c r="I20" s="39">
        <f t="shared" si="9"/>
        <v>0</v>
      </c>
      <c r="J20" s="39">
        <f t="shared" si="10"/>
        <v>248</v>
      </c>
      <c r="K20" s="39">
        <f t="shared" si="11"/>
        <v>62</v>
      </c>
      <c r="L20" s="39">
        <f t="shared" ref="L20:L42" si="14">IF(AC20&gt;0,((K20-AD20)+(AE20-K21)),IF(K21=0, ,(K20-K21)))</f>
        <v>0.25</v>
      </c>
      <c r="M20" s="148">
        <f t="shared" si="6"/>
        <v>24196</v>
      </c>
      <c r="N20" s="39">
        <f t="shared" si="13"/>
        <v>60.49</v>
      </c>
      <c r="O20" s="39">
        <f t="shared" si="7"/>
        <v>31.999210000000001</v>
      </c>
      <c r="P20" s="42">
        <f t="shared" si="8"/>
        <v>265.59344300000004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44334</v>
      </c>
      <c r="B21" s="41">
        <v>60</v>
      </c>
      <c r="C21" s="39">
        <f t="shared" si="0"/>
        <v>4</v>
      </c>
      <c r="D21" s="41">
        <v>62</v>
      </c>
      <c r="E21" s="39">
        <f t="shared" si="1"/>
        <v>3</v>
      </c>
      <c r="F21" s="41">
        <v>61</v>
      </c>
      <c r="G21" s="39">
        <f t="shared" si="2"/>
        <v>4</v>
      </c>
      <c r="H21" s="41">
        <v>64</v>
      </c>
      <c r="I21" s="39">
        <f t="shared" si="9"/>
        <v>4</v>
      </c>
      <c r="J21" s="39">
        <f t="shared" si="10"/>
        <v>247</v>
      </c>
      <c r="K21" s="39">
        <f t="shared" si="11"/>
        <v>61.75</v>
      </c>
      <c r="L21" s="39">
        <f>IF(AC21&gt;0,((K21-AD21)+(AE21-K22)),IF(K22=0, ,(K21-K22)))</f>
        <v>3.75</v>
      </c>
      <c r="M21" s="148">
        <f t="shared" si="6"/>
        <v>24196</v>
      </c>
      <c r="N21" s="39">
        <f t="shared" si="13"/>
        <v>907.35</v>
      </c>
      <c r="O21" s="39">
        <f t="shared" si="7"/>
        <v>479.98815000000002</v>
      </c>
      <c r="P21" s="42">
        <f t="shared" si="8"/>
        <v>3983.9016450000004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44335</v>
      </c>
      <c r="B22" s="41">
        <v>56</v>
      </c>
      <c r="C22" s="39">
        <f t="shared" si="0"/>
        <v>1</v>
      </c>
      <c r="D22" s="41">
        <v>59</v>
      </c>
      <c r="E22" s="39">
        <f t="shared" si="1"/>
        <v>4</v>
      </c>
      <c r="F22" s="41">
        <v>57</v>
      </c>
      <c r="G22" s="39">
        <f t="shared" si="2"/>
        <v>2</v>
      </c>
      <c r="H22" s="41">
        <v>60</v>
      </c>
      <c r="I22" s="39">
        <f t="shared" si="9"/>
        <v>3</v>
      </c>
      <c r="J22" s="39">
        <f t="shared" si="10"/>
        <v>232</v>
      </c>
      <c r="K22" s="39">
        <f t="shared" si="11"/>
        <v>58</v>
      </c>
      <c r="L22" s="39">
        <f>IF(AC22&gt;0,((K22-AD22)+(AE22-K23)),IF(K23=0, ,(K22-K23)))</f>
        <v>2.5</v>
      </c>
      <c r="M22" s="148">
        <f t="shared" si="6"/>
        <v>24196</v>
      </c>
      <c r="N22" s="39">
        <f t="shared" si="13"/>
        <v>604.9</v>
      </c>
      <c r="O22" s="39">
        <f t="shared" si="7"/>
        <v>319.99209999999999</v>
      </c>
      <c r="P22" s="42">
        <f t="shared" si="8"/>
        <v>2655.9344300000002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44336</v>
      </c>
      <c r="B23" s="41">
        <v>55</v>
      </c>
      <c r="C23" s="39">
        <f t="shared" si="0"/>
        <v>3</v>
      </c>
      <c r="D23" s="41">
        <v>55</v>
      </c>
      <c r="E23" s="39">
        <f t="shared" si="1"/>
        <v>3</v>
      </c>
      <c r="F23" s="41">
        <v>55</v>
      </c>
      <c r="G23" s="39">
        <f t="shared" si="2"/>
        <v>3</v>
      </c>
      <c r="H23" s="41">
        <v>57</v>
      </c>
      <c r="I23" s="39">
        <f t="shared" si="9"/>
        <v>4</v>
      </c>
      <c r="J23" s="39">
        <f t="shared" si="10"/>
        <v>222</v>
      </c>
      <c r="K23" s="39">
        <f t="shared" si="11"/>
        <v>55.5</v>
      </c>
      <c r="L23" s="39">
        <f t="shared" si="14"/>
        <v>3.25</v>
      </c>
      <c r="M23" s="148">
        <f t="shared" si="6"/>
        <v>24196</v>
      </c>
      <c r="N23" s="39">
        <f t="shared" si="13"/>
        <v>786.37</v>
      </c>
      <c r="O23" s="39">
        <f t="shared" si="7"/>
        <v>415.98973000000001</v>
      </c>
      <c r="P23" s="42">
        <f t="shared" si="8"/>
        <v>3452.7147590000004</v>
      </c>
      <c r="Q23" s="39">
        <v>2533</v>
      </c>
      <c r="R23" s="39">
        <v>52</v>
      </c>
      <c r="S23" s="39">
        <v>85</v>
      </c>
      <c r="T23" s="39">
        <v>2533</v>
      </c>
      <c r="U23" s="39">
        <v>52</v>
      </c>
      <c r="V23" s="39">
        <v>85</v>
      </c>
      <c r="W23" s="39">
        <v>2414</v>
      </c>
      <c r="X23" s="39">
        <v>53</v>
      </c>
      <c r="Y23" s="39">
        <v>85</v>
      </c>
      <c r="Z23" s="39">
        <v>2320</v>
      </c>
      <c r="AA23" s="39">
        <v>54</v>
      </c>
      <c r="AB23" s="39">
        <v>85</v>
      </c>
      <c r="AC23" s="39">
        <f t="shared" si="3"/>
        <v>9800</v>
      </c>
      <c r="AD23" s="38">
        <f t="shared" si="4"/>
        <v>52.75</v>
      </c>
      <c r="AE23" s="38">
        <f t="shared" si="5"/>
        <v>85</v>
      </c>
    </row>
    <row r="24" spans="1:31" ht="32.25" customHeight="1" x14ac:dyDescent="0.3">
      <c r="A24" s="40">
        <v>44337</v>
      </c>
      <c r="B24" s="41">
        <v>85</v>
      </c>
      <c r="C24" s="39">
        <f t="shared" si="0"/>
        <v>2</v>
      </c>
      <c r="D24" s="41">
        <v>85</v>
      </c>
      <c r="E24" s="39">
        <f t="shared" si="1"/>
        <v>0</v>
      </c>
      <c r="F24" s="41">
        <v>84</v>
      </c>
      <c r="G24" s="39">
        <f t="shared" si="2"/>
        <v>1</v>
      </c>
      <c r="H24" s="41">
        <v>84</v>
      </c>
      <c r="I24" s="39">
        <f t="shared" si="9"/>
        <v>1</v>
      </c>
      <c r="J24" s="39">
        <f t="shared" si="10"/>
        <v>338</v>
      </c>
      <c r="K24" s="39">
        <f t="shared" si="11"/>
        <v>84.5</v>
      </c>
      <c r="L24" s="39">
        <f t="shared" si="14"/>
        <v>1</v>
      </c>
      <c r="M24" s="148">
        <f t="shared" si="6"/>
        <v>24196</v>
      </c>
      <c r="N24" s="39">
        <f t="shared" si="13"/>
        <v>241.96</v>
      </c>
      <c r="O24" s="39">
        <f t="shared" si="7"/>
        <v>127.99684000000001</v>
      </c>
      <c r="P24" s="42">
        <f t="shared" si="8"/>
        <v>1062.3737720000001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44338</v>
      </c>
      <c r="B25" s="41">
        <v>83</v>
      </c>
      <c r="C25" s="39">
        <f t="shared" si="0"/>
        <v>3</v>
      </c>
      <c r="D25" s="41">
        <v>85</v>
      </c>
      <c r="E25" s="39">
        <f t="shared" si="1"/>
        <v>3</v>
      </c>
      <c r="F25" s="41">
        <v>83</v>
      </c>
      <c r="G25" s="39">
        <f t="shared" si="2"/>
        <v>3</v>
      </c>
      <c r="H25" s="41">
        <v>83</v>
      </c>
      <c r="I25" s="39">
        <f t="shared" si="9"/>
        <v>3</v>
      </c>
      <c r="J25" s="39">
        <f t="shared" si="10"/>
        <v>334</v>
      </c>
      <c r="K25" s="39">
        <f t="shared" si="11"/>
        <v>83.5</v>
      </c>
      <c r="L25" s="39">
        <f t="shared" si="14"/>
        <v>3</v>
      </c>
      <c r="M25" s="148">
        <f t="shared" si="6"/>
        <v>24196</v>
      </c>
      <c r="N25" s="39">
        <f t="shared" si="13"/>
        <v>725.88</v>
      </c>
      <c r="O25" s="39">
        <f t="shared" si="7"/>
        <v>383.99052</v>
      </c>
      <c r="P25" s="42">
        <f t="shared" si="8"/>
        <v>3187.1213160000002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44339</v>
      </c>
      <c r="B26" s="41">
        <v>80</v>
      </c>
      <c r="C26" s="39">
        <f t="shared" si="0"/>
        <v>2</v>
      </c>
      <c r="D26" s="41">
        <v>82</v>
      </c>
      <c r="E26" s="39">
        <f t="shared" si="1"/>
        <v>2</v>
      </c>
      <c r="F26" s="41">
        <v>80</v>
      </c>
      <c r="G26" s="39">
        <f t="shared" si="2"/>
        <v>2</v>
      </c>
      <c r="H26" s="41">
        <v>80</v>
      </c>
      <c r="I26" s="39">
        <f t="shared" si="9"/>
        <v>2</v>
      </c>
      <c r="J26" s="39">
        <f t="shared" si="10"/>
        <v>322</v>
      </c>
      <c r="K26" s="39">
        <f t="shared" si="11"/>
        <v>80.5</v>
      </c>
      <c r="L26" s="39">
        <f t="shared" si="14"/>
        <v>2</v>
      </c>
      <c r="M26" s="148">
        <f t="shared" si="6"/>
        <v>24196</v>
      </c>
      <c r="N26" s="39">
        <f t="shared" si="13"/>
        <v>483.92</v>
      </c>
      <c r="O26" s="39">
        <f t="shared" si="7"/>
        <v>255.99368000000001</v>
      </c>
      <c r="P26" s="42">
        <f t="shared" si="8"/>
        <v>2124.7475440000003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44340</v>
      </c>
      <c r="B27" s="41">
        <v>78</v>
      </c>
      <c r="C27" s="39">
        <f t="shared" si="0"/>
        <v>5</v>
      </c>
      <c r="D27" s="41">
        <v>80</v>
      </c>
      <c r="E27" s="39">
        <f t="shared" si="1"/>
        <v>5</v>
      </c>
      <c r="F27" s="41">
        <v>78</v>
      </c>
      <c r="G27" s="39">
        <f t="shared" si="2"/>
        <v>5</v>
      </c>
      <c r="H27" s="41">
        <v>78</v>
      </c>
      <c r="I27" s="39">
        <f t="shared" si="9"/>
        <v>3</v>
      </c>
      <c r="J27" s="39">
        <f t="shared" si="10"/>
        <v>314</v>
      </c>
      <c r="K27" s="39">
        <f t="shared" si="11"/>
        <v>78.5</v>
      </c>
      <c r="L27" s="39">
        <f t="shared" si="14"/>
        <v>4.5</v>
      </c>
      <c r="M27" s="148">
        <f t="shared" si="6"/>
        <v>24196</v>
      </c>
      <c r="N27" s="39">
        <f t="shared" si="13"/>
        <v>1088.82</v>
      </c>
      <c r="O27" s="39">
        <f t="shared" si="7"/>
        <v>575.98577999999998</v>
      </c>
      <c r="P27" s="42">
        <f t="shared" si="8"/>
        <v>4780.6819740000001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44341</v>
      </c>
      <c r="B28" s="41">
        <v>73</v>
      </c>
      <c r="C28" s="39">
        <f t="shared" si="0"/>
        <v>3</v>
      </c>
      <c r="D28" s="41">
        <v>75</v>
      </c>
      <c r="E28" s="39">
        <f t="shared" si="1"/>
        <v>2</v>
      </c>
      <c r="F28" s="41">
        <v>73</v>
      </c>
      <c r="G28" s="39">
        <f t="shared" si="2"/>
        <v>3</v>
      </c>
      <c r="H28" s="41">
        <v>75</v>
      </c>
      <c r="I28" s="39">
        <f>IF(AC28&gt;0,((H28-AA28)+(AB28-H29)),IF(H29=0, ,(H28-H29)))</f>
        <v>2</v>
      </c>
      <c r="J28" s="39">
        <f t="shared" si="10"/>
        <v>296</v>
      </c>
      <c r="K28" s="39">
        <f t="shared" si="11"/>
        <v>74</v>
      </c>
      <c r="L28" s="39">
        <f t="shared" si="14"/>
        <v>2.5</v>
      </c>
      <c r="M28" s="148">
        <f t="shared" si="6"/>
        <v>24196</v>
      </c>
      <c r="N28" s="39">
        <f t="shared" si="13"/>
        <v>604.9</v>
      </c>
      <c r="O28" s="39">
        <f t="shared" si="7"/>
        <v>319.99209999999999</v>
      </c>
      <c r="P28" s="42">
        <f t="shared" si="8"/>
        <v>2655.9344300000002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44342</v>
      </c>
      <c r="B29" s="41">
        <v>70</v>
      </c>
      <c r="C29" s="39">
        <f t="shared" si="0"/>
        <v>2</v>
      </c>
      <c r="D29" s="41">
        <v>73</v>
      </c>
      <c r="E29" s="39">
        <f t="shared" si="1"/>
        <v>2</v>
      </c>
      <c r="F29" s="41">
        <v>70</v>
      </c>
      <c r="G29" s="39">
        <f t="shared" si="2"/>
        <v>1</v>
      </c>
      <c r="H29" s="41">
        <v>73</v>
      </c>
      <c r="I29" s="39">
        <f t="shared" si="9"/>
        <v>2</v>
      </c>
      <c r="J29" s="39">
        <f t="shared" si="10"/>
        <v>286</v>
      </c>
      <c r="K29" s="39">
        <f t="shared" si="11"/>
        <v>71.5</v>
      </c>
      <c r="L29" s="39">
        <f t="shared" si="14"/>
        <v>1.75</v>
      </c>
      <c r="M29" s="148">
        <f t="shared" si="6"/>
        <v>24196</v>
      </c>
      <c r="N29" s="39">
        <f t="shared" si="13"/>
        <v>423.43</v>
      </c>
      <c r="O29" s="39">
        <f t="shared" si="7"/>
        <v>223.99447000000001</v>
      </c>
      <c r="P29" s="42">
        <f t="shared" si="8"/>
        <v>1859.1541010000003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44343</v>
      </c>
      <c r="B30" s="41">
        <v>68</v>
      </c>
      <c r="C30" s="39">
        <f t="shared" si="0"/>
        <v>2</v>
      </c>
      <c r="D30" s="41">
        <v>71</v>
      </c>
      <c r="E30" s="39">
        <f t="shared" si="1"/>
        <v>1</v>
      </c>
      <c r="F30" s="41">
        <v>69</v>
      </c>
      <c r="G30" s="39">
        <f t="shared" si="2"/>
        <v>3</v>
      </c>
      <c r="H30" s="41">
        <v>71</v>
      </c>
      <c r="I30" s="39">
        <f t="shared" si="9"/>
        <v>1</v>
      </c>
      <c r="J30" s="39">
        <f t="shared" si="10"/>
        <v>279</v>
      </c>
      <c r="K30" s="39">
        <f t="shared" si="11"/>
        <v>69.75</v>
      </c>
      <c r="L30" s="39">
        <f t="shared" si="14"/>
        <v>1.75</v>
      </c>
      <c r="M30" s="148">
        <f t="shared" si="6"/>
        <v>24196</v>
      </c>
      <c r="N30" s="39">
        <f t="shared" si="13"/>
        <v>423.43</v>
      </c>
      <c r="O30" s="39">
        <f t="shared" si="7"/>
        <v>223.99447000000001</v>
      </c>
      <c r="P30" s="42">
        <f t="shared" si="8"/>
        <v>1859.1541010000003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44344</v>
      </c>
      <c r="B31" s="41">
        <v>66</v>
      </c>
      <c r="C31" s="39">
        <f t="shared" si="0"/>
        <v>3</v>
      </c>
      <c r="D31" s="41">
        <v>70</v>
      </c>
      <c r="E31" s="39">
        <f t="shared" si="1"/>
        <v>5</v>
      </c>
      <c r="F31" s="41">
        <v>66</v>
      </c>
      <c r="G31" s="39">
        <f t="shared" si="2"/>
        <v>2</v>
      </c>
      <c r="H31" s="41">
        <v>70</v>
      </c>
      <c r="I31" s="39">
        <f t="shared" si="9"/>
        <v>3</v>
      </c>
      <c r="J31" s="39">
        <f t="shared" si="10"/>
        <v>272</v>
      </c>
      <c r="K31" s="39">
        <f t="shared" si="11"/>
        <v>68</v>
      </c>
      <c r="L31" s="39">
        <f t="shared" si="14"/>
        <v>3.25</v>
      </c>
      <c r="M31" s="148">
        <f t="shared" si="6"/>
        <v>24196</v>
      </c>
      <c r="N31" s="39">
        <f t="shared" si="13"/>
        <v>786.37</v>
      </c>
      <c r="O31" s="39">
        <f t="shared" si="7"/>
        <v>415.98973000000001</v>
      </c>
      <c r="P31" s="42">
        <f t="shared" si="8"/>
        <v>3452.7147590000004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44345</v>
      </c>
      <c r="B32" s="41">
        <v>63</v>
      </c>
      <c r="C32" s="39">
        <f t="shared" si="0"/>
        <v>2</v>
      </c>
      <c r="D32" s="41">
        <v>65</v>
      </c>
      <c r="E32" s="39">
        <f t="shared" si="1"/>
        <v>2</v>
      </c>
      <c r="F32" s="41">
        <v>64</v>
      </c>
      <c r="G32" s="39">
        <f t="shared" si="2"/>
        <v>2</v>
      </c>
      <c r="H32" s="41">
        <v>67</v>
      </c>
      <c r="I32" s="39">
        <f t="shared" si="9"/>
        <v>2</v>
      </c>
      <c r="J32" s="39">
        <f t="shared" si="10"/>
        <v>259</v>
      </c>
      <c r="K32" s="39">
        <f t="shared" si="11"/>
        <v>64.75</v>
      </c>
      <c r="L32" s="39">
        <f t="shared" si="14"/>
        <v>2</v>
      </c>
      <c r="M32" s="148">
        <f t="shared" si="6"/>
        <v>24196</v>
      </c>
      <c r="N32" s="39">
        <f t="shared" si="13"/>
        <v>483.92</v>
      </c>
      <c r="O32" s="39">
        <f t="shared" si="7"/>
        <v>255.99368000000001</v>
      </c>
      <c r="P32" s="42">
        <f t="shared" si="8"/>
        <v>2124.7475440000003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5"/>
        <v>0</v>
      </c>
      <c r="AE32" s="38">
        <f t="shared" si="17"/>
        <v>0</v>
      </c>
    </row>
    <row r="33" spans="1:31" ht="32.25" customHeight="1" x14ac:dyDescent="0.3">
      <c r="A33" s="40">
        <v>44346</v>
      </c>
      <c r="B33" s="41">
        <v>61</v>
      </c>
      <c r="C33" s="39">
        <f t="shared" si="0"/>
        <v>1</v>
      </c>
      <c r="D33" s="41">
        <v>63</v>
      </c>
      <c r="E33" s="39">
        <f t="shared" si="1"/>
        <v>2</v>
      </c>
      <c r="F33" s="41">
        <v>62</v>
      </c>
      <c r="G33" s="39">
        <f t="shared" si="2"/>
        <v>2</v>
      </c>
      <c r="H33" s="41">
        <v>65</v>
      </c>
      <c r="I33" s="39">
        <f t="shared" si="9"/>
        <v>4</v>
      </c>
      <c r="J33" s="39">
        <f t="shared" si="10"/>
        <v>251</v>
      </c>
      <c r="K33" s="39">
        <f t="shared" si="11"/>
        <v>62.75</v>
      </c>
      <c r="L33" s="39">
        <f t="shared" si="14"/>
        <v>2.25</v>
      </c>
      <c r="M33" s="148">
        <f t="shared" si="6"/>
        <v>24196</v>
      </c>
      <c r="N33" s="39">
        <f t="shared" si="13"/>
        <v>544.41</v>
      </c>
      <c r="O33" s="39">
        <f t="shared" si="7"/>
        <v>287.99288999999999</v>
      </c>
      <c r="P33" s="42">
        <f t="shared" si="8"/>
        <v>2390.340987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44347</v>
      </c>
      <c r="B34" s="41">
        <v>60</v>
      </c>
      <c r="C34" s="39">
        <f t="shared" si="0"/>
        <v>4</v>
      </c>
      <c r="D34" s="41">
        <v>61</v>
      </c>
      <c r="E34" s="39">
        <f t="shared" si="1"/>
        <v>2</v>
      </c>
      <c r="F34" s="41">
        <v>60</v>
      </c>
      <c r="G34" s="39">
        <f t="shared" si="2"/>
        <v>3</v>
      </c>
      <c r="H34" s="41">
        <v>61</v>
      </c>
      <c r="I34" s="39">
        <f t="shared" si="9"/>
        <v>2</v>
      </c>
      <c r="J34" s="39">
        <f>B34+D34+F34+H34</f>
        <v>242</v>
      </c>
      <c r="K34" s="39">
        <f>J34/4</f>
        <v>60.5</v>
      </c>
      <c r="L34" s="39">
        <f>IF(AC34&gt;0,((K34-AD34)+(AE34-K35)),IF(K35=0, ,(K34-K35)))</f>
        <v>2.75</v>
      </c>
      <c r="M34" s="148">
        <f t="shared" si="6"/>
        <v>24196</v>
      </c>
      <c r="N34" s="39">
        <f>L34*M34/100</f>
        <v>665.39</v>
      </c>
      <c r="O34" s="39">
        <f t="shared" si="7"/>
        <v>351.99131</v>
      </c>
      <c r="P34" s="42">
        <f t="shared" si="8"/>
        <v>2921.5278730000005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44348</v>
      </c>
      <c r="B35" s="41">
        <v>56</v>
      </c>
      <c r="C35" s="39">
        <f t="shared" si="0"/>
        <v>0</v>
      </c>
      <c r="D35" s="41">
        <v>59</v>
      </c>
      <c r="E35" s="39">
        <f t="shared" si="1"/>
        <v>0</v>
      </c>
      <c r="F35" s="41">
        <v>57</v>
      </c>
      <c r="G35" s="39">
        <f t="shared" si="2"/>
        <v>0</v>
      </c>
      <c r="H35" s="41">
        <v>59</v>
      </c>
      <c r="I35" s="39">
        <f t="shared" si="9"/>
        <v>0</v>
      </c>
      <c r="J35" s="39">
        <f>B35+D35+F35+H35</f>
        <v>231</v>
      </c>
      <c r="K35" s="39">
        <f>J35/4</f>
        <v>57.75</v>
      </c>
      <c r="L35" s="39">
        <f t="shared" si="14"/>
        <v>0</v>
      </c>
      <c r="M35" s="148">
        <f t="shared" si="6"/>
        <v>24196</v>
      </c>
      <c r="N35" s="39">
        <f t="shared" si="13"/>
        <v>0</v>
      </c>
      <c r="O35" s="39">
        <f t="shared" ref="O35:O37" si="18">N35*0.529</f>
        <v>0</v>
      </c>
      <c r="P35" s="42">
        <f t="shared" ref="P35:P38" si="19">O35*8.7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0">IF(AC36&gt;0,((D36-U36)+(V36-D37)),IF(D37=0, ,(D36-D37)))</f>
        <v>0</v>
      </c>
      <c r="F36" s="41"/>
      <c r="G36" s="39">
        <f t="shared" ref="G36" si="21">IF(AC36&gt;0,((F36-X36)+(Y36-F37)),IF(F37=0, ,(F36-F37)))</f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148">
        <f t="shared" ref="M36:M42" si="22">6049*4</f>
        <v>24196</v>
      </c>
      <c r="N36" s="39">
        <f t="shared" si="13"/>
        <v>0</v>
      </c>
      <c r="O36" s="39">
        <f t="shared" si="18"/>
        <v>0</v>
      </c>
      <c r="P36" s="42">
        <f t="shared" si="19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3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4">IF(AC37&gt;0,((F37-X37)+(Y37-F38)),IF(F38=0, ,(F37-F38)))</f>
        <v>0</v>
      </c>
      <c r="H37" s="41"/>
      <c r="I37" s="39">
        <f t="shared" ref="I37:I42" si="25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148">
        <f t="shared" si="22"/>
        <v>24196</v>
      </c>
      <c r="N37" s="39">
        <f t="shared" si="13"/>
        <v>0</v>
      </c>
      <c r="O37" s="39">
        <f t="shared" si="18"/>
        <v>0</v>
      </c>
      <c r="P37" s="42">
        <f t="shared" si="19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3"/>
        <v>0</v>
      </c>
      <c r="D38" s="41"/>
      <c r="E38" s="39">
        <f>IF(AC38:AC61&gt;0,((D38-U38)+(V38-D39)),IF(D39=0, ,(D38-D39)))</f>
        <v>0</v>
      </c>
      <c r="F38" s="41"/>
      <c r="G38" s="39">
        <f t="shared" si="24"/>
        <v>0</v>
      </c>
      <c r="H38" s="41"/>
      <c r="I38" s="39">
        <f t="shared" si="25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148">
        <f t="shared" si="22"/>
        <v>24196</v>
      </c>
      <c r="N38" s="39">
        <f t="shared" si="13"/>
        <v>0</v>
      </c>
      <c r="O38" s="39">
        <f>N38*0.53</f>
        <v>0</v>
      </c>
      <c r="P38" s="42">
        <f t="shared" si="19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3"/>
        <v>0</v>
      </c>
      <c r="D39" s="41"/>
      <c r="E39" s="39">
        <f>IF(AC39&gt;0,((D39-U39)+(V39-D40)),IF(D40=0, ,(D39-D40)))</f>
        <v>0</v>
      </c>
      <c r="F39" s="41"/>
      <c r="G39" s="39">
        <f t="shared" si="24"/>
        <v>0</v>
      </c>
      <c r="H39" s="41"/>
      <c r="I39" s="39">
        <f t="shared" si="25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148">
        <f t="shared" si="22"/>
        <v>24196</v>
      </c>
      <c r="N39" s="39">
        <f t="shared" si="13"/>
        <v>0</v>
      </c>
      <c r="O39" s="39">
        <f>N39*0.53</f>
        <v>0</v>
      </c>
      <c r="P39" s="42">
        <f t="shared" ref="P39" si="26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3"/>
        <v>0</v>
      </c>
      <c r="D40" s="41"/>
      <c r="E40" s="39">
        <f>IF(AC40&gt;0,((D40-U40)+(V40-D41)),IF(D41=0, ,(D40-D41)))</f>
        <v>0</v>
      </c>
      <c r="F40" s="41"/>
      <c r="G40" s="39">
        <f t="shared" si="24"/>
        <v>0</v>
      </c>
      <c r="H40" s="41"/>
      <c r="I40" s="39">
        <f t="shared" si="25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148">
        <f t="shared" si="22"/>
        <v>24196</v>
      </c>
      <c r="N40" s="39">
        <f t="shared" si="13"/>
        <v>0</v>
      </c>
      <c r="O40" s="39">
        <f>N40*0.53</f>
        <v>0</v>
      </c>
      <c r="P40" s="42">
        <f t="shared" ref="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3"/>
        <v>0</v>
      </c>
      <c r="D41" s="41"/>
      <c r="E41" s="39">
        <f>IF(AC41&gt;0,((D41-U41)+(V41-D42)),IF(D42=0, ,(D41-D42)))</f>
        <v>0</v>
      </c>
      <c r="F41" s="41"/>
      <c r="G41" s="39">
        <f t="shared" si="24"/>
        <v>0</v>
      </c>
      <c r="H41" s="41"/>
      <c r="I41" s="39">
        <f t="shared" si="25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148">
        <f t="shared" si="22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3"/>
        <v>0</v>
      </c>
      <c r="D42" s="41"/>
      <c r="E42" s="39">
        <f>IF(AC42&gt;0,((D42-U42)+(V42-D43)),IF(D43=0, ,(D42-D43)))</f>
        <v>0</v>
      </c>
      <c r="F42" s="41"/>
      <c r="G42" s="39">
        <f t="shared" si="24"/>
        <v>0</v>
      </c>
      <c r="H42" s="41"/>
      <c r="I42" s="39">
        <f t="shared" si="25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148">
        <f t="shared" si="22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17239.649999999998</v>
      </c>
      <c r="O43" s="39">
        <f>N43*0.529</f>
        <v>9119.7748499999998</v>
      </c>
      <c r="P43" s="42">
        <f>O43*8.3</f>
        <v>75694.131255</v>
      </c>
      <c r="Q43" s="284">
        <f>SUM(Q4:Q42)</f>
        <v>5223</v>
      </c>
      <c r="R43" s="285"/>
      <c r="S43" s="286"/>
      <c r="T43" s="287">
        <f>SUM(T4:T42)</f>
        <v>5269</v>
      </c>
      <c r="U43" s="285"/>
      <c r="V43" s="286"/>
      <c r="W43" s="287">
        <f>SUM(W4:W42)</f>
        <v>5073</v>
      </c>
      <c r="X43" s="285"/>
      <c r="Y43" s="286"/>
      <c r="Z43" s="287">
        <f>SUM(Z4:Z42)</f>
        <v>4854</v>
      </c>
      <c r="AA43" s="285"/>
      <c r="AB43" s="286"/>
      <c r="AC43" s="39">
        <f t="shared" si="16"/>
        <v>20419</v>
      </c>
    </row>
    <row r="44" spans="1:31" ht="35.25" customHeight="1" thickBot="1" x14ac:dyDescent="0.35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20419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20419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0" t="s">
        <v>85</v>
      </c>
      <c r="I47" s="281"/>
      <c r="J47" s="282"/>
      <c r="K47" s="45">
        <f>N43</f>
        <v>17239.649999999998</v>
      </c>
      <c r="L47" s="46">
        <f>O43</f>
        <v>9119.7748499999998</v>
      </c>
      <c r="M47" s="46">
        <f>P43</f>
        <v>75694.131255</v>
      </c>
    </row>
    <row r="48" spans="1:31" ht="54.75" customHeight="1" thickBot="1" x14ac:dyDescent="0.35">
      <c r="H48" s="280" t="s">
        <v>86</v>
      </c>
      <c r="I48" s="281"/>
      <c r="J48" s="282"/>
      <c r="K48" s="43">
        <f>AC44</f>
        <v>20419</v>
      </c>
      <c r="L48" s="44">
        <f>K48*0.529</f>
        <v>10801.651</v>
      </c>
      <c r="M48" s="44">
        <f>L48*8.3</f>
        <v>89653.703300000008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9"/>
      <c r="B1" s="271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 x14ac:dyDescent="0.25">
      <c r="A2" s="272"/>
      <c r="B2" s="274"/>
      <c r="C2" s="359"/>
      <c r="D2" s="360"/>
      <c r="E2" s="360"/>
      <c r="F2" s="360"/>
      <c r="G2" s="360"/>
      <c r="H2" s="366"/>
      <c r="I2" s="367"/>
      <c r="J2" s="368"/>
    </row>
    <row r="3" spans="1:10" ht="15" customHeight="1" x14ac:dyDescent="0.2">
      <c r="A3" s="272"/>
      <c r="B3" s="274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 x14ac:dyDescent="0.25">
      <c r="A4" s="275"/>
      <c r="B4" s="277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 x14ac:dyDescent="0.25"/>
    <row r="7" spans="1:10" ht="36.75" thickTop="1" x14ac:dyDescent="0.2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 x14ac:dyDescent="0.2">
      <c r="A8" s="345">
        <v>95670781</v>
      </c>
      <c r="B8" s="345"/>
      <c r="C8" s="350">
        <v>44314</v>
      </c>
      <c r="D8" s="351"/>
      <c r="E8" s="113">
        <v>44344</v>
      </c>
      <c r="F8" s="163" t="s">
        <v>97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54" t="s">
        <v>99</v>
      </c>
      <c r="D11" s="355"/>
      <c r="E11" s="329" t="s">
        <v>100</v>
      </c>
      <c r="F11" s="329"/>
      <c r="G11" s="354" t="s">
        <v>101</v>
      </c>
      <c r="H11" s="355"/>
      <c r="I11" s="356" t="s">
        <v>102</v>
      </c>
      <c r="J11" s="356"/>
    </row>
    <row r="12" spans="1:10" x14ac:dyDescent="0.2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807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 x14ac:dyDescent="0.2">
      <c r="A17" s="334" t="s">
        <v>110</v>
      </c>
      <c r="B17" s="335"/>
      <c r="C17" s="66">
        <v>17830411</v>
      </c>
      <c r="D17" s="66">
        <v>17686099</v>
      </c>
      <c r="E17" s="67">
        <f>MIN(C17-D17)</f>
        <v>144312</v>
      </c>
      <c r="F17" s="67">
        <f>+E17</f>
        <v>144312</v>
      </c>
      <c r="G17" s="336"/>
      <c r="H17" s="337"/>
      <c r="I17" s="336">
        <f>+E17</f>
        <v>144312</v>
      </c>
      <c r="J17" s="337"/>
    </row>
    <row r="18" spans="1:10" x14ac:dyDescent="0.2">
      <c r="A18" s="334" t="s">
        <v>111</v>
      </c>
      <c r="B18" s="335"/>
      <c r="C18" s="66">
        <v>10592993</v>
      </c>
      <c r="D18" s="66">
        <v>10521778</v>
      </c>
      <c r="E18" s="67">
        <f>MIN(C18-D18)</f>
        <v>71215</v>
      </c>
      <c r="F18" s="67">
        <f>+E18</f>
        <v>71215</v>
      </c>
      <c r="G18" s="336"/>
      <c r="H18" s="337"/>
      <c r="I18" s="336">
        <f>+E18</f>
        <v>71215</v>
      </c>
      <c r="J18" s="337"/>
    </row>
    <row r="19" spans="1:10" x14ac:dyDescent="0.2">
      <c r="A19" s="334" t="s">
        <v>112</v>
      </c>
      <c r="B19" s="335"/>
      <c r="C19" s="66">
        <v>7889662</v>
      </c>
      <c r="D19" s="66">
        <v>7832353</v>
      </c>
      <c r="E19" s="67">
        <f>AVERAGE(C19-D19)</f>
        <v>57309</v>
      </c>
      <c r="F19" s="67">
        <f>+E19</f>
        <v>57309</v>
      </c>
      <c r="G19" s="336"/>
      <c r="H19" s="337"/>
      <c r="I19" s="336">
        <f>+E19</f>
        <v>57309</v>
      </c>
      <c r="J19" s="337"/>
    </row>
    <row r="20" spans="1:10" ht="15" x14ac:dyDescent="0.25">
      <c r="A20" s="338" t="s">
        <v>113</v>
      </c>
      <c r="B20" s="339"/>
      <c r="C20" s="68"/>
      <c r="D20" s="69"/>
      <c r="E20" s="68">
        <f>SUM(E17:E19)</f>
        <v>272836</v>
      </c>
      <c r="F20" s="70"/>
      <c r="G20" s="340"/>
      <c r="H20" s="341"/>
      <c r="I20" s="340"/>
      <c r="J20" s="341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 x14ac:dyDescent="0.2">
      <c r="A24" s="326"/>
      <c r="B24" s="327"/>
      <c r="C24" s="328"/>
      <c r="D24" s="330"/>
      <c r="E24" s="330"/>
      <c r="F24" s="332"/>
      <c r="G24" s="162" t="s">
        <v>121</v>
      </c>
      <c r="H24" s="71" t="s">
        <v>122</v>
      </c>
      <c r="I24" s="317"/>
      <c r="J24" s="317"/>
    </row>
    <row r="25" spans="1:10" ht="15" x14ac:dyDescent="0.25">
      <c r="A25" s="318" t="s">
        <v>123</v>
      </c>
      <c r="B25" s="319"/>
      <c r="C25" s="320"/>
      <c r="D25" s="67">
        <f>+E17</f>
        <v>144312</v>
      </c>
      <c r="E25" s="72">
        <v>0.95140000000000002</v>
      </c>
      <c r="F25" s="73">
        <f>PRODUCT(D25*E25)</f>
        <v>137298.4368</v>
      </c>
      <c r="G25" s="150">
        <v>14</v>
      </c>
      <c r="H25" s="65">
        <f>PRODUCT(0.14,F25)</f>
        <v>19221.781152</v>
      </c>
      <c r="I25" s="302">
        <f>SUM(H25,F25)</f>
        <v>156520.21795200001</v>
      </c>
      <c r="J25" s="303"/>
    </row>
    <row r="26" spans="1:10" ht="15" x14ac:dyDescent="0.25">
      <c r="A26" s="299" t="s">
        <v>124</v>
      </c>
      <c r="B26" s="300"/>
      <c r="C26" s="301"/>
      <c r="D26" s="67">
        <f>+E18</f>
        <v>71215</v>
      </c>
      <c r="E26" s="74">
        <v>0.69850000000000001</v>
      </c>
      <c r="F26" s="73">
        <f>PRODUCT(D26*E26)</f>
        <v>49743.677499999998</v>
      </c>
      <c r="G26">
        <v>14</v>
      </c>
      <c r="H26" s="67">
        <f>PRODUCT(0.14,F26)</f>
        <v>6964.1148499999999</v>
      </c>
      <c r="I26" s="302">
        <f t="shared" ref="I26:I31" si="0">SUM(H26,F26)</f>
        <v>56707.792349999996</v>
      </c>
      <c r="J26" s="303"/>
    </row>
    <row r="27" spans="1:10" ht="15" x14ac:dyDescent="0.25">
      <c r="A27" s="299" t="s">
        <v>125</v>
      </c>
      <c r="B27" s="300"/>
      <c r="C27" s="301"/>
      <c r="D27" s="67">
        <f>+E19</f>
        <v>57309</v>
      </c>
      <c r="E27" s="74">
        <v>1.3304</v>
      </c>
      <c r="F27" s="73">
        <f>PRODUCT(D27*E27)</f>
        <v>76243.893599999996</v>
      </c>
      <c r="G27">
        <v>14</v>
      </c>
      <c r="H27" s="67">
        <f>PRODUCT(0.14,F27)</f>
        <v>10674.145104000001</v>
      </c>
      <c r="I27" s="302">
        <f>SUM(H27,F27)</f>
        <v>86918.038703999991</v>
      </c>
      <c r="J27" s="303"/>
    </row>
    <row r="28" spans="1:10" ht="15" x14ac:dyDescent="0.2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 x14ac:dyDescent="0.2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 x14ac:dyDescent="0.2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 x14ac:dyDescent="0.3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 x14ac:dyDescent="0.2">
      <c r="A32" s="307" t="s">
        <v>130</v>
      </c>
      <c r="B32" s="308"/>
      <c r="C32" s="308"/>
      <c r="D32" s="308"/>
      <c r="E32" s="308"/>
      <c r="F32" s="84">
        <f>SUM(F25:F31)</f>
        <v>309500.67789999995</v>
      </c>
      <c r="G32" s="85"/>
      <c r="H32" s="86"/>
      <c r="I32" s="311">
        <f>SUM(I25:J31)</f>
        <v>352776.79280599998</v>
      </c>
      <c r="J32" s="311"/>
    </row>
    <row r="33" spans="1:10" ht="21.75" thickBot="1" x14ac:dyDescent="0.25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9"/>
      <c r="B1" s="271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 x14ac:dyDescent="0.25">
      <c r="A2" s="272"/>
      <c r="B2" s="274"/>
      <c r="C2" s="359"/>
      <c r="D2" s="360"/>
      <c r="E2" s="360"/>
      <c r="F2" s="360"/>
      <c r="G2" s="360"/>
      <c r="H2" s="366"/>
      <c r="I2" s="367"/>
      <c r="J2" s="368"/>
    </row>
    <row r="3" spans="1:10" ht="15" customHeight="1" x14ac:dyDescent="0.2">
      <c r="A3" s="272"/>
      <c r="B3" s="274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 x14ac:dyDescent="0.25">
      <c r="A4" s="275"/>
      <c r="B4" s="277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 x14ac:dyDescent="0.25"/>
    <row r="7" spans="1:10" ht="36.75" thickTop="1" x14ac:dyDescent="0.2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 x14ac:dyDescent="0.2">
      <c r="A8" s="345">
        <v>95670781</v>
      </c>
      <c r="B8" s="345"/>
      <c r="C8" s="350" t="s">
        <v>131</v>
      </c>
      <c r="D8" s="351"/>
      <c r="E8" s="113" t="s">
        <v>132</v>
      </c>
      <c r="F8" s="163" t="s">
        <v>133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54" t="s">
        <v>99</v>
      </c>
      <c r="D11" s="355"/>
      <c r="E11" s="329" t="s">
        <v>100</v>
      </c>
      <c r="F11" s="329"/>
      <c r="G11" s="354" t="s">
        <v>101</v>
      </c>
      <c r="H11" s="355"/>
      <c r="I11" s="356" t="s">
        <v>102</v>
      </c>
      <c r="J11" s="356"/>
    </row>
    <row r="12" spans="1:10" x14ac:dyDescent="0.2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 x14ac:dyDescent="0.2">
      <c r="A17" s="334" t="s">
        <v>110</v>
      </c>
      <c r="B17" s="335"/>
      <c r="C17" s="66">
        <v>17775279</v>
      </c>
      <c r="D17" s="66">
        <v>17770995</v>
      </c>
      <c r="E17" s="67">
        <f>MIN(C17-D17)</f>
        <v>4284</v>
      </c>
      <c r="F17" s="67">
        <f>+E17</f>
        <v>4284</v>
      </c>
      <c r="G17" s="336"/>
      <c r="H17" s="337"/>
      <c r="I17" s="336">
        <f>+E17</f>
        <v>4284</v>
      </c>
      <c r="J17" s="337"/>
    </row>
    <row r="18" spans="1:10" x14ac:dyDescent="0.2">
      <c r="A18" s="334" t="s">
        <v>111</v>
      </c>
      <c r="B18" s="335"/>
      <c r="C18" s="66">
        <v>10568071</v>
      </c>
      <c r="D18" s="66">
        <v>10565750</v>
      </c>
      <c r="E18" s="67">
        <f>MIN(C18-D18)</f>
        <v>2321</v>
      </c>
      <c r="F18" s="67">
        <f>+E18</f>
        <v>2321</v>
      </c>
      <c r="G18" s="336"/>
      <c r="H18" s="337"/>
      <c r="I18" s="336">
        <f>+E18</f>
        <v>2321</v>
      </c>
      <c r="J18" s="337"/>
    </row>
    <row r="19" spans="1:10" x14ac:dyDescent="0.2">
      <c r="A19" s="334" t="s">
        <v>112</v>
      </c>
      <c r="B19" s="335"/>
      <c r="C19" s="66">
        <v>7868506</v>
      </c>
      <c r="D19" s="66">
        <v>7866561</v>
      </c>
      <c r="E19" s="67">
        <f>AVERAGE(C19-D19)</f>
        <v>1945</v>
      </c>
      <c r="F19" s="67">
        <f>+E19</f>
        <v>1945</v>
      </c>
      <c r="G19" s="336"/>
      <c r="H19" s="337"/>
      <c r="I19" s="336">
        <f>+E19</f>
        <v>1945</v>
      </c>
      <c r="J19" s="337"/>
    </row>
    <row r="20" spans="1:10" ht="15" x14ac:dyDescent="0.25">
      <c r="A20" s="338" t="s">
        <v>113</v>
      </c>
      <c r="B20" s="339"/>
      <c r="C20" s="68"/>
      <c r="D20" s="69"/>
      <c r="E20" s="68">
        <f>SUM(E17:E19)</f>
        <v>8550</v>
      </c>
      <c r="F20" s="70"/>
      <c r="G20" s="340"/>
      <c r="H20" s="341"/>
      <c r="I20" s="340"/>
      <c r="J20" s="341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 x14ac:dyDescent="0.2">
      <c r="A24" s="326"/>
      <c r="B24" s="327"/>
      <c r="C24" s="328"/>
      <c r="D24" s="330"/>
      <c r="E24" s="330"/>
      <c r="F24" s="332"/>
      <c r="G24" s="162" t="s">
        <v>121</v>
      </c>
      <c r="H24" s="71" t="s">
        <v>122</v>
      </c>
      <c r="I24" s="317"/>
      <c r="J24" s="317"/>
    </row>
    <row r="25" spans="1:10" ht="15" x14ac:dyDescent="0.25">
      <c r="A25" s="318" t="s">
        <v>123</v>
      </c>
      <c r="B25" s="319"/>
      <c r="C25" s="320"/>
      <c r="D25" s="67">
        <f>+E17</f>
        <v>4284</v>
      </c>
      <c r="E25" s="72">
        <v>0.95140000000000002</v>
      </c>
      <c r="F25" s="73">
        <f>PRODUCT(D25*E25)</f>
        <v>4075.7975999999999</v>
      </c>
      <c r="G25" s="150">
        <v>14</v>
      </c>
      <c r="H25" s="65">
        <f>PRODUCT(0.14,F25)</f>
        <v>570.61166400000002</v>
      </c>
      <c r="I25" s="302">
        <f>SUM(H25,F25)</f>
        <v>4646.4092639999999</v>
      </c>
      <c r="J25" s="303"/>
    </row>
    <row r="26" spans="1:10" ht="15" x14ac:dyDescent="0.25">
      <c r="A26" s="299" t="s">
        <v>124</v>
      </c>
      <c r="B26" s="300"/>
      <c r="C26" s="301"/>
      <c r="D26" s="67">
        <f>+E18</f>
        <v>2321</v>
      </c>
      <c r="E26" s="74">
        <v>0.69850000000000001</v>
      </c>
      <c r="F26" s="73">
        <f>PRODUCT(D26*E26)</f>
        <v>1621.2184999999999</v>
      </c>
      <c r="G26">
        <v>14</v>
      </c>
      <c r="H26" s="67">
        <f>PRODUCT(0.14,F26)</f>
        <v>226.97059000000002</v>
      </c>
      <c r="I26" s="302">
        <f t="shared" ref="I26:I31" si="0">SUM(H26,F26)</f>
        <v>1848.1890899999999</v>
      </c>
      <c r="J26" s="303"/>
    </row>
    <row r="27" spans="1:10" ht="15" x14ac:dyDescent="0.25">
      <c r="A27" s="299" t="s">
        <v>125</v>
      </c>
      <c r="B27" s="300"/>
      <c r="C27" s="301"/>
      <c r="D27" s="67">
        <f>+E19</f>
        <v>1945</v>
      </c>
      <c r="E27" s="74">
        <v>1.3304</v>
      </c>
      <c r="F27" s="73">
        <f>PRODUCT(D27*E27)</f>
        <v>2587.6280000000002</v>
      </c>
      <c r="G27">
        <v>14</v>
      </c>
      <c r="H27" s="67">
        <f>PRODUCT(0.14,F27)</f>
        <v>362.26792000000006</v>
      </c>
      <c r="I27" s="302">
        <f>SUM(H27,F27)</f>
        <v>2949.8959200000004</v>
      </c>
      <c r="J27" s="303"/>
    </row>
    <row r="28" spans="1:10" ht="15" x14ac:dyDescent="0.2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 x14ac:dyDescent="0.2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 x14ac:dyDescent="0.2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 x14ac:dyDescent="0.3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 x14ac:dyDescent="0.2">
      <c r="A32" s="307" t="s">
        <v>130</v>
      </c>
      <c r="B32" s="308"/>
      <c r="C32" s="308"/>
      <c r="D32" s="308"/>
      <c r="E32" s="308"/>
      <c r="F32" s="84">
        <f>SUM(F25:F31)</f>
        <v>54499.314099999996</v>
      </c>
      <c r="G32" s="85"/>
      <c r="H32" s="86"/>
      <c r="I32" s="311">
        <f>SUM(I25:J31)</f>
        <v>62075.238073999994</v>
      </c>
      <c r="J32" s="311"/>
    </row>
    <row r="33" spans="1:10" ht="21.75" thickBot="1" x14ac:dyDescent="0.25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134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4"/>
      <c r="B8" s="95" t="s">
        <v>139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140</v>
      </c>
      <c r="E10" s="417"/>
      <c r="F10" s="415" t="s">
        <v>141</v>
      </c>
      <c r="G10" s="418"/>
      <c r="H10" s="416"/>
    </row>
    <row r="11" spans="1:8" ht="15" x14ac:dyDescent="0.25">
      <c r="A11" s="102" t="s">
        <v>142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143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144</v>
      </c>
      <c r="B13" s="395">
        <f>G8</f>
        <v>2527.1999999999971</v>
      </c>
      <c r="C13" s="395"/>
      <c r="D13" s="395">
        <v>8.7899999999999991</v>
      </c>
      <c r="E13" s="395"/>
      <c r="F13" s="402">
        <f>PRODUCT(D13,B13)</f>
        <v>22214.087999999971</v>
      </c>
      <c r="G13" s="402"/>
      <c r="H13" s="402"/>
    </row>
    <row r="14" spans="1:8" ht="45" customHeight="1" x14ac:dyDescent="0.2">
      <c r="A14" s="399" t="s">
        <v>145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146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147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148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149</v>
      </c>
      <c r="B19" s="395">
        <f>G8</f>
        <v>2527.1999999999971</v>
      </c>
      <c r="C19" s="395"/>
      <c r="D19" s="395">
        <v>2.61</v>
      </c>
      <c r="E19" s="395"/>
      <c r="F19" s="395">
        <f>PRODUCT(D19,B19)</f>
        <v>6595.991999999992</v>
      </c>
      <c r="G19" s="395"/>
      <c r="H19" s="395"/>
    </row>
    <row r="20" spans="1:8" ht="18.75" x14ac:dyDescent="0.3">
      <c r="A20" s="391" t="s">
        <v>150</v>
      </c>
      <c r="B20" s="392"/>
      <c r="C20" s="392"/>
      <c r="D20" s="392"/>
      <c r="E20" s="393"/>
      <c r="F20" s="394">
        <f>SUM(F11+F13+F16+F17+F18+F19)</f>
        <v>28833.079999999962</v>
      </c>
      <c r="G20" s="394"/>
      <c r="H20" s="394"/>
    </row>
    <row r="21" spans="1:8" ht="15" x14ac:dyDescent="0.25">
      <c r="A21" s="380" t="s">
        <v>151</v>
      </c>
      <c r="B21" s="381"/>
      <c r="C21" s="381"/>
      <c r="D21" s="381"/>
      <c r="E21" s="382"/>
      <c r="F21" s="395">
        <f>PRODUCT(F20,0.07)</f>
        <v>2018.3155999999974</v>
      </c>
      <c r="G21" s="395"/>
      <c r="H21" s="395"/>
    </row>
    <row r="22" spans="1:8" ht="15" x14ac:dyDescent="0.25">
      <c r="A22" s="396" t="s">
        <v>152</v>
      </c>
      <c r="B22" s="397"/>
      <c r="C22" s="397"/>
      <c r="D22" s="397"/>
      <c r="E22" s="398"/>
      <c r="F22" s="395">
        <v>208.26</v>
      </c>
      <c r="G22" s="395"/>
      <c r="H22" s="395"/>
    </row>
    <row r="23" spans="1:8" ht="15.75" x14ac:dyDescent="0.25">
      <c r="A23" s="380" t="s">
        <v>153</v>
      </c>
      <c r="B23" s="381"/>
      <c r="C23" s="381"/>
      <c r="D23" s="381"/>
      <c r="E23" s="382"/>
      <c r="F23" s="383">
        <f>SUM(F21:H22)</f>
        <v>2226.5755999999974</v>
      </c>
      <c r="G23" s="383"/>
      <c r="H23" s="383"/>
    </row>
    <row r="24" spans="1:8" x14ac:dyDescent="0.2">
      <c r="A24" s="384" t="s">
        <v>154</v>
      </c>
      <c r="B24" s="385"/>
      <c r="C24" s="385"/>
      <c r="D24" s="385"/>
      <c r="E24" s="386"/>
      <c r="F24" s="390">
        <f>SUM(F20,F23)</f>
        <v>31059.655599999958</v>
      </c>
      <c r="G24" s="390"/>
      <c r="H24" s="390"/>
    </row>
    <row r="25" spans="1:8" x14ac:dyDescent="0.2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134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4"/>
      <c r="B8" s="95" t="s">
        <v>139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140</v>
      </c>
      <c r="E10" s="417"/>
      <c r="F10" s="415" t="s">
        <v>141</v>
      </c>
      <c r="G10" s="418"/>
      <c r="H10" s="416"/>
    </row>
    <row r="11" spans="1:8" ht="15" x14ac:dyDescent="0.25">
      <c r="A11" s="102" t="s">
        <v>142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143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144</v>
      </c>
      <c r="B13" s="395">
        <f>G8</f>
        <v>89.69999999999709</v>
      </c>
      <c r="C13" s="395"/>
      <c r="D13" s="395">
        <v>8.5</v>
      </c>
      <c r="E13" s="395"/>
      <c r="F13" s="402">
        <f>PRODUCT(D13,B13)</f>
        <v>762.44999999997526</v>
      </c>
      <c r="G13" s="402"/>
      <c r="H13" s="402"/>
    </row>
    <row r="14" spans="1:8" ht="45" customHeight="1" x14ac:dyDescent="0.2">
      <c r="A14" s="399" t="s">
        <v>145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146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147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148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149</v>
      </c>
      <c r="B19" s="395">
        <v>0</v>
      </c>
      <c r="C19" s="395"/>
      <c r="D19" s="419">
        <v>0</v>
      </c>
      <c r="E19" s="420"/>
      <c r="F19" s="419">
        <v>0</v>
      </c>
      <c r="G19" s="420"/>
      <c r="H19" s="164"/>
    </row>
    <row r="20" spans="1:8" ht="15" x14ac:dyDescent="0.25">
      <c r="A20" s="103" t="s">
        <v>155</v>
      </c>
      <c r="B20" s="395">
        <f>G8</f>
        <v>89.69999999999709</v>
      </c>
      <c r="C20" s="395"/>
      <c r="D20" s="395">
        <v>2.54</v>
      </c>
      <c r="E20" s="395"/>
      <c r="F20" s="395">
        <f>PRODUCT(D20,B20)</f>
        <v>227.8379999999926</v>
      </c>
      <c r="G20" s="395"/>
      <c r="H20" s="395"/>
    </row>
    <row r="21" spans="1:8" ht="18.75" x14ac:dyDescent="0.3">
      <c r="A21" s="391" t="s">
        <v>150</v>
      </c>
      <c r="B21" s="392"/>
      <c r="C21" s="392"/>
      <c r="D21" s="392"/>
      <c r="E21" s="393"/>
      <c r="F21" s="394">
        <f>SUM(F11+F13+F16+F17+F18+F20)</f>
        <v>1013.2879999999678</v>
      </c>
      <c r="G21" s="394"/>
      <c r="H21" s="394"/>
    </row>
    <row r="22" spans="1:8" ht="15" x14ac:dyDescent="0.25">
      <c r="A22" s="380" t="s">
        <v>151</v>
      </c>
      <c r="B22" s="381"/>
      <c r="C22" s="381"/>
      <c r="D22" s="381"/>
      <c r="E22" s="382"/>
      <c r="F22" s="395">
        <f>PRODUCT(F21,0.07)</f>
        <v>70.930159999997755</v>
      </c>
      <c r="G22" s="395"/>
      <c r="H22" s="395"/>
    </row>
    <row r="23" spans="1:8" ht="15" x14ac:dyDescent="0.25">
      <c r="A23" s="396" t="s">
        <v>152</v>
      </c>
      <c r="B23" s="397"/>
      <c r="C23" s="397"/>
      <c r="D23" s="397"/>
      <c r="E23" s="398"/>
      <c r="F23" s="395">
        <v>208.26</v>
      </c>
      <c r="G23" s="395"/>
      <c r="H23" s="395"/>
    </row>
    <row r="24" spans="1:8" ht="15.75" x14ac:dyDescent="0.25">
      <c r="A24" s="380" t="s">
        <v>153</v>
      </c>
      <c r="B24" s="381"/>
      <c r="C24" s="381"/>
      <c r="D24" s="381"/>
      <c r="E24" s="382"/>
      <c r="F24" s="383">
        <f>SUM(F22:H23)</f>
        <v>279.19015999999772</v>
      </c>
      <c r="G24" s="383"/>
      <c r="H24" s="383"/>
    </row>
    <row r="25" spans="1:8" x14ac:dyDescent="0.2">
      <c r="A25" s="384" t="s">
        <v>154</v>
      </c>
      <c r="B25" s="385"/>
      <c r="C25" s="385"/>
      <c r="D25" s="385"/>
      <c r="E25" s="386"/>
      <c r="F25" s="390">
        <f>SUM(F21,F24)</f>
        <v>1292.4781599999656</v>
      </c>
      <c r="G25" s="390"/>
      <c r="H25" s="390"/>
    </row>
    <row r="26" spans="1:8" x14ac:dyDescent="0.2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156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4"/>
      <c r="B8" s="95" t="s">
        <v>139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140</v>
      </c>
      <c r="E10" s="417"/>
      <c r="F10" s="415" t="s">
        <v>141</v>
      </c>
      <c r="G10" s="418"/>
      <c r="H10" s="416"/>
    </row>
    <row r="11" spans="1:8" ht="15" x14ac:dyDescent="0.25">
      <c r="A11" s="102" t="s">
        <v>142</v>
      </c>
      <c r="B11" s="395"/>
      <c r="C11" s="395"/>
      <c r="D11" s="395"/>
      <c r="E11" s="395"/>
      <c r="F11" s="395">
        <v>15</v>
      </c>
      <c r="G11" s="395"/>
      <c r="H11" s="395"/>
    </row>
    <row r="12" spans="1:8" ht="21" x14ac:dyDescent="0.35">
      <c r="A12" s="401" t="s">
        <v>143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157</v>
      </c>
      <c r="B13" s="395">
        <f>G8</f>
        <v>0</v>
      </c>
      <c r="C13" s="395"/>
      <c r="D13" s="395">
        <v>16.48</v>
      </c>
      <c r="E13" s="395"/>
      <c r="F13" s="402">
        <f>PRODUCT(D13,B13)</f>
        <v>0</v>
      </c>
      <c r="G13" s="402"/>
      <c r="H13" s="402"/>
    </row>
    <row r="14" spans="1:8" ht="15" x14ac:dyDescent="0.25">
      <c r="A14" s="102" t="s">
        <v>158</v>
      </c>
      <c r="B14" s="419"/>
      <c r="C14" s="420"/>
      <c r="D14" s="419"/>
      <c r="E14" s="420"/>
      <c r="F14" s="419"/>
      <c r="G14" s="420"/>
      <c r="H14" s="111"/>
    </row>
    <row r="15" spans="1:8" ht="15" x14ac:dyDescent="0.25">
      <c r="A15" s="102" t="s">
        <v>159</v>
      </c>
      <c r="B15" s="419"/>
      <c r="C15" s="420"/>
      <c r="D15" s="419"/>
      <c r="E15" s="420"/>
      <c r="F15" s="419"/>
      <c r="G15" s="420"/>
      <c r="H15" s="111"/>
    </row>
    <row r="16" spans="1:8" ht="15" x14ac:dyDescent="0.25">
      <c r="A16" s="102" t="s">
        <v>160</v>
      </c>
      <c r="B16" s="419"/>
      <c r="C16" s="420"/>
      <c r="D16" s="419"/>
      <c r="E16" s="420"/>
      <c r="F16" s="419"/>
      <c r="G16" s="420"/>
      <c r="H16" s="111"/>
    </row>
    <row r="17" spans="1:8" ht="15" x14ac:dyDescent="0.25">
      <c r="A17" s="102" t="s">
        <v>161</v>
      </c>
      <c r="B17" s="419"/>
      <c r="C17" s="420"/>
      <c r="D17" s="419"/>
      <c r="E17" s="420"/>
      <c r="F17" s="419"/>
      <c r="G17" s="420"/>
      <c r="H17" s="111"/>
    </row>
    <row r="18" spans="1:8" ht="45" customHeight="1" x14ac:dyDescent="0.2">
      <c r="A18" s="399" t="s">
        <v>145</v>
      </c>
      <c r="B18" s="399"/>
      <c r="C18" s="399"/>
      <c r="D18" s="399"/>
      <c r="E18" s="399"/>
      <c r="F18" s="399"/>
      <c r="G18" s="399"/>
      <c r="H18" s="399"/>
    </row>
    <row r="19" spans="1:8" x14ac:dyDescent="0.2">
      <c r="A19" s="400"/>
      <c r="B19" s="400"/>
      <c r="C19" s="400"/>
      <c r="D19" s="400"/>
      <c r="E19" s="400"/>
      <c r="F19" s="400"/>
      <c r="G19" s="400"/>
      <c r="H19" s="400"/>
    </row>
    <row r="20" spans="1:8" ht="15" x14ac:dyDescent="0.25">
      <c r="A20" s="103" t="s">
        <v>146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 x14ac:dyDescent="0.25">
      <c r="A21" s="103" t="s">
        <v>147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 x14ac:dyDescent="0.25">
      <c r="A22" s="103" t="s">
        <v>148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 x14ac:dyDescent="0.25">
      <c r="A23" s="103" t="s">
        <v>149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 x14ac:dyDescent="0.25">
      <c r="A24" s="103" t="s">
        <v>155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4"/>
    </row>
    <row r="25" spans="1:8" ht="18.75" x14ac:dyDescent="0.3">
      <c r="A25" s="391" t="s">
        <v>150</v>
      </c>
      <c r="B25" s="392"/>
      <c r="C25" s="392"/>
      <c r="D25" s="392"/>
      <c r="E25" s="393"/>
      <c r="F25" s="421">
        <f>SUM(F11+F13+F20+F21+F22+F23)</f>
        <v>15</v>
      </c>
      <c r="G25" s="394"/>
      <c r="H25" s="394"/>
    </row>
    <row r="26" spans="1:8" ht="15" x14ac:dyDescent="0.25">
      <c r="A26" s="380" t="s">
        <v>151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 x14ac:dyDescent="0.25">
      <c r="A27" s="396" t="s">
        <v>152</v>
      </c>
      <c r="B27" s="397"/>
      <c r="C27" s="397"/>
      <c r="D27" s="397"/>
      <c r="E27" s="398"/>
      <c r="F27" s="395">
        <v>2.4300000000000002</v>
      </c>
      <c r="G27" s="395"/>
      <c r="H27" s="395"/>
    </row>
    <row r="28" spans="1:8" ht="15.75" x14ac:dyDescent="0.25">
      <c r="A28" s="380" t="s">
        <v>153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 x14ac:dyDescent="0.2">
      <c r="A29" s="384" t="s">
        <v>154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 x14ac:dyDescent="0.2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2" t="s">
        <v>162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 x14ac:dyDescent="0.2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182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 x14ac:dyDescent="0.2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183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 x14ac:dyDescent="0.2"/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 x14ac:dyDescent="0.2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/>
      <c r="M8" s="104">
        <v>3298</v>
      </c>
      <c r="N8" s="104">
        <v>3866</v>
      </c>
    </row>
    <row r="9" spans="2:14" ht="39" customHeight="1" x14ac:dyDescent="0.2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184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5" ht="18" customHeight="1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 x14ac:dyDescent="0.2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185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 x14ac:dyDescent="0.2"/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 x14ac:dyDescent="0.2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186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ht="17.25" customHeight="1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 x14ac:dyDescent="0.2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2023-02-21T15:17:12Z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