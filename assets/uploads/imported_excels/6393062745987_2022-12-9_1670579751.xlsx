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ENGINERING_PRIVATE\UTILI\HEP\2022\"/>
    </mc:Choice>
  </mc:AlternateContent>
  <bookViews>
    <workbookView xWindow="-105" yWindow="-105" windowWidth="23250" windowHeight="12450" tabRatio="352" activeTab="2"/>
  </bookViews>
  <sheets>
    <sheet name="TOTAL" sheetId="1" r:id="rId1"/>
    <sheet name="Submetering" sheetId="3" r:id="rId2"/>
    <sheet name="Florence Daily" sheetId="2" r:id="rId3"/>
  </sheets>
  <calcPr calcId="162913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2" l="1"/>
  <c r="O35" i="2"/>
  <c r="M24" i="2"/>
  <c r="K22" i="2"/>
  <c r="L32" i="3"/>
  <c r="K32" i="3"/>
  <c r="K32" i="1"/>
  <c r="J32" i="3"/>
  <c r="I32" i="1"/>
  <c r="I32" i="3"/>
  <c r="H32" i="3"/>
  <c r="G32" i="3"/>
  <c r="F32" i="3"/>
  <c r="E32" i="3"/>
  <c r="E32" i="1"/>
  <c r="E31" i="3"/>
  <c r="E31" i="1"/>
  <c r="F31" i="3"/>
  <c r="G31" i="3"/>
  <c r="H31" i="3"/>
  <c r="I31" i="3"/>
  <c r="J31" i="3"/>
  <c r="I31" i="1"/>
  <c r="K31" i="3"/>
  <c r="K31" i="1"/>
  <c r="L31" i="3"/>
  <c r="L31" i="1"/>
  <c r="L32" i="1"/>
  <c r="K35" i="2"/>
  <c r="M35" i="2"/>
  <c r="D35" i="2"/>
  <c r="F35" i="2"/>
  <c r="H35" i="2"/>
  <c r="L30" i="3"/>
  <c r="L30" i="1"/>
  <c r="K30" i="3"/>
  <c r="K30" i="1"/>
  <c r="J30" i="3"/>
  <c r="I30" i="1"/>
  <c r="I30" i="3"/>
  <c r="H30" i="3"/>
  <c r="G30" i="3"/>
  <c r="F30" i="3"/>
  <c r="E30" i="3"/>
  <c r="E30" i="1"/>
  <c r="F23" i="2"/>
  <c r="O33" i="2"/>
  <c r="O34" i="2"/>
  <c r="M33" i="2"/>
  <c r="M34" i="2"/>
  <c r="K33" i="2"/>
  <c r="K34" i="2"/>
  <c r="H33" i="2"/>
  <c r="H34" i="2"/>
  <c r="F33" i="2"/>
  <c r="F34" i="2"/>
  <c r="D33" i="2"/>
  <c r="D34" i="2"/>
  <c r="D7" i="2"/>
  <c r="H17" i="2"/>
  <c r="O31" i="2"/>
  <c r="F13" i="2"/>
  <c r="D25" i="2"/>
  <c r="K25" i="2"/>
  <c r="D4" i="2"/>
  <c r="F4" i="2"/>
  <c r="H4" i="2"/>
  <c r="D5" i="2"/>
  <c r="D28" i="2"/>
  <c r="E21" i="3"/>
  <c r="E21" i="1"/>
  <c r="E22" i="3"/>
  <c r="E22" i="1"/>
  <c r="E23" i="3"/>
  <c r="E23" i="1"/>
  <c r="D27" i="2"/>
  <c r="D26" i="2"/>
  <c r="D24" i="2"/>
  <c r="M22" i="2"/>
  <c r="D22" i="2"/>
  <c r="O4" i="2"/>
  <c r="F12" i="2"/>
  <c r="O21" i="2"/>
  <c r="O6" i="2"/>
  <c r="O7" i="2"/>
  <c r="D20" i="2"/>
  <c r="F28" i="2"/>
  <c r="M25" i="2"/>
  <c r="M23" i="2"/>
  <c r="K9" i="2"/>
  <c r="K10" i="2"/>
  <c r="O20" i="2"/>
  <c r="D21" i="2"/>
  <c r="D6" i="2"/>
  <c r="O26" i="2"/>
  <c r="K23" i="2"/>
  <c r="K24" i="2"/>
  <c r="O22" i="2"/>
  <c r="K21" i="2"/>
  <c r="M21" i="2"/>
  <c r="F19" i="2"/>
  <c r="E29" i="3"/>
  <c r="E29" i="1"/>
  <c r="F29" i="3"/>
  <c r="G29" i="3"/>
  <c r="H29" i="3"/>
  <c r="I29" i="3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F19" i="3"/>
  <c r="H19" i="3"/>
  <c r="I19" i="3"/>
  <c r="G19" i="1"/>
  <c r="G20" i="3"/>
  <c r="G21" i="3"/>
  <c r="G22" i="3"/>
  <c r="G23" i="3"/>
  <c r="G24" i="3"/>
  <c r="G25" i="3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5" i="1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6" i="1"/>
  <c r="E17" i="3"/>
  <c r="E17" i="1"/>
  <c r="E18" i="3"/>
  <c r="E18" i="1"/>
  <c r="E19" i="3"/>
  <c r="E19" i="1"/>
  <c r="E20" i="3"/>
  <c r="E20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3" i="2"/>
  <c r="D29" i="2"/>
  <c r="D30" i="2"/>
  <c r="D31" i="2"/>
  <c r="D32" i="2"/>
  <c r="D8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20" i="3"/>
  <c r="I20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" i="3"/>
  <c r="I2" i="3"/>
  <c r="M6" i="2"/>
  <c r="M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O16" i="2"/>
  <c r="M17" i="2"/>
  <c r="O17" i="2"/>
  <c r="M18" i="2"/>
  <c r="O18" i="2"/>
  <c r="M19" i="2"/>
  <c r="O19" i="2"/>
  <c r="M20" i="2"/>
  <c r="O23" i="2"/>
  <c r="O24" i="2"/>
  <c r="O25" i="2"/>
  <c r="M26" i="2"/>
  <c r="M27" i="2"/>
  <c r="O27" i="2"/>
  <c r="M28" i="2"/>
  <c r="M29" i="2"/>
  <c r="O29" i="2"/>
  <c r="M30" i="2"/>
  <c r="O30" i="2"/>
  <c r="M31" i="2"/>
  <c r="M32" i="2"/>
  <c r="O32" i="2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2" i="3"/>
  <c r="I2" i="1"/>
  <c r="F6" i="2"/>
  <c r="H6" i="2"/>
  <c r="F7" i="2"/>
  <c r="H7" i="2"/>
  <c r="F8" i="2"/>
  <c r="H8" i="2"/>
  <c r="K6" i="2"/>
  <c r="K7" i="2"/>
  <c r="K8" i="2"/>
  <c r="F9" i="2"/>
  <c r="H9" i="2"/>
  <c r="F10" i="2"/>
  <c r="H10" i="2"/>
  <c r="F11" i="2"/>
  <c r="H11" i="2"/>
  <c r="K11" i="2"/>
  <c r="H12" i="2"/>
  <c r="K12" i="2"/>
  <c r="H13" i="2"/>
  <c r="K13" i="2"/>
  <c r="F14" i="2"/>
  <c r="H14" i="2"/>
  <c r="K14" i="2"/>
  <c r="F15" i="2"/>
  <c r="F16" i="2"/>
  <c r="H16" i="2"/>
  <c r="K16" i="2"/>
  <c r="F17" i="2"/>
  <c r="F18" i="2"/>
  <c r="H18" i="2"/>
  <c r="K18" i="2"/>
  <c r="H19" i="2"/>
  <c r="K19" i="2"/>
  <c r="F20" i="2"/>
  <c r="H20" i="2"/>
  <c r="K20" i="2"/>
  <c r="F21" i="2"/>
  <c r="H21" i="2"/>
  <c r="F22" i="2"/>
  <c r="H22" i="2"/>
  <c r="H23" i="2"/>
  <c r="F24" i="2"/>
  <c r="H24" i="2"/>
  <c r="F25" i="2"/>
  <c r="H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H21" i="3"/>
  <c r="G21" i="1"/>
  <c r="G20" i="1"/>
  <c r="G18" i="1"/>
  <c r="G14" i="1"/>
  <c r="G3" i="1"/>
  <c r="G6" i="1"/>
  <c r="G17" i="1"/>
  <c r="G24" i="1"/>
  <c r="G26" i="1"/>
  <c r="G27" i="1"/>
  <c r="G31" i="1"/>
  <c r="G32" i="1"/>
  <c r="G28" i="1"/>
  <c r="G29" i="1"/>
  <c r="G30" i="1"/>
  <c r="G25" i="1"/>
  <c r="G22" i="1"/>
  <c r="G23" i="1"/>
  <c r="G16" i="1"/>
  <c r="G15" i="1"/>
  <c r="G13" i="1"/>
  <c r="G11" i="1"/>
  <c r="G12" i="1"/>
  <c r="G10" i="1"/>
  <c r="G9" i="1"/>
  <c r="G8" i="1"/>
  <c r="G7" i="1"/>
  <c r="G5" i="1"/>
  <c r="G4" i="1"/>
  <c r="G2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<sst xmlns="http://schemas.openxmlformats.org/spreadsheetml/2006/main" count="108" uniqueCount="36">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</sst>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0.00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2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" fillId="10" borderId="1" applyNumberFormat="0" applyAlignment="0" applyProtection="0"/>
    <xf numFmtId="0" fontId="3" fillId="10" borderId="2" applyNumberFormat="0" applyAlignment="0" applyProtection="0"/>
    <xf numFmtId="0" fontId="7" fillId="3" borderId="2" applyNumberFormat="0" applyAlignment="0" applyProtection="0"/>
    <xf numFmtId="0" fontId="11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0"/>
    <xf numFmtId="0" fontId="1" fillId="4" borderId="7" applyNumberFormat="0" applyFont="0" applyAlignment="0" applyProtection="0"/>
    <xf numFmtId="9" fontId="14" fillId="0" borderId="0" applyFont="0" applyFill="0" applyBorder="0" applyAlignment="0" applyProtection="0"/>
    <xf numFmtId="0" fontId="12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0" fontId="4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5" fillId="21" borderId="3" applyNumberFormat="0" applyAlignment="0" applyProtection="0"/>
  </cellStyleXfs>
  <cellXfs count="57">
    <xf numFmtId="0" fontId="0" fillId="0" borderId="0" xfId="0"/>
    <xf numFmtId="0" fontId="21" fillId="23" borderId="0" xfId="0" applyFont="1" applyFill="1" applyAlignment="1">
      <alignment horizontal="center"/>
    </xf>
    <xf numFmtId="0" fontId="19" fillId="24" borderId="10" xfId="0" applyFont="1" applyFill="1" applyBorder="1" applyAlignment="1">
      <alignment horizontal="center" vertical="center"/>
    </xf>
    <xf numFmtId="0" fontId="19" fillId="25" borderId="11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9" fillId="24" borderId="1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/>
    <xf numFmtId="1" fontId="23" fillId="23" borderId="0" xfId="0" applyNumberFormat="1" applyFont="1" applyFill="1" applyAlignment="1">
      <alignment horizontal="center"/>
    </xf>
    <xf numFmtId="1" fontId="19" fillId="25" borderId="1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2" fontId="21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0" fontId="24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19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19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wrapText="1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2" fillId="28" borderId="12" xfId="0" applyNumberFormat="1" applyFont="1" applyFill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1" fontId="19" fillId="25" borderId="15" xfId="0" applyNumberFormat="1" applyFont="1" applyFill="1" applyBorder="1" applyAlignment="1">
      <alignment horizontal="center" vertical="center" wrapText="1"/>
    </xf>
    <xf numFmtId="1" fontId="2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1" fillId="29" borderId="20" xfId="0" applyFont="1" applyFill="1" applyBorder="1" applyAlignment="1">
      <alignment horizontal="center" vertical="center"/>
    </xf>
    <xf numFmtId="0" fontId="23" fillId="23" borderId="11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6" fillId="30" borderId="23" xfId="0" applyFont="1" applyFill="1" applyBorder="1" applyAlignment="1">
      <alignment horizontal="center" vertical="center"/>
    </xf>
    <xf numFmtId="0" fontId="26" fillId="30" borderId="19" xfId="0" applyFont="1" applyFill="1" applyBorder="1" applyAlignment="1">
      <alignment horizontal="center" vertical="center"/>
    </xf>
    <xf numFmtId="0" fontId="26" fillId="30" borderId="24" xfId="0" applyFont="1" applyFill="1" applyBorder="1" applyAlignment="1">
      <alignment horizontal="center" vertical="center"/>
    </xf>
    <xf numFmtId="0" fontId="26" fillId="31" borderId="25" xfId="0" applyFont="1" applyFill="1" applyBorder="1" applyAlignment="1">
      <alignment horizontal="center" vertical="center" wrapText="1"/>
    </xf>
    <xf numFmtId="0" fontId="26" fillId="31" borderId="26" xfId="0" applyFont="1" applyFill="1" applyBorder="1" applyAlignment="1">
      <alignment horizontal="center" vertical="center" wrapText="1"/>
    </xf>
    <xf numFmtId="1" fontId="22" fillId="0" borderId="27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21" fillId="29" borderId="21" xfId="0" applyFont="1" applyFill="1" applyBorder="1" applyAlignment="1">
      <alignment horizontal="center" vertical="center"/>
    </xf>
    <xf numFmtId="0" fontId="26" fillId="30" borderId="22" xfId="0" applyFont="1" applyFill="1" applyBorder="1" applyAlignment="1">
      <alignment horizontal="center" vertical="center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Q32" sqref="Q32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10</v>
      </c>
      <c r="D2" s="9">
        <v>2022</v>
      </c>
      <c r="E2" s="19">
        <f>Submetering!E2</f>
        <v>11580</v>
      </c>
      <c r="F2" s="35">
        <v>0.39</v>
      </c>
      <c r="G2" s="19">
        <f>Submetering!F2+Submetering!G2+Submetering!H2+Submetering!I2</f>
        <v>1201</v>
      </c>
      <c r="H2" s="30">
        <v>1.38</v>
      </c>
      <c r="I2" s="19">
        <f>Submetering!J2</f>
        <v>107</v>
      </c>
      <c r="J2" s="31">
        <v>2.73</v>
      </c>
      <c r="K2" s="19">
        <f>Submetering!K2</f>
        <v>104</v>
      </c>
      <c r="L2" s="19">
        <f>Submetering!L2</f>
        <v>155</v>
      </c>
    </row>
    <row r="3" spans="1:24" x14ac:dyDescent="0.25">
      <c r="A3" s="16" t="s">
        <v>25</v>
      </c>
      <c r="B3" s="9">
        <f>B2+1</f>
        <v>2</v>
      </c>
      <c r="C3" s="9">
        <v>10</v>
      </c>
      <c r="D3" s="9">
        <v>2022</v>
      </c>
      <c r="E3" s="19">
        <f>Submetering!E3</f>
        <v>11538</v>
      </c>
      <c r="F3" s="35">
        <v>0.39</v>
      </c>
      <c r="G3" s="19">
        <f>Submetering!F3+Submetering!G3+Submetering!H3+Submetering!I3</f>
        <v>1119</v>
      </c>
      <c r="H3" s="30">
        <v>1.38</v>
      </c>
      <c r="I3" s="19">
        <f>Submetering!J3</f>
        <v>105</v>
      </c>
      <c r="J3" s="31">
        <v>2.73</v>
      </c>
      <c r="K3" s="19">
        <f>Submetering!K3</f>
        <v>85</v>
      </c>
      <c r="L3" s="19">
        <f>Submetering!L3</f>
        <v>154</v>
      </c>
    </row>
    <row r="4" spans="1:24" x14ac:dyDescent="0.25">
      <c r="A4" s="16" t="s">
        <v>25</v>
      </c>
      <c r="B4" s="9">
        <f t="shared" ref="B4:B32" si="0">B3+1</f>
        <v>3</v>
      </c>
      <c r="C4" s="9">
        <v>10</v>
      </c>
      <c r="D4" s="9">
        <v>2022</v>
      </c>
      <c r="E4" s="19">
        <f>Submetering!E4</f>
        <v>12297</v>
      </c>
      <c r="F4" s="35">
        <v>0.39</v>
      </c>
      <c r="G4" s="19">
        <f>Submetering!F4+Submetering!G4+Submetering!H4+Submetering!I4</f>
        <v>1139</v>
      </c>
      <c r="H4" s="30">
        <v>1.38</v>
      </c>
      <c r="I4" s="19">
        <f>Submetering!J4</f>
        <v>100</v>
      </c>
      <c r="J4" s="31">
        <v>2.73</v>
      </c>
      <c r="K4" s="19">
        <f>Submetering!K4</f>
        <v>88</v>
      </c>
      <c r="L4" s="19">
        <f>Submetering!L4</f>
        <v>160</v>
      </c>
    </row>
    <row r="5" spans="1:24" x14ac:dyDescent="0.25">
      <c r="A5" s="16" t="s">
        <v>25</v>
      </c>
      <c r="B5" s="9">
        <f t="shared" si="0"/>
        <v>4</v>
      </c>
      <c r="C5" s="9">
        <v>10</v>
      </c>
      <c r="D5" s="9">
        <v>2022</v>
      </c>
      <c r="E5" s="19">
        <f>Submetering!E5</f>
        <v>12360</v>
      </c>
      <c r="F5" s="35">
        <v>0.39</v>
      </c>
      <c r="G5" s="19">
        <f>Submetering!F5+Submetering!G5+Submetering!H5+Submetering!I5</f>
        <v>1157</v>
      </c>
      <c r="H5" s="30">
        <v>1.38</v>
      </c>
      <c r="I5" s="19">
        <f>Submetering!J5</f>
        <v>102</v>
      </c>
      <c r="J5" s="31">
        <v>2.73</v>
      </c>
      <c r="K5" s="19">
        <f>Submetering!K5</f>
        <v>102</v>
      </c>
      <c r="L5" s="19">
        <f>Submetering!L5</f>
        <v>183</v>
      </c>
    </row>
    <row r="6" spans="1:24" x14ac:dyDescent="0.25">
      <c r="A6" s="16" t="s">
        <v>25</v>
      </c>
      <c r="B6" s="9">
        <f t="shared" si="0"/>
        <v>5</v>
      </c>
      <c r="C6" s="9">
        <v>10</v>
      </c>
      <c r="D6" s="9">
        <v>2022</v>
      </c>
      <c r="E6" s="19">
        <f>Submetering!E6</f>
        <v>11016</v>
      </c>
      <c r="F6" s="35">
        <v>0.39</v>
      </c>
      <c r="G6" s="19">
        <f>Submetering!F6+Submetering!G6+Submetering!H6+Submetering!I6</f>
        <v>1064</v>
      </c>
      <c r="H6" s="30">
        <v>1.38</v>
      </c>
      <c r="I6" s="19">
        <f>Submetering!J6</f>
        <v>99</v>
      </c>
      <c r="J6" s="31">
        <v>2.73</v>
      </c>
      <c r="K6" s="19">
        <f>Submetering!K6</f>
        <v>91</v>
      </c>
      <c r="L6" s="19">
        <f>Submetering!L6</f>
        <v>169</v>
      </c>
    </row>
    <row r="7" spans="1:24" x14ac:dyDescent="0.25">
      <c r="A7" s="16" t="s">
        <v>25</v>
      </c>
      <c r="B7" s="9">
        <f t="shared" si="0"/>
        <v>6</v>
      </c>
      <c r="C7" s="9">
        <v>10</v>
      </c>
      <c r="D7" s="9">
        <v>2022</v>
      </c>
      <c r="E7" s="19">
        <f>Submetering!E7</f>
        <v>12096</v>
      </c>
      <c r="F7" s="35">
        <v>0.39</v>
      </c>
      <c r="G7" s="19">
        <f>Submetering!F7+Submetering!G7+Submetering!H7+Submetering!I7</f>
        <v>1142</v>
      </c>
      <c r="H7" s="30">
        <v>1.38</v>
      </c>
      <c r="I7" s="19">
        <f>Submetering!J7</f>
        <v>112</v>
      </c>
      <c r="J7" s="31">
        <v>2.73</v>
      </c>
      <c r="K7" s="19">
        <f>Submetering!K7</f>
        <v>89</v>
      </c>
      <c r="L7" s="19">
        <f>Submetering!L7</f>
        <v>158</v>
      </c>
    </row>
    <row r="8" spans="1:24" x14ac:dyDescent="0.25">
      <c r="A8" s="16" t="s">
        <v>25</v>
      </c>
      <c r="B8" s="9">
        <f t="shared" si="0"/>
        <v>7</v>
      </c>
      <c r="C8" s="9">
        <v>10</v>
      </c>
      <c r="D8" s="9">
        <v>2022</v>
      </c>
      <c r="E8" s="19">
        <f>Submetering!E8</f>
        <v>11823</v>
      </c>
      <c r="F8" s="35">
        <v>0.39</v>
      </c>
      <c r="G8" s="19">
        <f>Submetering!F8+Submetering!G8+Submetering!H8+Submetering!I8</f>
        <v>1144</v>
      </c>
      <c r="H8" s="30">
        <v>1.38</v>
      </c>
      <c r="I8" s="19">
        <f>Submetering!J8</f>
        <v>114</v>
      </c>
      <c r="J8" s="31">
        <v>2.73</v>
      </c>
      <c r="K8" s="19">
        <f>Submetering!K8</f>
        <v>103</v>
      </c>
      <c r="L8" s="19">
        <f>Submetering!L8</f>
        <v>180</v>
      </c>
    </row>
    <row r="9" spans="1:24" x14ac:dyDescent="0.25">
      <c r="A9" s="16" t="s">
        <v>25</v>
      </c>
      <c r="B9" s="9">
        <f t="shared" si="0"/>
        <v>8</v>
      </c>
      <c r="C9" s="9">
        <v>10</v>
      </c>
      <c r="D9" s="9">
        <v>2022</v>
      </c>
      <c r="E9" s="19">
        <f>Submetering!E9</f>
        <v>11805</v>
      </c>
      <c r="F9" s="35">
        <v>0.39</v>
      </c>
      <c r="G9" s="19">
        <f>Submetering!F9+Submetering!G9+Submetering!H9+Submetering!I9</f>
        <v>1124</v>
      </c>
      <c r="H9" s="30">
        <v>1.38</v>
      </c>
      <c r="I9" s="19">
        <f>Submetering!J9</f>
        <v>119</v>
      </c>
      <c r="J9" s="31">
        <v>2.73</v>
      </c>
      <c r="K9" s="19">
        <f>Submetering!K9</f>
        <v>101</v>
      </c>
      <c r="L9" s="19">
        <f>Submetering!L9</f>
        <v>189</v>
      </c>
    </row>
    <row r="10" spans="1:24" x14ac:dyDescent="0.25">
      <c r="A10" s="16" t="s">
        <v>25</v>
      </c>
      <c r="B10" s="9">
        <f t="shared" si="0"/>
        <v>9</v>
      </c>
      <c r="C10" s="9">
        <v>10</v>
      </c>
      <c r="D10" s="9">
        <v>2022</v>
      </c>
      <c r="E10" s="19">
        <f>Submetering!E10</f>
        <v>12438</v>
      </c>
      <c r="F10" s="35">
        <v>0.39</v>
      </c>
      <c r="G10" s="19">
        <f>Submetering!F10+Submetering!G10+Submetering!H10+Submetering!I10</f>
        <v>1205</v>
      </c>
      <c r="H10" s="30">
        <v>1.38</v>
      </c>
      <c r="I10" s="19">
        <f>Submetering!J10</f>
        <v>125</v>
      </c>
      <c r="J10" s="31">
        <v>2.73</v>
      </c>
      <c r="K10" s="19">
        <f>Submetering!K10</f>
        <v>105</v>
      </c>
      <c r="L10" s="19">
        <f>Submetering!L10</f>
        <v>195</v>
      </c>
    </row>
    <row r="11" spans="1:24" x14ac:dyDescent="0.25">
      <c r="A11" s="16" t="s">
        <v>25</v>
      </c>
      <c r="B11" s="9">
        <f t="shared" si="0"/>
        <v>10</v>
      </c>
      <c r="C11" s="9">
        <v>10</v>
      </c>
      <c r="D11" s="9">
        <v>2022</v>
      </c>
      <c r="E11" s="19">
        <f>Submetering!E11</f>
        <v>12306</v>
      </c>
      <c r="F11" s="35">
        <v>0.39</v>
      </c>
      <c r="G11" s="19">
        <f>Submetering!F11+Submetering!G11+Submetering!H11+Submetering!I11</f>
        <v>1139</v>
      </c>
      <c r="H11" s="30">
        <v>1.38</v>
      </c>
      <c r="I11" s="19">
        <f>Submetering!J11</f>
        <v>120</v>
      </c>
      <c r="J11" s="31">
        <v>2.73</v>
      </c>
      <c r="K11" s="19">
        <f>Submetering!K11</f>
        <v>88</v>
      </c>
      <c r="L11" s="19">
        <f>Submetering!L11</f>
        <v>182</v>
      </c>
    </row>
    <row r="12" spans="1:24" x14ac:dyDescent="0.25">
      <c r="A12" s="16" t="s">
        <v>25</v>
      </c>
      <c r="B12" s="9">
        <f t="shared" si="0"/>
        <v>11</v>
      </c>
      <c r="C12" s="9">
        <v>10</v>
      </c>
      <c r="D12" s="9">
        <v>2022</v>
      </c>
      <c r="E12" s="19">
        <f>Submetering!E12</f>
        <v>11013</v>
      </c>
      <c r="F12" s="35">
        <v>0.39</v>
      </c>
      <c r="G12" s="19">
        <f>Submetering!F12+Submetering!G12+Submetering!H12+Submetering!I12</f>
        <v>1015</v>
      </c>
      <c r="H12" s="30">
        <v>1.38</v>
      </c>
      <c r="I12" s="19">
        <f>Submetering!J12</f>
        <v>102</v>
      </c>
      <c r="J12" s="31">
        <v>2.73</v>
      </c>
      <c r="K12" s="19">
        <f>Submetering!K12</f>
        <v>94</v>
      </c>
      <c r="L12" s="19">
        <f>Submetering!L12</f>
        <v>167</v>
      </c>
    </row>
    <row r="13" spans="1:24" x14ac:dyDescent="0.25">
      <c r="A13" s="16" t="s">
        <v>25</v>
      </c>
      <c r="B13" s="9">
        <f t="shared" si="0"/>
        <v>12</v>
      </c>
      <c r="C13" s="9">
        <v>10</v>
      </c>
      <c r="D13" s="9">
        <v>2022</v>
      </c>
      <c r="E13" s="19">
        <f>Submetering!E13</f>
        <v>11541</v>
      </c>
      <c r="F13" s="35">
        <v>0.39</v>
      </c>
      <c r="G13" s="19">
        <f>Submetering!F13+Submetering!G13+Submetering!H13+Submetering!I13</f>
        <v>1082</v>
      </c>
      <c r="H13" s="30">
        <v>1.38</v>
      </c>
      <c r="I13" s="19">
        <f>Submetering!J13</f>
        <v>109</v>
      </c>
      <c r="J13" s="31">
        <v>2.73</v>
      </c>
      <c r="K13" s="19">
        <f>Submetering!K13</f>
        <v>107</v>
      </c>
      <c r="L13" s="19">
        <f>Submetering!L13</f>
        <v>190</v>
      </c>
    </row>
    <row r="14" spans="1:24" x14ac:dyDescent="0.25">
      <c r="A14" s="16" t="s">
        <v>25</v>
      </c>
      <c r="B14" s="9">
        <f t="shared" si="0"/>
        <v>13</v>
      </c>
      <c r="C14" s="9">
        <v>10</v>
      </c>
      <c r="D14" s="9">
        <v>2022</v>
      </c>
      <c r="E14" s="19">
        <f>Submetering!E14</f>
        <v>12207</v>
      </c>
      <c r="F14" s="35">
        <v>0.39</v>
      </c>
      <c r="G14" s="19">
        <f>Submetering!F14+Submetering!G14+Submetering!H14+Submetering!I14</f>
        <v>1100</v>
      </c>
      <c r="H14" s="30">
        <v>1.38</v>
      </c>
      <c r="I14" s="19">
        <f>Submetering!J14</f>
        <v>124</v>
      </c>
      <c r="J14" s="31">
        <v>2.73</v>
      </c>
      <c r="K14" s="19">
        <f>Submetering!K14</f>
        <v>90</v>
      </c>
      <c r="L14" s="19">
        <f>Submetering!L14</f>
        <v>176</v>
      </c>
    </row>
    <row r="15" spans="1:24" x14ac:dyDescent="0.25">
      <c r="A15" s="16" t="s">
        <v>25</v>
      </c>
      <c r="B15" s="9">
        <f t="shared" si="0"/>
        <v>14</v>
      </c>
      <c r="C15" s="9">
        <v>10</v>
      </c>
      <c r="D15" s="9">
        <v>2022</v>
      </c>
      <c r="E15" s="19">
        <f>Submetering!E15</f>
        <v>11721</v>
      </c>
      <c r="F15" s="35">
        <v>0.39</v>
      </c>
      <c r="G15" s="19">
        <f>Submetering!F15+Submetering!G15+Submetering!H15+Submetering!I15</f>
        <v>1126</v>
      </c>
      <c r="H15" s="30">
        <v>1.38</v>
      </c>
      <c r="I15" s="19">
        <f>Submetering!J15</f>
        <v>116</v>
      </c>
      <c r="J15" s="31">
        <v>2.73</v>
      </c>
      <c r="K15" s="19">
        <f>Submetering!K15</f>
        <v>97</v>
      </c>
      <c r="L15" s="19">
        <f>Submetering!L15</f>
        <v>184</v>
      </c>
    </row>
    <row r="16" spans="1:24" x14ac:dyDescent="0.25">
      <c r="A16" s="16" t="s">
        <v>25</v>
      </c>
      <c r="B16" s="9">
        <f t="shared" si="0"/>
        <v>15</v>
      </c>
      <c r="C16" s="9">
        <v>10</v>
      </c>
      <c r="D16" s="9">
        <v>2022</v>
      </c>
      <c r="E16" s="19">
        <f>Submetering!E16</f>
        <v>11103</v>
      </c>
      <c r="F16" s="35">
        <v>0.39</v>
      </c>
      <c r="G16" s="19">
        <f>Submetering!F16+Submetering!G16+Submetering!H16+Submetering!I16</f>
        <v>1106</v>
      </c>
      <c r="H16" s="30">
        <v>1.38</v>
      </c>
      <c r="I16" s="19">
        <f>Submetering!J16</f>
        <v>111</v>
      </c>
      <c r="J16" s="31">
        <v>2.73</v>
      </c>
      <c r="K16" s="19">
        <f>Submetering!K16</f>
        <v>98</v>
      </c>
      <c r="L16" s="19">
        <f>Submetering!L16</f>
        <v>188</v>
      </c>
    </row>
    <row r="17" spans="1:12" x14ac:dyDescent="0.25">
      <c r="A17" s="16" t="s">
        <v>25</v>
      </c>
      <c r="B17" s="9">
        <f t="shared" si="0"/>
        <v>16</v>
      </c>
      <c r="C17" s="9">
        <v>10</v>
      </c>
      <c r="D17" s="9">
        <v>2022</v>
      </c>
      <c r="E17" s="19">
        <f>Submetering!E17</f>
        <v>12567</v>
      </c>
      <c r="F17" s="35">
        <v>0.39</v>
      </c>
      <c r="G17" s="19">
        <f>Submetering!F17+Submetering!G17+Submetering!H17+Submetering!I17</f>
        <v>1156</v>
      </c>
      <c r="H17" s="30">
        <v>1.38</v>
      </c>
      <c r="I17" s="19">
        <f>Submetering!J17</f>
        <v>130</v>
      </c>
      <c r="J17" s="31">
        <v>2.73</v>
      </c>
      <c r="K17" s="19">
        <f>Submetering!K17</f>
        <v>100</v>
      </c>
      <c r="L17" s="19">
        <f>Submetering!L17</f>
        <v>187</v>
      </c>
    </row>
    <row r="18" spans="1:12" x14ac:dyDescent="0.25">
      <c r="A18" s="16" t="s">
        <v>25</v>
      </c>
      <c r="B18" s="9">
        <f t="shared" si="0"/>
        <v>17</v>
      </c>
      <c r="C18" s="9">
        <v>10</v>
      </c>
      <c r="D18" s="9">
        <v>2022</v>
      </c>
      <c r="E18" s="19">
        <f>Submetering!E18</f>
        <v>11403</v>
      </c>
      <c r="F18" s="35">
        <v>0.39</v>
      </c>
      <c r="G18" s="19">
        <f>Submetering!F18+Submetering!G18+Submetering!H18+Submetering!I18</f>
        <v>1053</v>
      </c>
      <c r="H18" s="30">
        <v>1.38</v>
      </c>
      <c r="I18" s="19">
        <f>Submetering!J18</f>
        <v>119</v>
      </c>
      <c r="J18" s="31">
        <v>2.73</v>
      </c>
      <c r="K18" s="19">
        <f>Submetering!K18</f>
        <v>96</v>
      </c>
      <c r="L18" s="19">
        <f>Submetering!L18</f>
        <v>183</v>
      </c>
    </row>
    <row r="19" spans="1:12" x14ac:dyDescent="0.25">
      <c r="A19" s="16" t="s">
        <v>25</v>
      </c>
      <c r="B19" s="9">
        <f t="shared" si="0"/>
        <v>18</v>
      </c>
      <c r="C19" s="9">
        <v>10</v>
      </c>
      <c r="D19" s="9">
        <v>2022</v>
      </c>
      <c r="E19" s="19">
        <f>Submetering!E19</f>
        <v>12096</v>
      </c>
      <c r="F19" s="35">
        <v>0.39</v>
      </c>
      <c r="G19" s="19">
        <f>Submetering!F19+Submetering!G19+Submetering!H19+Submetering!I19</f>
        <v>1167</v>
      </c>
      <c r="H19" s="30">
        <v>1.38</v>
      </c>
      <c r="I19" s="19">
        <f>Submetering!J19</f>
        <v>117</v>
      </c>
      <c r="J19" s="31">
        <v>2.73</v>
      </c>
      <c r="K19" s="19">
        <f>Submetering!K19</f>
        <v>98</v>
      </c>
      <c r="L19" s="19">
        <f>Submetering!L19</f>
        <v>189</v>
      </c>
    </row>
    <row r="20" spans="1:12" x14ac:dyDescent="0.25">
      <c r="A20" s="16" t="s">
        <v>25</v>
      </c>
      <c r="B20" s="9">
        <f t="shared" si="0"/>
        <v>19</v>
      </c>
      <c r="C20" s="9">
        <v>10</v>
      </c>
      <c r="D20" s="9">
        <v>2022</v>
      </c>
      <c r="E20" s="19">
        <f>Submetering!E20</f>
        <v>11799</v>
      </c>
      <c r="F20" s="35">
        <v>0.39</v>
      </c>
      <c r="G20" s="19">
        <f>Submetering!F20+Submetering!G20+Submetering!H20+Submetering!I20</f>
        <v>1068</v>
      </c>
      <c r="H20" s="30">
        <v>1.38</v>
      </c>
      <c r="I20" s="19">
        <f>Submetering!J20</f>
        <v>120</v>
      </c>
      <c r="J20" s="31">
        <v>2.73</v>
      </c>
      <c r="K20" s="19">
        <f>Submetering!K20</f>
        <v>83</v>
      </c>
      <c r="L20" s="19">
        <f>Submetering!L20</f>
        <v>150</v>
      </c>
    </row>
    <row r="21" spans="1:12" x14ac:dyDescent="0.25">
      <c r="A21" s="16" t="s">
        <v>25</v>
      </c>
      <c r="B21" s="9">
        <f t="shared" si="0"/>
        <v>20</v>
      </c>
      <c r="C21" s="9">
        <v>10</v>
      </c>
      <c r="D21" s="9">
        <v>2022</v>
      </c>
      <c r="E21" s="19">
        <f>Submetering!E21</f>
        <v>11424</v>
      </c>
      <c r="F21" s="35">
        <v>0.39</v>
      </c>
      <c r="G21" s="19">
        <f>Submetering!F21+Submetering!G21+Submetering!H21+Submetering!I21</f>
        <v>1086</v>
      </c>
      <c r="H21" s="30">
        <v>1.38</v>
      </c>
      <c r="I21" s="19">
        <f>Submetering!J21</f>
        <v>102</v>
      </c>
      <c r="J21" s="31">
        <v>2.73</v>
      </c>
      <c r="K21" s="19">
        <f>Submetering!K21</f>
        <v>64</v>
      </c>
      <c r="L21" s="19">
        <f>Submetering!L21</f>
        <v>120</v>
      </c>
    </row>
    <row r="22" spans="1:12" x14ac:dyDescent="0.25">
      <c r="A22" s="16" t="s">
        <v>25</v>
      </c>
      <c r="B22" s="9">
        <f t="shared" si="0"/>
        <v>21</v>
      </c>
      <c r="C22" s="9">
        <v>10</v>
      </c>
      <c r="D22" s="9">
        <v>2022</v>
      </c>
      <c r="E22" s="19">
        <f>Submetering!E22</f>
        <v>11583</v>
      </c>
      <c r="F22" s="35">
        <v>0.39</v>
      </c>
      <c r="G22" s="19">
        <f>Submetering!F22+Submetering!G22+Submetering!H22+Submetering!I22</f>
        <v>1121</v>
      </c>
      <c r="H22" s="30">
        <v>1.38</v>
      </c>
      <c r="I22" s="19">
        <f>Submetering!J22</f>
        <v>110</v>
      </c>
      <c r="J22" s="31">
        <v>2.73</v>
      </c>
      <c r="K22" s="19">
        <f>Submetering!K22</f>
        <v>108</v>
      </c>
      <c r="L22" s="19">
        <f>Submetering!L22</f>
        <v>211</v>
      </c>
    </row>
    <row r="23" spans="1:12" x14ac:dyDescent="0.25">
      <c r="A23" s="16" t="s">
        <v>25</v>
      </c>
      <c r="B23" s="9">
        <f t="shared" si="0"/>
        <v>22</v>
      </c>
      <c r="C23" s="9">
        <v>10</v>
      </c>
      <c r="D23" s="9">
        <v>2022</v>
      </c>
      <c r="E23" s="19">
        <f>Submetering!E23</f>
        <v>12000</v>
      </c>
      <c r="F23" s="35">
        <v>0.39</v>
      </c>
      <c r="G23" s="19">
        <f>Submetering!F23+Submetering!G23+Submetering!H23+Submetering!I23</f>
        <v>1094</v>
      </c>
      <c r="H23" s="30">
        <v>1.38</v>
      </c>
      <c r="I23" s="19">
        <f>Submetering!J23</f>
        <v>117</v>
      </c>
      <c r="J23" s="31">
        <v>2.73</v>
      </c>
      <c r="K23" s="19">
        <f>Submetering!K23</f>
        <v>112</v>
      </c>
      <c r="L23" s="19">
        <f>Submetering!L23</f>
        <v>229</v>
      </c>
    </row>
    <row r="24" spans="1:12" x14ac:dyDescent="0.25">
      <c r="A24" s="16" t="s">
        <v>25</v>
      </c>
      <c r="B24" s="9">
        <f t="shared" si="0"/>
        <v>23</v>
      </c>
      <c r="C24" s="9">
        <v>10</v>
      </c>
      <c r="D24" s="9">
        <v>2022</v>
      </c>
      <c r="E24" s="19">
        <f>Submetering!E24</f>
        <v>36246</v>
      </c>
      <c r="F24" s="35">
        <v>0.39</v>
      </c>
      <c r="G24" s="19">
        <f>Submetering!F24+Submetering!G24+Submetering!H24+Submetering!I24</f>
        <v>1086</v>
      </c>
      <c r="H24" s="30">
        <v>1.38</v>
      </c>
      <c r="I24" s="19">
        <f>Submetering!J24</f>
        <v>120</v>
      </c>
      <c r="J24" s="31">
        <v>2.73</v>
      </c>
      <c r="K24" s="19">
        <f>Submetering!K24</f>
        <v>80</v>
      </c>
      <c r="L24" s="19">
        <f>Submetering!L24</f>
        <v>161</v>
      </c>
    </row>
    <row r="25" spans="1:12" x14ac:dyDescent="0.25">
      <c r="A25" s="16" t="s">
        <v>25</v>
      </c>
      <c r="B25" s="9">
        <f t="shared" si="0"/>
        <v>24</v>
      </c>
      <c r="C25" s="9">
        <v>10</v>
      </c>
      <c r="D25" s="9">
        <v>2022</v>
      </c>
      <c r="E25" s="19">
        <f>Submetering!E25</f>
        <v>12480</v>
      </c>
      <c r="F25" s="35">
        <v>0.39</v>
      </c>
      <c r="G25" s="19">
        <f>Submetering!F25+Submetering!G25+Submetering!H25+Submetering!I25</f>
        <v>1159</v>
      </c>
      <c r="H25" s="30">
        <v>1.38</v>
      </c>
      <c r="I25" s="19">
        <f>Submetering!J25</f>
        <v>132</v>
      </c>
      <c r="J25" s="31">
        <v>2.73</v>
      </c>
      <c r="K25" s="19">
        <f>Submetering!K25</f>
        <v>102</v>
      </c>
      <c r="L25" s="19">
        <f>Submetering!L25</f>
        <v>202</v>
      </c>
    </row>
    <row r="26" spans="1:12" x14ac:dyDescent="0.25">
      <c r="A26" s="16" t="s">
        <v>25</v>
      </c>
      <c r="B26" s="9">
        <f>B25+1</f>
        <v>25</v>
      </c>
      <c r="C26" s="9">
        <v>10</v>
      </c>
      <c r="D26" s="9">
        <v>2022</v>
      </c>
      <c r="E26" s="19">
        <f>Submetering!E26</f>
        <v>12732</v>
      </c>
      <c r="F26" s="35">
        <v>0.39</v>
      </c>
      <c r="G26" s="19">
        <f>Submetering!F26+Submetering!G26+Submetering!H26+Submetering!I26</f>
        <v>903</v>
      </c>
      <c r="H26" s="30">
        <v>1.38</v>
      </c>
      <c r="I26" s="19">
        <f>Submetering!J26</f>
        <v>112</v>
      </c>
      <c r="J26" s="31">
        <v>2.73</v>
      </c>
      <c r="K26" s="19">
        <f>Submetering!K26</f>
        <v>109</v>
      </c>
      <c r="L26" s="19">
        <f>Submetering!L26</f>
        <v>216</v>
      </c>
    </row>
    <row r="27" spans="1:12" x14ac:dyDescent="0.25">
      <c r="A27" s="16" t="s">
        <v>25</v>
      </c>
      <c r="B27" s="9">
        <f t="shared" si="0"/>
        <v>26</v>
      </c>
      <c r="C27" s="9">
        <v>10</v>
      </c>
      <c r="D27" s="9">
        <v>2022</v>
      </c>
      <c r="E27" s="19">
        <f>Submetering!E27</f>
        <v>14946</v>
      </c>
      <c r="F27" s="35">
        <v>0.39</v>
      </c>
      <c r="G27" s="19">
        <f>Submetering!F27+Submetering!G27+Submetering!H27+Submetering!I27</f>
        <v>1315</v>
      </c>
      <c r="H27" s="30">
        <v>1.38</v>
      </c>
      <c r="I27" s="19">
        <f>Submetering!J27</f>
        <v>170</v>
      </c>
      <c r="J27" s="31">
        <v>2.73</v>
      </c>
      <c r="K27" s="19">
        <f>Submetering!K27</f>
        <v>114</v>
      </c>
      <c r="L27" s="19">
        <f>Submetering!L27</f>
        <v>214</v>
      </c>
    </row>
    <row r="28" spans="1:12" x14ac:dyDescent="0.25">
      <c r="A28" s="16" t="s">
        <v>25</v>
      </c>
      <c r="B28" s="9">
        <f t="shared" si="0"/>
        <v>27</v>
      </c>
      <c r="C28" s="9">
        <v>10</v>
      </c>
      <c r="D28" s="9">
        <v>2022</v>
      </c>
      <c r="E28" s="19">
        <f>Submetering!E28</f>
        <v>8727</v>
      </c>
      <c r="F28" s="35">
        <v>0.39</v>
      </c>
      <c r="G28" s="19">
        <f>Submetering!F28+Submetering!G28+Submetering!H28+Submetering!I28</f>
        <v>768</v>
      </c>
      <c r="H28" s="30">
        <v>1.38</v>
      </c>
      <c r="I28" s="19">
        <f>Submetering!J28</f>
        <v>76</v>
      </c>
      <c r="J28" s="31">
        <v>2.73</v>
      </c>
      <c r="K28" s="19">
        <f>Submetering!K28</f>
        <v>109</v>
      </c>
      <c r="L28" s="19">
        <f>Submetering!L28</f>
        <v>209</v>
      </c>
    </row>
    <row r="29" spans="1:12" x14ac:dyDescent="0.25">
      <c r="A29" s="16" t="s">
        <v>25</v>
      </c>
      <c r="B29" s="9">
        <f t="shared" si="0"/>
        <v>28</v>
      </c>
      <c r="C29" s="9">
        <v>10</v>
      </c>
      <c r="D29" s="9">
        <v>2022</v>
      </c>
      <c r="E29" s="19">
        <f>Submetering!E29</f>
        <v>12168</v>
      </c>
      <c r="F29" s="35">
        <v>0.39</v>
      </c>
      <c r="G29" s="19">
        <f>Submetering!F29+Submetering!G29+Submetering!H29+Submetering!I29</f>
        <v>1151</v>
      </c>
      <c r="H29" s="30">
        <v>1.38</v>
      </c>
      <c r="I29" s="19">
        <f>Submetering!J29</f>
        <v>137</v>
      </c>
      <c r="J29" s="31">
        <v>2.73</v>
      </c>
      <c r="K29" s="19">
        <f>Submetering!K29</f>
        <v>104</v>
      </c>
      <c r="L29" s="19">
        <f>Submetering!L29</f>
        <v>209</v>
      </c>
    </row>
    <row r="30" spans="1:12" x14ac:dyDescent="0.25">
      <c r="A30" s="16" t="s">
        <v>25</v>
      </c>
      <c r="B30" s="9">
        <f t="shared" si="0"/>
        <v>29</v>
      </c>
      <c r="C30" s="9">
        <v>10</v>
      </c>
      <c r="D30" s="9">
        <v>2022</v>
      </c>
      <c r="E30" s="19">
        <f>Submetering!E30</f>
        <v>11889</v>
      </c>
      <c r="F30" s="35">
        <v>0.39</v>
      </c>
      <c r="G30" s="19">
        <f>Submetering!F30+Submetering!G30+Submetering!H30+Submetering!I30</f>
        <v>1154</v>
      </c>
      <c r="H30" s="30">
        <v>1.38</v>
      </c>
      <c r="I30" s="19">
        <f>Submetering!J30</f>
        <v>117</v>
      </c>
      <c r="J30" s="31">
        <v>2.73</v>
      </c>
      <c r="K30" s="19">
        <f>Submetering!K30</f>
        <v>104</v>
      </c>
      <c r="L30" s="19">
        <f>Submetering!L30</f>
        <v>199</v>
      </c>
    </row>
    <row r="31" spans="1:12" x14ac:dyDescent="0.25">
      <c r="A31" s="16" t="s">
        <v>25</v>
      </c>
      <c r="B31" s="9">
        <f t="shared" si="0"/>
        <v>30</v>
      </c>
      <c r="C31" s="9">
        <v>10</v>
      </c>
      <c r="D31" s="9">
        <v>2022</v>
      </c>
      <c r="E31" s="19">
        <f>Submetering!E31</f>
        <v>11562</v>
      </c>
      <c r="F31" s="35">
        <v>0.39</v>
      </c>
      <c r="G31" s="19">
        <f>Submetering!F31+Submetering!G31+Submetering!H31+Submetering!I31</f>
        <v>1177</v>
      </c>
      <c r="H31" s="30">
        <v>1.38</v>
      </c>
      <c r="I31" s="19">
        <f>Submetering!J31</f>
        <v>121</v>
      </c>
      <c r="J31" s="31">
        <v>2.73</v>
      </c>
      <c r="K31" s="19">
        <f>Submetering!K31</f>
        <v>88</v>
      </c>
      <c r="L31" s="19">
        <f>Submetering!L31</f>
        <v>172</v>
      </c>
    </row>
    <row r="32" spans="1:12" x14ac:dyDescent="0.25">
      <c r="A32" s="16" t="s">
        <v>25</v>
      </c>
      <c r="B32" s="9">
        <f t="shared" si="0"/>
        <v>31</v>
      </c>
      <c r="C32" s="9">
        <v>10</v>
      </c>
      <c r="D32" s="9">
        <v>2022</v>
      </c>
      <c r="E32" s="19">
        <f>Submetering!E32</f>
        <v>10803</v>
      </c>
      <c r="F32" s="35">
        <v>0.39</v>
      </c>
      <c r="G32" s="19">
        <f>Submetering!F32+Submetering!G32+Submetering!H32+Submetering!I32</f>
        <v>1081</v>
      </c>
      <c r="H32" s="30">
        <v>1.38</v>
      </c>
      <c r="I32" s="19">
        <f>Submetering!J32</f>
        <v>99</v>
      </c>
      <c r="J32" s="31">
        <v>2.73</v>
      </c>
      <c r="K32" s="19">
        <f>Submetering!K32</f>
        <v>85</v>
      </c>
      <c r="L32" s="19">
        <f>Submetering!L32</f>
        <v>159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6" sqref="I6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9">
        <v>10</v>
      </c>
      <c r="D2" s="6">
        <v>2022</v>
      </c>
      <c r="E2" s="19">
        <f>IF(('Florence Daily'!C5-'Florence Daily'!C4&lt;0), "0",('Florence Daily'!C5-'Florence Daily'!C4)*3)</f>
        <v>11580</v>
      </c>
      <c r="F2" s="19">
        <f>IF(('Florence Daily'!E5-'Florence Daily'!E4)&lt;0,"0",('Florence Daily'!E5-'Florence Daily'!E4))</f>
        <v>1146</v>
      </c>
      <c r="G2" s="19">
        <f>IF(('Florence Daily'!G5-'Florence Daily'!G4)&lt;0,"0",('Florence Daily'!G5-'Florence Daily'!G4))</f>
        <v>3</v>
      </c>
      <c r="H2" s="19">
        <f>IF(('Florence Daily'!J5-'Florence Daily'!J4)&lt;0,"0",('Florence Daily'!J5-'Florence Daily'!J4))</f>
        <v>26</v>
      </c>
      <c r="I2" s="19">
        <f>IF(('Florence Daily'!L5-'Florence Daily'!L4)&lt;0,"0",('Florence Daily'!L5-'Florence Daily'!L4))</f>
        <v>26</v>
      </c>
      <c r="J2" s="19">
        <f>IF(('Florence Daily'!N5-'Florence Daily'!N4)&lt;0,"0",('Florence Daily'!N5-'Florence Daily'!N4))</f>
        <v>107</v>
      </c>
      <c r="K2" s="19">
        <f>'Florence Daily'!P5</f>
        <v>104</v>
      </c>
      <c r="L2" s="19">
        <f>'Florence Daily'!Q5</f>
        <v>155</v>
      </c>
    </row>
    <row r="3" spans="1:12" x14ac:dyDescent="0.25">
      <c r="A3" s="16" t="s">
        <v>25</v>
      </c>
      <c r="B3" s="6">
        <f>B2+1</f>
        <v>2</v>
      </c>
      <c r="C3" s="9">
        <v>10</v>
      </c>
      <c r="D3" s="6">
        <v>2022</v>
      </c>
      <c r="E3" s="19">
        <f>IF(('Florence Daily'!C6-'Florence Daily'!C5&lt;0), "0",('Florence Daily'!C6-'Florence Daily'!C5)*3)</f>
        <v>11538</v>
      </c>
      <c r="F3" s="19">
        <f>IF(('Florence Daily'!E6-'Florence Daily'!E5)&lt;0,"0",('Florence Daily'!E6-'Florence Daily'!E5))</f>
        <v>1045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18</v>
      </c>
      <c r="I3" s="19">
        <f>IF(('Florence Daily'!L6-'Florence Daily'!L5)&lt;0,"0",('Florence Daily'!L6-'Florence Daily'!L5))</f>
        <v>56</v>
      </c>
      <c r="J3" s="19">
        <f>IF(('Florence Daily'!N6-'Florence Daily'!N5)&lt;0,"0",('Florence Daily'!N6-'Florence Daily'!N5))</f>
        <v>105</v>
      </c>
      <c r="K3" s="19">
        <f>'Florence Daily'!P6</f>
        <v>85</v>
      </c>
      <c r="L3" s="19">
        <f>'Florence Daily'!Q6</f>
        <v>154</v>
      </c>
    </row>
    <row r="4" spans="1:12" x14ac:dyDescent="0.25">
      <c r="A4" s="16" t="s">
        <v>25</v>
      </c>
      <c r="B4" s="6">
        <f t="shared" ref="B4:B32" si="0">B3+1</f>
        <v>3</v>
      </c>
      <c r="C4" s="9">
        <v>10</v>
      </c>
      <c r="D4" s="6">
        <v>2022</v>
      </c>
      <c r="E4" s="19">
        <f>IF(('Florence Daily'!C7-'Florence Daily'!C6&lt;0), "0",('Florence Daily'!C7-'Florence Daily'!C6)*3)</f>
        <v>12297</v>
      </c>
      <c r="F4" s="19">
        <f>IF(('Florence Daily'!E7-'Florence Daily'!E6)&lt;0,"0",('Florence Daily'!E7-'Florence Daily'!E6))</f>
        <v>1065</v>
      </c>
      <c r="G4" s="19">
        <f>IF(('Florence Daily'!G7-'Florence Daily'!G6)&lt;0,"0",('Florence Daily'!G7-'Florence Daily'!G6))</f>
        <v>2</v>
      </c>
      <c r="H4" s="19">
        <f>IF(('Florence Daily'!J7-'Florence Daily'!J6)&lt;0,"0",('Florence Daily'!J7-'Florence Daily'!J6))</f>
        <v>19</v>
      </c>
      <c r="I4" s="19">
        <f>IF(('Florence Daily'!L7-'Florence Daily'!L6)&lt;0,"0",('Florence Daily'!L7-'Florence Daily'!L6))</f>
        <v>53</v>
      </c>
      <c r="J4" s="19">
        <f>IF(('Florence Daily'!N7-'Florence Daily'!N6)&lt;0,"0",('Florence Daily'!N7-'Florence Daily'!N6))</f>
        <v>100</v>
      </c>
      <c r="K4" s="19">
        <f>'Florence Daily'!P7</f>
        <v>88</v>
      </c>
      <c r="L4" s="19">
        <f>'Florence Daily'!Q7</f>
        <v>160</v>
      </c>
    </row>
    <row r="5" spans="1:12" x14ac:dyDescent="0.25">
      <c r="A5" s="16" t="s">
        <v>25</v>
      </c>
      <c r="B5" s="6">
        <f t="shared" si="0"/>
        <v>4</v>
      </c>
      <c r="C5" s="9">
        <v>10</v>
      </c>
      <c r="D5" s="6">
        <v>2022</v>
      </c>
      <c r="E5" s="19">
        <f>IF(('Florence Daily'!C8-'Florence Daily'!C7&lt;0), "0",('Florence Daily'!C8-'Florence Daily'!C7)*3)</f>
        <v>12360</v>
      </c>
      <c r="F5" s="19">
        <f>IF(('Florence Daily'!E8-'Florence Daily'!E7)&lt;0,"0",('Florence Daily'!E8-'Florence Daily'!E7))</f>
        <v>1075</v>
      </c>
      <c r="G5" s="19">
        <f>IF(('Florence Daily'!G8-'Florence Daily'!G7)&lt;0,"0",('Florence Daily'!G8-'Florence Daily'!G7))</f>
        <v>1</v>
      </c>
      <c r="H5" s="19">
        <f>IF(('Florence Daily'!J8-'Florence Daily'!J7)&lt;0,"0",('Florence Daily'!J8-'Florence Daily'!J7))</f>
        <v>27</v>
      </c>
      <c r="I5" s="19">
        <f>IF(('Florence Daily'!L8-'Florence Daily'!L7)&lt;0,"0",('Florence Daily'!L8-'Florence Daily'!L7))</f>
        <v>54</v>
      </c>
      <c r="J5" s="19">
        <f>IF(('Florence Daily'!N8-'Florence Daily'!N7)&lt;0,"0",('Florence Daily'!N8-'Florence Daily'!N7))</f>
        <v>102</v>
      </c>
      <c r="K5" s="19">
        <f>'Florence Daily'!P8</f>
        <v>102</v>
      </c>
      <c r="L5" s="19">
        <f>'Florence Daily'!Q8</f>
        <v>183</v>
      </c>
    </row>
    <row r="6" spans="1:12" x14ac:dyDescent="0.25">
      <c r="A6" s="16" t="s">
        <v>25</v>
      </c>
      <c r="B6" s="6">
        <f t="shared" si="0"/>
        <v>5</v>
      </c>
      <c r="C6" s="9">
        <v>10</v>
      </c>
      <c r="D6" s="6">
        <v>2022</v>
      </c>
      <c r="E6" s="19">
        <f>IF(('Florence Daily'!C9-'Florence Daily'!C8&lt;0), "0",('Florence Daily'!C9-'Florence Daily'!C8)*3)</f>
        <v>11016</v>
      </c>
      <c r="F6" s="19">
        <f>IF(('Florence Daily'!E9-'Florence Daily'!E8)&lt;0,"0",('Florence Daily'!E9-'Florence Daily'!E8))</f>
        <v>980</v>
      </c>
      <c r="G6" s="19">
        <f>IF(('Florence Daily'!G9-'Florence Daily'!G8)&lt;0,"0",('Florence Daily'!G9-'Florence Daily'!G8))</f>
        <v>1</v>
      </c>
      <c r="H6" s="19">
        <f>IF(('Florence Daily'!J9-'Florence Daily'!J8)&lt;0,"0",('Florence Daily'!J9-'Florence Daily'!J8))</f>
        <v>34</v>
      </c>
      <c r="I6" s="19">
        <f>IF(('Florence Daily'!L9-'Florence Daily'!L8)&lt;0,"0",('Florence Daily'!L9-'Florence Daily'!L8))</f>
        <v>49</v>
      </c>
      <c r="J6" s="19">
        <f>IF(('Florence Daily'!N9-'Florence Daily'!N8)&lt;0,"0",('Florence Daily'!N9-'Florence Daily'!N8))</f>
        <v>99</v>
      </c>
      <c r="K6" s="19">
        <f>'Florence Daily'!P9</f>
        <v>91</v>
      </c>
      <c r="L6" s="19">
        <f>'Florence Daily'!Q9</f>
        <v>169</v>
      </c>
    </row>
    <row r="7" spans="1:12" x14ac:dyDescent="0.25">
      <c r="A7" s="16" t="s">
        <v>25</v>
      </c>
      <c r="B7" s="6">
        <f t="shared" si="0"/>
        <v>6</v>
      </c>
      <c r="C7" s="9">
        <v>10</v>
      </c>
      <c r="D7" s="6">
        <v>2022</v>
      </c>
      <c r="E7" s="19">
        <f>IF(('Florence Daily'!C10-'Florence Daily'!C9&lt;0), "0",('Florence Daily'!C10-'Florence Daily'!C9)*3)</f>
        <v>12096</v>
      </c>
      <c r="F7" s="19">
        <f>IF(('Florence Daily'!E10-'Florence Daily'!E9)&lt;0,"0",('Florence Daily'!E10-'Florence Daily'!E9))</f>
        <v>1051</v>
      </c>
      <c r="G7" s="19">
        <f>IF(('Florence Daily'!G10-'Florence Daily'!G9)&lt;0,"0",('Florence Daily'!G10-'Florence Daily'!G9))</f>
        <v>1</v>
      </c>
      <c r="H7" s="19">
        <f>IF(('Florence Daily'!J10-'Florence Daily'!J9)&lt;0,"0",('Florence Daily'!J10-'Florence Daily'!J9))</f>
        <v>30</v>
      </c>
      <c r="I7" s="19">
        <f>IF(('Florence Daily'!L10-'Florence Daily'!L9)&lt;0,"0",('Florence Daily'!L10-'Florence Daily'!L9))</f>
        <v>60</v>
      </c>
      <c r="J7" s="19">
        <f>IF(('Florence Daily'!N10-'Florence Daily'!N9)&lt;0,"0",('Florence Daily'!N10-'Florence Daily'!N9))</f>
        <v>112</v>
      </c>
      <c r="K7" s="19">
        <f>'Florence Daily'!P10</f>
        <v>89</v>
      </c>
      <c r="L7" s="19">
        <f>'Florence Daily'!Q10</f>
        <v>158</v>
      </c>
    </row>
    <row r="8" spans="1:12" x14ac:dyDescent="0.25">
      <c r="A8" s="16" t="s">
        <v>25</v>
      </c>
      <c r="B8" s="6">
        <f t="shared" si="0"/>
        <v>7</v>
      </c>
      <c r="C8" s="9">
        <v>10</v>
      </c>
      <c r="D8" s="6">
        <v>2022</v>
      </c>
      <c r="E8" s="19">
        <f>IF(('Florence Daily'!C11-'Florence Daily'!C10&lt;0), "0",('Florence Daily'!C11-'Florence Daily'!C10)*3)</f>
        <v>11823</v>
      </c>
      <c r="F8" s="19">
        <f>IF(('Florence Daily'!E11-'Florence Daily'!E10)&lt;0,"0",('Florence Daily'!E11-'Florence Daily'!E10))</f>
        <v>1035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51</v>
      </c>
      <c r="I8" s="19">
        <f>IF(('Florence Daily'!L11-'Florence Daily'!L10)&lt;0,"0",('Florence Daily'!L11-'Florence Daily'!L10))</f>
        <v>58</v>
      </c>
      <c r="J8" s="19">
        <f>IF(('Florence Daily'!N11-'Florence Daily'!N10)&lt;0,"0",('Florence Daily'!N11-'Florence Daily'!N10))</f>
        <v>114</v>
      </c>
      <c r="K8" s="19">
        <f>'Florence Daily'!P11</f>
        <v>103</v>
      </c>
      <c r="L8" s="19">
        <f>'Florence Daily'!Q11</f>
        <v>180</v>
      </c>
    </row>
    <row r="9" spans="1:12" x14ac:dyDescent="0.25">
      <c r="A9" s="16" t="s">
        <v>25</v>
      </c>
      <c r="B9" s="6">
        <f t="shared" si="0"/>
        <v>8</v>
      </c>
      <c r="C9" s="9">
        <v>10</v>
      </c>
      <c r="D9" s="6">
        <v>2022</v>
      </c>
      <c r="E9" s="19">
        <f>IF(('Florence Daily'!C12-'Florence Daily'!C11&lt;0), "0",('Florence Daily'!C12-'Florence Daily'!C11)*3)</f>
        <v>11805</v>
      </c>
      <c r="F9" s="19">
        <f>IF(('Florence Daily'!E12-'Florence Daily'!E11)&lt;0,"0",('Florence Daily'!E12-'Florence Daily'!E11))</f>
        <v>1018</v>
      </c>
      <c r="G9" s="19">
        <f>IF(('Florence Daily'!G12-'Florence Daily'!G11)&lt;0,"0",('Florence Daily'!G12-'Florence Daily'!G11))</f>
        <v>2</v>
      </c>
      <c r="H9" s="19">
        <f>IF(('Florence Daily'!J12-'Florence Daily'!J11)&lt;0,"0",('Florence Daily'!J12-'Florence Daily'!J11))</f>
        <v>44</v>
      </c>
      <c r="I9" s="19">
        <f>IF(('Florence Daily'!L12-'Florence Daily'!L11)&lt;0,"0",('Florence Daily'!L12-'Florence Daily'!L11))</f>
        <v>60</v>
      </c>
      <c r="J9" s="19">
        <f>IF(('Florence Daily'!N12-'Florence Daily'!N11)&lt;0,"0",('Florence Daily'!N12-'Florence Daily'!N11))</f>
        <v>119</v>
      </c>
      <c r="K9" s="19">
        <f>'Florence Daily'!P12</f>
        <v>101</v>
      </c>
      <c r="L9" s="19">
        <f>'Florence Daily'!Q12</f>
        <v>189</v>
      </c>
    </row>
    <row r="10" spans="1:12" x14ac:dyDescent="0.25">
      <c r="A10" s="16" t="s">
        <v>25</v>
      </c>
      <c r="B10" s="6">
        <f t="shared" si="0"/>
        <v>9</v>
      </c>
      <c r="C10" s="9">
        <v>10</v>
      </c>
      <c r="D10" s="6">
        <v>2022</v>
      </c>
      <c r="E10" s="19">
        <f>IF(('Florence Daily'!C13-'Florence Daily'!C12&lt;0), "0",('Florence Daily'!C13-'Florence Daily'!C12)*3)</f>
        <v>12438</v>
      </c>
      <c r="F10" s="19">
        <f>IF(('Florence Daily'!E13-'Florence Daily'!E12)&lt;0,"0",('Florence Daily'!E13-'Florence Daily'!E12))</f>
        <v>1116</v>
      </c>
      <c r="G10" s="19">
        <f>IF(('Florence Daily'!G13-'Florence Daily'!G12)&lt;0,"0",('Florence Daily'!G13-'Florence Daily'!G12))</f>
        <v>1</v>
      </c>
      <c r="H10" s="19">
        <f>IF(('Florence Daily'!J13-'Florence Daily'!J12)&lt;0,"0",('Florence Daily'!J13-'Florence Daily'!J12))</f>
        <v>26</v>
      </c>
      <c r="I10" s="19">
        <f>IF(('Florence Daily'!L13-'Florence Daily'!L12)&lt;0,"0",('Florence Daily'!L13-'Florence Daily'!L12))</f>
        <v>62</v>
      </c>
      <c r="J10" s="19">
        <f>IF(('Florence Daily'!N13-'Florence Daily'!N12)&lt;0,"0",('Florence Daily'!N13-'Florence Daily'!N12))</f>
        <v>125</v>
      </c>
      <c r="K10" s="19">
        <f>'Florence Daily'!P13</f>
        <v>105</v>
      </c>
      <c r="L10" s="19">
        <f>'Florence Daily'!Q13</f>
        <v>195</v>
      </c>
    </row>
    <row r="11" spans="1:12" x14ac:dyDescent="0.25">
      <c r="A11" s="16" t="s">
        <v>25</v>
      </c>
      <c r="B11" s="6">
        <f t="shared" si="0"/>
        <v>10</v>
      </c>
      <c r="C11" s="9">
        <v>10</v>
      </c>
      <c r="D11" s="6">
        <v>2022</v>
      </c>
      <c r="E11" s="19">
        <f>IF(('Florence Daily'!C14-'Florence Daily'!C13&lt;0), "0",('Florence Daily'!C14-'Florence Daily'!C13)*3)</f>
        <v>12306</v>
      </c>
      <c r="F11" s="19">
        <f>IF(('Florence Daily'!E14-'Florence Daily'!E13)&lt;0,"0",('Florence Daily'!E14-'Florence Daily'!E13))</f>
        <v>1034</v>
      </c>
      <c r="G11" s="19">
        <f>IF(('Florence Daily'!G14-'Florence Daily'!G13)&lt;0,"0",('Florence Daily'!G14-'Florence Daily'!G13))</f>
        <v>1</v>
      </c>
      <c r="H11" s="19">
        <f>IF(('Florence Daily'!J14-'Florence Daily'!J13)&lt;0,"0",('Florence Daily'!J14-'Florence Daily'!J13))</f>
        <v>44</v>
      </c>
      <c r="I11" s="19">
        <f>IF(('Florence Daily'!L14-'Florence Daily'!L13)&lt;0,"0",('Florence Daily'!L14-'Florence Daily'!L13))</f>
        <v>60</v>
      </c>
      <c r="J11" s="19">
        <f>IF(('Florence Daily'!N14-'Florence Daily'!N13)&lt;0,"0",('Florence Daily'!N14-'Florence Daily'!N13))</f>
        <v>120</v>
      </c>
      <c r="K11" s="19">
        <f>'Florence Daily'!P14</f>
        <v>88</v>
      </c>
      <c r="L11" s="19">
        <f>'Florence Daily'!Q14</f>
        <v>182</v>
      </c>
    </row>
    <row r="12" spans="1:12" x14ac:dyDescent="0.25">
      <c r="A12" s="16" t="s">
        <v>25</v>
      </c>
      <c r="B12" s="6">
        <f t="shared" si="0"/>
        <v>11</v>
      </c>
      <c r="C12" s="9">
        <v>10</v>
      </c>
      <c r="D12" s="6">
        <v>2022</v>
      </c>
      <c r="E12" s="19">
        <f>IF(('Florence Daily'!C15-'Florence Daily'!C14&lt;0), "0",('Florence Daily'!C15-'Florence Daily'!C14)*3)</f>
        <v>11013</v>
      </c>
      <c r="F12" s="19">
        <f>IF(('Florence Daily'!E15-'Florence Daily'!E14)&lt;0,"0",('Florence Daily'!E15-'Florence Daily'!E14))</f>
        <v>931</v>
      </c>
      <c r="G12" s="19">
        <f>IF(('Florence Daily'!G15-'Florence Daily'!G14)&lt;0,"0",('Florence Daily'!G15-'Florence Daily'!G14))</f>
        <v>3</v>
      </c>
      <c r="H12" s="19">
        <f>IF(('Florence Daily'!J15-'Florence Daily'!J14)&lt;0,"0",('Florence Daily'!J15-'Florence Daily'!J14))</f>
        <v>32</v>
      </c>
      <c r="I12" s="19">
        <f>IF(('Florence Daily'!L15-'Florence Daily'!L14)&lt;0,"0",('Florence Daily'!L15-'Florence Daily'!L14))</f>
        <v>49</v>
      </c>
      <c r="J12" s="19">
        <f>IF(('Florence Daily'!N15-'Florence Daily'!N14)&lt;0,"0",('Florence Daily'!N15-'Florence Daily'!N14))</f>
        <v>102</v>
      </c>
      <c r="K12" s="19">
        <f>'Florence Daily'!P15</f>
        <v>94</v>
      </c>
      <c r="L12" s="19">
        <f>'Florence Daily'!Q15</f>
        <v>167</v>
      </c>
    </row>
    <row r="13" spans="1:12" x14ac:dyDescent="0.25">
      <c r="A13" s="16" t="s">
        <v>25</v>
      </c>
      <c r="B13" s="6">
        <f t="shared" si="0"/>
        <v>12</v>
      </c>
      <c r="C13" s="9">
        <v>10</v>
      </c>
      <c r="D13" s="6">
        <v>2022</v>
      </c>
      <c r="E13" s="19">
        <f>IF(('Florence Daily'!C16-'Florence Daily'!C15&lt;0), "0",('Florence Daily'!C16-'Florence Daily'!C15)*3)</f>
        <v>11541</v>
      </c>
      <c r="F13" s="19">
        <f>IF(('Florence Daily'!E16-'Florence Daily'!E15)&lt;0,"0",('Florence Daily'!E16-'Florence Daily'!E15))</f>
        <v>980</v>
      </c>
      <c r="G13" s="19">
        <f>IF(('Florence Daily'!G16-'Florence Daily'!G15)&lt;0,"0",('Florence Daily'!G16-'Florence Daily'!G15))</f>
        <v>2</v>
      </c>
      <c r="H13" s="19">
        <f>IF(('Florence Daily'!J16-'Florence Daily'!J15)&lt;0,"0",('Florence Daily'!J16-'Florence Daily'!J15))</f>
        <v>51</v>
      </c>
      <c r="I13" s="19">
        <f>IF(('Florence Daily'!L16-'Florence Daily'!L15)&lt;0,"0",('Florence Daily'!L16-'Florence Daily'!L15))</f>
        <v>49</v>
      </c>
      <c r="J13" s="19">
        <f>IF(('Florence Daily'!N16-'Florence Daily'!N15)&lt;0,"0",('Florence Daily'!N16-'Florence Daily'!N15))</f>
        <v>109</v>
      </c>
      <c r="K13" s="19">
        <f>'Florence Daily'!P16</f>
        <v>107</v>
      </c>
      <c r="L13" s="19">
        <f>'Florence Daily'!Q16</f>
        <v>190</v>
      </c>
    </row>
    <row r="14" spans="1:12" x14ac:dyDescent="0.25">
      <c r="A14" s="16" t="s">
        <v>25</v>
      </c>
      <c r="B14" s="6">
        <f t="shared" si="0"/>
        <v>13</v>
      </c>
      <c r="C14" s="9">
        <v>10</v>
      </c>
      <c r="D14" s="6">
        <v>2022</v>
      </c>
      <c r="E14" s="19">
        <f>IF(('Florence Daily'!C17-'Florence Daily'!C16&lt;0), "0",('Florence Daily'!C17-'Florence Daily'!C16)*3)</f>
        <v>12207</v>
      </c>
      <c r="F14" s="19">
        <f>IF(('Florence Daily'!E17-'Florence Daily'!E16)&lt;0,"0",('Florence Daily'!E17-'Florence Daily'!E16))</f>
        <v>1008</v>
      </c>
      <c r="G14" s="19">
        <f>IF(('Florence Daily'!G17-'Florence Daily'!G16)&lt;0,"0",('Florence Daily'!G17-'Florence Daily'!G16))</f>
        <v>2</v>
      </c>
      <c r="H14" s="19">
        <f>IF(('Florence Daily'!J17-'Florence Daily'!J16)&lt;0,"0",('Florence Daily'!J17-'Florence Daily'!J16))</f>
        <v>42</v>
      </c>
      <c r="I14" s="19">
        <f>IF(('Florence Daily'!L17-'Florence Daily'!L16)&lt;0,"0",('Florence Daily'!L17-'Florence Daily'!L16))</f>
        <v>48</v>
      </c>
      <c r="J14" s="19">
        <f>IF(('Florence Daily'!N17-'Florence Daily'!N16)&lt;0,"0",('Florence Daily'!N17-'Florence Daily'!N16))</f>
        <v>124</v>
      </c>
      <c r="K14" s="19">
        <f>'Florence Daily'!P17</f>
        <v>90</v>
      </c>
      <c r="L14" s="19">
        <f>'Florence Daily'!Q17</f>
        <v>176</v>
      </c>
    </row>
    <row r="15" spans="1:12" x14ac:dyDescent="0.25">
      <c r="A15" s="16" t="s">
        <v>25</v>
      </c>
      <c r="B15" s="6">
        <f t="shared" si="0"/>
        <v>14</v>
      </c>
      <c r="C15" s="9">
        <v>10</v>
      </c>
      <c r="D15" s="6">
        <v>2022</v>
      </c>
      <c r="E15" s="19">
        <f>IF(('Florence Daily'!C18-'Florence Daily'!C17&lt;0), "0",('Florence Daily'!C18-'Florence Daily'!C17)*3)</f>
        <v>11721</v>
      </c>
      <c r="F15" s="19">
        <f>IF(('Florence Daily'!E18-'Florence Daily'!E17)&lt;0,"0",('Florence Daily'!E18-'Florence Daily'!E17))</f>
        <v>1039</v>
      </c>
      <c r="G15" s="19">
        <f>IF(('Florence Daily'!G18-'Florence Daily'!G17)&lt;0,"0",('Florence Daily'!G18-'Florence Daily'!G17))</f>
        <v>1</v>
      </c>
      <c r="H15" s="19">
        <f>IF(('Florence Daily'!J18-'Florence Daily'!J17)&lt;0,"0",('Florence Daily'!J18-'Florence Daily'!J17))</f>
        <v>33</v>
      </c>
      <c r="I15" s="19">
        <f>IF(('Florence Daily'!L18-'Florence Daily'!L17)&lt;0,"0",('Florence Daily'!L18-'Florence Daily'!L17))</f>
        <v>53</v>
      </c>
      <c r="J15" s="19">
        <f>IF(('Florence Daily'!N18-'Florence Daily'!N17)&lt;0,"0",('Florence Daily'!N18-'Florence Daily'!N17))</f>
        <v>116</v>
      </c>
      <c r="K15" s="19">
        <f>'Florence Daily'!P18</f>
        <v>97</v>
      </c>
      <c r="L15" s="19">
        <f>'Florence Daily'!Q18</f>
        <v>184</v>
      </c>
    </row>
    <row r="16" spans="1:12" x14ac:dyDescent="0.25">
      <c r="A16" s="16" t="s">
        <v>25</v>
      </c>
      <c r="B16" s="6">
        <f t="shared" si="0"/>
        <v>15</v>
      </c>
      <c r="C16" s="9">
        <v>10</v>
      </c>
      <c r="D16" s="6">
        <v>2022</v>
      </c>
      <c r="E16" s="19">
        <f>IF(('Florence Daily'!C19-'Florence Daily'!C18&lt;0), "0",('Florence Daily'!C19-'Florence Daily'!C18)*3)</f>
        <v>11103</v>
      </c>
      <c r="F16" s="19">
        <f>IF(('Florence Daily'!E19-'Florence Daily'!E18)&lt;0,"0",('Florence Daily'!E19-'Florence Daily'!E18))</f>
        <v>991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54</v>
      </c>
      <c r="I16" s="19">
        <f>IF(('Florence Daily'!L19-'Florence Daily'!L18)&lt;0,"0",('Florence Daily'!L19-'Florence Daily'!L18))</f>
        <v>61</v>
      </c>
      <c r="J16" s="19">
        <f>IF(('Florence Daily'!N19-'Florence Daily'!N18)&lt;0,"0",('Florence Daily'!N19-'Florence Daily'!N18))</f>
        <v>111</v>
      </c>
      <c r="K16" s="19">
        <f>'Florence Daily'!P19</f>
        <v>98</v>
      </c>
      <c r="L16" s="19">
        <f>'Florence Daily'!Q19</f>
        <v>188</v>
      </c>
    </row>
    <row r="17" spans="1:12" x14ac:dyDescent="0.25">
      <c r="A17" s="16" t="s">
        <v>25</v>
      </c>
      <c r="B17" s="6">
        <f t="shared" si="0"/>
        <v>16</v>
      </c>
      <c r="C17" s="9">
        <v>10</v>
      </c>
      <c r="D17" s="6">
        <v>2022</v>
      </c>
      <c r="E17" s="19">
        <f>IF(('Florence Daily'!C20-'Florence Daily'!C19&lt;0), "0",('Florence Daily'!C20-'Florence Daily'!C19)*3)</f>
        <v>12567</v>
      </c>
      <c r="F17" s="19">
        <f>IF(('Florence Daily'!E20-'Florence Daily'!E19)&lt;0,"0",('Florence Daily'!E20-'Florence Daily'!E19))</f>
        <v>1079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38</v>
      </c>
      <c r="I17" s="19">
        <f>IF(('Florence Daily'!L20-'Florence Daily'!L19)&lt;0,"0",('Florence Daily'!L20-'Florence Daily'!L19))</f>
        <v>39</v>
      </c>
      <c r="J17" s="19">
        <f>IF(('Florence Daily'!N20-'Florence Daily'!N19)&lt;0,"0",('Florence Daily'!N20-'Florence Daily'!N19))</f>
        <v>130</v>
      </c>
      <c r="K17" s="19">
        <f>'Florence Daily'!P20</f>
        <v>100</v>
      </c>
      <c r="L17" s="19">
        <f>'Florence Daily'!Q20</f>
        <v>187</v>
      </c>
    </row>
    <row r="18" spans="1:12" x14ac:dyDescent="0.25">
      <c r="A18" s="16" t="s">
        <v>25</v>
      </c>
      <c r="B18" s="6">
        <f t="shared" si="0"/>
        <v>17</v>
      </c>
      <c r="C18" s="9">
        <v>10</v>
      </c>
      <c r="D18" s="6">
        <v>2022</v>
      </c>
      <c r="E18" s="19">
        <f>IF(('Florence Daily'!C21-'Florence Daily'!C20&lt;0), "0",('Florence Daily'!C21-'Florence Daily'!C20)*3)</f>
        <v>11403</v>
      </c>
      <c r="F18" s="19">
        <f>IF(('Florence Daily'!E21-'Florence Daily'!E20)&lt;0,"0",('Florence Daily'!E21-'Florence Daily'!E20))</f>
        <v>966</v>
      </c>
      <c r="G18" s="19">
        <f>IF(('Florence Daily'!G21-'Florence Daily'!G20)&lt;0,"0",('Florence Daily'!G21-'Florence Daily'!G20))</f>
        <v>3</v>
      </c>
      <c r="H18" s="19">
        <f>IF(('Florence Daily'!J21-'Florence Daily'!J20)&lt;0,"0",('Florence Daily'!J21-'Florence Daily'!J20))</f>
        <v>46</v>
      </c>
      <c r="I18" s="19">
        <f>IF(('Florence Daily'!L21-'Florence Daily'!L20)&lt;0,"0",('Florence Daily'!L21-'Florence Daily'!L20))</f>
        <v>38</v>
      </c>
      <c r="J18" s="19">
        <f>IF(('Florence Daily'!N21-'Florence Daily'!N20)&lt;0,"0",('Florence Daily'!N21-'Florence Daily'!N20))</f>
        <v>119</v>
      </c>
      <c r="K18" s="19">
        <f>'Florence Daily'!P21</f>
        <v>96</v>
      </c>
      <c r="L18" s="19">
        <f>'Florence Daily'!Q21</f>
        <v>183</v>
      </c>
    </row>
    <row r="19" spans="1:12" x14ac:dyDescent="0.25">
      <c r="A19" s="16" t="s">
        <v>25</v>
      </c>
      <c r="B19" s="6">
        <f t="shared" si="0"/>
        <v>18</v>
      </c>
      <c r="C19" s="9">
        <v>10</v>
      </c>
      <c r="D19" s="6">
        <v>2022</v>
      </c>
      <c r="E19" s="19">
        <f>IF(('Florence Daily'!C22-'Florence Daily'!C21&lt;0), "0",('Florence Daily'!C22-'Florence Daily'!C21)*3)</f>
        <v>12096</v>
      </c>
      <c r="F19" s="19">
        <f>IF(('Florence Daily'!E22-'Florence Daily'!E21)&lt;0,"0",('Florence Daily'!E22-'Florence Daily'!E21))</f>
        <v>1058</v>
      </c>
      <c r="G19" s="19">
        <f>IF(('Florence Daily'!G22-'Florence Daily'!G21)&lt;0,"0",('Florence Daily'!G22-'Florence Daily'!G21))</f>
        <v>1</v>
      </c>
      <c r="H19" s="19">
        <f>IF(('Florence Daily'!J22-'Florence Daily'!J21)&lt;0,"0",('Florence Daily'!J22-'Florence Daily'!J21))</f>
        <v>45</v>
      </c>
      <c r="I19" s="19">
        <f>IF(('Florence Daily'!L22-'Florence Daily'!L21)&lt;0,"0",('Florence Daily'!L22-'Florence Daily'!L21))</f>
        <v>63</v>
      </c>
      <c r="J19" s="19">
        <f>IF(('Florence Daily'!N22-'Florence Daily'!N21)&lt;0,"0",('Florence Daily'!N22-'Florence Daily'!N21))</f>
        <v>117</v>
      </c>
      <c r="K19" s="19">
        <f>'Florence Daily'!P22</f>
        <v>98</v>
      </c>
      <c r="L19" s="19">
        <f>'Florence Daily'!Q22</f>
        <v>189</v>
      </c>
    </row>
    <row r="20" spans="1:12" x14ac:dyDescent="0.25">
      <c r="A20" s="16" t="s">
        <v>25</v>
      </c>
      <c r="B20" s="6">
        <f t="shared" si="0"/>
        <v>19</v>
      </c>
      <c r="C20" s="9">
        <v>10</v>
      </c>
      <c r="D20" s="6">
        <v>2022</v>
      </c>
      <c r="E20" s="19">
        <f>IF(('Florence Daily'!C23-'Florence Daily'!C22&lt;0), "0",('Florence Daily'!C23-'Florence Daily'!C22)*3)</f>
        <v>11799</v>
      </c>
      <c r="F20" s="19">
        <f>IF(('Florence Daily'!E23-'Florence Daily'!E22)&lt;0,"0",('Florence Daily'!E23-'Florence Daily'!E22))</f>
        <v>971</v>
      </c>
      <c r="G20" s="19">
        <f>IF(('Florence Daily'!G23-'Florence Daily'!G22)&lt;0,"0",('Florence Daily'!G23-'Florence Daily'!G22))</f>
        <v>1</v>
      </c>
      <c r="H20" s="19">
        <f>IF(('Florence Daily'!J23-'Florence Daily'!J22)&lt;0,"0",('Florence Daily'!J23-'Florence Daily'!J22))</f>
        <v>44</v>
      </c>
      <c r="I20" s="19">
        <f>IF(('Florence Daily'!L23-'Florence Daily'!L22)&lt;0,"0",('Florence Daily'!L23-'Florence Daily'!L22))</f>
        <v>52</v>
      </c>
      <c r="J20" s="19">
        <f>IF(('Florence Daily'!N23-'Florence Daily'!N22)&lt;0,"0",('Florence Daily'!N23-'Florence Daily'!N22))</f>
        <v>120</v>
      </c>
      <c r="K20" s="19">
        <f>'Florence Daily'!P23</f>
        <v>83</v>
      </c>
      <c r="L20" s="19">
        <f>'Florence Daily'!Q23</f>
        <v>150</v>
      </c>
    </row>
    <row r="21" spans="1:12" x14ac:dyDescent="0.25">
      <c r="A21" s="16" t="s">
        <v>25</v>
      </c>
      <c r="B21" s="6">
        <f t="shared" si="0"/>
        <v>20</v>
      </c>
      <c r="C21" s="9">
        <v>10</v>
      </c>
      <c r="D21" s="6">
        <v>2022</v>
      </c>
      <c r="E21" s="19">
        <f>IF(('Florence Daily'!C24-'Florence Daily'!C23&lt;0), "0",('Florence Daily'!C24-'Florence Daily'!C23)*3)</f>
        <v>11424</v>
      </c>
      <c r="F21" s="19">
        <f>IF(('Florence Daily'!E24-'Florence Daily'!E23)&lt;0,"0",('Florence Daily'!E24-'Florence Daily'!E23))</f>
        <v>987</v>
      </c>
      <c r="G21" s="19">
        <f>IF(('Florence Daily'!G24-'Florence Daily'!G23)&lt;0,"0",('Florence Daily'!G24-'Florence Daily'!G23))</f>
        <v>2</v>
      </c>
      <c r="H21" s="19">
        <f>IF(('Florence Daily'!J24-'Florence Daily'!J23)&lt;0,"0",('Florence Daily'!J24-'Florence Daily'!J23))</f>
        <v>41</v>
      </c>
      <c r="I21" s="19">
        <f>IF(('Florence Daily'!L24-'Florence Daily'!L23)&lt;0,"0",('Florence Daily'!L24-'Florence Daily'!L23))</f>
        <v>56</v>
      </c>
      <c r="J21" s="19">
        <f>IF(('Florence Daily'!N24-'Florence Daily'!N23)&lt;0,"0",('Florence Daily'!N24-'Florence Daily'!N23))</f>
        <v>102</v>
      </c>
      <c r="K21" s="19">
        <f>'Florence Daily'!P24</f>
        <v>64</v>
      </c>
      <c r="L21" s="19">
        <f>'Florence Daily'!Q24</f>
        <v>120</v>
      </c>
    </row>
    <row r="22" spans="1:12" x14ac:dyDescent="0.25">
      <c r="A22" s="16" t="s">
        <v>25</v>
      </c>
      <c r="B22" s="6">
        <f t="shared" si="0"/>
        <v>21</v>
      </c>
      <c r="C22" s="9">
        <v>10</v>
      </c>
      <c r="D22" s="6">
        <v>2022</v>
      </c>
      <c r="E22" s="19">
        <f>IF(('Florence Daily'!C25-'Florence Daily'!C24&lt;0), "0",('Florence Daily'!C25-'Florence Daily'!C24)*3)</f>
        <v>11583</v>
      </c>
      <c r="F22" s="19">
        <f>IF(('Florence Daily'!E25-'Florence Daily'!E24)&lt;0,"0",('Florence Daily'!E25-'Florence Daily'!E24))</f>
        <v>1031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42</v>
      </c>
      <c r="I22" s="19">
        <f>IF(('Florence Daily'!L25-'Florence Daily'!L24)&lt;0,"0",('Florence Daily'!L25-'Florence Daily'!L24))</f>
        <v>48</v>
      </c>
      <c r="J22" s="19">
        <f>IF(('Florence Daily'!N25-'Florence Daily'!N24)&lt;0,"0",('Florence Daily'!N25-'Florence Daily'!N24))</f>
        <v>110</v>
      </c>
      <c r="K22" s="19">
        <f>'Florence Daily'!P25</f>
        <v>108</v>
      </c>
      <c r="L22" s="19">
        <f>'Florence Daily'!Q25</f>
        <v>211</v>
      </c>
    </row>
    <row r="23" spans="1:12" x14ac:dyDescent="0.25">
      <c r="A23" s="16" t="s">
        <v>25</v>
      </c>
      <c r="B23" s="6">
        <f t="shared" si="0"/>
        <v>22</v>
      </c>
      <c r="C23" s="9">
        <v>10</v>
      </c>
      <c r="D23" s="6">
        <v>2022</v>
      </c>
      <c r="E23" s="19">
        <f>IF(('Florence Daily'!C26-'Florence Daily'!C25&lt;0), "0",('Florence Daily'!C26-'Florence Daily'!C25)*3)</f>
        <v>12000</v>
      </c>
      <c r="F23" s="19">
        <f>IF(('Florence Daily'!E26-'Florence Daily'!E25)&lt;0,"0",('Florence Daily'!E26-'Florence Daily'!E25))</f>
        <v>993</v>
      </c>
      <c r="G23" s="19">
        <f>IF(('Florence Daily'!G26-'Florence Daily'!G25)&lt;0,"0",('Florence Daily'!G26-'Florence Daily'!G25))</f>
        <v>2</v>
      </c>
      <c r="H23" s="19">
        <f>IF(('Florence Daily'!J26-'Florence Daily'!J25)&lt;0,"0",('Florence Daily'!J26-'Florence Daily'!J25))</f>
        <v>49</v>
      </c>
      <c r="I23" s="19">
        <f>IF(('Florence Daily'!L26-'Florence Daily'!L25)&lt;0,"0",('Florence Daily'!L26-'Florence Daily'!L25))</f>
        <v>50</v>
      </c>
      <c r="J23" s="19">
        <f>IF(('Florence Daily'!N26-'Florence Daily'!N25)&lt;0,"0",('Florence Daily'!N26-'Florence Daily'!N25))</f>
        <v>117</v>
      </c>
      <c r="K23" s="19">
        <f>'Florence Daily'!P26</f>
        <v>112</v>
      </c>
      <c r="L23" s="19">
        <f>'Florence Daily'!Q26</f>
        <v>229</v>
      </c>
    </row>
    <row r="24" spans="1:12" x14ac:dyDescent="0.25">
      <c r="A24" s="16" t="s">
        <v>25</v>
      </c>
      <c r="B24" s="6">
        <f t="shared" si="0"/>
        <v>23</v>
      </c>
      <c r="C24" s="9">
        <v>10</v>
      </c>
      <c r="D24" s="6">
        <v>2022</v>
      </c>
      <c r="E24" s="19">
        <f>IF(('Florence Daily'!C27-'Florence Daily'!C24&lt;0), "0",('Florence Daily'!C27-'Florence Daily'!C24)*3)</f>
        <v>36246</v>
      </c>
      <c r="F24" s="19">
        <f>IF(('Florence Daily'!E27-'Florence Daily'!E26)&lt;0,"0",('Florence Daily'!E27-'Florence Daily'!E26))</f>
        <v>993</v>
      </c>
      <c r="G24" s="19">
        <f>IF(('Florence Daily'!G27-'Florence Daily'!G26)&lt;0,"0",('Florence Daily'!G27-'Florence Daily'!G26))</f>
        <v>7</v>
      </c>
      <c r="H24" s="19">
        <f>IF(('Florence Daily'!J27-'Florence Daily'!J26)&lt;0,"0",('Florence Daily'!J27-'Florence Daily'!J26))</f>
        <v>38</v>
      </c>
      <c r="I24" s="19">
        <f>IF(('Florence Daily'!L27-'Florence Daily'!L26)&lt;0,"0",('Florence Daily'!L27-'Florence Daily'!L26))</f>
        <v>48</v>
      </c>
      <c r="J24" s="19">
        <f>IF(('Florence Daily'!N27-'Florence Daily'!N26)&lt;0,"0",('Florence Daily'!N27-'Florence Daily'!N26))</f>
        <v>120</v>
      </c>
      <c r="K24" s="19">
        <f>'Florence Daily'!P27</f>
        <v>80</v>
      </c>
      <c r="L24" s="19">
        <f>'Florence Daily'!Q27</f>
        <v>161</v>
      </c>
    </row>
    <row r="25" spans="1:12" x14ac:dyDescent="0.25">
      <c r="A25" s="16" t="s">
        <v>25</v>
      </c>
      <c r="B25" s="6">
        <f t="shared" si="0"/>
        <v>24</v>
      </c>
      <c r="C25" s="9">
        <v>10</v>
      </c>
      <c r="D25" s="6">
        <v>2022</v>
      </c>
      <c r="E25" s="19">
        <f>IF(('Florence Daily'!C28-'Florence Daily'!C27&lt;0), "0",('Florence Daily'!C28-'Florence Daily'!C27)*3)</f>
        <v>12480</v>
      </c>
      <c r="F25" s="19">
        <f>IF(('Florence Daily'!E28-'Florence Daily'!E27)&lt;0,"0",('Florence Daily'!E28-'Florence Daily'!E27))</f>
        <v>1080</v>
      </c>
      <c r="G25" s="19">
        <f>IF(('Florence Daily'!G28-'Florence Daily'!G27)&lt;0,"0",('Florence Daily'!G28-'Florence Daily'!G27))</f>
        <v>1</v>
      </c>
      <c r="H25" s="19">
        <f>IF(('Florence Daily'!J28-'Florence Daily'!J27)&lt;0,"0",('Florence Daily'!J28-'Florence Daily'!J27))</f>
        <v>29</v>
      </c>
      <c r="I25" s="19">
        <f>IF(('Florence Daily'!L28-'Florence Daily'!L27)&lt;0,"0",('Florence Daily'!L28-'Florence Daily'!L27))</f>
        <v>49</v>
      </c>
      <c r="J25" s="19">
        <f>IF(('Florence Daily'!N28-'Florence Daily'!N27)&lt;0,"0",('Florence Daily'!N28-'Florence Daily'!N27))</f>
        <v>132</v>
      </c>
      <c r="K25" s="19">
        <f>'Florence Daily'!P28</f>
        <v>102</v>
      </c>
      <c r="L25" s="19">
        <f>'Florence Daily'!Q28</f>
        <v>202</v>
      </c>
    </row>
    <row r="26" spans="1:12" x14ac:dyDescent="0.25">
      <c r="A26" s="16" t="s">
        <v>25</v>
      </c>
      <c r="B26" s="6">
        <f>B25+1</f>
        <v>25</v>
      </c>
      <c r="C26" s="9">
        <v>10</v>
      </c>
      <c r="D26" s="6">
        <v>2022</v>
      </c>
      <c r="E26" s="19">
        <f>IF(('Florence Daily'!C29-'Florence Daily'!C28&lt;0), "0",('Florence Daily'!C29-'Florence Daily'!C28)*3)</f>
        <v>12732</v>
      </c>
      <c r="F26" s="19">
        <f>IF(('Florence Daily'!E29-'Florence Daily'!E28)&lt;0,"0",('Florence Daily'!E29-'Florence Daily'!E28))</f>
        <v>817</v>
      </c>
      <c r="G26" s="19">
        <f>IF(('Florence Daily'!G29-'Florence Daily'!G28)&lt;0,"0",('Florence Daily'!G29-'Florence Daily'!G28))</f>
        <v>1</v>
      </c>
      <c r="H26" s="19">
        <f>IF(('Florence Daily'!J29-'Florence Daily'!J28)&lt;0,"0",('Florence Daily'!J29-'Florence Daily'!J28))</f>
        <v>31</v>
      </c>
      <c r="I26" s="19">
        <f>IF(('Florence Daily'!L29-'Florence Daily'!L28)&lt;0,"0",('Florence Daily'!L29-'Florence Daily'!L28))</f>
        <v>54</v>
      </c>
      <c r="J26" s="19">
        <f>IF(('Florence Daily'!N29-'Florence Daily'!N28)&lt;0,"0",('Florence Daily'!N29-'Florence Daily'!N28))</f>
        <v>112</v>
      </c>
      <c r="K26" s="19">
        <f>'Florence Daily'!P29</f>
        <v>109</v>
      </c>
      <c r="L26" s="19">
        <f>'Florence Daily'!Q29</f>
        <v>216</v>
      </c>
    </row>
    <row r="27" spans="1:12" x14ac:dyDescent="0.25">
      <c r="A27" s="16" t="s">
        <v>25</v>
      </c>
      <c r="B27" s="6">
        <f t="shared" si="0"/>
        <v>26</v>
      </c>
      <c r="C27" s="9">
        <v>10</v>
      </c>
      <c r="D27" s="6">
        <v>2022</v>
      </c>
      <c r="E27" s="19">
        <f>IF(('Florence Daily'!C30-'Florence Daily'!C29&lt;0), "0",('Florence Daily'!C30-'Florence Daily'!C29)*3)</f>
        <v>14946</v>
      </c>
      <c r="F27" s="19">
        <f>IF(('Florence Daily'!E30-'Florence Daily'!E29)&lt;0,"0",('Florence Daily'!E30-'Florence Daily'!E29))</f>
        <v>1205</v>
      </c>
      <c r="G27" s="19">
        <f>IF(('Florence Daily'!G30-'Florence Daily'!G29)&lt;0,"0",('Florence Daily'!G30-'Florence Daily'!G29))</f>
        <v>2</v>
      </c>
      <c r="H27" s="19">
        <f>IF(('Florence Daily'!J30-'Florence Daily'!J29)&lt;0,"0",('Florence Daily'!J30-'Florence Daily'!J29))</f>
        <v>44</v>
      </c>
      <c r="I27" s="19">
        <f>IF(('Florence Daily'!L30-'Florence Daily'!L29)&lt;0,"0",('Florence Daily'!L30-'Florence Daily'!L29))</f>
        <v>64</v>
      </c>
      <c r="J27" s="19">
        <f>IF(('Florence Daily'!N30-'Florence Daily'!N29)&lt;0,"0",('Florence Daily'!N30-'Florence Daily'!N29))</f>
        <v>170</v>
      </c>
      <c r="K27" s="19">
        <f>'Florence Daily'!P30</f>
        <v>114</v>
      </c>
      <c r="L27" s="19">
        <f>'Florence Daily'!Q30</f>
        <v>214</v>
      </c>
    </row>
    <row r="28" spans="1:12" x14ac:dyDescent="0.25">
      <c r="A28" s="16" t="s">
        <v>25</v>
      </c>
      <c r="B28" s="6">
        <f t="shared" si="0"/>
        <v>27</v>
      </c>
      <c r="C28" s="9">
        <v>10</v>
      </c>
      <c r="D28" s="6">
        <v>2022</v>
      </c>
      <c r="E28" s="19">
        <f>IF(('Florence Daily'!C31-'Florence Daily'!C30&lt;0), "0",('Florence Daily'!C31-'Florence Daily'!C30)*3)</f>
        <v>8727</v>
      </c>
      <c r="F28" s="19">
        <f>IF(('Florence Daily'!E31-'Florence Daily'!E30)&lt;0,"0",('Florence Daily'!E31-'Florence Daily'!E30))</f>
        <v>723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13</v>
      </c>
      <c r="I28" s="19">
        <f>IF(('Florence Daily'!L31-'Florence Daily'!L30)&lt;0,"0",('Florence Daily'!L31-'Florence Daily'!L30))</f>
        <v>32</v>
      </c>
      <c r="J28" s="19">
        <f>IF(('Florence Daily'!N31-'Florence Daily'!N30)&lt;0,"0",('Florence Daily'!N31-'Florence Daily'!N30))</f>
        <v>76</v>
      </c>
      <c r="K28" s="19">
        <f>'Florence Daily'!P31</f>
        <v>109</v>
      </c>
      <c r="L28" s="19">
        <f>'Florence Daily'!Q31</f>
        <v>209</v>
      </c>
    </row>
    <row r="29" spans="1:12" x14ac:dyDescent="0.25">
      <c r="A29" s="16" t="s">
        <v>25</v>
      </c>
      <c r="B29" s="6">
        <f t="shared" si="0"/>
        <v>28</v>
      </c>
      <c r="C29" s="9">
        <v>10</v>
      </c>
      <c r="D29" s="6">
        <v>2022</v>
      </c>
      <c r="E29" s="19">
        <f>IF(('Florence Daily'!C32-'Florence Daily'!C31&lt;0), "0",('Florence Daily'!C32-'Florence Daily'!C31)*3)</f>
        <v>12168</v>
      </c>
      <c r="F29" s="19">
        <f>IF(('Florence Daily'!E32-'Florence Daily'!E31)&lt;0,"0",('Florence Daily'!E32-'Florence Daily'!E31))</f>
        <v>1057</v>
      </c>
      <c r="G29" s="19">
        <f>IF(('Florence Daily'!G32-'Florence Daily'!G31)&lt;0,"0",('Florence Daily'!G32-'Florence Daily'!G31))</f>
        <v>1</v>
      </c>
      <c r="H29" s="19">
        <f>IF(('Florence Daily'!J32-'Florence Daily'!J31)&lt;0,"0",('Florence Daily'!J32-'Florence Daily'!J31))</f>
        <v>37</v>
      </c>
      <c r="I29" s="19">
        <f>IF(('Florence Daily'!L32-'Florence Daily'!L31)&lt;0,"0",('Florence Daily'!L32-'Florence Daily'!L31))</f>
        <v>56</v>
      </c>
      <c r="J29" s="19">
        <f>IF(('Florence Daily'!N32-'Florence Daily'!N31)&lt;0,"0",('Florence Daily'!N32-'Florence Daily'!N31))</f>
        <v>137</v>
      </c>
      <c r="K29" s="19">
        <f>'Florence Daily'!P32</f>
        <v>104</v>
      </c>
      <c r="L29" s="19">
        <f>'Florence Daily'!Q32</f>
        <v>209</v>
      </c>
    </row>
    <row r="30" spans="1:12" x14ac:dyDescent="0.25">
      <c r="A30" s="16" t="s">
        <v>25</v>
      </c>
      <c r="B30" s="6">
        <f t="shared" si="0"/>
        <v>29</v>
      </c>
      <c r="C30" s="9">
        <v>10</v>
      </c>
      <c r="D30" s="6">
        <v>2022</v>
      </c>
      <c r="E30" s="19">
        <f>IF(('Florence Daily'!C33-'Florence Daily'!C32&lt;0), "0",('Florence Daily'!C33-'Florence Daily'!C32)*3)</f>
        <v>11889</v>
      </c>
      <c r="F30" s="19">
        <f>IF(('Florence Daily'!E33-'Florence Daily'!E32)&lt;0,"0",('Florence Daily'!E33-'Florence Daily'!E32))</f>
        <v>1053</v>
      </c>
      <c r="G30" s="19">
        <f>IF(('Florence Daily'!G33-'Florence Daily'!G32)&lt;0,"0",('Florence Daily'!G33-'Florence Daily'!G32))</f>
        <v>1</v>
      </c>
      <c r="H30" s="19">
        <f>IF(('Florence Daily'!J33-'Florence Daily'!J32)&lt;0,"0",('Florence Daily'!J33-'Florence Daily'!J32))</f>
        <v>45</v>
      </c>
      <c r="I30" s="19">
        <f>IF(('Florence Daily'!L33-'Florence Daily'!L32)&lt;0,"0",('Florence Daily'!L33-'Florence Daily'!L32))</f>
        <v>55</v>
      </c>
      <c r="J30" s="19">
        <f>IF(('Florence Daily'!N33-'Florence Daily'!N32)&lt;0,"0",('Florence Daily'!N33-'Florence Daily'!N32))</f>
        <v>117</v>
      </c>
      <c r="K30" s="19">
        <f>'Florence Daily'!P33</f>
        <v>104</v>
      </c>
      <c r="L30" s="19">
        <f>'Florence Daily'!Q33</f>
        <v>199</v>
      </c>
    </row>
    <row r="31" spans="1:12" x14ac:dyDescent="0.25">
      <c r="A31" s="16" t="s">
        <v>25</v>
      </c>
      <c r="B31" s="6">
        <f t="shared" si="0"/>
        <v>30</v>
      </c>
      <c r="C31" s="9">
        <v>10</v>
      </c>
      <c r="D31" s="6">
        <v>2022</v>
      </c>
      <c r="E31" s="19">
        <f>IF(('Florence Daily'!C34-'Florence Daily'!C33&lt;0), "0",('Florence Daily'!C34-'Florence Daily'!C33)*3)</f>
        <v>11562</v>
      </c>
      <c r="F31" s="19">
        <f>IF(('Florence Daily'!E34-'Florence Daily'!E33)&lt;0,"0",('Florence Daily'!E34-'Florence Daily'!E33))</f>
        <v>1098</v>
      </c>
      <c r="G31" s="19">
        <f>IF(('Florence Daily'!G34-'Florence Daily'!G33)&lt;0,"0",('Florence Daily'!G34-'Florence Daily'!G33))</f>
        <v>1</v>
      </c>
      <c r="H31" s="19">
        <f>IF(('Florence Daily'!J34-'Florence Daily'!J33)&lt;0,"0",('Florence Daily'!J34-'Florence Daily'!J33))</f>
        <v>28</v>
      </c>
      <c r="I31" s="19">
        <f>IF(('Florence Daily'!L34-'Florence Daily'!L33)&lt;0,"0",('Florence Daily'!L34-'Florence Daily'!L33))</f>
        <v>50</v>
      </c>
      <c r="J31" s="19">
        <f>IF(('Florence Daily'!N34-'Florence Daily'!N33)&lt;0,"0",('Florence Daily'!N34-'Florence Daily'!N33))</f>
        <v>121</v>
      </c>
      <c r="K31" s="19">
        <f>'Florence Daily'!P34</f>
        <v>88</v>
      </c>
      <c r="L31" s="19">
        <f>'Florence Daily'!Q34</f>
        <v>172</v>
      </c>
    </row>
    <row r="32" spans="1:12" x14ac:dyDescent="0.25">
      <c r="A32" s="16" t="s">
        <v>25</v>
      </c>
      <c r="B32" s="6">
        <f t="shared" si="0"/>
        <v>31</v>
      </c>
      <c r="C32" s="9">
        <v>10</v>
      </c>
      <c r="D32" s="6">
        <v>2022</v>
      </c>
      <c r="E32" s="19">
        <f>IF(('Florence Daily'!C35-'Florence Daily'!C34&lt;0), "0",('Florence Daily'!C35-'Florence Daily'!C34)*3)</f>
        <v>10803</v>
      </c>
      <c r="F32" s="19">
        <f>IF(('Florence Daily'!E35-'Florence Daily'!E34)&lt;0,"0",('Florence Daily'!E35-'Florence Daily'!E34))</f>
        <v>1007</v>
      </c>
      <c r="G32" s="19">
        <f>IF(('Florence Daily'!G35-'Florence Daily'!G34)&lt;0,"0",('Florence Daily'!G35-'Florence Daily'!G34))</f>
        <v>1</v>
      </c>
      <c r="H32" s="19">
        <f>IF(('Florence Daily'!J35-'Florence Daily'!J34)&lt;0,"0",('Florence Daily'!J35-'Florence Daily'!J34))</f>
        <v>24</v>
      </c>
      <c r="I32" s="19">
        <f>IF(('Florence Daily'!L35-'Florence Daily'!L34)&lt;0,"0",('Florence Daily'!L35-'Florence Daily'!L34))</f>
        <v>49</v>
      </c>
      <c r="J32" s="19">
        <f>IF(('Florence Daily'!N35-'Florence Daily'!N34)&lt;0,"0",('Florence Daily'!N35-'Florence Daily'!N34))</f>
        <v>99</v>
      </c>
      <c r="K32" s="19">
        <f>'Florence Daily'!P35</f>
        <v>85</v>
      </c>
      <c r="L32" s="19">
        <f>'Florence Daily'!Q35</f>
        <v>159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tabSelected="1" zoomScale="110" zoomScaleNormal="110" workbookViewId="0">
      <pane ySplit="2" topLeftCell="A30" activePane="bottomLeft" state="frozen"/>
      <selection pane="bottomLeft" activeCell="R3" sqref="R3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6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1.5703125" customWidth="1"/>
    <col min="12" max="12" width="14.28515625" bestFit="1" customWidth="1"/>
    <col min="13" max="13" width="14.7109375" customWidth="1"/>
    <col min="14" max="14" width="14.28515625" bestFit="1" customWidth="1"/>
    <col min="15" max="15" width="16" customWidth="1"/>
    <col min="16" max="17" width="13" style="19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5"/>
      <c r="K1" s="46"/>
      <c r="L1" s="46"/>
      <c r="M1" s="46"/>
      <c r="N1" s="46"/>
      <c r="O1" s="46"/>
      <c r="P1" s="20"/>
      <c r="Q1" s="20"/>
    </row>
    <row r="2" spans="1:17" ht="35.25" customHeight="1" thickBot="1" x14ac:dyDescent="0.3">
      <c r="A2" s="18" t="s">
        <v>12</v>
      </c>
      <c r="B2" s="42"/>
      <c r="C2" s="49" t="s">
        <v>26</v>
      </c>
      <c r="D2" s="47"/>
      <c r="E2" s="48" t="s">
        <v>30</v>
      </c>
      <c r="F2" s="48"/>
      <c r="G2" s="48" t="s">
        <v>31</v>
      </c>
      <c r="H2" s="56"/>
      <c r="I2" s="44"/>
      <c r="J2" s="47" t="s">
        <v>29</v>
      </c>
      <c r="K2" s="48"/>
      <c r="L2" s="48" t="s">
        <v>32</v>
      </c>
      <c r="M2" s="48"/>
      <c r="N2" s="50" t="s">
        <v>33</v>
      </c>
      <c r="O2" s="51"/>
      <c r="P2" s="10"/>
      <c r="Q2" s="10"/>
    </row>
    <row r="3" spans="1:17" ht="44.25" customHeight="1" x14ac:dyDescent="0.25">
      <c r="A3" s="2" t="s">
        <v>0</v>
      </c>
      <c r="B3" s="42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36" t="s">
        <v>28</v>
      </c>
      <c r="I3" s="44"/>
      <c r="J3" s="3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44834</v>
      </c>
      <c r="B4" s="42"/>
      <c r="C4" s="17">
        <v>24303571</v>
      </c>
      <c r="D4" s="41">
        <f>(C5-C4)*3</f>
        <v>11580</v>
      </c>
      <c r="E4" s="17">
        <v>82913</v>
      </c>
      <c r="F4" s="41">
        <f>IF((E5-E4&lt;0), "",E5-E4)</f>
        <v>1146</v>
      </c>
      <c r="G4" s="17">
        <v>1830</v>
      </c>
      <c r="H4" s="54">
        <f>IF((G5-G4&lt;0), "",G5-G4)</f>
        <v>3</v>
      </c>
      <c r="I4" s="44"/>
      <c r="J4" s="38">
        <v>6735</v>
      </c>
      <c r="K4" s="41">
        <f>IF((J5-J4&lt;0), "",J5-J4)</f>
        <v>26</v>
      </c>
      <c r="L4" s="17">
        <v>13885</v>
      </c>
      <c r="M4" s="41">
        <f>IF((L5-L4&lt;0), "",L5-L4)</f>
        <v>26</v>
      </c>
      <c r="N4" s="17">
        <v>59495</v>
      </c>
      <c r="O4" s="52">
        <f>IF((N5-N4&lt;0), "",N5-N4)</f>
        <v>107</v>
      </c>
      <c r="P4" s="20">
        <v>106</v>
      </c>
      <c r="Q4" s="20">
        <v>189</v>
      </c>
    </row>
    <row r="5" spans="1:17" ht="33" customHeight="1" x14ac:dyDescent="0.25">
      <c r="A5" s="7">
        <v>44835</v>
      </c>
      <c r="B5" s="42"/>
      <c r="C5" s="17">
        <v>24307431</v>
      </c>
      <c r="D5" s="41">
        <f>IF((C5-C4&lt;0), "",(C5-C4)*3)</f>
        <v>11580</v>
      </c>
      <c r="E5" s="17">
        <v>84059</v>
      </c>
      <c r="F5" s="41"/>
      <c r="G5" s="17">
        <v>1833</v>
      </c>
      <c r="H5" s="54"/>
      <c r="I5" s="44"/>
      <c r="J5" s="38">
        <v>6761</v>
      </c>
      <c r="K5" s="41"/>
      <c r="L5" s="17">
        <v>13911</v>
      </c>
      <c r="M5" s="41"/>
      <c r="N5" s="17">
        <v>59602</v>
      </c>
      <c r="O5" s="53"/>
      <c r="P5" s="22">
        <v>104</v>
      </c>
      <c r="Q5" s="22">
        <v>155</v>
      </c>
    </row>
    <row r="6" spans="1:17" ht="45" customHeight="1" x14ac:dyDescent="0.3">
      <c r="A6" s="7">
        <v>44836</v>
      </c>
      <c r="B6" s="42"/>
      <c r="C6" s="17">
        <v>24311277</v>
      </c>
      <c r="D6" s="8">
        <f>IF((C6-C5&lt;0), "",(C6-C5)*3)</f>
        <v>11538</v>
      </c>
      <c r="E6" s="17">
        <v>85104</v>
      </c>
      <c r="F6" s="8">
        <f t="shared" ref="F6:F34" si="0">IF((E6-E5&lt;0), "",E6-E5)</f>
        <v>1045</v>
      </c>
      <c r="G6" s="17">
        <v>1833</v>
      </c>
      <c r="H6" s="37">
        <f>IF((G6-G5&lt;0), "",G6-G5)</f>
        <v>0</v>
      </c>
      <c r="I6" s="44"/>
      <c r="J6" s="38">
        <v>6779</v>
      </c>
      <c r="K6" s="8">
        <f t="shared" ref="K6:K34" si="1">IF((J6-J5&lt;0), "",J6-J5)</f>
        <v>18</v>
      </c>
      <c r="L6" s="17">
        <v>13967</v>
      </c>
      <c r="M6" s="8">
        <f t="shared" ref="M6:M34" si="2">IF((L6-L5&lt;0), "",L6-L5)</f>
        <v>56</v>
      </c>
      <c r="N6" s="17">
        <v>59707</v>
      </c>
      <c r="O6" s="8">
        <f t="shared" ref="O6:O34" si="3">IF((N6-N5&lt;0), "",N6-N5)</f>
        <v>105</v>
      </c>
      <c r="P6" s="20">
        <v>85</v>
      </c>
      <c r="Q6" s="20">
        <v>154</v>
      </c>
    </row>
    <row r="7" spans="1:17" ht="45" customHeight="1" x14ac:dyDescent="0.3">
      <c r="A7" s="7">
        <v>44837</v>
      </c>
      <c r="B7" s="42"/>
      <c r="C7" s="17">
        <v>24315376</v>
      </c>
      <c r="D7" s="8">
        <f>IF((C7-C6&lt;0), "",(C7-C6)*3)</f>
        <v>12297</v>
      </c>
      <c r="E7" s="17">
        <v>86169</v>
      </c>
      <c r="F7" s="8">
        <f t="shared" si="0"/>
        <v>1065</v>
      </c>
      <c r="G7" s="17">
        <v>1835</v>
      </c>
      <c r="H7" s="37">
        <f>IF((G7-G6&lt;0), "",G7-G6)</f>
        <v>2</v>
      </c>
      <c r="I7" s="44"/>
      <c r="J7" s="38">
        <v>6798</v>
      </c>
      <c r="K7" s="8">
        <f t="shared" si="1"/>
        <v>19</v>
      </c>
      <c r="L7" s="17">
        <v>14020</v>
      </c>
      <c r="M7" s="8">
        <f t="shared" si="2"/>
        <v>53</v>
      </c>
      <c r="N7" s="17">
        <v>59807</v>
      </c>
      <c r="O7" s="8">
        <f t="shared" si="3"/>
        <v>100</v>
      </c>
      <c r="P7" s="20">
        <v>88</v>
      </c>
      <c r="Q7" s="20">
        <v>160</v>
      </c>
    </row>
    <row r="8" spans="1:17" ht="45" customHeight="1" x14ac:dyDescent="0.3">
      <c r="A8" s="7">
        <v>44838</v>
      </c>
      <c r="B8" s="42"/>
      <c r="C8" s="17">
        <v>24319496</v>
      </c>
      <c r="D8" s="8">
        <f>IF((C8-C7&lt;0), "",(C8-C7)*3)</f>
        <v>12360</v>
      </c>
      <c r="E8" s="17">
        <v>87244</v>
      </c>
      <c r="F8" s="8">
        <f t="shared" si="0"/>
        <v>1075</v>
      </c>
      <c r="G8" s="17">
        <v>1836</v>
      </c>
      <c r="H8" s="37">
        <f t="shared" ref="H8:H34" si="4">IF((G8-G7&lt;0), "",G8-G7)</f>
        <v>1</v>
      </c>
      <c r="I8" s="44"/>
      <c r="J8" s="38">
        <v>6825</v>
      </c>
      <c r="K8" s="8">
        <f t="shared" si="1"/>
        <v>27</v>
      </c>
      <c r="L8" s="17">
        <v>14074</v>
      </c>
      <c r="M8" s="8">
        <f t="shared" si="2"/>
        <v>54</v>
      </c>
      <c r="N8" s="17">
        <v>59909</v>
      </c>
      <c r="O8" s="8">
        <f t="shared" si="3"/>
        <v>102</v>
      </c>
      <c r="P8" s="20">
        <v>102</v>
      </c>
      <c r="Q8" s="20">
        <v>183</v>
      </c>
    </row>
    <row r="9" spans="1:17" ht="45" customHeight="1" x14ac:dyDescent="0.3">
      <c r="A9" s="7">
        <v>44839</v>
      </c>
      <c r="B9" s="42"/>
      <c r="C9" s="17">
        <v>24323168</v>
      </c>
      <c r="D9" s="8">
        <f t="shared" ref="D9:D34" si="5">IF((C9-C8&lt;0), "",(C9-C8)*3)</f>
        <v>11016</v>
      </c>
      <c r="E9" s="17">
        <v>88224</v>
      </c>
      <c r="F9" s="8">
        <f t="shared" si="0"/>
        <v>980</v>
      </c>
      <c r="G9" s="17">
        <v>1837</v>
      </c>
      <c r="H9" s="37">
        <f t="shared" si="4"/>
        <v>1</v>
      </c>
      <c r="I9" s="44"/>
      <c r="J9" s="38">
        <v>6859</v>
      </c>
      <c r="K9" s="8">
        <f t="shared" si="1"/>
        <v>34</v>
      </c>
      <c r="L9" s="17">
        <v>14123</v>
      </c>
      <c r="M9" s="8">
        <f t="shared" si="2"/>
        <v>49</v>
      </c>
      <c r="N9" s="17">
        <v>60008</v>
      </c>
      <c r="O9" s="8">
        <f t="shared" si="3"/>
        <v>99</v>
      </c>
      <c r="P9" s="20">
        <v>91</v>
      </c>
      <c r="Q9" s="20">
        <v>169</v>
      </c>
    </row>
    <row r="10" spans="1:17" ht="45" customHeight="1" x14ac:dyDescent="0.3">
      <c r="A10" s="7">
        <v>44840</v>
      </c>
      <c r="B10" s="42"/>
      <c r="C10" s="17">
        <v>24327200</v>
      </c>
      <c r="D10" s="8">
        <f t="shared" si="5"/>
        <v>12096</v>
      </c>
      <c r="E10" s="17">
        <v>89275</v>
      </c>
      <c r="F10" s="8">
        <f t="shared" si="0"/>
        <v>1051</v>
      </c>
      <c r="G10" s="17">
        <v>1838</v>
      </c>
      <c r="H10" s="37">
        <f t="shared" si="4"/>
        <v>1</v>
      </c>
      <c r="I10" s="44"/>
      <c r="J10" s="38">
        <v>6889</v>
      </c>
      <c r="K10" s="8">
        <f t="shared" si="1"/>
        <v>30</v>
      </c>
      <c r="L10" s="17">
        <v>14183</v>
      </c>
      <c r="M10" s="8">
        <f t="shared" si="2"/>
        <v>60</v>
      </c>
      <c r="N10" s="17">
        <v>60120</v>
      </c>
      <c r="O10" s="8">
        <f t="shared" si="3"/>
        <v>112</v>
      </c>
      <c r="P10" s="20">
        <v>89</v>
      </c>
      <c r="Q10" s="20">
        <v>158</v>
      </c>
    </row>
    <row r="11" spans="1:17" ht="45" customHeight="1" x14ac:dyDescent="0.3">
      <c r="A11" s="7">
        <v>44841</v>
      </c>
      <c r="B11" s="42"/>
      <c r="C11" s="17">
        <v>24331141</v>
      </c>
      <c r="D11" s="8">
        <f t="shared" si="5"/>
        <v>11823</v>
      </c>
      <c r="E11" s="17">
        <v>90310</v>
      </c>
      <c r="F11" s="8">
        <f t="shared" si="0"/>
        <v>1035</v>
      </c>
      <c r="G11" s="17">
        <v>1838</v>
      </c>
      <c r="H11" s="37">
        <f t="shared" si="4"/>
        <v>0</v>
      </c>
      <c r="I11" s="44"/>
      <c r="J11" s="38">
        <v>6940</v>
      </c>
      <c r="K11" s="8">
        <f t="shared" si="1"/>
        <v>51</v>
      </c>
      <c r="L11" s="17">
        <v>14241</v>
      </c>
      <c r="M11" s="8">
        <f t="shared" si="2"/>
        <v>58</v>
      </c>
      <c r="N11" s="17">
        <v>60234</v>
      </c>
      <c r="O11" s="8">
        <f t="shared" si="3"/>
        <v>114</v>
      </c>
      <c r="P11" s="20">
        <v>103</v>
      </c>
      <c r="Q11" s="20">
        <v>180</v>
      </c>
    </row>
    <row r="12" spans="1:17" ht="45" customHeight="1" x14ac:dyDescent="0.3">
      <c r="A12" s="7">
        <v>44842</v>
      </c>
      <c r="B12" s="42"/>
      <c r="C12" s="17">
        <v>24335076</v>
      </c>
      <c r="D12" s="8">
        <f t="shared" si="5"/>
        <v>11805</v>
      </c>
      <c r="E12" s="17">
        <v>91328</v>
      </c>
      <c r="F12" s="8">
        <f t="shared" si="0"/>
        <v>1018</v>
      </c>
      <c r="G12" s="17">
        <v>1840</v>
      </c>
      <c r="H12" s="37">
        <f t="shared" si="4"/>
        <v>2</v>
      </c>
      <c r="I12" s="44"/>
      <c r="J12" s="38">
        <v>6984</v>
      </c>
      <c r="K12" s="8">
        <f t="shared" si="1"/>
        <v>44</v>
      </c>
      <c r="L12" s="17">
        <v>14301</v>
      </c>
      <c r="M12" s="8">
        <f t="shared" si="2"/>
        <v>60</v>
      </c>
      <c r="N12" s="17">
        <v>60353</v>
      </c>
      <c r="O12" s="8">
        <f t="shared" si="3"/>
        <v>119</v>
      </c>
      <c r="P12" s="20">
        <v>101</v>
      </c>
      <c r="Q12" s="20">
        <v>189</v>
      </c>
    </row>
    <row r="13" spans="1:17" ht="45" customHeight="1" x14ac:dyDescent="0.3">
      <c r="A13" s="7">
        <v>44843</v>
      </c>
      <c r="B13" s="42"/>
      <c r="C13" s="17">
        <v>24339222</v>
      </c>
      <c r="D13" s="8">
        <f t="shared" si="5"/>
        <v>12438</v>
      </c>
      <c r="E13" s="17">
        <v>92444</v>
      </c>
      <c r="F13" s="8">
        <f t="shared" si="0"/>
        <v>1116</v>
      </c>
      <c r="G13" s="17">
        <v>1841</v>
      </c>
      <c r="H13" s="37">
        <f t="shared" si="4"/>
        <v>1</v>
      </c>
      <c r="I13" s="44"/>
      <c r="J13" s="38">
        <v>7010</v>
      </c>
      <c r="K13" s="34">
        <f t="shared" si="1"/>
        <v>26</v>
      </c>
      <c r="L13" s="17">
        <v>14363</v>
      </c>
      <c r="M13" s="34">
        <f t="shared" si="2"/>
        <v>62</v>
      </c>
      <c r="N13" s="17">
        <v>60478</v>
      </c>
      <c r="O13" s="8">
        <f t="shared" si="3"/>
        <v>125</v>
      </c>
      <c r="P13" s="20">
        <v>105</v>
      </c>
      <c r="Q13" s="20">
        <v>195</v>
      </c>
    </row>
    <row r="14" spans="1:17" ht="45" customHeight="1" x14ac:dyDescent="0.3">
      <c r="A14" s="7">
        <v>44844</v>
      </c>
      <c r="B14" s="42"/>
      <c r="C14" s="17">
        <v>24343324</v>
      </c>
      <c r="D14" s="8">
        <f t="shared" si="5"/>
        <v>12306</v>
      </c>
      <c r="E14" s="17">
        <v>93478</v>
      </c>
      <c r="F14" s="8">
        <f t="shared" si="0"/>
        <v>1034</v>
      </c>
      <c r="G14" s="17">
        <v>1842</v>
      </c>
      <c r="H14" s="37">
        <f t="shared" si="4"/>
        <v>1</v>
      </c>
      <c r="I14" s="44"/>
      <c r="J14" s="38">
        <v>7054</v>
      </c>
      <c r="K14" s="8">
        <f t="shared" si="1"/>
        <v>44</v>
      </c>
      <c r="L14" s="17">
        <v>14423</v>
      </c>
      <c r="M14" s="8">
        <f t="shared" si="2"/>
        <v>60</v>
      </c>
      <c r="N14" s="17">
        <v>60598</v>
      </c>
      <c r="O14" s="8">
        <f t="shared" si="3"/>
        <v>120</v>
      </c>
      <c r="P14" s="20">
        <v>88</v>
      </c>
      <c r="Q14" s="20">
        <v>182</v>
      </c>
    </row>
    <row r="15" spans="1:17" ht="45" customHeight="1" x14ac:dyDescent="0.3">
      <c r="A15" s="7">
        <v>44845</v>
      </c>
      <c r="B15" s="42"/>
      <c r="C15" s="17">
        <v>24346995</v>
      </c>
      <c r="D15" s="8">
        <f t="shared" si="5"/>
        <v>11013</v>
      </c>
      <c r="E15" s="17">
        <v>94409</v>
      </c>
      <c r="F15" s="8">
        <f t="shared" si="0"/>
        <v>931</v>
      </c>
      <c r="G15" s="17">
        <v>1845</v>
      </c>
      <c r="H15" s="37">
        <f t="shared" si="4"/>
        <v>3</v>
      </c>
      <c r="I15" s="44"/>
      <c r="J15" s="38">
        <v>7086</v>
      </c>
      <c r="K15" s="8">
        <f t="shared" si="1"/>
        <v>32</v>
      </c>
      <c r="L15" s="17">
        <v>14472</v>
      </c>
      <c r="M15" s="8">
        <f t="shared" si="2"/>
        <v>49</v>
      </c>
      <c r="N15" s="17">
        <v>60700</v>
      </c>
      <c r="O15" s="8">
        <f t="shared" si="3"/>
        <v>102</v>
      </c>
      <c r="P15" s="20">
        <v>94</v>
      </c>
      <c r="Q15" s="20">
        <v>167</v>
      </c>
    </row>
    <row r="16" spans="1:17" ht="45" customHeight="1" x14ac:dyDescent="0.3">
      <c r="A16" s="7">
        <v>44846</v>
      </c>
      <c r="B16" s="42"/>
      <c r="C16" s="17">
        <v>24350842</v>
      </c>
      <c r="D16" s="8">
        <f t="shared" si="5"/>
        <v>11541</v>
      </c>
      <c r="E16" s="17">
        <v>95389</v>
      </c>
      <c r="F16" s="8">
        <f t="shared" si="0"/>
        <v>980</v>
      </c>
      <c r="G16" s="17">
        <v>1847</v>
      </c>
      <c r="H16" s="37">
        <f t="shared" si="4"/>
        <v>2</v>
      </c>
      <c r="I16" s="44"/>
      <c r="J16" s="38">
        <v>7137</v>
      </c>
      <c r="K16" s="8">
        <f t="shared" si="1"/>
        <v>51</v>
      </c>
      <c r="L16" s="17">
        <v>14521</v>
      </c>
      <c r="M16" s="8">
        <v>43</v>
      </c>
      <c r="N16" s="17">
        <v>60809</v>
      </c>
      <c r="O16" s="8">
        <f t="shared" si="3"/>
        <v>109</v>
      </c>
      <c r="P16" s="20">
        <v>107</v>
      </c>
      <c r="Q16" s="20">
        <v>190</v>
      </c>
    </row>
    <row r="17" spans="1:17" ht="45" customHeight="1" x14ac:dyDescent="0.3">
      <c r="A17" s="7">
        <v>44847</v>
      </c>
      <c r="B17" s="42"/>
      <c r="C17" s="17">
        <v>24354911</v>
      </c>
      <c r="D17" s="8">
        <f t="shared" si="5"/>
        <v>12207</v>
      </c>
      <c r="E17" s="17">
        <v>96397</v>
      </c>
      <c r="F17" s="8">
        <f t="shared" si="0"/>
        <v>1008</v>
      </c>
      <c r="G17" s="17">
        <v>1849</v>
      </c>
      <c r="H17" s="37">
        <f t="shared" si="4"/>
        <v>2</v>
      </c>
      <c r="I17" s="44"/>
      <c r="J17" s="38">
        <v>7179</v>
      </c>
      <c r="K17" s="8">
        <f t="shared" si="1"/>
        <v>42</v>
      </c>
      <c r="L17" s="17">
        <v>14569</v>
      </c>
      <c r="M17" s="8">
        <f t="shared" si="2"/>
        <v>48</v>
      </c>
      <c r="N17" s="17">
        <v>60933</v>
      </c>
      <c r="O17" s="8">
        <f t="shared" si="3"/>
        <v>124</v>
      </c>
      <c r="P17" s="20">
        <v>90</v>
      </c>
      <c r="Q17" s="20">
        <v>176</v>
      </c>
    </row>
    <row r="18" spans="1:17" ht="45" customHeight="1" x14ac:dyDescent="0.3">
      <c r="A18" s="7">
        <v>44848</v>
      </c>
      <c r="B18" s="42"/>
      <c r="C18" s="17">
        <v>24358818</v>
      </c>
      <c r="D18" s="8">
        <f t="shared" si="5"/>
        <v>11721</v>
      </c>
      <c r="E18" s="17">
        <v>97436</v>
      </c>
      <c r="F18" s="8">
        <f t="shared" si="0"/>
        <v>1039</v>
      </c>
      <c r="G18" s="17">
        <v>1850</v>
      </c>
      <c r="H18" s="37">
        <f t="shared" si="4"/>
        <v>1</v>
      </c>
      <c r="I18" s="44"/>
      <c r="J18" s="38">
        <v>7212</v>
      </c>
      <c r="K18" s="8">
        <f t="shared" si="1"/>
        <v>33</v>
      </c>
      <c r="L18" s="17">
        <v>14622</v>
      </c>
      <c r="M18" s="8">
        <f t="shared" si="2"/>
        <v>53</v>
      </c>
      <c r="N18" s="17">
        <v>61049</v>
      </c>
      <c r="O18" s="8">
        <f t="shared" si="3"/>
        <v>116</v>
      </c>
      <c r="P18" s="20">
        <v>97</v>
      </c>
      <c r="Q18" s="20">
        <v>184</v>
      </c>
    </row>
    <row r="19" spans="1:17" ht="45" customHeight="1" x14ac:dyDescent="0.3">
      <c r="A19" s="7">
        <v>44849</v>
      </c>
      <c r="B19" s="42"/>
      <c r="C19" s="17">
        <v>24362519</v>
      </c>
      <c r="D19" s="8">
        <f t="shared" si="5"/>
        <v>11103</v>
      </c>
      <c r="E19" s="17">
        <v>98427</v>
      </c>
      <c r="F19" s="8">
        <f t="shared" si="0"/>
        <v>991</v>
      </c>
      <c r="G19" s="17">
        <v>1850</v>
      </c>
      <c r="H19" s="37">
        <f t="shared" si="4"/>
        <v>0</v>
      </c>
      <c r="I19" s="44"/>
      <c r="J19" s="38">
        <v>7266</v>
      </c>
      <c r="K19" s="8">
        <f t="shared" si="1"/>
        <v>54</v>
      </c>
      <c r="L19" s="17">
        <v>14683</v>
      </c>
      <c r="M19" s="8">
        <f t="shared" si="2"/>
        <v>61</v>
      </c>
      <c r="N19" s="17">
        <v>61160</v>
      </c>
      <c r="O19" s="8">
        <f t="shared" si="3"/>
        <v>111</v>
      </c>
      <c r="P19" s="20">
        <v>98</v>
      </c>
      <c r="Q19" s="20">
        <v>188</v>
      </c>
    </row>
    <row r="20" spans="1:17" ht="45" customHeight="1" x14ac:dyDescent="0.3">
      <c r="A20" s="7">
        <v>44850</v>
      </c>
      <c r="B20" s="42"/>
      <c r="C20" s="17">
        <v>24366708</v>
      </c>
      <c r="D20" s="8">
        <f t="shared" si="5"/>
        <v>12567</v>
      </c>
      <c r="E20" s="17">
        <v>99506</v>
      </c>
      <c r="F20" s="8">
        <f t="shared" si="0"/>
        <v>1079</v>
      </c>
      <c r="G20" s="17">
        <v>1850</v>
      </c>
      <c r="H20" s="37">
        <f t="shared" si="4"/>
        <v>0</v>
      </c>
      <c r="I20" s="44"/>
      <c r="J20" s="38">
        <v>7304</v>
      </c>
      <c r="K20" s="8">
        <f t="shared" si="1"/>
        <v>38</v>
      </c>
      <c r="L20" s="17">
        <v>14722</v>
      </c>
      <c r="M20" s="8">
        <f t="shared" si="2"/>
        <v>39</v>
      </c>
      <c r="N20" s="17">
        <v>61290</v>
      </c>
      <c r="O20" s="8">
        <f t="shared" si="3"/>
        <v>130</v>
      </c>
      <c r="P20" s="20">
        <v>100</v>
      </c>
      <c r="Q20" s="20">
        <v>187</v>
      </c>
    </row>
    <row r="21" spans="1:17" ht="45" customHeight="1" x14ac:dyDescent="0.3">
      <c r="A21" s="7">
        <v>44851</v>
      </c>
      <c r="B21" s="42"/>
      <c r="C21" s="17">
        <v>24370509</v>
      </c>
      <c r="D21" s="8">
        <f t="shared" si="5"/>
        <v>11403</v>
      </c>
      <c r="E21" s="17">
        <v>100472</v>
      </c>
      <c r="F21" s="8">
        <f t="shared" si="0"/>
        <v>966</v>
      </c>
      <c r="G21" s="17">
        <v>1853</v>
      </c>
      <c r="H21" s="37">
        <f t="shared" si="4"/>
        <v>3</v>
      </c>
      <c r="I21" s="44"/>
      <c r="J21" s="38">
        <v>7350</v>
      </c>
      <c r="K21" s="8">
        <f t="shared" si="1"/>
        <v>46</v>
      </c>
      <c r="L21" s="17">
        <v>14760</v>
      </c>
      <c r="M21" s="8">
        <f t="shared" si="2"/>
        <v>38</v>
      </c>
      <c r="N21" s="17">
        <v>61409</v>
      </c>
      <c r="O21" s="8">
        <f t="shared" si="3"/>
        <v>119</v>
      </c>
      <c r="P21" s="20">
        <v>96</v>
      </c>
      <c r="Q21" s="20">
        <v>183</v>
      </c>
    </row>
    <row r="22" spans="1:17" ht="45" customHeight="1" x14ac:dyDescent="0.3">
      <c r="A22" s="7">
        <v>44852</v>
      </c>
      <c r="B22" s="42"/>
      <c r="C22" s="17">
        <v>24374541</v>
      </c>
      <c r="D22" s="8">
        <f t="shared" si="5"/>
        <v>12096</v>
      </c>
      <c r="E22" s="17">
        <v>101530</v>
      </c>
      <c r="F22" s="8">
        <f t="shared" si="0"/>
        <v>1058</v>
      </c>
      <c r="G22" s="17">
        <v>1854</v>
      </c>
      <c r="H22" s="37">
        <f t="shared" si="4"/>
        <v>1</v>
      </c>
      <c r="I22" s="44"/>
      <c r="J22" s="38">
        <v>7395</v>
      </c>
      <c r="K22" s="8">
        <f t="shared" si="1"/>
        <v>45</v>
      </c>
      <c r="L22" s="17">
        <v>14823</v>
      </c>
      <c r="M22" s="8">
        <f t="shared" si="2"/>
        <v>63</v>
      </c>
      <c r="N22" s="17">
        <v>61526</v>
      </c>
      <c r="O22" s="8">
        <f t="shared" si="3"/>
        <v>117</v>
      </c>
      <c r="P22" s="20">
        <v>98</v>
      </c>
      <c r="Q22" s="20">
        <v>189</v>
      </c>
    </row>
    <row r="23" spans="1:17" ht="45" customHeight="1" x14ac:dyDescent="0.3">
      <c r="A23" s="7">
        <v>44853</v>
      </c>
      <c r="B23" s="42"/>
      <c r="C23" s="17">
        <v>24378474</v>
      </c>
      <c r="D23" s="8">
        <f t="shared" si="5"/>
        <v>11799</v>
      </c>
      <c r="E23" s="17">
        <v>102501</v>
      </c>
      <c r="F23" s="8">
        <f t="shared" si="0"/>
        <v>971</v>
      </c>
      <c r="G23" s="17">
        <v>1855</v>
      </c>
      <c r="H23" s="37">
        <f t="shared" si="4"/>
        <v>1</v>
      </c>
      <c r="I23" s="44"/>
      <c r="J23" s="38">
        <v>7439</v>
      </c>
      <c r="K23" s="8">
        <f t="shared" si="1"/>
        <v>44</v>
      </c>
      <c r="L23" s="17">
        <v>14875</v>
      </c>
      <c r="M23" s="8">
        <f t="shared" si="2"/>
        <v>52</v>
      </c>
      <c r="N23" s="17">
        <v>61646</v>
      </c>
      <c r="O23" s="8">
        <f t="shared" si="3"/>
        <v>120</v>
      </c>
      <c r="P23" s="20">
        <v>83</v>
      </c>
      <c r="Q23" s="20">
        <v>150</v>
      </c>
    </row>
    <row r="24" spans="1:17" ht="45" customHeight="1" x14ac:dyDescent="0.3">
      <c r="A24" s="7">
        <v>44854</v>
      </c>
      <c r="B24" s="42"/>
      <c r="C24" s="17">
        <v>24382282</v>
      </c>
      <c r="D24" s="8">
        <f t="shared" si="5"/>
        <v>11424</v>
      </c>
      <c r="E24" s="17">
        <v>103488</v>
      </c>
      <c r="F24" s="8">
        <f t="shared" si="0"/>
        <v>987</v>
      </c>
      <c r="G24" s="17">
        <v>1857</v>
      </c>
      <c r="H24" s="37">
        <f t="shared" si="4"/>
        <v>2</v>
      </c>
      <c r="I24" s="44"/>
      <c r="J24" s="38">
        <v>7480</v>
      </c>
      <c r="K24" s="8">
        <f t="shared" si="1"/>
        <v>41</v>
      </c>
      <c r="L24" s="17">
        <v>14931</v>
      </c>
      <c r="M24" s="8">
        <f t="shared" si="2"/>
        <v>56</v>
      </c>
      <c r="N24" s="17">
        <v>61748</v>
      </c>
      <c r="O24" s="8">
        <f t="shared" si="3"/>
        <v>102</v>
      </c>
      <c r="P24" s="20">
        <v>64</v>
      </c>
      <c r="Q24" s="20">
        <v>120</v>
      </c>
    </row>
    <row r="25" spans="1:17" ht="45" customHeight="1" x14ac:dyDescent="0.3">
      <c r="A25" s="7">
        <v>44855</v>
      </c>
      <c r="B25" s="42"/>
      <c r="C25" s="17">
        <v>24386143</v>
      </c>
      <c r="D25" s="8">
        <f t="shared" si="5"/>
        <v>11583</v>
      </c>
      <c r="E25" s="17">
        <v>104519</v>
      </c>
      <c r="F25" s="8">
        <f t="shared" si="0"/>
        <v>1031</v>
      </c>
      <c r="G25" s="17">
        <v>1857</v>
      </c>
      <c r="H25" s="37">
        <f t="shared" si="4"/>
        <v>0</v>
      </c>
      <c r="I25" s="44"/>
      <c r="J25" s="38">
        <v>7522</v>
      </c>
      <c r="K25" s="8">
        <f t="shared" si="1"/>
        <v>42</v>
      </c>
      <c r="L25" s="17">
        <v>14979</v>
      </c>
      <c r="M25" s="8">
        <f t="shared" si="2"/>
        <v>48</v>
      </c>
      <c r="N25" s="17">
        <v>61858</v>
      </c>
      <c r="O25" s="8">
        <f t="shared" si="3"/>
        <v>110</v>
      </c>
      <c r="P25" s="20">
        <v>108</v>
      </c>
      <c r="Q25" s="20">
        <v>211</v>
      </c>
    </row>
    <row r="26" spans="1:17" ht="45" customHeight="1" x14ac:dyDescent="0.3">
      <c r="A26" s="7">
        <v>44856</v>
      </c>
      <c r="B26" s="42"/>
      <c r="C26" s="6">
        <v>24390143</v>
      </c>
      <c r="D26" s="8">
        <f t="shared" si="5"/>
        <v>12000</v>
      </c>
      <c r="E26" s="17">
        <v>105512</v>
      </c>
      <c r="F26" s="8">
        <f t="shared" si="0"/>
        <v>993</v>
      </c>
      <c r="G26" s="17">
        <v>1859</v>
      </c>
      <c r="H26" s="37">
        <f t="shared" si="4"/>
        <v>2</v>
      </c>
      <c r="I26" s="44"/>
      <c r="J26" s="38">
        <v>7571</v>
      </c>
      <c r="K26" s="8">
        <f t="shared" si="1"/>
        <v>49</v>
      </c>
      <c r="L26" s="17">
        <v>15029</v>
      </c>
      <c r="M26" s="8">
        <f t="shared" si="2"/>
        <v>50</v>
      </c>
      <c r="N26" s="17">
        <v>61975</v>
      </c>
      <c r="O26" s="8">
        <f t="shared" si="3"/>
        <v>117</v>
      </c>
      <c r="P26" s="20">
        <v>112</v>
      </c>
      <c r="Q26" s="20">
        <v>229</v>
      </c>
    </row>
    <row r="27" spans="1:17" ht="45" customHeight="1" x14ac:dyDescent="0.3">
      <c r="A27" s="7">
        <v>44857</v>
      </c>
      <c r="B27" s="42"/>
      <c r="C27" s="17">
        <v>24394364</v>
      </c>
      <c r="D27" s="8">
        <f t="shared" si="5"/>
        <v>12663</v>
      </c>
      <c r="E27" s="17">
        <v>106505</v>
      </c>
      <c r="F27" s="8">
        <f t="shared" si="0"/>
        <v>993</v>
      </c>
      <c r="G27" s="17">
        <v>1866</v>
      </c>
      <c r="H27" s="37">
        <f t="shared" si="4"/>
        <v>7</v>
      </c>
      <c r="I27" s="44"/>
      <c r="J27" s="38">
        <v>7609</v>
      </c>
      <c r="K27" s="8">
        <f t="shared" si="1"/>
        <v>38</v>
      </c>
      <c r="L27" s="17">
        <v>15077</v>
      </c>
      <c r="M27" s="8">
        <f t="shared" si="2"/>
        <v>48</v>
      </c>
      <c r="N27" s="17">
        <v>62095</v>
      </c>
      <c r="O27" s="8">
        <f t="shared" si="3"/>
        <v>120</v>
      </c>
      <c r="P27" s="20">
        <v>80</v>
      </c>
      <c r="Q27" s="20">
        <v>161</v>
      </c>
    </row>
    <row r="28" spans="1:17" ht="45" customHeight="1" x14ac:dyDescent="0.3">
      <c r="A28" s="7">
        <v>44858</v>
      </c>
      <c r="B28" s="42"/>
      <c r="C28" s="17">
        <v>24398524</v>
      </c>
      <c r="D28" s="8">
        <f t="shared" si="5"/>
        <v>12480</v>
      </c>
      <c r="E28" s="17">
        <v>107585</v>
      </c>
      <c r="F28" s="8">
        <f t="shared" si="0"/>
        <v>1080</v>
      </c>
      <c r="G28" s="17">
        <v>1867</v>
      </c>
      <c r="H28" s="37">
        <f t="shared" si="4"/>
        <v>1</v>
      </c>
      <c r="I28" s="44"/>
      <c r="J28" s="38">
        <v>7638</v>
      </c>
      <c r="K28" s="8">
        <f t="shared" si="1"/>
        <v>29</v>
      </c>
      <c r="L28" s="17">
        <v>15126</v>
      </c>
      <c r="M28" s="8">
        <f t="shared" si="2"/>
        <v>49</v>
      </c>
      <c r="N28" s="17">
        <v>62227</v>
      </c>
      <c r="O28" s="8">
        <f t="shared" si="3"/>
        <v>132</v>
      </c>
      <c r="P28" s="20">
        <v>102</v>
      </c>
      <c r="Q28" s="20">
        <v>202</v>
      </c>
    </row>
    <row r="29" spans="1:17" ht="45" customHeight="1" x14ac:dyDescent="0.3">
      <c r="A29" s="7">
        <v>44859</v>
      </c>
      <c r="B29" s="42"/>
      <c r="C29" s="17">
        <v>24402768</v>
      </c>
      <c r="D29" s="8">
        <f t="shared" si="5"/>
        <v>12732</v>
      </c>
      <c r="E29" s="17">
        <v>108402</v>
      </c>
      <c r="F29" s="8">
        <f t="shared" si="0"/>
        <v>817</v>
      </c>
      <c r="G29" s="17">
        <v>1868</v>
      </c>
      <c r="H29" s="37">
        <f t="shared" si="4"/>
        <v>1</v>
      </c>
      <c r="I29" s="44"/>
      <c r="J29" s="38">
        <v>7669</v>
      </c>
      <c r="K29" s="8">
        <f t="shared" si="1"/>
        <v>31</v>
      </c>
      <c r="L29" s="17">
        <v>15180</v>
      </c>
      <c r="M29" s="8">
        <f t="shared" si="2"/>
        <v>54</v>
      </c>
      <c r="N29" s="17">
        <v>62339</v>
      </c>
      <c r="O29" s="8">
        <f t="shared" si="3"/>
        <v>112</v>
      </c>
      <c r="P29" s="20">
        <v>109</v>
      </c>
      <c r="Q29" s="20">
        <v>216</v>
      </c>
    </row>
    <row r="30" spans="1:17" ht="45" customHeight="1" x14ac:dyDescent="0.3">
      <c r="A30" s="7">
        <v>44860</v>
      </c>
      <c r="B30" s="42"/>
      <c r="C30" s="17">
        <v>24407750</v>
      </c>
      <c r="D30" s="8">
        <f t="shared" si="5"/>
        <v>14946</v>
      </c>
      <c r="E30" s="17">
        <v>109607</v>
      </c>
      <c r="F30" s="8">
        <f t="shared" si="0"/>
        <v>1205</v>
      </c>
      <c r="G30" s="17">
        <v>1870</v>
      </c>
      <c r="H30" s="37">
        <f t="shared" si="4"/>
        <v>2</v>
      </c>
      <c r="I30" s="44"/>
      <c r="J30" s="38">
        <v>7713</v>
      </c>
      <c r="K30" s="8">
        <f t="shared" si="1"/>
        <v>44</v>
      </c>
      <c r="L30" s="17">
        <v>15244</v>
      </c>
      <c r="M30" s="8">
        <f t="shared" si="2"/>
        <v>64</v>
      </c>
      <c r="N30" s="17">
        <v>62509</v>
      </c>
      <c r="O30" s="8">
        <f t="shared" si="3"/>
        <v>170</v>
      </c>
      <c r="P30" s="20">
        <v>114</v>
      </c>
      <c r="Q30" s="20">
        <v>214</v>
      </c>
    </row>
    <row r="31" spans="1:17" ht="45" customHeight="1" x14ac:dyDescent="0.3">
      <c r="A31" s="7">
        <v>44861</v>
      </c>
      <c r="B31" s="42"/>
      <c r="C31" s="17">
        <v>24410659</v>
      </c>
      <c r="D31" s="8">
        <f t="shared" si="5"/>
        <v>8727</v>
      </c>
      <c r="E31" s="17">
        <v>110330</v>
      </c>
      <c r="F31" s="8">
        <f t="shared" si="0"/>
        <v>723</v>
      </c>
      <c r="G31" s="17">
        <v>1870</v>
      </c>
      <c r="H31" s="37">
        <f t="shared" si="4"/>
        <v>0</v>
      </c>
      <c r="I31" s="44"/>
      <c r="J31" s="38">
        <v>7726</v>
      </c>
      <c r="K31" s="8">
        <f t="shared" si="1"/>
        <v>13</v>
      </c>
      <c r="L31" s="17">
        <v>15276</v>
      </c>
      <c r="M31" s="8">
        <f t="shared" si="2"/>
        <v>32</v>
      </c>
      <c r="N31" s="17">
        <v>62585</v>
      </c>
      <c r="O31" s="8">
        <f t="shared" si="3"/>
        <v>76</v>
      </c>
      <c r="P31" s="20">
        <v>109</v>
      </c>
      <c r="Q31" s="20">
        <v>209</v>
      </c>
    </row>
    <row r="32" spans="1:17" ht="45" customHeight="1" thickBot="1" x14ac:dyDescent="0.35">
      <c r="A32" s="7">
        <v>44862</v>
      </c>
      <c r="B32" s="42"/>
      <c r="C32" s="17">
        <v>24414715</v>
      </c>
      <c r="D32" s="8">
        <f t="shared" si="5"/>
        <v>12168</v>
      </c>
      <c r="E32" s="17">
        <v>111387</v>
      </c>
      <c r="F32" s="8">
        <f t="shared" si="0"/>
        <v>1057</v>
      </c>
      <c r="G32" s="17">
        <v>1871</v>
      </c>
      <c r="H32" s="37">
        <f t="shared" si="4"/>
        <v>1</v>
      </c>
      <c r="I32" s="55"/>
      <c r="J32" s="38">
        <v>7763</v>
      </c>
      <c r="K32" s="8">
        <f t="shared" si="1"/>
        <v>37</v>
      </c>
      <c r="L32" s="17">
        <v>15332</v>
      </c>
      <c r="M32" s="8">
        <f t="shared" si="2"/>
        <v>56</v>
      </c>
      <c r="N32" s="17">
        <v>62722</v>
      </c>
      <c r="O32" s="8">
        <f t="shared" si="3"/>
        <v>137</v>
      </c>
      <c r="P32" s="20">
        <v>104</v>
      </c>
      <c r="Q32" s="20">
        <v>209</v>
      </c>
    </row>
    <row r="33" spans="1:17" ht="45" customHeight="1" x14ac:dyDescent="0.3">
      <c r="A33" s="7">
        <v>44863</v>
      </c>
      <c r="B33" s="42"/>
      <c r="C33" s="17">
        <v>24418678</v>
      </c>
      <c r="D33" s="8">
        <f t="shared" si="5"/>
        <v>11889</v>
      </c>
      <c r="E33" s="17">
        <v>112440</v>
      </c>
      <c r="F33" s="8">
        <f t="shared" si="0"/>
        <v>1053</v>
      </c>
      <c r="G33" s="17">
        <v>1872</v>
      </c>
      <c r="H33" s="37">
        <f t="shared" si="4"/>
        <v>1</v>
      </c>
      <c r="I33" s="43"/>
      <c r="J33" s="38">
        <v>7808</v>
      </c>
      <c r="K33" s="8">
        <f t="shared" si="1"/>
        <v>45</v>
      </c>
      <c r="L33" s="17">
        <v>15387</v>
      </c>
      <c r="M33" s="8">
        <f t="shared" si="2"/>
        <v>55</v>
      </c>
      <c r="N33" s="17">
        <v>62839</v>
      </c>
      <c r="O33" s="8">
        <f t="shared" si="3"/>
        <v>117</v>
      </c>
      <c r="P33" s="20">
        <v>104</v>
      </c>
      <c r="Q33" s="20">
        <v>199</v>
      </c>
    </row>
    <row r="34" spans="1:17" ht="45" customHeight="1" thickBot="1" x14ac:dyDescent="0.35">
      <c r="A34" s="7">
        <v>44864</v>
      </c>
      <c r="B34" s="42"/>
      <c r="C34" s="17">
        <v>24422532</v>
      </c>
      <c r="D34" s="8">
        <f t="shared" si="5"/>
        <v>11562</v>
      </c>
      <c r="E34" s="17">
        <v>113538</v>
      </c>
      <c r="F34" s="8">
        <f t="shared" si="0"/>
        <v>1098</v>
      </c>
      <c r="G34" s="17">
        <v>1873</v>
      </c>
      <c r="H34" s="8">
        <f t="shared" si="4"/>
        <v>1</v>
      </c>
      <c r="I34" s="44"/>
      <c r="J34" s="38">
        <v>7836</v>
      </c>
      <c r="K34" s="8">
        <f t="shared" si="1"/>
        <v>28</v>
      </c>
      <c r="L34" s="17">
        <v>15437</v>
      </c>
      <c r="M34" s="8">
        <f t="shared" si="2"/>
        <v>50</v>
      </c>
      <c r="N34" s="17">
        <v>62960</v>
      </c>
      <c r="O34" s="8">
        <f t="shared" si="3"/>
        <v>121</v>
      </c>
      <c r="P34" s="20">
        <v>88</v>
      </c>
      <c r="Q34" s="20">
        <v>172</v>
      </c>
    </row>
    <row r="35" spans="1:17" ht="40.5" customHeight="1" x14ac:dyDescent="0.4">
      <c r="A35" s="7">
        <v>44865</v>
      </c>
      <c r="B35" s="39"/>
      <c r="C35" s="17">
        <v>24426133</v>
      </c>
      <c r="D35" s="8">
        <f>IF((C35-C34&lt;0), "",(C35-C34)*3)</f>
        <v>10803</v>
      </c>
      <c r="E35" s="17">
        <v>114545</v>
      </c>
      <c r="F35" s="8">
        <f>IF((E35-E34&lt;0), "",E35-E34)</f>
        <v>1007</v>
      </c>
      <c r="G35" s="17">
        <v>1874</v>
      </c>
      <c r="H35" s="8">
        <f>IF((G35-G34&lt;0), "",G35-G34)</f>
        <v>1</v>
      </c>
      <c r="I35" s="40"/>
      <c r="J35" s="38">
        <v>7860</v>
      </c>
      <c r="K35" s="8">
        <f>IF((J35-J34&lt;0), "",J35-J34)</f>
        <v>24</v>
      </c>
      <c r="L35" s="17">
        <v>15486</v>
      </c>
      <c r="M35" s="8">
        <f>IF((L35-L34&lt;0), "",L35-L34)</f>
        <v>49</v>
      </c>
      <c r="N35" s="17">
        <v>63059</v>
      </c>
      <c r="O35" s="8">
        <f>IF((N35-N34&lt;0), "",N35-N34)</f>
        <v>99</v>
      </c>
      <c r="P35" s="20">
        <v>85</v>
      </c>
      <c r="Q35" s="20">
        <v>159</v>
      </c>
    </row>
  </sheetData>
  <mergeCells count="17">
    <mergeCell ref="G2:H2"/>
    <mergeCell ref="D4:D5"/>
    <mergeCell ref="B33:B34"/>
    <mergeCell ref="I33:I34"/>
    <mergeCell ref="B1:B32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I1:I32"/>
    <mergeCell ref="E2:F2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Sofia Falchi</cp:lastModifiedBy>
  <cp:lastPrinted>2019-04-02T11:32:44Z</cp:lastPrinted>
  <dcterms:created xsi:type="dcterms:W3CDTF">2017-05-03T09:23:30Z</dcterms:created>
  <dcterms:modified xsi:type="dcterms:W3CDTF">2022-12-09T09:43:55Z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