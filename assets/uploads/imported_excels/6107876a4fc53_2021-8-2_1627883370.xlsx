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H29" i="8" s="1"/>
  <c r="G28" i="8"/>
  <c r="G27" i="8"/>
  <c r="G26" i="8"/>
  <c r="G25" i="8"/>
  <c r="G24" i="8"/>
  <c r="H24" i="8" s="1"/>
  <c r="G23" i="8"/>
  <c r="H23" i="8" s="1"/>
  <c r="G22" i="8"/>
  <c r="G21" i="8"/>
  <c r="G20" i="8"/>
  <c r="G19" i="8"/>
  <c r="G18" i="8"/>
  <c r="H18" i="8" s="1"/>
  <c r="G17" i="8"/>
  <c r="H17" i="8" s="1"/>
  <c r="G16" i="8"/>
  <c r="G15" i="8"/>
  <c r="G14" i="8"/>
  <c r="G13" i="8"/>
  <c r="G12" i="8"/>
  <c r="H12" i="8" s="1"/>
  <c r="G11" i="8"/>
  <c r="H11" i="8" s="1"/>
  <c r="G10" i="8"/>
  <c r="G9" i="8"/>
  <c r="G8" i="8"/>
  <c r="G7" i="8"/>
  <c r="G6" i="8"/>
  <c r="G5" i="8"/>
  <c r="G4" i="8"/>
  <c r="H6" i="8" l="1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I28" i="10" s="1"/>
  <c r="H27" i="10"/>
  <c r="H26" i="10"/>
  <c r="H25" i="10"/>
  <c r="H24" i="10"/>
  <c r="H23" i="10"/>
  <c r="H22" i="10"/>
  <c r="H21" i="10"/>
  <c r="I21" i="10" s="1"/>
  <c r="H20" i="10"/>
  <c r="H19" i="10"/>
  <c r="H18" i="10"/>
  <c r="H17" i="10"/>
  <c r="H16" i="10"/>
  <c r="I16" i="10" s="1"/>
  <c r="H15" i="10"/>
  <c r="H14" i="10"/>
  <c r="H13" i="10"/>
  <c r="H12" i="10"/>
  <c r="H11" i="10"/>
  <c r="H10" i="10"/>
  <c r="H9" i="10"/>
  <c r="I9" i="10" s="1"/>
  <c r="H8" i="10"/>
  <c r="I8" i="10" s="1"/>
  <c r="H7" i="10"/>
  <c r="H6" i="10"/>
  <c r="J10" i="9" l="1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<sst xmlns="http://schemas.openxmlformats.org/spreadsheetml/2006/main" count="77" uniqueCount="42">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</sst>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11280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3" sqref="A3:XFD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-13000869.6</v>
      </c>
      <c r="F4" s="3">
        <v>0.8</v>
      </c>
      <c r="G4" s="13">
        <f>Gas!J6</f>
        <v>-1192410.140344</v>
      </c>
      <c r="H4" s="3">
        <v>1.69</v>
      </c>
      <c r="I4" s="13">
        <f>Water!H6</f>
        <v>-10237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0</v>
      </c>
      <c r="F5" s="3">
        <v>0.8</v>
      </c>
      <c r="G5" s="13">
        <f>Gas!J7</f>
        <v>0</v>
      </c>
      <c r="H5" s="3">
        <v>1.69</v>
      </c>
      <c r="I5" s="13">
        <f>Water!H7</f>
        <v>0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0</v>
      </c>
      <c r="F6" s="3">
        <v>0.8</v>
      </c>
      <c r="G6" s="13">
        <f>Gas!J8</f>
        <v>0</v>
      </c>
      <c r="H6" s="3">
        <v>1.69</v>
      </c>
      <c r="I6" s="13">
        <f>Water!H8</f>
        <v>0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0</v>
      </c>
      <c r="F7" s="3">
        <v>0.8</v>
      </c>
      <c r="G7" s="13">
        <f>Gas!J9</f>
        <v>0</v>
      </c>
      <c r="H7" s="3">
        <v>1.69</v>
      </c>
      <c r="I7" s="13">
        <f>Water!H9</f>
        <v>0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0</v>
      </c>
      <c r="F8" s="3">
        <v>0.8</v>
      </c>
      <c r="G8" s="13">
        <f>Gas!J10</f>
        <v>0</v>
      </c>
      <c r="H8" s="3">
        <v>1.69</v>
      </c>
      <c r="I8" s="13">
        <f>Water!H10</f>
        <v>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0</v>
      </c>
      <c r="F9" s="3">
        <v>0.8</v>
      </c>
      <c r="G9" s="13">
        <f>Gas!J11</f>
        <v>0</v>
      </c>
      <c r="H9" s="3">
        <v>1.69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f>Electricity!I12</f>
        <v>0</v>
      </c>
      <c r="F10" s="3">
        <v>0.8</v>
      </c>
      <c r="G10" s="13">
        <f>Gas!J12</f>
        <v>0</v>
      </c>
      <c r="H10" s="3">
        <v>1.69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f>Electricity!I13</f>
        <v>0</v>
      </c>
      <c r="F11" s="3">
        <v>0.8</v>
      </c>
      <c r="G11" s="13">
        <f>Gas!J13</f>
        <v>0</v>
      </c>
      <c r="H11" s="3">
        <v>1.69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f>Electricity!I14</f>
        <v>0</v>
      </c>
      <c r="F12" s="3">
        <v>0.8</v>
      </c>
      <c r="G12" s="13">
        <f>Gas!J14</f>
        <v>0</v>
      </c>
      <c r="H12" s="3">
        <v>1.69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f>Electricity!I15</f>
        <v>0</v>
      </c>
      <c r="F13" s="3">
        <v>0.8</v>
      </c>
      <c r="G13" s="13">
        <f>Gas!J15</f>
        <v>0</v>
      </c>
      <c r="H13" s="3">
        <v>1.69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1.69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1.69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H6" sqref="H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/>
      <c r="F6" s="23">
        <v>1065</v>
      </c>
      <c r="G6" s="23">
        <f>E6+F6</f>
        <v>1065</v>
      </c>
      <c r="H6" s="24">
        <f t="shared" ref="H6:H34" si="0">G6-G5</f>
        <v>-10237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/>
      <c r="F7" s="23">
        <v>1065</v>
      </c>
      <c r="G7" s="23">
        <f>E7+F7</f>
        <v>1065</v>
      </c>
      <c r="H7" s="24">
        <f t="shared" si="0"/>
        <v>0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/>
      <c r="F8" s="23">
        <v>1065</v>
      </c>
      <c r="G8" s="23">
        <f t="shared" ref="G8:G31" si="1">E8+F8</f>
        <v>1065</v>
      </c>
      <c r="H8" s="24">
        <f t="shared" si="0"/>
        <v>0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/>
      <c r="F9" s="23">
        <v>1065</v>
      </c>
      <c r="G9" s="23">
        <f t="shared" si="1"/>
        <v>1065</v>
      </c>
      <c r="H9" s="24">
        <f t="shared" si="0"/>
        <v>0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/>
      <c r="F10" s="23">
        <v>1065</v>
      </c>
      <c r="G10" s="23">
        <f t="shared" si="1"/>
        <v>1065</v>
      </c>
      <c r="H10" s="24">
        <f>G10-G9</f>
        <v>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/>
      <c r="F11" s="23">
        <v>1065</v>
      </c>
      <c r="G11" s="23">
        <f t="shared" si="1"/>
        <v>1065</v>
      </c>
      <c r="H11" s="24">
        <f t="shared" ref="H11:H33" si="2">G11-G10</f>
        <v>0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/>
      <c r="F12" s="23">
        <v>1065</v>
      </c>
      <c r="G12" s="23">
        <f t="shared" si="1"/>
        <v>1065</v>
      </c>
      <c r="H12" s="24">
        <f t="shared" si="2"/>
        <v>0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/>
      <c r="F13" s="23">
        <v>1065</v>
      </c>
      <c r="G13" s="23">
        <f t="shared" si="1"/>
        <v>1065</v>
      </c>
      <c r="H13" s="24">
        <f t="shared" si="2"/>
        <v>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/>
      <c r="F14" s="23">
        <v>1065</v>
      </c>
      <c r="G14" s="23">
        <f t="shared" si="1"/>
        <v>1065</v>
      </c>
      <c r="H14" s="24">
        <f t="shared" si="2"/>
        <v>0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/>
      <c r="F15" s="23">
        <v>1065</v>
      </c>
      <c r="G15" s="23">
        <f t="shared" si="1"/>
        <v>1065</v>
      </c>
      <c r="H15" s="24">
        <f t="shared" si="2"/>
        <v>0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/>
      <c r="F16" s="23">
        <v>1065</v>
      </c>
      <c r="G16" s="23">
        <f t="shared" si="1"/>
        <v>1065</v>
      </c>
      <c r="H16" s="24">
        <f t="shared" si="2"/>
        <v>0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/>
      <c r="F17" s="23">
        <v>1065</v>
      </c>
      <c r="G17" s="23">
        <f t="shared" si="1"/>
        <v>1065</v>
      </c>
      <c r="H17" s="24">
        <f t="shared" si="2"/>
        <v>0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J5" sqref="J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/>
      <c r="F6" s="23"/>
      <c r="G6" s="23">
        <f t="shared" ref="G6:G34" si="0">E6+F6</f>
        <v>0</v>
      </c>
      <c r="H6" s="18">
        <v>1.2781359999999999</v>
      </c>
      <c r="I6" s="23">
        <f t="shared" ref="I6:I34" si="1">H6*G6</f>
        <v>0</v>
      </c>
      <c r="J6" s="24">
        <f>I6-I5</f>
        <v>-1192410.140344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/>
      <c r="F7" s="23"/>
      <c r="G7" s="23">
        <f t="shared" si="0"/>
        <v>0</v>
      </c>
      <c r="H7" s="18">
        <v>1.2781359999999999</v>
      </c>
      <c r="I7" s="23">
        <f t="shared" si="1"/>
        <v>0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/>
      <c r="F8" s="23"/>
      <c r="G8" s="23">
        <f t="shared" si="0"/>
        <v>0</v>
      </c>
      <c r="H8" s="18">
        <v>1.2781359999999999</v>
      </c>
      <c r="I8" s="23">
        <f t="shared" si="1"/>
        <v>0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/>
      <c r="F9" s="23"/>
      <c r="G9" s="23">
        <f>E9+F9</f>
        <v>0</v>
      </c>
      <c r="H9" s="18">
        <v>1.2781359999999999</v>
      </c>
      <c r="I9" s="23">
        <f>H9*G9</f>
        <v>0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/>
      <c r="F10" s="23"/>
      <c r="G10" s="23">
        <f t="shared" si="0"/>
        <v>0</v>
      </c>
      <c r="H10" s="18">
        <v>1.2781359999999999</v>
      </c>
      <c r="I10" s="23">
        <f>H10*G10</f>
        <v>0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/>
      <c r="F11" s="23"/>
      <c r="G11" s="23">
        <f t="shared" si="0"/>
        <v>0</v>
      </c>
      <c r="H11" s="18">
        <v>1.2781359999999999</v>
      </c>
      <c r="I11" s="23">
        <f>H11*G11</f>
        <v>0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/>
      <c r="F12" s="23"/>
      <c r="G12" s="23">
        <f t="shared" si="0"/>
        <v>0</v>
      </c>
      <c r="H12" s="18">
        <v>1.2781359999999999</v>
      </c>
      <c r="I12" s="23">
        <f t="shared" si="1"/>
        <v>0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/>
      <c r="F13" s="23"/>
      <c r="G13" s="23">
        <f>E13+F13</f>
        <v>0</v>
      </c>
      <c r="H13" s="18">
        <v>1.2781359999999999</v>
      </c>
      <c r="I13" s="23">
        <f>H13*G13</f>
        <v>0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/>
      <c r="F14" s="23"/>
      <c r="G14" s="23">
        <f t="shared" si="0"/>
        <v>0</v>
      </c>
      <c r="H14" s="18">
        <v>1.2781359999999999</v>
      </c>
      <c r="I14" s="23">
        <f>H14*G14</f>
        <v>0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/>
      <c r="F15" s="23"/>
      <c r="G15" s="23">
        <f t="shared" si="0"/>
        <v>0</v>
      </c>
      <c r="H15" s="18">
        <v>1.2781359999999999</v>
      </c>
      <c r="I15" s="23">
        <f t="shared" si="1"/>
        <v>0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/>
      <c r="F16" s="23"/>
      <c r="G16" s="23">
        <f t="shared" si="0"/>
        <v>0</v>
      </c>
      <c r="H16" s="18">
        <v>1.2781359999999999</v>
      </c>
      <c r="I16" s="23">
        <f t="shared" si="1"/>
        <v>0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/>
      <c r="F17" s="23"/>
      <c r="G17" s="23">
        <f t="shared" si="0"/>
        <v>0</v>
      </c>
      <c r="H17" s="18">
        <v>1.2781359999999999</v>
      </c>
      <c r="I17" s="23">
        <f t="shared" si="1"/>
        <v>0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/>
      <c r="F18" s="23"/>
      <c r="G18" s="23">
        <f t="shared" si="0"/>
        <v>0</v>
      </c>
      <c r="H18" s="18">
        <v>1.2781359999999999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-238482.02806879999</v>
      </c>
      <c r="M36" s="17">
        <f>+(L36*31)</f>
        <v>-7392942.8701328002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I6" sqref="I6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/>
      <c r="G6" s="22">
        <v>2760</v>
      </c>
      <c r="H6" s="23">
        <f t="shared" ref="H6:H34" si="0">G6*F6</f>
        <v>0</v>
      </c>
      <c r="I6" s="24">
        <f t="shared" ref="I6:I34" si="1">+(H6-H5)</f>
        <v>-13000869.6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/>
      <c r="G7" s="22">
        <v>2760</v>
      </c>
      <c r="H7" s="23">
        <f t="shared" si="0"/>
        <v>0</v>
      </c>
      <c r="I7" s="24">
        <f t="shared" si="1"/>
        <v>0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/>
      <c r="G8" s="22">
        <v>2760</v>
      </c>
      <c r="H8" s="23">
        <f>G8*F8</f>
        <v>0</v>
      </c>
      <c r="I8" s="24">
        <f t="shared" si="1"/>
        <v>0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/>
      <c r="G9" s="22">
        <v>2760</v>
      </c>
      <c r="H9" s="23">
        <f t="shared" si="0"/>
        <v>0</v>
      </c>
      <c r="I9" s="24">
        <f t="shared" si="1"/>
        <v>0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/>
      <c r="G10" s="22">
        <v>2760</v>
      </c>
      <c r="H10" s="23">
        <f t="shared" si="0"/>
        <v>0</v>
      </c>
      <c r="I10" s="24">
        <f t="shared" si="1"/>
        <v>0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/>
      <c r="G11" s="22">
        <v>2760</v>
      </c>
      <c r="H11" s="23">
        <f t="shared" si="0"/>
        <v>0</v>
      </c>
      <c r="I11" s="24">
        <f t="shared" si="1"/>
        <v>0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/>
      <c r="G12" s="22">
        <v>2760</v>
      </c>
      <c r="H12" s="23">
        <f>G12*F12</f>
        <v>0</v>
      </c>
      <c r="I12" s="24">
        <f t="shared" si="1"/>
        <v>0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/>
      <c r="G13" s="22">
        <v>2760</v>
      </c>
      <c r="H13" s="23">
        <f t="shared" si="0"/>
        <v>0</v>
      </c>
      <c r="I13" s="24">
        <f t="shared" si="1"/>
        <v>0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/>
      <c r="G14" s="22">
        <v>2760</v>
      </c>
      <c r="H14" s="23">
        <f t="shared" si="0"/>
        <v>0</v>
      </c>
      <c r="I14" s="24">
        <f t="shared" si="1"/>
        <v>0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/>
      <c r="G15" s="22">
        <v>2760</v>
      </c>
      <c r="H15" s="23">
        <f t="shared" si="0"/>
        <v>0</v>
      </c>
      <c r="I15" s="24">
        <f t="shared" si="1"/>
        <v>0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/>
      <c r="G16" s="22">
        <v>2760</v>
      </c>
      <c r="H16" s="23">
        <f t="shared" si="0"/>
        <v>0</v>
      </c>
      <c r="I16" s="24">
        <f t="shared" si="1"/>
        <v>0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/>
      <c r="G17" s="22">
        <v>2760</v>
      </c>
      <c r="H17" s="23">
        <f t="shared" si="0"/>
        <v>0</v>
      </c>
      <c r="I17" s="24">
        <f t="shared" si="1"/>
        <v>0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/>
      <c r="G18" s="22">
        <v>2760</v>
      </c>
      <c r="H18" s="23">
        <f t="shared" si="0"/>
        <v>0</v>
      </c>
      <c r="I18" s="24">
        <f t="shared" si="1"/>
        <v>0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/>
      <c r="G19" s="22">
        <v>2760</v>
      </c>
      <c r="H19" s="23">
        <f>G19*F19</f>
        <v>0</v>
      </c>
      <c r="I19" s="24">
        <f>+(H19-H18)</f>
        <v>0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/>
      <c r="G20" s="22">
        <v>2760</v>
      </c>
      <c r="H20" s="23">
        <f t="shared" si="0"/>
        <v>0</v>
      </c>
      <c r="I20" s="24">
        <f t="shared" si="1"/>
        <v>0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/>
      <c r="G21" s="22">
        <v>2760</v>
      </c>
      <c r="H21" s="23">
        <f t="shared" si="0"/>
        <v>0</v>
      </c>
      <c r="I21" s="24">
        <f>+(H21-H20)</f>
        <v>0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/>
      <c r="G22" s="22">
        <v>2760</v>
      </c>
      <c r="H22" s="23">
        <f t="shared" si="0"/>
        <v>0</v>
      </c>
      <c r="I22" s="24">
        <f t="shared" si="1"/>
        <v>0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/>
      <c r="G23" s="22">
        <v>2760</v>
      </c>
      <c r="H23" s="23">
        <f t="shared" si="0"/>
        <v>0</v>
      </c>
      <c r="I23" s="24">
        <f t="shared" si="1"/>
        <v>0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/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/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/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/>
      <c r="G29" s="22">
        <v>2760</v>
      </c>
      <c r="H29" s="23">
        <f t="shared" si="0"/>
        <v>0</v>
      </c>
      <c r="I29" s="24">
        <f t="shared" si="1"/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2021-08-02T05:48:54Z</dcterms:modified>
</cp:coreProperties>
</file>