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75" yWindow="0" windowWidth="14325" windowHeight="11970" tabRatio="578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R15" i="2"/>
  <c r="AU17" i="5" l="1"/>
  <c r="L12" i="3" l="1"/>
  <c r="T12"/>
  <c r="M12"/>
  <c r="U12"/>
  <c r="AA7" l="1"/>
  <c r="Q7"/>
  <c r="T7"/>
  <c r="L7"/>
  <c r="U7"/>
  <c r="M7"/>
  <c r="M5"/>
  <c r="T6"/>
  <c r="X8" i="1" l="1"/>
  <c r="V8" l="1"/>
  <c r="C3" i="76"/>
  <c r="D3"/>
  <c r="E3"/>
  <c r="F3"/>
  <c r="G3"/>
  <c r="H3"/>
  <c r="I3"/>
  <c r="J3"/>
  <c r="K3"/>
  <c r="L3"/>
  <c r="M3"/>
  <c r="N3"/>
  <c r="S3"/>
  <c r="B3"/>
  <c r="BI5" i="7"/>
  <c r="BA5"/>
  <c r="AZ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2" i="3"/>
  <c r="G2"/>
  <c r="H2"/>
  <c r="I2"/>
  <c r="J2"/>
  <c r="K2"/>
  <c r="O2"/>
  <c r="R2"/>
  <c r="S2"/>
  <c r="U2"/>
  <c r="V2"/>
  <c r="W2"/>
  <c r="X2"/>
  <c r="Y2"/>
  <c r="Z2"/>
  <c r="AD2"/>
  <c r="AE2"/>
  <c r="AF2"/>
  <c r="AG2"/>
  <c r="AI2"/>
  <c r="AJ2"/>
  <c r="AK2"/>
  <c r="AL2"/>
  <c r="B2"/>
  <c r="AT5" i="5"/>
  <c r="AU5"/>
  <c r="AV5"/>
  <c r="AW5"/>
  <c r="AX5"/>
  <c r="AZ5"/>
  <c r="BA5"/>
  <c r="BC5"/>
  <c r="BD5"/>
  <c r="C5"/>
  <c r="D5"/>
  <c r="E5"/>
  <c r="F5"/>
  <c r="G5"/>
  <c r="H5"/>
  <c r="I5"/>
  <c r="J5"/>
  <c r="K5"/>
  <c r="L5"/>
  <c r="R5"/>
  <c r="S5"/>
  <c r="T5"/>
  <c r="U5"/>
  <c r="V5"/>
  <c r="W5"/>
  <c r="X5"/>
  <c r="Y5"/>
  <c r="Z5"/>
  <c r="AA5"/>
  <c r="AE5"/>
  <c r="AG5"/>
  <c r="AH5"/>
  <c r="AJ5"/>
  <c r="AK5"/>
  <c r="AL5"/>
  <c r="AM5"/>
  <c r="AN5"/>
  <c r="AO5"/>
  <c r="AP5"/>
  <c r="B5"/>
  <c r="E3" i="2"/>
  <c r="F3"/>
  <c r="G3"/>
  <c r="H3"/>
  <c r="I3"/>
  <c r="J3"/>
  <c r="K3"/>
  <c r="L3"/>
  <c r="M3"/>
  <c r="N3"/>
  <c r="O3"/>
  <c r="P3"/>
  <c r="Q3"/>
  <c r="R3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B4"/>
  <c r="AC4"/>
  <c r="AD4"/>
  <c r="AE4"/>
  <c r="AF4"/>
  <c r="AG4"/>
  <c r="AL4"/>
  <c r="AM4"/>
  <c r="AV4"/>
  <c r="AW4"/>
  <c r="B4"/>
  <c r="D3" i="2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C5" i="79" l="1"/>
  <c r="D5"/>
  <c r="E5"/>
  <c r="F5"/>
  <c r="G5"/>
  <c r="H5"/>
  <c r="H6" s="1"/>
  <c r="B5"/>
  <c r="A5"/>
  <c r="AE10" i="76"/>
  <c r="AF10"/>
  <c r="AE9"/>
  <c r="AF9"/>
  <c r="AA13"/>
  <c r="AA14"/>
  <c r="AA15"/>
  <c r="AA16"/>
  <c r="AA17"/>
  <c r="AA18"/>
  <c r="AA19"/>
  <c r="AB14"/>
  <c r="AB15"/>
  <c r="AB18"/>
  <c r="AC13"/>
  <c r="AC14"/>
  <c r="AC15"/>
  <c r="AC17"/>
  <c r="AC18"/>
  <c r="AC19"/>
  <c r="W10"/>
  <c r="V27" s="1"/>
  <c r="X10"/>
  <c r="Y10"/>
  <c r="Z10"/>
  <c r="W11"/>
  <c r="V28" s="1"/>
  <c r="X11"/>
  <c r="Y11"/>
  <c r="Z11"/>
  <c r="W9"/>
  <c r="V26" s="1"/>
  <c r="X9"/>
  <c r="Y9"/>
  <c r="Z9"/>
  <c r="F4"/>
  <c r="F5" s="1"/>
  <c r="F6" s="1"/>
  <c r="F7" s="1"/>
  <c r="F8" s="1"/>
  <c r="F9" s="1"/>
  <c r="F10" s="1"/>
  <c r="F11" s="1"/>
  <c r="F12" s="1"/>
  <c r="F13" s="1"/>
  <c r="F14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6" s="1"/>
  <c r="H8" s="1"/>
  <c r="H10" s="1"/>
  <c r="H11" s="1"/>
  <c r="H12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6" s="1"/>
  <c r="J7" s="1"/>
  <c r="J8" s="1"/>
  <c r="J10" s="1"/>
  <c r="J11" s="1"/>
  <c r="J12" s="1"/>
  <c r="J13" s="1"/>
  <c r="J14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B4"/>
  <c r="B5" s="1"/>
  <c r="B6" s="1"/>
  <c r="B8" s="1"/>
  <c r="B10" s="1"/>
  <c r="B11" s="1"/>
  <c r="B12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T37" i="7"/>
  <c r="BB5"/>
  <c r="A5"/>
  <c r="AJ31" i="3"/>
  <c r="AJ32"/>
  <c r="AJ33"/>
  <c r="J3"/>
  <c r="J4" s="1"/>
  <c r="J6" s="1"/>
  <c r="J10" s="1"/>
  <c r="J11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R3"/>
  <c r="R4" s="1"/>
  <c r="R10" s="1"/>
  <c r="R11" s="1"/>
  <c r="R13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6" i="5"/>
  <c r="AT7" s="1"/>
  <c r="AT8" s="1"/>
  <c r="AT9" s="1"/>
  <c r="AT11" s="1"/>
  <c r="AT12" s="1"/>
  <c r="AT13" s="1"/>
  <c r="AT14" s="1"/>
  <c r="AT15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6"/>
  <c r="AV7" s="1"/>
  <c r="AV8" s="1"/>
  <c r="AV12" s="1"/>
  <c r="AV13" s="1"/>
  <c r="AV14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X6"/>
  <c r="AX7" s="1"/>
  <c r="AX8" s="1"/>
  <c r="AX13" s="1"/>
  <c r="AX14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R5"/>
  <c r="G6"/>
  <c r="G7" s="1"/>
  <c r="G8" s="1"/>
  <c r="G9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5"/>
  <c r="C5" i="1"/>
  <c r="C6" s="1"/>
  <c r="C12" s="1"/>
  <c r="C13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F5"/>
  <c r="F6" s="1"/>
  <c r="F12" s="1"/>
  <c r="F13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12" s="1"/>
  <c r="H13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8" s="1"/>
  <c r="K9" s="1"/>
  <c r="K10" s="1"/>
  <c r="K11" s="1"/>
  <c r="K12" s="1"/>
  <c r="K13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8" s="1"/>
  <c r="M9" s="1"/>
  <c r="M10" s="1"/>
  <c r="M11" s="1"/>
  <c r="M12" s="1"/>
  <c r="M13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9" s="1"/>
  <c r="Q10" s="1"/>
  <c r="Q11" s="1"/>
  <c r="Q12" s="1"/>
  <c r="Q13" s="1"/>
  <c r="Q14" s="1"/>
  <c r="Q15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5"/>
  <c r="B6" s="1"/>
  <c r="B12" s="1"/>
  <c r="B13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4"/>
  <c r="F4" i="2"/>
  <c r="F5" s="1"/>
  <c r="F11" s="1"/>
  <c r="F12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11" s="1"/>
  <c r="H12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11" s="1"/>
  <c r="J12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L4"/>
  <c r="L5" s="1"/>
  <c r="L11" s="1"/>
  <c r="L12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P4"/>
  <c r="P5" s="1"/>
  <c r="P11" s="1"/>
  <c r="P12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D4"/>
  <c r="D5" s="1"/>
  <c r="D11" s="1"/>
  <c r="D12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K6" i="5" l="1"/>
  <c r="H7" i="79"/>
  <c r="H11" s="1"/>
  <c r="H12" s="1"/>
  <c r="H13" s="1"/>
  <c r="H14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C20" i="77" l="1"/>
  <c r="C18"/>
  <c r="C17"/>
  <c r="C16"/>
  <c r="C15"/>
  <c r="C14"/>
  <c r="N11" i="74" l="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K25" i="3"/>
  <c r="M25" s="1"/>
  <c r="X3" l="1"/>
  <c r="BC5" i="7" l="1"/>
  <c r="BD5"/>
  <c r="BE5"/>
  <c r="BF5"/>
  <c r="BG5"/>
  <c r="BH5"/>
  <c r="X4" i="3"/>
  <c r="X5" s="1"/>
  <c r="X6" s="1"/>
  <c r="X7" s="1"/>
  <c r="X8" l="1"/>
  <c r="X9" s="1"/>
  <c r="X10" s="1"/>
  <c r="X11" s="1"/>
  <c r="X12" s="1"/>
  <c r="X13" s="1"/>
  <c r="X14" s="1"/>
  <c r="X15" s="1"/>
  <c r="X16" s="1"/>
  <c r="X17" s="1"/>
  <c r="X18" s="1"/>
  <c r="X19" s="1"/>
  <c r="X20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X21" i="3" l="1"/>
  <c r="X22" s="1"/>
  <c r="X23" s="1"/>
  <c r="X24" s="1"/>
  <c r="X25" s="1"/>
  <c r="X26" s="1"/>
  <c r="X27" s="1"/>
  <c r="X28" s="1"/>
  <c r="X29" s="1"/>
  <c r="X30" s="1"/>
  <c r="X31" s="1"/>
  <c r="X32" s="1"/>
  <c r="X33" s="1"/>
  <c r="Y20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C31" i="3"/>
  <c r="F31" s="1"/>
  <c r="BA36" i="5"/>
  <c r="BA34"/>
  <c r="Y34"/>
  <c r="H34"/>
  <c r="H36"/>
  <c r="N33" i="1"/>
  <c r="L33"/>
  <c r="I33"/>
  <c r="G33"/>
  <c r="J33" s="1"/>
  <c r="Z34" i="7"/>
  <c r="AI31" i="3" l="1"/>
  <c r="C33" i="76"/>
  <c r="S33" i="3"/>
  <c r="U33" s="1"/>
  <c r="K7" i="5"/>
  <c r="AB34" i="7"/>
  <c r="B36"/>
  <c r="B35"/>
  <c r="D34"/>
  <c r="Q34" i="2"/>
  <c r="AD33" i="3" s="1"/>
  <c r="Q33" i="2"/>
  <c r="AD32" i="3" s="1"/>
  <c r="M34" i="2"/>
  <c r="M33"/>
  <c r="E31" i="82" s="1"/>
  <c r="K34" i="2"/>
  <c r="K33"/>
  <c r="F31" i="82" s="1"/>
  <c r="I34" i="2"/>
  <c r="I33"/>
  <c r="G31" i="82" s="1"/>
  <c r="G34" i="2"/>
  <c r="G33"/>
  <c r="I31" i="82" s="1"/>
  <c r="E34" i="2"/>
  <c r="E33"/>
  <c r="N32"/>
  <c r="I33" i="76"/>
  <c r="M33" s="1"/>
  <c r="D32"/>
  <c r="E32" s="1"/>
  <c r="K33"/>
  <c r="N33" s="1"/>
  <c r="G34"/>
  <c r="G33"/>
  <c r="C33" i="3"/>
  <c r="F33" s="1"/>
  <c r="C32"/>
  <c r="F32" s="1"/>
  <c r="BA35" i="5"/>
  <c r="BD35" s="1"/>
  <c r="Y36"/>
  <c r="Y35"/>
  <c r="J30" i="82"/>
  <c r="H35" i="5"/>
  <c r="N35" i="1"/>
  <c r="N34"/>
  <c r="L34"/>
  <c r="L35"/>
  <c r="I35"/>
  <c r="I34"/>
  <c r="G35"/>
  <c r="G34"/>
  <c r="D33"/>
  <c r="E33" s="1"/>
  <c r="AI33" i="3" l="1"/>
  <c r="AI32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0" i="81"/>
  <c r="S32" i="76"/>
  <c r="R32" i="2"/>
  <c r="L34" i="76"/>
  <c r="D33"/>
  <c r="E33" s="1"/>
  <c r="L33"/>
  <c r="J31" i="82"/>
  <c r="J35" i="1"/>
  <c r="J34"/>
  <c r="Z36" i="7"/>
  <c r="D35" i="1" l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T34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D35"/>
  <c r="AD36"/>
  <c r="H36"/>
  <c r="J34"/>
  <c r="H35"/>
  <c r="AF36" l="1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C6" i="3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R21" i="1" l="1"/>
  <c r="S33"/>
  <c r="Q9" i="2"/>
  <c r="C10" i="74"/>
  <c r="R33" i="1" l="1"/>
  <c r="V33" s="1"/>
  <c r="S34"/>
  <c r="S35"/>
  <c r="T33"/>
  <c r="U33"/>
  <c r="AL33"/>
  <c r="W13" i="76"/>
  <c r="R35" i="1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19" i="73" l="1"/>
  <c r="E12" i="2" l="1"/>
  <c r="E9"/>
  <c r="E10"/>
  <c r="E11"/>
  <c r="AF34" i="3" l="1"/>
  <c r="F37" i="5"/>
  <c r="AT38" i="7" l="1"/>
  <c r="C24" i="3" l="1"/>
  <c r="X5" i="1"/>
  <c r="X6" s="1"/>
  <c r="X7" s="1"/>
  <c r="X10" s="1"/>
  <c r="X11" s="1"/>
  <c r="X12" s="1"/>
  <c r="X13" s="1"/>
  <c r="X14" s="1"/>
  <c r="X15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Z5"/>
  <c r="Z6" s="1"/>
  <c r="Z7" s="1"/>
  <c r="Z8" s="1"/>
  <c r="Z10" s="1"/>
  <c r="Z11" s="1"/>
  <c r="Z12" s="1"/>
  <c r="Z13" s="1"/>
  <c r="Z14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Y33" l="1"/>
  <c r="AB33" s="1"/>
  <c r="X34"/>
  <c r="AA33"/>
  <c r="L25"/>
  <c r="E6" i="2"/>
  <c r="Y9" i="3"/>
  <c r="Y10"/>
  <c r="Y11"/>
  <c r="Y12"/>
  <c r="Y13"/>
  <c r="Y14"/>
  <c r="Y15"/>
  <c r="Y16"/>
  <c r="Y17"/>
  <c r="Y18"/>
  <c r="Y19"/>
  <c r="Y34" i="1" l="1"/>
  <c r="AB34" s="1"/>
  <c r="X35"/>
  <c r="Y35" s="1"/>
  <c r="AB35" s="1"/>
  <c r="AA34"/>
  <c r="AA35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Q6"/>
  <c r="C27" i="3"/>
  <c r="C26"/>
  <c r="S26"/>
  <c r="E31" i="2" l="1"/>
  <c r="N21"/>
  <c r="R21" s="1"/>
  <c r="Q7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I6" i="2"/>
  <c r="G4" i="82" s="1"/>
  <c r="G6" i="2"/>
  <c r="I4" i="82" s="1"/>
  <c r="H2"/>
  <c r="L5" i="79"/>
  <c r="J2" i="63"/>
  <c r="K30" i="73"/>
  <c r="H7" i="5"/>
  <c r="J4" i="63"/>
  <c r="K6" i="76"/>
  <c r="N6" s="1"/>
  <c r="K5"/>
  <c r="N5" s="1"/>
  <c r="M6" i="2"/>
  <c r="E4" i="82" s="1"/>
  <c r="K7" i="76"/>
  <c r="N7" s="1"/>
  <c r="I7"/>
  <c r="M7" s="1"/>
  <c r="G7"/>
  <c r="C7"/>
  <c r="Y9" i="5"/>
  <c r="H9"/>
  <c r="R8" i="1"/>
  <c r="S7"/>
  <c r="T7" s="1"/>
  <c r="Z8" i="7"/>
  <c r="K6" i="2"/>
  <c r="F4" i="82" s="1"/>
  <c r="I7" i="2"/>
  <c r="G5" i="82" s="1"/>
  <c r="G7" i="2"/>
  <c r="G6" i="1"/>
  <c r="I6"/>
  <c r="G7"/>
  <c r="K8" i="76"/>
  <c r="N8" s="1"/>
  <c r="I8"/>
  <c r="G8"/>
  <c r="Y10" i="5"/>
  <c r="R9" i="1"/>
  <c r="S8"/>
  <c r="Z9" i="7"/>
  <c r="AB9" s="1"/>
  <c r="D8" i="1"/>
  <c r="E8" s="1"/>
  <c r="M7" i="2"/>
  <c r="E5" i="82" s="1"/>
  <c r="K7" i="2"/>
  <c r="F5" i="82" s="1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AO34" i="7" l="1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7" l="1"/>
  <c r="AQ7" s="1"/>
  <c r="I22" i="82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7" l="1"/>
  <c r="AQ6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7" l="1"/>
  <c r="Y8" l="1"/>
  <c r="Y21" l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C37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4" l="1"/>
  <c r="F20" l="1"/>
  <c r="F21" l="1"/>
  <c r="F27" l="1"/>
  <c r="F30" l="1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AA36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G9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Q11" i="76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G20" i="5"/>
  <c r="AH19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G23" i="5"/>
  <c r="AH22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AG25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G26" i="5"/>
  <c r="AH2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G27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G28" i="5"/>
  <c r="AH27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G29"/>
  <c r="AY25" i="7"/>
  <c r="BJ25"/>
  <c r="Q23" i="76"/>
  <c r="AC29" i="1" l="1"/>
  <c r="AD28"/>
  <c r="AG30" i="5"/>
  <c r="AH29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G31" l="1"/>
  <c r="AH30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V8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V10" i="5"/>
  <c r="W9"/>
  <c r="AL9" s="1"/>
  <c r="AG33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G3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G36" i="5"/>
  <c r="AH36" s="1"/>
  <c r="AH35"/>
  <c r="AG33" i="1"/>
  <c r="AM33"/>
  <c r="AD34"/>
  <c r="AC35"/>
  <c r="AD35" s="1"/>
  <c r="AF35"/>
  <c r="AH35" s="1"/>
  <c r="AI35" s="1"/>
  <c r="AF34"/>
  <c r="AH34" s="1"/>
  <c r="V13" i="5"/>
  <c r="W12"/>
  <c r="AL12" s="1"/>
  <c r="G29" i="81"/>
  <c r="AX33" i="7"/>
  <c r="AJ32" i="1"/>
  <c r="AK32" s="1"/>
  <c r="BJ32" i="7"/>
  <c r="Q30" i="76"/>
  <c r="AY32" i="7"/>
  <c r="AW36" l="1"/>
  <c r="AJ33" i="1"/>
  <c r="AK33" s="1"/>
  <c r="G30" i="81"/>
  <c r="AX34" i="7"/>
  <c r="AG34" i="1"/>
  <c r="AM34"/>
  <c r="AG35"/>
  <c r="AM35"/>
  <c r="AI34"/>
  <c r="AW35" i="7" s="1"/>
  <c r="AH36" i="1"/>
  <c r="V14" i="5"/>
  <c r="W13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V17" i="5"/>
  <c r="W16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BK6" i="7"/>
  <c r="AG3" i="3"/>
  <c r="K6"/>
  <c r="V21" i="5"/>
  <c r="W20"/>
  <c r="AL20" s="1"/>
  <c r="W15" i="76"/>
  <c r="Y15" l="1"/>
  <c r="X15"/>
  <c r="BK7" i="7"/>
  <c r="AG4" i="3"/>
  <c r="W21" i="5"/>
  <c r="AL21" s="1"/>
  <c r="V22"/>
  <c r="F5" i="63"/>
  <c r="AE5" i="3"/>
  <c r="AF5" s="1"/>
  <c r="AK5"/>
  <c r="AL5"/>
  <c r="K7"/>
  <c r="Z6"/>
  <c r="K8" l="1"/>
  <c r="M8" s="1"/>
  <c r="L8" s="1"/>
  <c r="Z7"/>
  <c r="W22" i="5"/>
  <c r="AL22" s="1"/>
  <c r="V23"/>
  <c r="BK8" i="7"/>
  <c r="AG5" i="3"/>
  <c r="AE6"/>
  <c r="AF6" s="1"/>
  <c r="F6" i="63"/>
  <c r="AK6" i="3"/>
  <c r="AL6"/>
  <c r="AG6" l="1"/>
  <c r="BK9" i="7"/>
  <c r="K9" i="3"/>
  <c r="M9" s="1"/>
  <c r="L9" s="1"/>
  <c r="AE7"/>
  <c r="AF7" s="1"/>
  <c r="AK7"/>
  <c r="AL7"/>
  <c r="F7" i="63"/>
  <c r="Z8" i="3"/>
  <c r="W23" i="5"/>
  <c r="AL23" s="1"/>
  <c r="V24"/>
  <c r="W24" l="1"/>
  <c r="AL24" s="1"/>
  <c r="V25"/>
  <c r="BK10" i="7"/>
  <c r="AG7" i="3"/>
  <c r="AK8"/>
  <c r="F8" i="63"/>
  <c r="AL8" i="3"/>
  <c r="AE8"/>
  <c r="AF8" s="1"/>
  <c r="K10"/>
  <c r="M10" s="1"/>
  <c r="L10" s="1"/>
  <c r="Z9"/>
  <c r="K11" l="1"/>
  <c r="M11" s="1"/>
  <c r="L11" s="1"/>
  <c r="AE9"/>
  <c r="AF9" s="1"/>
  <c r="F9" i="63"/>
  <c r="AK9" i="3"/>
  <c r="AL9"/>
  <c r="Z10"/>
  <c r="W25" i="5"/>
  <c r="AL25" s="1"/>
  <c r="BK11" i="7"/>
  <c r="AG8" i="3"/>
  <c r="K12" l="1"/>
  <c r="W26" i="5"/>
  <c r="AL26" s="1"/>
  <c r="V27"/>
  <c r="AL10" i="3"/>
  <c r="AK10"/>
  <c r="F10" i="63"/>
  <c r="AE10" i="3"/>
  <c r="AF10" s="1"/>
  <c r="Z11"/>
  <c r="AG9"/>
  <c r="BK12" i="7"/>
  <c r="W27" i="5" l="1"/>
  <c r="AL27" s="1"/>
  <c r="V28"/>
  <c r="AE11" i="3"/>
  <c r="AF11" s="1"/>
  <c r="F11" i="63"/>
  <c r="AL11" i="3"/>
  <c r="AK11"/>
  <c r="AG10"/>
  <c r="BK13" i="7"/>
  <c r="K13" i="3"/>
  <c r="M13" s="1"/>
  <c r="L13" s="1"/>
  <c r="Z12"/>
  <c r="L14" l="1"/>
  <c r="V29" i="5"/>
  <c r="W28"/>
  <c r="AL28" s="1"/>
  <c r="K14" i="3"/>
  <c r="M14" s="1"/>
  <c r="BK14" i="7"/>
  <c r="AG11" i="3"/>
  <c r="Z13"/>
  <c r="AL12"/>
  <c r="AK12"/>
  <c r="AE12"/>
  <c r="AF12" s="1"/>
  <c r="F12" i="63"/>
  <c r="K15" i="3" l="1"/>
  <c r="M15" s="1"/>
  <c r="L15" s="1"/>
  <c r="F13" i="63"/>
  <c r="AL13" i="3"/>
  <c r="AK13"/>
  <c r="AE13"/>
  <c r="AF13" s="1"/>
  <c r="V30" i="5"/>
  <c r="W29"/>
  <c r="AL29" s="1"/>
  <c r="AG12" i="3"/>
  <c r="BK15" i="7"/>
  <c r="Z14" i="3"/>
  <c r="AB14"/>
  <c r="L16" l="1"/>
  <c r="AG13"/>
  <c r="BK16" i="7"/>
  <c r="K16" i="3"/>
  <c r="M16" s="1"/>
  <c r="AL14"/>
  <c r="AE14"/>
  <c r="AF14" s="1"/>
  <c r="F14" i="63"/>
  <c r="AK14" i="3"/>
  <c r="W30" i="5"/>
  <c r="AL30" s="1"/>
  <c r="V31"/>
  <c r="Z15" i="3"/>
  <c r="W31" i="5" l="1"/>
  <c r="AL31" s="1"/>
  <c r="V32"/>
  <c r="BK17" i="7"/>
  <c r="AG14" i="3"/>
  <c r="F15" i="63"/>
  <c r="AK15" i="3"/>
  <c r="AL15"/>
  <c r="AE15"/>
  <c r="AF15" s="1"/>
  <c r="Z16"/>
  <c r="K17"/>
  <c r="M17" s="1"/>
  <c r="L17" s="1"/>
  <c r="BK18" i="7" l="1"/>
  <c r="AG15" i="3"/>
  <c r="AK16"/>
  <c r="AL16"/>
  <c r="AE16"/>
  <c r="AF16" s="1"/>
  <c r="F16" i="63"/>
  <c r="V33" i="5"/>
  <c r="W32"/>
  <c r="AL32" s="1"/>
  <c r="Z17" i="3"/>
  <c r="K18"/>
  <c r="M18" s="1"/>
  <c r="L18" s="1"/>
  <c r="W33" i="5" l="1"/>
  <c r="AL33" s="1"/>
  <c r="V34"/>
  <c r="AK17" i="3"/>
  <c r="AE17"/>
  <c r="AF17" s="1"/>
  <c r="F17" i="63"/>
  <c r="AL17" i="3"/>
  <c r="BK19" i="7"/>
  <c r="AG16" i="3"/>
  <c r="K19"/>
  <c r="M19" s="1"/>
  <c r="L19" s="1"/>
  <c r="Z18"/>
  <c r="V35" i="5" l="1"/>
  <c r="W34"/>
  <c r="AL34" s="1"/>
  <c r="K20" i="3"/>
  <c r="M20" s="1"/>
  <c r="L20" s="1"/>
  <c r="Z19"/>
  <c r="AE18"/>
  <c r="AF18" s="1"/>
  <c r="AL18"/>
  <c r="F18" i="63"/>
  <c r="AK18" i="3"/>
  <c r="BK20" i="7"/>
  <c r="AG17" i="3"/>
  <c r="V36" i="5" l="1"/>
  <c r="W36" s="1"/>
  <c r="AL36" s="1"/>
  <c r="W35"/>
  <c r="AL35" s="1"/>
  <c r="Z20" i="3"/>
  <c r="AB20"/>
  <c r="K21"/>
  <c r="M21" s="1"/>
  <c r="L21" s="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M22" s="1"/>
  <c r="L22" s="1"/>
  <c r="AB21"/>
  <c r="Z21"/>
  <c r="F21" i="63" l="1"/>
  <c r="AE21" i="3"/>
  <c r="AF21" s="1"/>
  <c r="AK21"/>
  <c r="AL21"/>
  <c r="BK23" i="7"/>
  <c r="AG20" i="3"/>
  <c r="K23"/>
  <c r="M23" s="1"/>
  <c r="L23" s="1"/>
  <c r="AB22"/>
  <c r="Z22"/>
  <c r="Z23" l="1"/>
  <c r="AB23"/>
  <c r="K24"/>
  <c r="M24" s="1"/>
  <c r="L24" s="1"/>
  <c r="L25" s="1"/>
  <c r="BK24" i="7"/>
  <c r="AG21" i="3"/>
  <c r="AL22"/>
  <c r="F22" i="63"/>
  <c r="AE22" i="3"/>
  <c r="AF22" s="1"/>
  <c r="AK22"/>
  <c r="AC22"/>
  <c r="Z24" l="1"/>
  <c r="K26"/>
  <c r="M26" s="1"/>
  <c r="L26" s="1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K27"/>
  <c r="M27" s="1"/>
  <c r="L27" s="1"/>
  <c r="Z25"/>
  <c r="K28" l="1"/>
  <c r="M28" s="1"/>
  <c r="L28" s="1"/>
  <c r="Z26"/>
  <c r="F25" i="63"/>
  <c r="AK25" i="3"/>
  <c r="AE25"/>
  <c r="AF25" s="1"/>
  <c r="AL25"/>
  <c r="BK27" i="7"/>
  <c r="AG24" i="3"/>
  <c r="K29" l="1"/>
  <c r="M29" s="1"/>
  <c r="L29" s="1"/>
  <c r="Z27"/>
  <c r="AB27"/>
  <c r="F26" i="63"/>
  <c r="AE26" i="3"/>
  <c r="AF26" s="1"/>
  <c r="AK26"/>
  <c r="AL26"/>
  <c r="BK28" i="7"/>
  <c r="AG25" i="3"/>
  <c r="Z28" l="1"/>
  <c r="AB28"/>
  <c r="BK29" i="7"/>
  <c r="AG26" i="3"/>
  <c r="AK27"/>
  <c r="F27" i="63"/>
  <c r="AE27" i="3"/>
  <c r="AF27" s="1"/>
  <c r="AL27"/>
  <c r="K31" l="1"/>
  <c r="M31" s="1"/>
  <c r="K30"/>
  <c r="M30" s="1"/>
  <c r="L30" s="1"/>
  <c r="Z29"/>
  <c r="BK30" i="7"/>
  <c r="AG27" i="3"/>
  <c r="AK28"/>
  <c r="F28" i="63"/>
  <c r="AC28" i="3"/>
  <c r="AE28"/>
  <c r="AF28" s="1"/>
  <c r="AL28"/>
  <c r="L31" l="1"/>
  <c r="K32"/>
  <c r="M32" s="1"/>
  <c r="Z31"/>
  <c r="F29" i="63"/>
  <c r="AE29" i="3"/>
  <c r="AF29" s="1"/>
  <c r="AL29"/>
  <c r="AK29"/>
  <c r="AB30"/>
  <c r="Z30"/>
  <c r="BK31" i="7"/>
  <c r="AG28" i="3"/>
  <c r="AH28" s="1"/>
  <c r="L32" l="1"/>
  <c r="AL31"/>
  <c r="AE31"/>
  <c r="AF31" s="1"/>
  <c r="AK31"/>
  <c r="K33"/>
  <c r="AB32"/>
  <c r="Z32"/>
  <c r="BK32" i="7"/>
  <c r="AG29" i="3"/>
  <c r="AL30"/>
  <c r="F30" i="63"/>
  <c r="AK30" i="3"/>
  <c r="AE30"/>
  <c r="AF30" s="1"/>
  <c r="K35" l="1"/>
  <c r="U34" s="1"/>
  <c r="M33"/>
  <c r="L33" s="1"/>
  <c r="AG31"/>
  <c r="BK34" i="7"/>
  <c r="AC32" i="3"/>
  <c r="AL32"/>
  <c r="AE32"/>
  <c r="AF32" s="1"/>
  <c r="AK32"/>
  <c r="AB33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AH32" s="1"/>
  <c r="BK35" i="7"/>
  <c r="AC33" i="3"/>
  <c r="AG33" l="1"/>
  <c r="AH33" s="1"/>
  <c r="BK36" i="7"/>
  <c r="F18" i="77"/>
  <c r="E18"/>
  <c r="X32" i="76"/>
  <c r="Y32" s="1"/>
  <c r="B20" i="77"/>
  <c r="F3" i="3" l="1"/>
  <c r="AB3" s="1"/>
  <c r="F4" l="1"/>
  <c r="AB4" s="1"/>
  <c r="F5" l="1"/>
  <c r="AB5" s="1"/>
  <c r="F6" l="1"/>
  <c r="AB6" s="1"/>
  <c r="F8" l="1"/>
  <c r="AB8" s="1"/>
  <c r="F9" l="1"/>
  <c r="AB9" s="1"/>
  <c r="F10" l="1"/>
  <c r="AB10" s="1"/>
  <c r="F11" l="1"/>
  <c r="AB11" s="1"/>
  <c r="F12" l="1"/>
  <c r="AB12" s="1"/>
  <c r="F13" l="1"/>
  <c r="AB13" s="1"/>
  <c r="F15" l="1"/>
  <c r="AB15" s="1"/>
  <c r="F16" l="1"/>
  <c r="AB16" s="1"/>
  <c r="F17" l="1"/>
  <c r="AB17" s="1"/>
  <c r="F18" l="1"/>
  <c r="F19" l="1"/>
  <c r="F24" l="1"/>
  <c r="F25" l="1"/>
  <c r="AB25" s="1"/>
  <c r="F26" l="1"/>
  <c r="AB26" s="1"/>
  <c r="F29" l="1"/>
  <c r="AB29" s="1"/>
  <c r="AE6" i="5" l="1"/>
  <c r="AF6" l="1"/>
  <c r="AI6" s="1"/>
  <c r="AE7"/>
  <c r="AE8" l="1"/>
  <c r="AF7"/>
  <c r="AI7" s="1"/>
  <c r="AE9" l="1"/>
  <c r="AF8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E16"/>
  <c r="AF16" l="1"/>
  <c r="AI16" s="1"/>
  <c r="AE17"/>
  <c r="AF17" l="1"/>
  <c r="AI17" s="1"/>
  <c r="AE18"/>
  <c r="AF18" l="1"/>
  <c r="AI18" s="1"/>
  <c r="AE19"/>
  <c r="AF19" l="1"/>
  <c r="AI19" s="1"/>
  <c r="AE20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E30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AB18" i="3" l="1"/>
  <c r="AB19" l="1"/>
  <c r="AB24" l="1"/>
  <c r="V9" i="76" l="1"/>
  <c r="F2" i="3" l="1"/>
  <c r="W3" i="2" l="1"/>
  <c r="W4" s="1"/>
  <c r="Y3"/>
  <c r="Y4" s="1"/>
  <c r="AA3"/>
  <c r="AA4" s="1"/>
  <c r="AB4" l="1"/>
  <c r="AA5"/>
  <c r="Z4"/>
  <c r="Y5"/>
  <c r="X4"/>
  <c r="W5"/>
  <c r="AB3"/>
  <c r="Z3"/>
  <c r="X3"/>
  <c r="AB5" l="1"/>
  <c r="AA6"/>
  <c r="X5"/>
  <c r="W6"/>
  <c r="Z5"/>
  <c r="Y6"/>
  <c r="X6" l="1"/>
  <c r="W7"/>
  <c r="Z6"/>
  <c r="Y7"/>
  <c r="AB6"/>
  <c r="AA7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AA9" i="76"/>
  <c r="Z10" i="2" l="1"/>
  <c r="Y11"/>
  <c r="AB10"/>
  <c r="AA11"/>
  <c r="X10"/>
  <c r="W11"/>
  <c r="AB11" l="1"/>
  <c r="AA12"/>
  <c r="X11"/>
  <c r="W12"/>
  <c r="Z11"/>
  <c r="Y12"/>
  <c r="AA4" i="1"/>
  <c r="Z12" i="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V10" i="76"/>
  <c r="V11"/>
  <c r="Z16" i="2" l="1"/>
  <c r="Y17"/>
  <c r="AB16"/>
  <c r="AA17"/>
  <c r="X16"/>
  <c r="W17"/>
  <c r="AB9" i="76"/>
  <c r="AA11"/>
  <c r="Y18" i="2" l="1"/>
  <c r="Z17"/>
  <c r="AB17"/>
  <c r="AA18"/>
  <c r="X17"/>
  <c r="W18"/>
  <c r="AB11" i="76"/>
  <c r="Z18" i="2" l="1"/>
  <c r="Y19"/>
  <c r="X18"/>
  <c r="W19"/>
  <c r="AB18"/>
  <c r="AA19"/>
  <c r="AE11" i="76"/>
  <c r="Z19" i="2" l="1"/>
  <c r="Y20"/>
  <c r="AB19"/>
  <c r="AA20"/>
  <c r="X19"/>
  <c r="W20"/>
  <c r="AF11" i="76"/>
  <c r="X20" i="2" l="1"/>
  <c r="W21"/>
  <c r="AB20"/>
  <c r="AA21"/>
  <c r="Z20"/>
  <c r="Y21"/>
  <c r="Z21" l="1"/>
  <c r="Y22"/>
  <c r="X21"/>
  <c r="W22"/>
  <c r="AB21"/>
  <c r="AA22"/>
  <c r="AA10" i="76"/>
  <c r="AB22" i="2" l="1"/>
  <c r="AA23"/>
  <c r="Z22"/>
  <c r="Y23"/>
  <c r="X22"/>
  <c r="W23"/>
  <c r="AB10" i="76"/>
  <c r="AA12"/>
  <c r="X23" i="2" l="1"/>
  <c r="W24"/>
  <c r="AB23"/>
  <c r="AA24"/>
  <c r="Z23"/>
  <c r="Y24"/>
  <c r="AB12" i="76"/>
  <c r="AB24" i="2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AD11" i="76" l="1"/>
  <c r="AD10"/>
  <c r="AD9"/>
  <c r="T2" i="3" l="1"/>
  <c r="T3" s="1"/>
  <c r="T4" s="1"/>
  <c r="T5" s="1"/>
  <c r="T8" s="1"/>
  <c r="T9" s="1"/>
  <c r="T10" s="1"/>
  <c r="T11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B5" i="5" l="1"/>
  <c r="AB6" s="1"/>
  <c r="AB7" s="1"/>
  <c r="AB8" s="1"/>
  <c r="AB9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10" i="76" l="1"/>
  <c r="AC27" s="1"/>
  <c r="AC11"/>
  <c r="AC28" s="1"/>
  <c r="AC9"/>
  <c r="AC26" s="1"/>
  <c r="AC29" s="1"/>
  <c r="O28" l="1"/>
  <c r="P28" s="1"/>
  <c r="R28" s="1"/>
  <c r="T28" s="1"/>
  <c r="F26" i="81" s="1"/>
  <c r="O24" i="76"/>
  <c r="P24" s="1"/>
  <c r="R24" s="1"/>
  <c r="T24" s="1"/>
  <c r="F22" i="81" s="1"/>
  <c r="O11" i="76"/>
  <c r="P11" s="1"/>
  <c r="R11" s="1"/>
  <c r="T11" s="1"/>
  <c r="F9" i="81" s="1"/>
  <c r="O9" i="76"/>
  <c r="P9" s="1"/>
  <c r="R9" s="1"/>
  <c r="T9" s="1"/>
  <c r="F7" i="81" s="1"/>
  <c r="O21" i="76"/>
  <c r="P21" s="1"/>
  <c r="R21" s="1"/>
  <c r="T21" s="1"/>
  <c r="F19" i="81" s="1"/>
  <c r="O32" i="76"/>
  <c r="P32" s="1"/>
  <c r="R32" s="1"/>
  <c r="T32" s="1"/>
  <c r="F30" i="81" s="1"/>
  <c r="O29" i="76"/>
  <c r="P29" s="1"/>
  <c r="R29" s="1"/>
  <c r="T29" s="1"/>
  <c r="F27" i="81" s="1"/>
  <c r="O30" i="76"/>
  <c r="P30" s="1"/>
  <c r="R30" s="1"/>
  <c r="T30" s="1"/>
  <c r="F28" i="81" s="1"/>
  <c r="O10" i="76"/>
  <c r="P10" s="1"/>
  <c r="R10" s="1"/>
  <c r="T10" s="1"/>
  <c r="F8" i="81" s="1"/>
  <c r="O13" i="76"/>
  <c r="P13" s="1"/>
  <c r="R13" s="1"/>
  <c r="T13" s="1"/>
  <c r="F11" i="81" s="1"/>
  <c r="O34" i="76"/>
  <c r="O4"/>
  <c r="P4" s="1"/>
  <c r="R4" s="1"/>
  <c r="O26"/>
  <c r="P26" s="1"/>
  <c r="R26" s="1"/>
  <c r="T26" s="1"/>
  <c r="F24" i="81" s="1"/>
  <c r="O8" i="76"/>
  <c r="P8" s="1"/>
  <c r="R8" s="1"/>
  <c r="T8" s="1"/>
  <c r="F6" i="81" s="1"/>
  <c r="O6" i="76"/>
  <c r="P6" s="1"/>
  <c r="R6" s="1"/>
  <c r="T6" s="1"/>
  <c r="F4" i="81" s="1"/>
  <c r="O27" i="76"/>
  <c r="P27" s="1"/>
  <c r="R27" s="1"/>
  <c r="T27" s="1"/>
  <c r="F25" i="81" s="1"/>
  <c r="O20" i="76"/>
  <c r="P20" s="1"/>
  <c r="R20" s="1"/>
  <c r="T20" s="1"/>
  <c r="F18" i="81" s="1"/>
  <c r="O25" i="76"/>
  <c r="P25" s="1"/>
  <c r="R25" s="1"/>
  <c r="T25" s="1"/>
  <c r="F23" i="81" s="1"/>
  <c r="O23" i="76"/>
  <c r="P23" s="1"/>
  <c r="R23" s="1"/>
  <c r="T23" s="1"/>
  <c r="F21" i="81" s="1"/>
  <c r="O18" i="76"/>
  <c r="P18" s="1"/>
  <c r="R18" s="1"/>
  <c r="T18" s="1"/>
  <c r="F16" i="81" s="1"/>
  <c r="O17" i="76"/>
  <c r="P17" s="1"/>
  <c r="R17" s="1"/>
  <c r="T17" s="1"/>
  <c r="F15" i="81" s="1"/>
  <c r="O31" i="76"/>
  <c r="P31" s="1"/>
  <c r="R31" s="1"/>
  <c r="T31" s="1"/>
  <c r="F29" i="81" s="1"/>
  <c r="O7" i="76"/>
  <c r="P7" s="1"/>
  <c r="R7" s="1"/>
  <c r="T7" s="1"/>
  <c r="F5" i="81" s="1"/>
  <c r="O5" i="76"/>
  <c r="P5" s="1"/>
  <c r="R5" s="1"/>
  <c r="T5" s="1"/>
  <c r="F3" i="81" s="1"/>
  <c r="O19" i="76"/>
  <c r="P19" s="1"/>
  <c r="R19" s="1"/>
  <c r="T19" s="1"/>
  <c r="F17" i="81" s="1"/>
  <c r="O12" i="76"/>
  <c r="P12" s="1"/>
  <c r="R12" s="1"/>
  <c r="T12" s="1"/>
  <c r="F10" i="81" s="1"/>
  <c r="AB30" i="76"/>
  <c r="O15"/>
  <c r="P15" s="1"/>
  <c r="R15" s="1"/>
  <c r="T15" s="1"/>
  <c r="F13" i="81" s="1"/>
  <c r="O16" i="76"/>
  <c r="P16" s="1"/>
  <c r="R16" s="1"/>
  <c r="T16" s="1"/>
  <c r="F14" i="81" s="1"/>
  <c r="O14" i="76"/>
  <c r="P14" s="1"/>
  <c r="R14" s="1"/>
  <c r="T14" s="1"/>
  <c r="F12" i="81" s="1"/>
  <c r="O22" i="76"/>
  <c r="P22" s="1"/>
  <c r="R22" s="1"/>
  <c r="T22" s="1"/>
  <c r="F20" i="81" s="1"/>
  <c r="O33" i="76"/>
  <c r="P33" s="1"/>
  <c r="R33" s="1"/>
  <c r="AC33"/>
  <c r="AC12"/>
  <c r="D10" i="77" l="1"/>
  <c r="E10" s="1"/>
  <c r="E12" s="1"/>
  <c r="AB33" i="76"/>
  <c r="AB34" s="1"/>
  <c r="AB36"/>
  <c r="AB38" s="1"/>
  <c r="P34"/>
  <c r="R34" s="1"/>
  <c r="O35"/>
  <c r="O3"/>
  <c r="AC16"/>
  <c r="AB13"/>
  <c r="F10" i="77" l="1"/>
  <c r="F12" s="1"/>
  <c r="G10"/>
  <c r="G12" s="1"/>
  <c r="P3" i="76"/>
  <c r="AB16"/>
  <c r="AB19"/>
  <c r="H14" i="77" l="1"/>
  <c r="I14"/>
  <c r="AB17" i="76"/>
  <c r="AC5" i="5" l="1"/>
  <c r="AC6" s="1"/>
  <c r="AC7" s="1"/>
  <c r="AD7" l="1"/>
  <c r="AC8"/>
  <c r="AD5"/>
  <c r="AD8" l="1"/>
  <c r="AC9"/>
  <c r="S3" i="2"/>
  <c r="S4" s="1"/>
  <c r="AC3"/>
  <c r="AC4" s="1"/>
  <c r="U3"/>
  <c r="U4" s="1"/>
  <c r="U5" l="1"/>
  <c r="V4"/>
  <c r="T4"/>
  <c r="S5"/>
  <c r="AC10" i="5"/>
  <c r="AD9"/>
  <c r="AI4" i="1"/>
  <c r="AH4"/>
  <c r="AC5" i="2"/>
  <c r="AD4"/>
  <c r="T3"/>
  <c r="V3"/>
  <c r="AF5" i="5"/>
  <c r="AD3" i="2"/>
  <c r="AW5" i="7"/>
  <c r="AI5" i="5"/>
  <c r="AD10" l="1"/>
  <c r="AC11"/>
  <c r="AF4" i="2"/>
  <c r="V5"/>
  <c r="U6"/>
  <c r="A2" i="63"/>
  <c r="AE4" i="2"/>
  <c r="AG4" s="1"/>
  <c r="AC6"/>
  <c r="AD5"/>
  <c r="S6"/>
  <c r="T5"/>
  <c r="AE3"/>
  <c r="AF3"/>
  <c r="AX5" i="7"/>
  <c r="U7" i="2" l="1"/>
  <c r="V6"/>
  <c r="S7"/>
  <c r="T6"/>
  <c r="AD11" i="5"/>
  <c r="AC12"/>
  <c r="AK4" i="1"/>
  <c r="AJ4"/>
  <c r="A3" i="63"/>
  <c r="AE5" i="2"/>
  <c r="AG5" s="1"/>
  <c r="B2" i="63"/>
  <c r="H5" i="65"/>
  <c r="AD6" i="2"/>
  <c r="AC7"/>
  <c r="AF5"/>
  <c r="AG3"/>
  <c r="AY5" i="7"/>
  <c r="V7" i="2" l="1"/>
  <c r="U8"/>
  <c r="AD7"/>
  <c r="AC8"/>
  <c r="AD12" i="5"/>
  <c r="AC13"/>
  <c r="AF6" i="2"/>
  <c r="Q3" i="76"/>
  <c r="B3" i="63"/>
  <c r="H6" i="65"/>
  <c r="T7" i="2"/>
  <c r="S8"/>
  <c r="A4" i="63"/>
  <c r="AE6" i="2"/>
  <c r="AG6" s="1"/>
  <c r="AF7" l="1"/>
  <c r="T8"/>
  <c r="S9"/>
  <c r="H8" i="65"/>
  <c r="B5" i="63"/>
  <c r="AC14" i="5"/>
  <c r="AD13"/>
  <c r="V8" i="2"/>
  <c r="U9"/>
  <c r="H7" i="65"/>
  <c r="B4" i="63"/>
  <c r="A5"/>
  <c r="AE7" i="2"/>
  <c r="AG7" s="1"/>
  <c r="R3" i="76"/>
  <c r="AD8" i="2"/>
  <c r="AC9"/>
  <c r="T3" i="76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F13" s="1"/>
  <c r="AC19" i="5"/>
  <c r="AD18"/>
  <c r="AF12" i="2"/>
  <c r="H13" i="65" l="1"/>
  <c r="B10" i="63"/>
  <c r="V14" i="2"/>
  <c r="U15"/>
  <c r="B11" i="63"/>
  <c r="H14" i="65"/>
  <c r="AD19" i="5"/>
  <c r="AC20"/>
  <c r="A11" i="63"/>
  <c r="AE13" i="2"/>
  <c r="AG13" s="1"/>
  <c r="AC15"/>
  <c r="AD14"/>
  <c r="T14"/>
  <c r="S15"/>
  <c r="AF14" l="1"/>
  <c r="A12" i="63"/>
  <c r="AE14" i="2"/>
  <c r="AG14" s="1"/>
  <c r="T15"/>
  <c r="S16"/>
  <c r="AC16"/>
  <c r="AD15"/>
  <c r="H15" i="65"/>
  <c r="B12" i="63"/>
  <c r="AD20" i="5"/>
  <c r="AC21"/>
  <c r="V15" i="2"/>
  <c r="U16"/>
  <c r="AD16" l="1"/>
  <c r="AC17"/>
  <c r="AD21" i="5"/>
  <c r="AC22"/>
  <c r="A13" i="63"/>
  <c r="AE15" i="2"/>
  <c r="AG15" s="1"/>
  <c r="AF15"/>
  <c r="U17"/>
  <c r="V16"/>
  <c r="AF16" s="1"/>
  <c r="T16"/>
  <c r="S17"/>
  <c r="H17" i="65" l="1"/>
  <c r="B14" i="63"/>
  <c r="A14"/>
  <c r="AE16" i="2"/>
  <c r="AG16" s="1"/>
  <c r="AC18"/>
  <c r="AD17"/>
  <c r="S18"/>
  <c r="T17"/>
  <c r="B13" i="63"/>
  <c r="H16" i="65"/>
  <c r="U18" i="2"/>
  <c r="V17"/>
  <c r="AD22" i="5"/>
  <c r="AC23"/>
  <c r="AC19" i="2" l="1"/>
  <c r="AD18"/>
  <c r="AD23" i="5"/>
  <c r="AC24"/>
  <c r="V18" i="2"/>
  <c r="U19"/>
  <c r="T18"/>
  <c r="S19"/>
  <c r="A15" i="63"/>
  <c r="AE17" i="2"/>
  <c r="AG17" s="1"/>
  <c r="AF17"/>
  <c r="AF18" l="1"/>
  <c r="B16" i="63"/>
  <c r="H19" i="65"/>
  <c r="AD19" i="2"/>
  <c r="AC20"/>
  <c r="V19"/>
  <c r="U20"/>
  <c r="B15" i="63"/>
  <c r="H18" i="65"/>
  <c r="A16" i="63"/>
  <c r="AE18" i="2"/>
  <c r="AG18" s="1"/>
  <c r="S20"/>
  <c r="T19"/>
  <c r="AD24" i="5"/>
  <c r="AC25"/>
  <c r="AF19" i="2" l="1"/>
  <c r="H20" i="65"/>
  <c r="B17" i="63"/>
  <c r="AC26" i="5"/>
  <c r="AD25"/>
  <c r="U21" i="2"/>
  <c r="V20"/>
  <c r="AF20" s="1"/>
  <c r="S21"/>
  <c r="T20"/>
  <c r="A17" i="63"/>
  <c r="AE19" i="2"/>
  <c r="AG19" s="1"/>
  <c r="AC21"/>
  <c r="AD20"/>
  <c r="V21" l="1"/>
  <c r="U22"/>
  <c r="H21" i="65"/>
  <c r="B18" i="63"/>
  <c r="AD21" i="2"/>
  <c r="AC22"/>
  <c r="T21"/>
  <c r="S22"/>
  <c r="AD26" i="5"/>
  <c r="AC27"/>
  <c r="A18" i="63"/>
  <c r="AE20" i="2"/>
  <c r="AG20" s="1"/>
  <c r="AF21" l="1"/>
  <c r="AC28" i="5"/>
  <c r="AD27"/>
  <c r="AC23" i="2"/>
  <c r="AD22"/>
  <c r="U23"/>
  <c r="V22"/>
  <c r="A19" i="63"/>
  <c r="AE21" i="2"/>
  <c r="AG21" s="1"/>
  <c r="T22"/>
  <c r="S23"/>
  <c r="AS5" i="5"/>
  <c r="AS6" s="1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Y5" i="5"/>
  <c r="BB5"/>
  <c r="AF23" i="2" l="1"/>
  <c r="AY7" i="5"/>
  <c r="BB7" s="1"/>
  <c r="BE7" s="1"/>
  <c r="AS8"/>
  <c r="S25" i="2"/>
  <c r="T24"/>
  <c r="B21" i="63"/>
  <c r="H24" i="65"/>
  <c r="AD24" i="2"/>
  <c r="AC25"/>
  <c r="A21" i="63"/>
  <c r="AE23" i="2"/>
  <c r="AG23" s="1"/>
  <c r="V24"/>
  <c r="AF24" s="1"/>
  <c r="U25"/>
  <c r="B20" i="63"/>
  <c r="H23" i="65"/>
  <c r="AC30" i="5"/>
  <c r="AD29"/>
  <c r="BB6"/>
  <c r="BE6" s="1"/>
  <c r="BE5"/>
  <c r="I2" i="63" l="1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BF5" i="5"/>
  <c r="M5"/>
  <c r="M6" s="1"/>
  <c r="O5"/>
  <c r="O6" s="1"/>
  <c r="AF25" i="2" l="1"/>
  <c r="O7" i="5"/>
  <c r="P6"/>
  <c r="H26" i="65"/>
  <c r="B23" i="63"/>
  <c r="AY9" i="5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BG5"/>
  <c r="G5" i="65" s="1"/>
  <c r="P5" i="5"/>
  <c r="N5"/>
  <c r="Q6" l="1"/>
  <c r="T27" i="2"/>
  <c r="S28"/>
  <c r="I5" i="63"/>
  <c r="BF9" i="5"/>
  <c r="BG9" s="1"/>
  <c r="G9" i="65" s="1"/>
  <c r="P7" i="5"/>
  <c r="O8"/>
  <c r="AY10"/>
  <c r="BB10" s="1"/>
  <c r="BE10" s="1"/>
  <c r="AS11"/>
  <c r="M2" i="81"/>
  <c r="N7" i="5"/>
  <c r="M8"/>
  <c r="AF26" i="2"/>
  <c r="A24" i="63"/>
  <c r="AE26" i="2"/>
  <c r="AG26" s="1"/>
  <c r="AD32" i="5"/>
  <c r="AC33"/>
  <c r="AD27" i="2"/>
  <c r="AC28"/>
  <c r="V27"/>
  <c r="U28"/>
  <c r="Q5" i="5"/>
  <c r="V28" i="2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Q10" s="1"/>
  <c r="M6" i="81" s="1"/>
  <c r="H29" i="65"/>
  <c r="B26" i="63"/>
  <c r="S31" i="2"/>
  <c r="T30"/>
  <c r="AD35" i="5"/>
  <c r="AC36"/>
  <c r="AD36" s="1"/>
  <c r="V30" i="2"/>
  <c r="U31"/>
  <c r="A27" i="63"/>
  <c r="AE29" i="2"/>
  <c r="AG29" s="1"/>
  <c r="V31" l="1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B29" i="63"/>
  <c r="H32" i="65"/>
  <c r="AS16" i="5"/>
  <c r="AY15"/>
  <c r="BB15" s="1"/>
  <c r="BE15" s="1"/>
  <c r="S33" i="2"/>
  <c r="T32"/>
  <c r="AE32" s="1"/>
  <c r="AG32" s="1"/>
  <c r="N12" i="5"/>
  <c r="M13"/>
  <c r="U33" i="2"/>
  <c r="V32"/>
  <c r="AF32" s="1"/>
  <c r="P12" i="5"/>
  <c r="Q12" s="1"/>
  <c r="M8" i="81" s="1"/>
  <c r="O13" i="5"/>
  <c r="I10" i="63"/>
  <c r="BF14" i="5"/>
  <c r="BG14" s="1"/>
  <c r="G14" i="65" s="1"/>
  <c r="A29" i="63"/>
  <c r="AE31" i="2"/>
  <c r="AG31" s="1"/>
  <c r="AD32"/>
  <c r="AC33"/>
  <c r="B28" i="63"/>
  <c r="H31" i="65"/>
  <c r="Q11" i="5"/>
  <c r="M7" i="81" l="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Q14" s="1"/>
  <c r="M10" i="81" s="1"/>
  <c r="O15" i="5"/>
  <c r="Q13"/>
  <c r="M9" i="81" s="1"/>
  <c r="AF33" i="2"/>
  <c r="O16" i="5" l="1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2" i="3"/>
  <c r="L3" s="1"/>
  <c r="N2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AB2" i="3"/>
  <c r="M2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Q20" i="5" l="1"/>
  <c r="M16" i="81" s="1"/>
  <c r="M22" i="5"/>
  <c r="N21"/>
  <c r="L6" i="3"/>
  <c r="AS25" i="5"/>
  <c r="AY24"/>
  <c r="BB24" s="1"/>
  <c r="BE24" s="1"/>
  <c r="P21"/>
  <c r="O22"/>
  <c r="BF23"/>
  <c r="BG23" s="1"/>
  <c r="G23" i="65" s="1"/>
  <c r="I19" i="63"/>
  <c r="M23" i="5" l="1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AB7" i="3" l="1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Q23" l="1"/>
  <c r="M19" i="81" s="1"/>
  <c r="BF26" i="5"/>
  <c r="BG26" s="1"/>
  <c r="G26" i="65" s="1"/>
  <c r="I22" i="63"/>
  <c r="N24" i="5"/>
  <c r="M25"/>
  <c r="AS28"/>
  <c r="AY27"/>
  <c r="BB27" s="1"/>
  <c r="BE27" s="1"/>
  <c r="O25"/>
  <c r="P24"/>
  <c r="Q24" s="1"/>
  <c r="M20" i="81" s="1"/>
  <c r="AY28" i="5" l="1"/>
  <c r="BB28" s="1"/>
  <c r="BE28" s="1"/>
  <c r="AS29"/>
  <c r="P25"/>
  <c r="O26"/>
  <c r="I23" i="63"/>
  <c r="BF27" i="5"/>
  <c r="BG27" s="1"/>
  <c r="G27" i="65" s="1"/>
  <c r="N25" i="5"/>
  <c r="M26"/>
  <c r="P26" l="1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Q26" l="1"/>
  <c r="M22" i="81" s="1"/>
  <c r="I25" i="63"/>
  <c r="BF29" i="5"/>
  <c r="BG29" s="1"/>
  <c r="G29" i="65" s="1"/>
  <c r="N27" i="5"/>
  <c r="M28"/>
  <c r="AS31"/>
  <c r="AY30"/>
  <c r="BB30" s="1"/>
  <c r="BE30" s="1"/>
  <c r="O28"/>
  <c r="P27"/>
  <c r="Q27" s="1"/>
  <c r="M23" i="81" s="1"/>
  <c r="P28" i="5" l="1"/>
  <c r="O29"/>
  <c r="AS32"/>
  <c r="AY31"/>
  <c r="BB31" s="1"/>
  <c r="BE31" s="1"/>
  <c r="BF30"/>
  <c r="BG30" s="1"/>
  <c r="G30" i="65" s="1"/>
  <c r="I26" i="63"/>
  <c r="M29" i="5"/>
  <c r="N28"/>
  <c r="Q28" l="1"/>
  <c r="M24" i="81" s="1"/>
  <c r="O30" i="5"/>
  <c r="P29"/>
  <c r="AS33"/>
  <c r="AY32"/>
  <c r="BB32" s="1"/>
  <c r="BE32" s="1"/>
  <c r="N29"/>
  <c r="M30"/>
  <c r="BF31"/>
  <c r="BG31" s="1"/>
  <c r="G31" i="65" s="1"/>
  <c r="I27" i="63"/>
  <c r="Q29" i="5" l="1"/>
  <c r="M25" i="81" s="1"/>
  <c r="O31" i="5"/>
  <c r="P30"/>
  <c r="AS34"/>
  <c r="AY33"/>
  <c r="BB33" s="1"/>
  <c r="BE33" s="1"/>
  <c r="BF32"/>
  <c r="BG32" s="1"/>
  <c r="G32" i="65" s="1"/>
  <c r="I28" i="63"/>
  <c r="M31" i="5"/>
  <c r="N30"/>
  <c r="AS35" l="1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N32" i="5" l="1"/>
  <c r="M33"/>
  <c r="Q31"/>
  <c r="M27" i="81" s="1"/>
  <c r="AY35" i="5"/>
  <c r="BB35" s="1"/>
  <c r="BE35" s="1"/>
  <c r="BF35" s="1"/>
  <c r="BG35" s="1"/>
  <c r="AS36"/>
  <c r="AY36" s="1"/>
  <c r="O33"/>
  <c r="P32"/>
  <c r="Q32" l="1"/>
  <c r="M28" i="81" s="1"/>
  <c r="BB36" i="5"/>
  <c r="BE36" s="1"/>
  <c r="BF36" s="1"/>
  <c r="BG36" s="1"/>
  <c r="P33"/>
  <c r="O34"/>
  <c r="N33"/>
  <c r="M34"/>
  <c r="P34" l="1"/>
  <c r="O35"/>
  <c r="N34"/>
  <c r="M35"/>
  <c r="Q33"/>
  <c r="M29" i="81" s="1"/>
  <c r="N35" i="5" l="1"/>
  <c r="M36"/>
  <c r="N36" s="1"/>
  <c r="Q34"/>
  <c r="M30" i="81" s="1"/>
  <c r="O36" i="5"/>
  <c r="P36" s="1"/>
  <c r="Q36" s="1"/>
  <c r="P35"/>
  <c r="Q35" l="1"/>
  <c r="M31" i="81" s="1"/>
  <c r="Q37" i="5" l="1"/>
  <c r="O38" s="1"/>
  <c r="AA22" i="3" l="1"/>
  <c r="AA23" l="1"/>
  <c r="AB31" l="1"/>
  <c r="D2"/>
  <c r="D3" s="1"/>
  <c r="D4" l="1"/>
  <c r="E3"/>
  <c r="AA3" s="1"/>
  <c r="AC3" s="1"/>
  <c r="AH3" s="1"/>
  <c r="E2"/>
  <c r="D5" l="1"/>
  <c r="E4"/>
  <c r="AA4" s="1"/>
  <c r="AC4" s="1"/>
  <c r="AH4" s="1"/>
  <c r="D6" l="1"/>
  <c r="E5"/>
  <c r="AA5" s="1"/>
  <c r="AC5" s="1"/>
  <c r="AH5" s="1"/>
  <c r="AA2"/>
  <c r="D7" l="1"/>
  <c r="E6"/>
  <c r="AA6" s="1"/>
  <c r="AC6" s="1"/>
  <c r="AH6" s="1"/>
  <c r="AH2"/>
  <c r="AC2"/>
  <c r="D8" l="1"/>
  <c r="E7"/>
  <c r="AC7" s="1"/>
  <c r="AH7" s="1"/>
  <c r="D9" l="1"/>
  <c r="E8"/>
  <c r="AA8" s="1"/>
  <c r="AC8" s="1"/>
  <c r="AH8" s="1"/>
  <c r="D10" l="1"/>
  <c r="E9"/>
  <c r="AA9" s="1"/>
  <c r="AC9" s="1"/>
  <c r="AH9" s="1"/>
  <c r="E10" l="1"/>
  <c r="AA10" s="1"/>
  <c r="AC10" s="1"/>
  <c r="AH10" s="1"/>
  <c r="D11"/>
  <c r="E11" l="1"/>
  <c r="AA11" s="1"/>
  <c r="AC11" s="1"/>
  <c r="AH11" s="1"/>
  <c r="D12"/>
  <c r="E12" l="1"/>
  <c r="AA12" s="1"/>
  <c r="AC12" s="1"/>
  <c r="AH12" s="1"/>
  <c r="D13"/>
  <c r="E13" l="1"/>
  <c r="AA13" s="1"/>
  <c r="AC13" s="1"/>
  <c r="AH13" s="1"/>
  <c r="D14"/>
  <c r="D15" l="1"/>
  <c r="E14"/>
  <c r="AA14" s="1"/>
  <c r="AC14" s="1"/>
  <c r="AH14" s="1"/>
  <c r="E15" l="1"/>
  <c r="AA15" s="1"/>
  <c r="AC15" s="1"/>
  <c r="AH15" s="1"/>
  <c r="D16"/>
  <c r="E16" l="1"/>
  <c r="AA16" s="1"/>
  <c r="AC16" s="1"/>
  <c r="AH16" s="1"/>
  <c r="D17"/>
  <c r="E17" l="1"/>
  <c r="AA17" s="1"/>
  <c r="AC17" s="1"/>
  <c r="AH17" s="1"/>
  <c r="D18"/>
  <c r="E18" l="1"/>
  <c r="AA18" s="1"/>
  <c r="AC18" s="1"/>
  <c r="AH18" s="1"/>
  <c r="D19"/>
  <c r="E19" l="1"/>
  <c r="AA19" s="1"/>
  <c r="AC19" s="1"/>
  <c r="AH19" s="1"/>
  <c r="D20"/>
  <c r="D21" l="1"/>
  <c r="E20"/>
  <c r="AA20" s="1"/>
  <c r="AC20" s="1"/>
  <c r="AH20" s="1"/>
  <c r="D22" l="1"/>
  <c r="D23" s="1"/>
  <c r="D24" s="1"/>
  <c r="E21"/>
  <c r="AA21" s="1"/>
  <c r="AC21" s="1"/>
  <c r="AH21" s="1"/>
  <c r="D25" l="1"/>
  <c r="E24"/>
  <c r="AA24" s="1"/>
  <c r="AC24" s="1"/>
  <c r="AH24" s="1"/>
  <c r="E25" l="1"/>
  <c r="AA25" s="1"/>
  <c r="AC25" s="1"/>
  <c r="AH25" s="1"/>
  <c r="D26"/>
  <c r="D27" l="1"/>
  <c r="E26"/>
  <c r="AA26" s="1"/>
  <c r="AC26" s="1"/>
  <c r="AH26" s="1"/>
  <c r="D28" l="1"/>
  <c r="E27"/>
  <c r="AA27" s="1"/>
  <c r="AC27" s="1"/>
  <c r="AH27" s="1"/>
  <c r="D29" l="1"/>
  <c r="E28"/>
  <c r="AA28" s="1"/>
  <c r="E29" l="1"/>
  <c r="AA29" s="1"/>
  <c r="AC29" s="1"/>
  <c r="AH29" s="1"/>
  <c r="D30"/>
  <c r="E30" l="1"/>
  <c r="AA30" s="1"/>
  <c r="AC30" s="1"/>
  <c r="AH30" s="1"/>
  <c r="D31"/>
  <c r="D32" l="1"/>
  <c r="E31"/>
  <c r="AA31" s="1"/>
  <c r="AC31" s="1"/>
  <c r="AH31" s="1"/>
  <c r="D33" l="1"/>
  <c r="E33" s="1"/>
  <c r="AA33" s="1"/>
  <c r="E32"/>
  <c r="AA32" s="1"/>
  <c r="AP4" i="1"/>
  <c r="AP5" s="1"/>
  <c r="AN4"/>
  <c r="AN5" s="1"/>
  <c r="AR4"/>
  <c r="AR5" s="1"/>
  <c r="AP6" l="1"/>
  <c r="AQ5"/>
  <c r="AR6"/>
  <c r="AS5"/>
  <c r="AN6"/>
  <c r="AO5"/>
  <c r="AS4"/>
  <c r="AQ4"/>
  <c r="AO4"/>
  <c r="AT5" l="1"/>
  <c r="AN7"/>
  <c r="AO6"/>
  <c r="AQ6"/>
  <c r="AP7"/>
  <c r="AR7"/>
  <c r="AS6"/>
  <c r="AU5"/>
  <c r="I2" i="81" s="1"/>
  <c r="AT4" i="1"/>
  <c r="P2" i="3"/>
  <c r="P3" s="1"/>
  <c r="AT6" i="1" l="1"/>
  <c r="AU6" s="1"/>
  <c r="I3" i="81" s="1"/>
  <c r="Q3" i="3"/>
  <c r="P4"/>
  <c r="AR8" i="1"/>
  <c r="AS7"/>
  <c r="AO7"/>
  <c r="AT7" s="1"/>
  <c r="AU7" s="1"/>
  <c r="I4" i="81" s="1"/>
  <c r="AN8" i="1"/>
  <c r="AQ7"/>
  <c r="AP8"/>
  <c r="Q2" i="3"/>
  <c r="AU4" i="1" l="1"/>
  <c r="AN9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O10"/>
  <c r="AN11"/>
  <c r="AQ10"/>
  <c r="AP11"/>
  <c r="AR11"/>
  <c r="AS10"/>
  <c r="AU9"/>
  <c r="I6" i="81" s="1"/>
  <c r="P7" i="3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U19" i="1"/>
  <c r="I16" i="81" s="1"/>
  <c r="AS20" i="1"/>
  <c r="AR21"/>
  <c r="AO20"/>
  <c r="AN21"/>
  <c r="AT19"/>
  <c r="AT20" l="1"/>
  <c r="Q17" i="3"/>
  <c r="P18"/>
  <c r="P19" s="1"/>
  <c r="AU20" i="1"/>
  <c r="I17" i="81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2"/>
  <c r="I19" i="81" s="1"/>
  <c r="AU23" i="1"/>
  <c r="I20" i="81" s="1"/>
  <c r="Q21" i="3"/>
  <c r="P22"/>
  <c r="AS24" i="1"/>
  <c r="AR25"/>
  <c r="AQ24"/>
  <c r="AP25"/>
  <c r="AN25"/>
  <c r="AO24"/>
  <c r="AT24" l="1"/>
  <c r="AU24" s="1"/>
  <c r="I21" i="81" s="1"/>
  <c r="AO25" i="1"/>
  <c r="AT25" s="1"/>
  <c r="AU25" s="1"/>
  <c r="I22" i="81" s="1"/>
  <c r="AN26" i="1"/>
  <c r="AR26"/>
  <c r="AS25"/>
  <c r="AP26"/>
  <c r="AQ25"/>
  <c r="P23" i="3"/>
  <c r="Q22"/>
  <c r="AP27" i="1" l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T29" s="1"/>
  <c r="AN30"/>
  <c r="P27" i="3"/>
  <c r="Q26"/>
  <c r="AT28" i="1"/>
  <c r="AU28" s="1"/>
  <c r="I25" i="81" s="1"/>
  <c r="AU29" i="1" l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T32" s="1"/>
  <c r="AN33"/>
  <c r="AT31"/>
  <c r="AU31" l="1"/>
  <c r="I28" i="81" s="1"/>
  <c r="AU32" i="1"/>
  <c r="I29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4"/>
  <c r="AX5" s="1"/>
  <c r="AT34" l="1"/>
  <c r="AT35"/>
  <c r="AU34"/>
  <c r="I31" i="81" s="1"/>
  <c r="AU33" i="1"/>
  <c r="I30" i="81" s="1"/>
  <c r="P33" i="3"/>
  <c r="Q33" s="1"/>
  <c r="Q32"/>
  <c r="AU35" i="1"/>
  <c r="AU36" s="1"/>
  <c r="AU38" s="1"/>
  <c r="AX6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5" i="7"/>
  <c r="AV6" s="1"/>
  <c r="J30" i="81" l="1"/>
  <c r="AX34" i="1"/>
  <c r="AV7" i="7"/>
  <c r="H2" i="81"/>
  <c r="J31" l="1"/>
  <c r="AX35" i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<sst xmlns="http://schemas.openxmlformats.org/spreadsheetml/2006/main" count="666" uniqueCount="418">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</sst>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4455</c:v>
                </c:pt>
                <c:pt idx="7">
                  <c:v>4790</c:v>
                </c:pt>
                <c:pt idx="8">
                  <c:v>0</c:v>
                </c:pt>
                <c:pt idx="9">
                  <c:v>0</c:v>
                </c:pt>
                <c:pt idx="10">
                  <c:v>5071</c:v>
                </c:pt>
                <c:pt idx="11">
                  <c:v>6481</c:v>
                </c:pt>
                <c:pt idx="12">
                  <c:v>2164</c:v>
                </c:pt>
                <c:pt idx="13">
                  <c:v>5387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04519936"/>
        <c:axId val="104071168"/>
      </c:lineChart>
      <c:catAx>
        <c:axId val="104519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71168"/>
        <c:crosses val="autoZero"/>
        <c:auto val="1"/>
        <c:lblAlgn val="ctr"/>
        <c:lblOffset val="100"/>
      </c:catAx>
      <c:valAx>
        <c:axId val="1040711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1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157</c:v>
                </c:pt>
                <c:pt idx="12">
                  <c:v>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04100224"/>
        <c:axId val="104101760"/>
      </c:lineChart>
      <c:catAx>
        <c:axId val="104100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01760"/>
        <c:crosses val="autoZero"/>
        <c:auto val="1"/>
        <c:lblAlgn val="ctr"/>
        <c:lblOffset val="100"/>
      </c:catAx>
      <c:valAx>
        <c:axId val="104101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0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407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208"/>
          <c:w val="0.7766312600186781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04118144"/>
        <c:axId val="104119680"/>
      </c:lineChart>
      <c:catAx>
        <c:axId val="104118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19680"/>
        <c:crosses val="autoZero"/>
        <c:auto val="1"/>
        <c:lblAlgn val="ctr"/>
        <c:lblOffset val="100"/>
      </c:catAx>
      <c:valAx>
        <c:axId val="10411968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1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04934784"/>
        <c:axId val="104940672"/>
      </c:lineChart>
      <c:catAx>
        <c:axId val="104934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40672"/>
        <c:crosses val="autoZero"/>
        <c:auto val="1"/>
        <c:lblAlgn val="ctr"/>
        <c:lblOffset val="100"/>
      </c:catAx>
      <c:valAx>
        <c:axId val="1049406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34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418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04977536"/>
        <c:axId val="104979072"/>
      </c:lineChart>
      <c:catAx>
        <c:axId val="104977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79072"/>
        <c:crosses val="autoZero"/>
        <c:auto val="1"/>
        <c:lblAlgn val="ctr"/>
        <c:lblOffset val="100"/>
      </c:catAx>
      <c:valAx>
        <c:axId val="1049790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77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260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05442304"/>
        <c:axId val="107680512"/>
      </c:lineChart>
      <c:catAx>
        <c:axId val="105442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80512"/>
        <c:crosses val="autoZero"/>
        <c:auto val="1"/>
        <c:lblAlgn val="ctr"/>
        <c:lblOffset val="100"/>
      </c:catAx>
      <c:valAx>
        <c:axId val="107680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42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07705088"/>
        <c:axId val="107706624"/>
      </c:lineChart>
      <c:catAx>
        <c:axId val="107705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06624"/>
        <c:crosses val="autoZero"/>
        <c:auto val="1"/>
        <c:lblAlgn val="ctr"/>
        <c:lblOffset val="100"/>
      </c:catAx>
      <c:valAx>
        <c:axId val="107706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05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07734912"/>
        <c:axId val="107736448"/>
      </c:lineChart>
      <c:catAx>
        <c:axId val="107734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36448"/>
        <c:crosses val="autoZero"/>
        <c:auto val="1"/>
        <c:lblAlgn val="ctr"/>
        <c:lblOffset val="100"/>
      </c:catAx>
      <c:valAx>
        <c:axId val="107736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34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</c:v>
                </c:pt>
                <c:pt idx="11">
                  <c:v>18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05479552"/>
        <c:axId val="105489536"/>
      </c:lineChart>
      <c:catAx>
        <c:axId val="105479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89536"/>
        <c:crosses val="autoZero"/>
        <c:auto val="1"/>
        <c:lblAlgn val="ctr"/>
        <c:lblOffset val="100"/>
      </c:catAx>
      <c:valAx>
        <c:axId val="1054895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79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686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05510016"/>
        <c:axId val="105511552"/>
      </c:lineChart>
      <c:catAx>
        <c:axId val="105510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11552"/>
        <c:crosses val="autoZero"/>
        <c:auto val="1"/>
        <c:lblAlgn val="ctr"/>
        <c:lblOffset val="100"/>
      </c:catAx>
      <c:valAx>
        <c:axId val="105511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10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15</c:v>
                </c:pt>
                <c:pt idx="11">
                  <c:v>5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08239488"/>
        <c:axId val="107807104"/>
      </c:lineChart>
      <c:catAx>
        <c:axId val="10823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807104"/>
        <c:crosses val="autoZero"/>
        <c:auto val="1"/>
        <c:lblAlgn val="ctr"/>
        <c:lblOffset val="100"/>
      </c:catAx>
      <c:valAx>
        <c:axId val="1078071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23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157</c:v>
                </c:pt>
                <c:pt idx="12">
                  <c:v>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08507904"/>
        <c:axId val="108509440"/>
      </c:lineChart>
      <c:catAx>
        <c:axId val="108507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509440"/>
        <c:crosses val="autoZero"/>
        <c:auto val="1"/>
        <c:lblAlgn val="ctr"/>
        <c:lblOffset val="100"/>
      </c:catAx>
      <c:valAx>
        <c:axId val="108509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507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85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480.29999999998836</c:v>
                </c:pt>
                <c:pt idx="1">
                  <c:v>0</c:v>
                </c:pt>
                <c:pt idx="2">
                  <c:v>0</c:v>
                </c:pt>
                <c:pt idx="3">
                  <c:v>347</c:v>
                </c:pt>
                <c:pt idx="4">
                  <c:v>391</c:v>
                </c:pt>
                <c:pt idx="5">
                  <c:v>196</c:v>
                </c:pt>
                <c:pt idx="6">
                  <c:v>165</c:v>
                </c:pt>
                <c:pt idx="7">
                  <c:v>157</c:v>
                </c:pt>
                <c:pt idx="8">
                  <c:v>0</c:v>
                </c:pt>
                <c:pt idx="9">
                  <c:v>0</c:v>
                </c:pt>
                <c:pt idx="10">
                  <c:v>345</c:v>
                </c:pt>
                <c:pt idx="11">
                  <c:v>386</c:v>
                </c:pt>
                <c:pt idx="12">
                  <c:v>296</c:v>
                </c:pt>
                <c:pt idx="13">
                  <c:v>370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08563072"/>
        <c:axId val="108597632"/>
      </c:lineChart>
      <c:catAx>
        <c:axId val="10856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597632"/>
        <c:crosses val="autoZero"/>
        <c:auto val="1"/>
        <c:lblAlgn val="ctr"/>
        <c:lblOffset val="100"/>
      </c:catAx>
      <c:valAx>
        <c:axId val="108597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56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17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08630400"/>
        <c:axId val="108631936"/>
      </c:lineChart>
      <c:catAx>
        <c:axId val="10863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31936"/>
        <c:crosses val="autoZero"/>
        <c:auto val="1"/>
        <c:lblAlgn val="ctr"/>
        <c:lblOffset val="100"/>
      </c:catAx>
      <c:valAx>
        <c:axId val="1086319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3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4455</c:v>
                </c:pt>
                <c:pt idx="7">
                  <c:v>4790</c:v>
                </c:pt>
                <c:pt idx="8">
                  <c:v>0</c:v>
                </c:pt>
                <c:pt idx="9">
                  <c:v>0</c:v>
                </c:pt>
                <c:pt idx="10">
                  <c:v>5071</c:v>
                </c:pt>
                <c:pt idx="11">
                  <c:v>6481</c:v>
                </c:pt>
                <c:pt idx="12">
                  <c:v>2164</c:v>
                </c:pt>
                <c:pt idx="13">
                  <c:v>5387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08660992"/>
        <c:axId val="108662784"/>
      </c:lineChart>
      <c:catAx>
        <c:axId val="108660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62784"/>
        <c:crosses val="autoZero"/>
        <c:auto val="1"/>
        <c:lblAlgn val="ctr"/>
        <c:lblOffset val="100"/>
      </c:catAx>
      <c:valAx>
        <c:axId val="1086627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60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157</c:v>
                </c:pt>
                <c:pt idx="12">
                  <c:v>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08695552"/>
        <c:axId val="108697088"/>
      </c:lineChart>
      <c:catAx>
        <c:axId val="108695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97088"/>
        <c:crosses val="autoZero"/>
        <c:auto val="1"/>
        <c:lblAlgn val="ctr"/>
        <c:lblOffset val="100"/>
      </c:catAx>
      <c:valAx>
        <c:axId val="108697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9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17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15</c:v>
                </c:pt>
                <c:pt idx="11">
                  <c:v>5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08746240"/>
        <c:axId val="108747776"/>
      </c:lineChart>
      <c:catAx>
        <c:axId val="108746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747776"/>
        <c:crosses val="autoZero"/>
        <c:auto val="1"/>
        <c:lblAlgn val="ctr"/>
        <c:lblOffset val="100"/>
      </c:catAx>
      <c:valAx>
        <c:axId val="1087477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74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5343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-2453.4193548387411</c:v>
                </c:pt>
                <c:pt idx="3">
                  <c:v>-2146.7419354838494</c:v>
                </c:pt>
                <c:pt idx="4">
                  <c:v>-1840.0645161290449</c:v>
                </c:pt>
                <c:pt idx="5">
                  <c:v>-1910.0645161290304</c:v>
                </c:pt>
                <c:pt idx="6">
                  <c:v>-1025.1935483870911</c:v>
                </c:pt>
                <c:pt idx="7">
                  <c:v>0</c:v>
                </c:pt>
                <c:pt idx="8">
                  <c:v>0</c:v>
                </c:pt>
                <c:pt idx="9">
                  <c:v>-1113.1935483870911</c:v>
                </c:pt>
                <c:pt idx="10">
                  <c:v>-1770.0645161290595</c:v>
                </c:pt>
                <c:pt idx="11">
                  <c:v>-2216.7419354838494</c:v>
                </c:pt>
                <c:pt idx="12">
                  <c:v>-1319.8709677419392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08760064"/>
        <c:axId val="108782336"/>
      </c:lineChart>
      <c:catAx>
        <c:axId val="108760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782336"/>
        <c:crosses val="autoZero"/>
        <c:auto val="1"/>
        <c:lblAlgn val="ctr"/>
        <c:lblOffset val="100"/>
      </c:catAx>
      <c:valAx>
        <c:axId val="108782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760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5558272"/>
        <c:axId val="135559808"/>
      </c:lineChart>
      <c:catAx>
        <c:axId val="135558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59808"/>
        <c:crosses val="autoZero"/>
        <c:auto val="1"/>
        <c:lblAlgn val="ctr"/>
        <c:lblOffset val="100"/>
      </c:catAx>
      <c:valAx>
        <c:axId val="135559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58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20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5592576"/>
        <c:axId val="135463296"/>
      </c:lineChart>
      <c:catAx>
        <c:axId val="135592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63296"/>
        <c:crosses val="autoZero"/>
        <c:auto val="1"/>
        <c:lblAlgn val="ctr"/>
        <c:lblOffset val="100"/>
      </c:catAx>
      <c:valAx>
        <c:axId val="1354632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92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5487872"/>
        <c:axId val="135489408"/>
      </c:lineChart>
      <c:catAx>
        <c:axId val="13548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89408"/>
        <c:crosses val="autoZero"/>
        <c:auto val="1"/>
        <c:lblAlgn val="ctr"/>
        <c:lblOffset val="100"/>
      </c:catAx>
      <c:valAx>
        <c:axId val="1354894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8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35518080"/>
        <c:axId val="135519616"/>
      </c:lineChart>
      <c:catAx>
        <c:axId val="13551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19616"/>
        <c:crosses val="autoZero"/>
        <c:auto val="1"/>
        <c:lblAlgn val="ctr"/>
        <c:lblOffset val="100"/>
      </c:catAx>
      <c:valAx>
        <c:axId val="135519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1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814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5605632"/>
        <c:axId val="135615616"/>
      </c:lineChart>
      <c:catAx>
        <c:axId val="135605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15616"/>
        <c:crosses val="autoZero"/>
        <c:auto val="1"/>
        <c:lblAlgn val="ctr"/>
        <c:lblOffset val="100"/>
      </c:catAx>
      <c:valAx>
        <c:axId val="135615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0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</c:v>
                </c:pt>
                <c:pt idx="11">
                  <c:v>18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5738496"/>
        <c:axId val="135740032"/>
      </c:lineChart>
      <c:catAx>
        <c:axId val="13573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40032"/>
        <c:crosses val="autoZero"/>
        <c:auto val="1"/>
        <c:lblAlgn val="ctr"/>
        <c:lblOffset val="100"/>
      </c:catAx>
      <c:valAx>
        <c:axId val="135740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3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4184"/>
          <c:w val="0.1234311819809456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-366.30000000000013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16.899999999999995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5786496"/>
        <c:axId val="135788032"/>
      </c:lineChart>
      <c:catAx>
        <c:axId val="1357864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88032"/>
        <c:crosses val="autoZero"/>
        <c:auto val="1"/>
        <c:lblAlgn val="ctr"/>
        <c:lblOffset val="100"/>
      </c:catAx>
      <c:valAx>
        <c:axId val="1357880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86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915"/>
          <c:w val="0.1569039853282462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5677056"/>
        <c:axId val="135678592"/>
      </c:lineChart>
      <c:catAx>
        <c:axId val="13567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78592"/>
        <c:crosses val="autoZero"/>
        <c:auto val="1"/>
        <c:lblAlgn val="ctr"/>
        <c:lblOffset val="100"/>
      </c:catAx>
      <c:valAx>
        <c:axId val="1356785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7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46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</c:v>
                </c:pt>
                <c:pt idx="11">
                  <c:v>18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5805952"/>
        <c:axId val="135815936"/>
      </c:lineChart>
      <c:catAx>
        <c:axId val="13580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15936"/>
        <c:crosses val="autoZero"/>
        <c:auto val="1"/>
        <c:lblAlgn val="ctr"/>
        <c:lblOffset val="100"/>
      </c:catAx>
      <c:valAx>
        <c:axId val="135815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0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609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-366.30000000000013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16.899999999999995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36169728"/>
        <c:axId val="136175616"/>
      </c:lineChart>
      <c:catAx>
        <c:axId val="13616972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75616"/>
        <c:crosses val="autoZero"/>
        <c:auto val="1"/>
        <c:lblAlgn val="ctr"/>
        <c:lblOffset val="100"/>
      </c:catAx>
      <c:valAx>
        <c:axId val="13617561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6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91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44651</v>
          </cell>
          <cell r="D34">
            <v>259980</v>
          </cell>
          <cell r="E34">
            <v>1920</v>
          </cell>
          <cell r="F34">
            <v>4126098</v>
          </cell>
          <cell r="G34">
            <v>340</v>
          </cell>
          <cell r="H34">
            <v>18030296</v>
          </cell>
          <cell r="I34">
            <v>546</v>
          </cell>
          <cell r="J34">
            <v>29757150</v>
          </cell>
          <cell r="K34">
            <v>2276</v>
          </cell>
          <cell r="L34">
            <v>24562762</v>
          </cell>
          <cell r="M34">
            <v>1240</v>
          </cell>
          <cell r="N34">
            <v>6322</v>
          </cell>
          <cell r="O34">
            <v>0</v>
          </cell>
          <cell r="P34">
            <v>19121.867999999999</v>
          </cell>
          <cell r="Q34">
            <v>5966.999999996915</v>
          </cell>
          <cell r="R34">
            <v>355.00000000308501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44651</v>
          </cell>
          <cell r="B35">
            <v>244</v>
          </cell>
          <cell r="C35">
            <v>251</v>
          </cell>
          <cell r="D35">
            <v>-11</v>
          </cell>
          <cell r="E35">
            <v>-92.18</v>
          </cell>
          <cell r="F35">
            <v>2202</v>
          </cell>
          <cell r="G35">
            <v>0</v>
          </cell>
          <cell r="H35">
            <v>40475</v>
          </cell>
          <cell r="I35">
            <v>0</v>
          </cell>
          <cell r="J35">
            <v>0</v>
          </cell>
          <cell r="K35">
            <v>2407</v>
          </cell>
          <cell r="L35">
            <v>4</v>
          </cell>
          <cell r="M35">
            <v>178130</v>
          </cell>
          <cell r="N35">
            <v>262</v>
          </cell>
          <cell r="O35">
            <v>1869</v>
          </cell>
          <cell r="P35">
            <v>2189</v>
          </cell>
          <cell r="Q35">
            <v>183235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262</v>
          </cell>
          <cell r="X35">
            <v>2473</v>
          </cell>
          <cell r="Y35">
            <v>2</v>
          </cell>
          <cell r="Z35">
            <v>139431</v>
          </cell>
          <cell r="AA35">
            <v>218.29999999998836</v>
          </cell>
          <cell r="AB35">
            <v>0</v>
          </cell>
          <cell r="AC35">
            <v>1944</v>
          </cell>
          <cell r="AD35">
            <v>0</v>
          </cell>
          <cell r="AE35">
            <v>366312</v>
          </cell>
          <cell r="AF35">
            <v>0</v>
          </cell>
          <cell r="AG35">
            <v>0</v>
          </cell>
          <cell r="AH35">
            <v>218.29999999998836</v>
          </cell>
          <cell r="AI35">
            <v>480.29999999998836</v>
          </cell>
          <cell r="AJ35">
            <v>480.29999999998836</v>
          </cell>
          <cell r="AK35">
            <v>0</v>
          </cell>
          <cell r="AL35">
            <v>4</v>
          </cell>
          <cell r="AM35">
            <v>2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44651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627932</v>
          </cell>
          <cell r="H36">
            <v>0</v>
          </cell>
          <cell r="I36">
            <v>0</v>
          </cell>
          <cell r="J36">
            <v>0</v>
          </cell>
          <cell r="K36">
            <v>7046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5182</v>
          </cell>
          <cell r="U36">
            <v>0</v>
          </cell>
          <cell r="V36">
            <v>482</v>
          </cell>
          <cell r="W36">
            <v>0</v>
          </cell>
          <cell r="X36">
            <v>155209</v>
          </cell>
          <cell r="Y36">
            <v>0</v>
          </cell>
          <cell r="Z36">
            <v>99356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240.12</v>
          </cell>
          <cell r="AF36">
            <v>0.15999999999999659</v>
          </cell>
          <cell r="AG36">
            <v>2222.14</v>
          </cell>
          <cell r="AH36">
            <v>0</v>
          </cell>
          <cell r="AI36">
            <v>0.15999999999999659</v>
          </cell>
          <cell r="AJ36">
            <v>0</v>
          </cell>
          <cell r="AK36">
            <v>0</v>
          </cell>
          <cell r="AL36">
            <v>0</v>
          </cell>
          <cell r="AM36">
            <v>17</v>
          </cell>
          <cell r="AN36">
            <v>0</v>
          </cell>
          <cell r="AP36">
            <v>0</v>
          </cell>
          <cell r="AR36">
            <v>44651</v>
          </cell>
          <cell r="AS36">
            <v>0.9</v>
          </cell>
          <cell r="AT36">
            <v>152</v>
          </cell>
          <cell r="AU36">
            <v>1.1000000000000001</v>
          </cell>
          <cell r="AV36">
            <v>129</v>
          </cell>
          <cell r="AW36">
            <v>2.9</v>
          </cell>
          <cell r="AX36">
            <v>129</v>
          </cell>
          <cell r="AY36">
            <v>136.80000000000001</v>
          </cell>
          <cell r="AZ36">
            <v>141.9</v>
          </cell>
          <cell r="BA36">
            <v>374.09999999999997</v>
          </cell>
          <cell r="BB36">
            <v>0</v>
          </cell>
          <cell r="BC36">
            <v>-1.0999999999999943</v>
          </cell>
          <cell r="BD36">
            <v>-8.7000000000000455</v>
          </cell>
          <cell r="BE36">
            <v>-9.8000000000000398</v>
          </cell>
          <cell r="BF36">
            <v>9.8000000000000398</v>
          </cell>
          <cell r="BG36">
            <v>-9.8000000000000398</v>
          </cell>
        </row>
      </sheetData>
      <sheetData sheetId="5">
        <row r="33">
          <cell r="A33">
            <v>44651</v>
          </cell>
          <cell r="B33">
            <v>11629</v>
          </cell>
          <cell r="C33">
            <v>0</v>
          </cell>
          <cell r="D33">
            <v>670266</v>
          </cell>
          <cell r="E33">
            <v>0</v>
          </cell>
          <cell r="F33">
            <v>0</v>
          </cell>
          <cell r="H33">
            <v>11690</v>
          </cell>
          <cell r="I33" t="str">
            <v>ok</v>
          </cell>
          <cell r="J33">
            <v>10716</v>
          </cell>
          <cell r="K33">
            <v>0</v>
          </cell>
          <cell r="L33">
            <v>362191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13785</v>
          </cell>
          <cell r="S33">
            <v>15</v>
          </cell>
          <cell r="T33">
            <v>385762</v>
          </cell>
          <cell r="U33">
            <v>3750</v>
          </cell>
          <cell r="V33">
            <v>250</v>
          </cell>
          <cell r="X33">
            <v>13873</v>
          </cell>
          <cell r="Y33" t="str">
            <v>ok</v>
          </cell>
          <cell r="Z33">
            <v>15</v>
          </cell>
          <cell r="AA33">
            <v>3750</v>
          </cell>
          <cell r="AB33">
            <v>250</v>
          </cell>
          <cell r="AC33">
            <v>250</v>
          </cell>
          <cell r="AD33">
            <v>5966.999999996915</v>
          </cell>
          <cell r="AE33">
            <v>397.79999999979435</v>
          </cell>
          <cell r="AF33">
            <v>0.24862499999987148</v>
          </cell>
          <cell r="AG33">
            <v>1.5539062499991967E-4</v>
          </cell>
          <cell r="AH33">
            <v>249.999844609375</v>
          </cell>
          <cell r="AI33">
            <v>1535.8101265814846</v>
          </cell>
          <cell r="AJ33">
            <v>0.25738396624472576</v>
          </cell>
          <cell r="AK33">
            <v>102.38734177209898</v>
          </cell>
          <cell r="AL33">
            <v>1</v>
          </cell>
        </row>
      </sheetData>
      <sheetData sheetId="6">
        <row r="36">
          <cell r="A36">
            <v>44651</v>
          </cell>
          <cell r="B36">
            <v>244</v>
          </cell>
          <cell r="C36">
            <v>5249.9354838709678</v>
          </cell>
          <cell r="D36">
            <v>244</v>
          </cell>
          <cell r="E36">
            <v>5249.9354838709678</v>
          </cell>
          <cell r="F36">
            <v>244</v>
          </cell>
          <cell r="G36">
            <v>5249.9354838709678</v>
          </cell>
          <cell r="H36">
            <v>244</v>
          </cell>
          <cell r="I36">
            <v>5249.9354838709678</v>
          </cell>
          <cell r="J36">
            <v>244</v>
          </cell>
          <cell r="K36">
            <v>5249.9354838709678</v>
          </cell>
          <cell r="L36">
            <v>244</v>
          </cell>
          <cell r="M36">
            <v>5249.9354838709678</v>
          </cell>
          <cell r="N36">
            <v>244</v>
          </cell>
          <cell r="O36">
            <v>5249.9354838709678</v>
          </cell>
          <cell r="P36">
            <v>244</v>
          </cell>
          <cell r="Q36">
            <v>5249.9354838709678</v>
          </cell>
          <cell r="R36">
            <v>244</v>
          </cell>
          <cell r="S36">
            <v>5249.9354838709678</v>
          </cell>
          <cell r="T36">
            <v>244</v>
          </cell>
          <cell r="U36">
            <v>5249.9354838709678</v>
          </cell>
          <cell r="V36">
            <v>244</v>
          </cell>
          <cell r="W36">
            <v>5249.9354838709678</v>
          </cell>
          <cell r="X36">
            <v>0.78709677419354862</v>
          </cell>
          <cell r="Y36">
            <v>57749.290322580659</v>
          </cell>
          <cell r="Z36">
            <v>251</v>
          </cell>
          <cell r="AA36">
            <v>2510</v>
          </cell>
          <cell r="AB36">
            <v>251</v>
          </cell>
          <cell r="AC36">
            <v>2510</v>
          </cell>
          <cell r="AD36">
            <v>251</v>
          </cell>
          <cell r="AE36">
            <v>2510</v>
          </cell>
          <cell r="AF36">
            <v>251</v>
          </cell>
          <cell r="AG36">
            <v>2510</v>
          </cell>
          <cell r="AH36">
            <v>251</v>
          </cell>
          <cell r="AI36">
            <v>2510</v>
          </cell>
          <cell r="AJ36">
            <v>251</v>
          </cell>
          <cell r="AK36">
            <v>2510</v>
          </cell>
          <cell r="AL36">
            <v>251</v>
          </cell>
          <cell r="AM36">
            <v>2510</v>
          </cell>
          <cell r="AN36">
            <v>0.89642857142857146</v>
          </cell>
          <cell r="AO36">
            <v>17570</v>
          </cell>
          <cell r="AQ36">
            <v>0.81014617965559499</v>
          </cell>
          <cell r="AR36">
            <v>75319.290322580666</v>
          </cell>
          <cell r="AS36">
            <v>-1626.5483870967582</v>
          </cell>
          <cell r="AT36">
            <v>5000</v>
          </cell>
          <cell r="AU36">
            <v>1.1200000000000001</v>
          </cell>
          <cell r="AV36">
            <v>1.1200000000000001</v>
          </cell>
          <cell r="AW36">
            <v>-480.29999999998836</v>
          </cell>
          <cell r="AX36">
            <v>-1146.2483870967699</v>
          </cell>
          <cell r="AY36">
            <v>-1626.5483870967582</v>
          </cell>
          <cell r="AZ36">
            <v>0</v>
          </cell>
          <cell r="BA36">
            <v>17</v>
          </cell>
          <cell r="BB36">
            <v>0.69</v>
          </cell>
        </row>
      </sheetData>
      <sheetData sheetId="7">
        <row r="26">
          <cell r="V26">
            <v>400976</v>
          </cell>
          <cell r="W26">
            <v>401347</v>
          </cell>
          <cell r="X26" t="str">
            <v>Night</v>
          </cell>
          <cell r="Y26">
            <v>80</v>
          </cell>
          <cell r="Z26">
            <v>1</v>
          </cell>
          <cell r="AA26">
            <v>371</v>
          </cell>
          <cell r="AB26">
            <v>29680</v>
          </cell>
          <cell r="AC26">
            <v>1033333</v>
          </cell>
          <cell r="AD26">
            <v>8.7873045949786843E-2</v>
          </cell>
        </row>
        <row r="27">
          <cell r="V27">
            <v>550000</v>
          </cell>
          <cell r="W27">
            <v>553475</v>
          </cell>
          <cell r="X27" t="str">
            <v>day</v>
          </cell>
          <cell r="Y27">
            <v>112</v>
          </cell>
          <cell r="Z27">
            <v>1</v>
          </cell>
          <cell r="AA27">
            <v>3475</v>
          </cell>
          <cell r="AB27">
            <v>389200</v>
          </cell>
          <cell r="AC27">
            <v>6200000</v>
          </cell>
          <cell r="AD27">
            <v>0.82306963524396026</v>
          </cell>
        </row>
        <row r="28">
          <cell r="V28">
            <v>161035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375</v>
          </cell>
          <cell r="AB28">
            <v>120000</v>
          </cell>
          <cell r="AC28">
            <v>1000</v>
          </cell>
          <cell r="AD28">
            <v>8.8820464234959734E-2</v>
          </cell>
          <cell r="AE28">
            <v>6000</v>
          </cell>
          <cell r="AF28">
            <v>26571.428571428569</v>
          </cell>
        </row>
        <row r="29">
          <cell r="AA29">
            <v>4221</v>
          </cell>
          <cell r="AB29">
            <v>538880</v>
          </cell>
          <cell r="AC29">
            <v>7234333</v>
          </cell>
        </row>
        <row r="30">
          <cell r="AB30">
            <v>7773213</v>
          </cell>
        </row>
        <row r="33">
          <cell r="AA33">
            <v>0.11</v>
          </cell>
          <cell r="AB33">
            <v>855053.43</v>
          </cell>
          <cell r="AC33">
            <v>7234333</v>
          </cell>
        </row>
        <row r="34">
          <cell r="A34">
            <v>44651</v>
          </cell>
          <cell r="B34">
            <v>1116233</v>
          </cell>
          <cell r="C34">
            <v>696</v>
          </cell>
          <cell r="D34">
            <v>695</v>
          </cell>
          <cell r="E34">
            <v>1116232</v>
          </cell>
          <cell r="F34">
            <v>161410</v>
          </cell>
          <cell r="G34">
            <v>116</v>
          </cell>
          <cell r="H34">
            <v>553475</v>
          </cell>
          <cell r="I34">
            <v>465</v>
          </cell>
          <cell r="J34">
            <v>401347</v>
          </cell>
          <cell r="K34">
            <v>114</v>
          </cell>
          <cell r="L34">
            <v>24.623548922056386</v>
          </cell>
          <cell r="M34">
            <v>34.547263681592042</v>
          </cell>
          <cell r="N34">
            <v>6.0497512437810945</v>
          </cell>
          <cell r="O34">
            <v>154.80303857058792</v>
          </cell>
          <cell r="P34">
            <v>220.02360241801745</v>
          </cell>
          <cell r="Q34">
            <v>1207.8019254838662</v>
          </cell>
          <cell r="R34">
            <v>1427.8255279018836</v>
          </cell>
          <cell r="S34">
            <v>6322</v>
          </cell>
          <cell r="T34">
            <v>0.22585028913348365</v>
          </cell>
          <cell r="AB34">
            <v>8628266.4299999997</v>
          </cell>
          <cell r="AC34">
            <v>0</v>
          </cell>
        </row>
        <row r="36">
          <cell r="AA36" t="str">
            <v>$ without VAT</v>
          </cell>
          <cell r="AB36">
            <v>5156.3601990049747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44651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7046</v>
          </cell>
        </row>
      </sheetData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>
        <row r="26">
          <cell r="V26">
            <v>400225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</row>
      </sheetData>
      <sheetData sheetId="3">
        <row r="32">
          <cell r="A32">
            <v>44620</v>
          </cell>
        </row>
      </sheetData>
      <sheetData sheetId="4">
        <row r="33">
          <cell r="A33">
            <v>44620</v>
          </cell>
        </row>
      </sheetData>
      <sheetData sheetId="5">
        <row r="30">
          <cell r="A30">
            <v>44620</v>
          </cell>
        </row>
      </sheetData>
      <sheetData sheetId="6">
        <row r="33">
          <cell r="A33">
            <v>44620</v>
          </cell>
        </row>
      </sheetData>
      <sheetData sheetId="7">
        <row r="26">
          <cell r="V26">
            <v>400529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-30.300000000000008</v>
          </cell>
        </row>
        <row r="15">
          <cell r="B15">
            <v>45.40000000000002</v>
          </cell>
        </row>
        <row r="16">
          <cell r="B16">
            <v>17.583333333333332</v>
          </cell>
        </row>
        <row r="17">
          <cell r="B17">
            <v>0</v>
          </cell>
        </row>
        <row r="18">
          <cell r="B18">
            <v>240</v>
          </cell>
        </row>
        <row r="19">
          <cell r="B19">
            <v>8</v>
          </cell>
        </row>
      </sheetData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B32" sqref="B32:O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4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1.1200000000000001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4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1.1200000000000001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1" si="0">B3+1</f>
        <v>3</v>
      </c>
      <c r="C4">
        <v>4</v>
      </c>
      <c r="D4">
        <f t="shared" ref="D4:D31" si="1">D3</f>
        <v>2022</v>
      </c>
      <c r="E4" s="203">
        <f>ELEC!N6</f>
        <v>6534</v>
      </c>
      <c r="F4" s="315">
        <f>SUM('EDl log'!T6)</f>
        <v>0.35019112764437538</v>
      </c>
      <c r="G4" s="203">
        <f>-tanks!AW8</f>
        <v>347</v>
      </c>
      <c r="H4" s="315">
        <f>tanks!AV8</f>
        <v>1.1200000000000001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4</v>
      </c>
      <c r="D5">
        <f t="shared" si="1"/>
        <v>2022</v>
      </c>
      <c r="E5" s="203">
        <f>ELEC!N7</f>
        <v>4892</v>
      </c>
      <c r="F5" s="315">
        <f>SUM('EDl log'!T7)</f>
        <v>0.40317511259120531</v>
      </c>
      <c r="G5" s="203">
        <f>-tanks!AW9</f>
        <v>391</v>
      </c>
      <c r="H5" s="315">
        <f>tanks!AV9</f>
        <v>1.1200000000000001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4</v>
      </c>
      <c r="D6">
        <f t="shared" si="1"/>
        <v>2022</v>
      </c>
      <c r="E6" s="203">
        <f>ELEC!N8</f>
        <v>5576</v>
      </c>
      <c r="F6" s="315">
        <f>SUM('EDl log'!T8)</f>
        <v>0.32658111955738628</v>
      </c>
      <c r="G6" s="203">
        <f>-tanks!AW10</f>
        <v>196</v>
      </c>
      <c r="H6" s="315">
        <f>tanks!AV10</f>
        <v>1.1200000000000001</v>
      </c>
      <c r="I6" s="10">
        <f>('B5'!AU9)*0.51</f>
        <v>0</v>
      </c>
      <c r="J6" s="296">
        <f>'B5'!AX9/0.51</f>
        <v>1.5686274509803921</v>
      </c>
      <c r="K6" s="203">
        <f>WATER!I10</f>
        <v>95</v>
      </c>
      <c r="L6" s="316">
        <f>SUM(WATER!J10)</f>
        <v>2.6315789473684212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4</v>
      </c>
      <c r="D7">
        <f t="shared" si="1"/>
        <v>2022</v>
      </c>
      <c r="E7" s="203">
        <f>ELEC!N9</f>
        <v>4455</v>
      </c>
      <c r="F7" s="315">
        <f>SUM('EDl log'!T9)</f>
        <v>0.43603738641589607</v>
      </c>
      <c r="G7" s="203">
        <f>-tanks!AW11</f>
        <v>165</v>
      </c>
      <c r="H7" s="315">
        <f>tanks!AV11</f>
        <v>1.1200000000000001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4</v>
      </c>
      <c r="D8">
        <f t="shared" si="1"/>
        <v>2022</v>
      </c>
      <c r="E8" s="203">
        <f>ELEC!N10</f>
        <v>4790</v>
      </c>
      <c r="F8" s="315">
        <f>SUM('EDl log'!T10)</f>
        <v>0.21651941995338173</v>
      </c>
      <c r="G8" s="203">
        <f>-tanks!AW12</f>
        <v>157</v>
      </c>
      <c r="H8" s="315">
        <f>tanks!AV12</f>
        <v>1.0089999999999999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4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1.0089999999999999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4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1.0089999999999999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4</v>
      </c>
      <c r="D11">
        <f t="shared" si="1"/>
        <v>2022</v>
      </c>
      <c r="E11" s="203">
        <f>ELEC!N13</f>
        <v>5071</v>
      </c>
      <c r="F11" s="315">
        <f>SUM('EDl log'!T13)</f>
        <v>0.18856807038584414</v>
      </c>
      <c r="G11" s="203">
        <f>-tanks!AW15</f>
        <v>345</v>
      </c>
      <c r="H11" s="315">
        <f>tanks!AV15</f>
        <v>1.0089999999999999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4</v>
      </c>
      <c r="D12">
        <f t="shared" si="1"/>
        <v>2022</v>
      </c>
      <c r="E12" s="203">
        <f>ELEC!N14</f>
        <v>6481</v>
      </c>
      <c r="F12" s="315">
        <f>SUM('EDl log'!T14)</f>
        <v>0.24225710478599038</v>
      </c>
      <c r="G12" s="203">
        <f>-tanks!AW16</f>
        <v>386</v>
      </c>
      <c r="H12" s="315">
        <f>tanks!AV16</f>
        <v>1.0089999999999999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4</v>
      </c>
      <c r="D13">
        <f t="shared" si="1"/>
        <v>2022</v>
      </c>
      <c r="E13" s="203">
        <f>ELEC!N15</f>
        <v>2164</v>
      </c>
      <c r="F13" s="315">
        <f>SUM('EDl log'!T15)</f>
        <v>0.97363314621447172</v>
      </c>
      <c r="G13" s="203">
        <f>-tanks!AW17</f>
        <v>296</v>
      </c>
      <c r="H13" s="315">
        <f>tanks!AV17</f>
        <v>1.0089999999999999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4</v>
      </c>
      <c r="D14">
        <f t="shared" si="1"/>
        <v>2022</v>
      </c>
      <c r="E14" s="203">
        <f>ELEC!N16</f>
        <v>5387</v>
      </c>
      <c r="F14" s="315">
        <f>SUM('EDl log'!T16)</f>
        <v>0.20784285148163109</v>
      </c>
      <c r="G14" s="203">
        <f>-tanks!AW18</f>
        <v>370</v>
      </c>
      <c r="H14" s="315">
        <f>tanks!AV18</f>
        <v>1.0129999999999999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4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1.0129999999999999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4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1.0129999999999999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4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1.0129999999999999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4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1.0129999999999999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4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1.0129999999999999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4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1.0129999999999999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4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1.0129999999999999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4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1.0129999999999999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4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1.0129999999999999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4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1.0129999999999999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4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1.0129999999999999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4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1.0129999999999999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4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1.0129999999999999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4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1.0129999999999999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4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1.0129999999999999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4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1.0129999999999999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4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1.0129999999999999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4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4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4</v>
      </c>
      <c r="D4">
        <v>2022</v>
      </c>
      <c r="E4" s="203">
        <f>ELEC!M6</f>
        <v>1220</v>
      </c>
      <c r="F4" s="203">
        <f>ELEC!K6</f>
        <v>2386</v>
      </c>
      <c r="G4" s="203">
        <f>ELEC!I6</f>
        <v>570</v>
      </c>
      <c r="H4" s="203">
        <f>ELEC!E6</f>
        <v>2000</v>
      </c>
      <c r="I4" s="203">
        <f>ELEC!G6</f>
        <v>358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4</v>
      </c>
      <c r="D5">
        <v>2022</v>
      </c>
      <c r="E5" s="203">
        <f>ELEC!M7</f>
        <v>882</v>
      </c>
      <c r="F5" s="203">
        <f>ELEC!K7</f>
        <v>1810</v>
      </c>
      <c r="G5" s="203">
        <f>ELEC!I7</f>
        <v>468</v>
      </c>
      <c r="H5" s="203">
        <f>ELEC!E7</f>
        <v>1470</v>
      </c>
      <c r="I5" s="203">
        <f>ELEC!G7</f>
        <v>262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4</v>
      </c>
      <c r="D6">
        <v>2022</v>
      </c>
      <c r="E6" s="203">
        <f>ELEC!M8</f>
        <v>1038</v>
      </c>
      <c r="F6" s="203">
        <f>ELEC!K8</f>
        <v>1998</v>
      </c>
      <c r="G6" s="203">
        <f>ELEC!I8</f>
        <v>512</v>
      </c>
      <c r="H6" s="203">
        <f>ELEC!E8</f>
        <v>1720</v>
      </c>
      <c r="I6" s="203">
        <f>ELEC!G8</f>
        <v>308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4</v>
      </c>
      <c r="D7">
        <v>2022</v>
      </c>
      <c r="E7" s="203">
        <f>ELEC!M9</f>
        <v>824</v>
      </c>
      <c r="F7" s="203">
        <f>ELEC!K9</f>
        <v>1586</v>
      </c>
      <c r="G7" s="203">
        <f>ELEC!I9</f>
        <v>416</v>
      </c>
      <c r="H7" s="203">
        <f>ELEC!E9</f>
        <v>1370</v>
      </c>
      <c r="I7" s="203">
        <f>ELEC!G9</f>
        <v>259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4</v>
      </c>
      <c r="D8">
        <v>2022</v>
      </c>
      <c r="E8" s="203">
        <f>ELEC!M10</f>
        <v>838</v>
      </c>
      <c r="F8" s="203">
        <f>ELEC!K10</f>
        <v>1748</v>
      </c>
      <c r="G8" s="203">
        <f>ELEC!I10</f>
        <v>440</v>
      </c>
      <c r="H8" s="203">
        <f>ELEC!E10</f>
        <v>1490</v>
      </c>
      <c r="I8" s="203">
        <f>ELEC!G10</f>
        <v>274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4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4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4</v>
      </c>
      <c r="D11">
        <v>2022</v>
      </c>
      <c r="E11" s="203">
        <f>ELEC!M13</f>
        <v>844</v>
      </c>
      <c r="F11" s="203">
        <f>ELEC!K13</f>
        <v>2036</v>
      </c>
      <c r="G11" s="203">
        <f>ELEC!I13</f>
        <v>428</v>
      </c>
      <c r="H11" s="203">
        <f>ELEC!E13</f>
        <v>1510</v>
      </c>
      <c r="I11" s="203">
        <f>ELEC!G13</f>
        <v>253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4</v>
      </c>
      <c r="D12">
        <v>2022</v>
      </c>
      <c r="E12" s="203">
        <f>ELEC!M14</f>
        <v>1266</v>
      </c>
      <c r="F12" s="203">
        <f>ELEC!K14</f>
        <v>2042</v>
      </c>
      <c r="G12" s="203">
        <f>ELEC!I14</f>
        <v>680</v>
      </c>
      <c r="H12" s="203">
        <f>ELEC!E14</f>
        <v>2090</v>
      </c>
      <c r="I12" s="203">
        <f>ELEC!G14</f>
        <v>403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4</v>
      </c>
      <c r="D13">
        <v>2022</v>
      </c>
      <c r="E13" s="203">
        <f>ELEC!M15</f>
        <v>410</v>
      </c>
      <c r="F13" s="203">
        <f>ELEC!K15</f>
        <v>734</v>
      </c>
      <c r="G13" s="203">
        <f>ELEC!I15</f>
        <v>222</v>
      </c>
      <c r="H13" s="203">
        <f>ELEC!E15</f>
        <v>670</v>
      </c>
      <c r="I13" s="203">
        <f>ELEC!G15</f>
        <v>128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4</v>
      </c>
      <c r="D14">
        <v>2022</v>
      </c>
      <c r="E14" s="203">
        <f>ELEC!M16</f>
        <v>886</v>
      </c>
      <c r="F14" s="203">
        <f>ELEC!K16</f>
        <v>832</v>
      </c>
      <c r="G14" s="203">
        <f>ELEC!I16</f>
        <v>1326</v>
      </c>
      <c r="H14" s="203">
        <f>ELEC!E16</f>
        <v>1950</v>
      </c>
      <c r="I14" s="203">
        <f>ELEC!G16</f>
        <v>393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4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4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4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4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4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4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4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4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4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4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4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4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4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4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4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4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4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6" activePane="bottomLeft" state="frozen"/>
      <selection activeCell="C1" sqref="C1"/>
      <selection pane="bottomLeft" activeCell="Q16" sqref="Q16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44651</v>
      </c>
      <c r="D3" s="591">
        <f>[2]ELEC!D34</f>
        <v>259980</v>
      </c>
      <c r="E3" s="591">
        <f>[2]ELEC!E34</f>
        <v>1920</v>
      </c>
      <c r="F3" s="591">
        <f>[2]ELEC!F34</f>
        <v>4126098</v>
      </c>
      <c r="G3" s="591">
        <f>[2]ELEC!G34</f>
        <v>340</v>
      </c>
      <c r="H3" s="591">
        <f>[2]ELEC!H34</f>
        <v>18030296</v>
      </c>
      <c r="I3" s="591">
        <f>[2]ELEC!I34</f>
        <v>546</v>
      </c>
      <c r="J3" s="591">
        <f>[2]ELEC!J34</f>
        <v>29757150</v>
      </c>
      <c r="K3" s="591">
        <f>[2]ELEC!K34</f>
        <v>2276</v>
      </c>
      <c r="L3" s="591">
        <f>[2]ELEC!L34</f>
        <v>24562762</v>
      </c>
      <c r="M3" s="591">
        <f>[2]ELEC!M34</f>
        <v>1240</v>
      </c>
      <c r="N3" s="591">
        <f>[2]ELEC!N34</f>
        <v>6322</v>
      </c>
      <c r="O3" s="591">
        <f>[2]ELEC!O34</f>
        <v>0</v>
      </c>
      <c r="P3" s="591">
        <f>[2]ELEC!P34</f>
        <v>19121.867999999999</v>
      </c>
      <c r="Q3" s="591">
        <f>[2]ELEC!Q34</f>
        <v>5966.999999996915</v>
      </c>
      <c r="R3" s="591">
        <f>[2]ELEC!R34</f>
        <v>355.00000000308501</v>
      </c>
      <c r="S3" s="591">
        <f>[2]ELEC!S34</f>
        <v>10175</v>
      </c>
      <c r="T3" s="591">
        <f>[2]ELEC!T34</f>
        <v>0</v>
      </c>
      <c r="U3" s="591">
        <f>[2]ELEC!U34</f>
        <v>429166</v>
      </c>
      <c r="V3" s="591">
        <f>[2]ELEC!V34</f>
        <v>0</v>
      </c>
      <c r="W3" s="591">
        <f>[2]ELEC!W34</f>
        <v>33484</v>
      </c>
      <c r="X3" s="591">
        <f>[2]ELEC!X34</f>
        <v>0</v>
      </c>
      <c r="Y3" s="591">
        <f>[2]ELEC!Y34</f>
        <v>996900</v>
      </c>
      <c r="Z3" s="591">
        <f>[2]ELEC!Z34</f>
        <v>0</v>
      </c>
      <c r="AA3" s="591">
        <f>[2]ELEC!AA34</f>
        <v>36796</v>
      </c>
      <c r="AB3" s="591">
        <f>[2]ELEC!AB34</f>
        <v>0</v>
      </c>
      <c r="AC3" s="591">
        <f>[2]ELEC!AC34</f>
        <v>1170505</v>
      </c>
      <c r="AD3" s="591">
        <f>[2]ELEC!AD34</f>
        <v>0</v>
      </c>
      <c r="AE3" s="591">
        <f>[2]ELEC!AE34</f>
        <v>0</v>
      </c>
      <c r="AF3" s="591">
        <f>[2]ELEC!AF34</f>
        <v>0</v>
      </c>
      <c r="AG3" s="591">
        <f>[2]ELEC!AG34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44652</v>
      </c>
      <c r="D4" s="592">
        <f>D3</f>
        <v>259980</v>
      </c>
      <c r="E4" s="580">
        <f>D4-D3</f>
        <v>0</v>
      </c>
      <c r="F4" s="569">
        <f>F3</f>
        <v>4126098</v>
      </c>
      <c r="G4" s="581">
        <f>F4-F3</f>
        <v>0</v>
      </c>
      <c r="H4" s="426">
        <f>H3</f>
        <v>18030296</v>
      </c>
      <c r="I4" s="581">
        <f>H4-H3</f>
        <v>0</v>
      </c>
      <c r="J4" s="426">
        <f>J3</f>
        <v>29757150</v>
      </c>
      <c r="K4" s="581">
        <f>J4-J3</f>
        <v>0</v>
      </c>
      <c r="L4" s="426">
        <f>L3</f>
        <v>24562762</v>
      </c>
      <c r="M4" s="581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19121.867999999999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44653</v>
      </c>
      <c r="D5" s="592">
        <f t="shared" ref="D5:D34" si="7">D4</f>
        <v>259980</v>
      </c>
      <c r="E5" s="580">
        <f t="shared" ref="E5:E34" si="8">D5-D4</f>
        <v>0</v>
      </c>
      <c r="F5" s="569">
        <f t="shared" ref="F5:F34" si="9">F4</f>
        <v>4126098</v>
      </c>
      <c r="G5" s="449">
        <f>F5-F4</f>
        <v>0</v>
      </c>
      <c r="H5" s="426">
        <f t="shared" ref="H5:H34" si="10">H4</f>
        <v>18030296</v>
      </c>
      <c r="I5" s="449">
        <f>H5-H4</f>
        <v>0</v>
      </c>
      <c r="J5" s="426">
        <f t="shared" ref="J5:J34" si="11">J4</f>
        <v>29757150</v>
      </c>
      <c r="K5" s="449">
        <f>J5-J4</f>
        <v>0</v>
      </c>
      <c r="L5" s="426">
        <f t="shared" ref="L5:L34" si="12">L4</f>
        <v>24562762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19121.867999999999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44654</v>
      </c>
      <c r="D6" s="592">
        <v>261980</v>
      </c>
      <c r="E6" s="580">
        <f t="shared" si="8"/>
        <v>2000</v>
      </c>
      <c r="F6" s="569">
        <v>4126456</v>
      </c>
      <c r="G6" s="449">
        <f t="shared" ref="G6:G34" si="21">F6-F5</f>
        <v>358</v>
      </c>
      <c r="H6" s="426">
        <v>18030866</v>
      </c>
      <c r="I6" s="449">
        <f t="shared" ref="I6:I34" si="22">H6-H5</f>
        <v>570</v>
      </c>
      <c r="J6" s="426">
        <v>29759536</v>
      </c>
      <c r="K6" s="449">
        <f t="shared" ref="K6:K34" si="23">J6-J5</f>
        <v>2386</v>
      </c>
      <c r="L6" s="426">
        <v>24563982</v>
      </c>
      <c r="M6" s="449">
        <f t="shared" ref="M6:M31" si="24">L6-L5</f>
        <v>1220</v>
      </c>
      <c r="N6" s="297">
        <f t="shared" ref="N6:N31" si="25">M6+K6+I6+G6+E6</f>
        <v>6534</v>
      </c>
      <c r="O6" s="445">
        <f t="shared" si="0"/>
        <v>0</v>
      </c>
      <c r="P6" s="563">
        <v>19127.916000000001</v>
      </c>
      <c r="Q6" s="446">
        <f t="shared" si="1"/>
        <v>6048.0000000025029</v>
      </c>
      <c r="R6" s="428">
        <f>N6-Q6</f>
        <v>485.99999999749707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6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27">AA6-AA5</f>
        <v>0</v>
      </c>
      <c r="AC6" s="426">
        <f t="shared" si="19"/>
        <v>1170505</v>
      </c>
      <c r="AD6" s="428">
        <f t="shared" ref="AD6:AD17" si="28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44655</v>
      </c>
      <c r="D7" s="592">
        <v>263450</v>
      </c>
      <c r="E7" s="580">
        <f t="shared" si="8"/>
        <v>1470</v>
      </c>
      <c r="F7" s="569">
        <v>4126718</v>
      </c>
      <c r="G7" s="449">
        <f t="shared" si="21"/>
        <v>262</v>
      </c>
      <c r="H7" s="426">
        <v>18031334</v>
      </c>
      <c r="I7" s="449">
        <f t="shared" si="22"/>
        <v>468</v>
      </c>
      <c r="J7" s="426">
        <v>29761346</v>
      </c>
      <c r="K7" s="449">
        <f t="shared" si="23"/>
        <v>1810</v>
      </c>
      <c r="L7" s="426">
        <v>24564864</v>
      </c>
      <c r="M7" s="449">
        <f t="shared" si="24"/>
        <v>882</v>
      </c>
      <c r="N7" s="297">
        <f t="shared" si="25"/>
        <v>4892</v>
      </c>
      <c r="O7" s="445">
        <f t="shared" si="0"/>
        <v>0</v>
      </c>
      <c r="P7" s="563">
        <v>19132.597000000002</v>
      </c>
      <c r="Q7" s="446">
        <f t="shared" si="1"/>
        <v>4681.0000000004948</v>
      </c>
      <c r="R7" s="428">
        <f t="shared" ref="R7:R18" si="29">N7-Q7</f>
        <v>210.99999999950523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6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0">Y7-Y6</f>
        <v>0</v>
      </c>
      <c r="AA7" s="426">
        <f t="shared" si="18"/>
        <v>36796</v>
      </c>
      <c r="AB7" s="428">
        <f t="shared" si="27"/>
        <v>0</v>
      </c>
      <c r="AC7" s="426">
        <f t="shared" si="19"/>
        <v>1170505</v>
      </c>
      <c r="AD7" s="428">
        <f t="shared" si="28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44656</v>
      </c>
      <c r="D8" s="592">
        <v>265170</v>
      </c>
      <c r="E8" s="580">
        <f t="shared" si="8"/>
        <v>1720</v>
      </c>
      <c r="F8" s="569">
        <v>4127026</v>
      </c>
      <c r="G8" s="449">
        <f t="shared" si="21"/>
        <v>308</v>
      </c>
      <c r="H8" s="426">
        <v>18031846</v>
      </c>
      <c r="I8" s="449">
        <f t="shared" si="22"/>
        <v>512</v>
      </c>
      <c r="J8" s="426">
        <v>29763344</v>
      </c>
      <c r="K8" s="449">
        <f t="shared" si="23"/>
        <v>1998</v>
      </c>
      <c r="L8" s="426">
        <v>24565902</v>
      </c>
      <c r="M8" s="449">
        <f t="shared" si="24"/>
        <v>1038</v>
      </c>
      <c r="N8" s="297">
        <f t="shared" si="25"/>
        <v>5576</v>
      </c>
      <c r="O8" s="445">
        <f t="shared" si="0"/>
        <v>0</v>
      </c>
      <c r="P8" s="563">
        <v>19137.983</v>
      </c>
      <c r="Q8" s="446">
        <f t="shared" si="1"/>
        <v>5385.999999998603</v>
      </c>
      <c r="R8" s="428">
        <f t="shared" si="29"/>
        <v>190.00000000139698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6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0"/>
        <v>0</v>
      </c>
      <c r="AA8" s="426">
        <f t="shared" si="18"/>
        <v>36796</v>
      </c>
      <c r="AB8" s="428">
        <f t="shared" si="27"/>
        <v>0</v>
      </c>
      <c r="AC8" s="426">
        <f t="shared" si="19"/>
        <v>1170505</v>
      </c>
      <c r="AD8" s="428">
        <f t="shared" si="28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44657</v>
      </c>
      <c r="D9" s="592">
        <v>266540</v>
      </c>
      <c r="E9" s="580">
        <f t="shared" si="8"/>
        <v>1370</v>
      </c>
      <c r="F9" s="569">
        <v>4127285</v>
      </c>
      <c r="G9" s="449">
        <f t="shared" si="21"/>
        <v>259</v>
      </c>
      <c r="H9" s="426">
        <v>18032262</v>
      </c>
      <c r="I9" s="449">
        <f t="shared" si="22"/>
        <v>416</v>
      </c>
      <c r="J9" s="426">
        <v>29764930</v>
      </c>
      <c r="K9" s="449">
        <f t="shared" si="23"/>
        <v>1586</v>
      </c>
      <c r="L9" s="426">
        <v>24566726</v>
      </c>
      <c r="M9" s="449">
        <f t="shared" si="24"/>
        <v>824</v>
      </c>
      <c r="N9" s="297">
        <f t="shared" si="25"/>
        <v>4455</v>
      </c>
      <c r="O9" s="445">
        <f t="shared" si="0"/>
        <v>0</v>
      </c>
      <c r="P9" s="563">
        <v>19142.117999999999</v>
      </c>
      <c r="Q9" s="446">
        <f t="shared" si="1"/>
        <v>4134.9999999983993</v>
      </c>
      <c r="R9" s="428">
        <f t="shared" si="29"/>
        <v>320.00000000160071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6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0"/>
        <v>0</v>
      </c>
      <c r="AA9" s="426">
        <f t="shared" si="18"/>
        <v>36796</v>
      </c>
      <c r="AB9" s="428">
        <f t="shared" si="27"/>
        <v>0</v>
      </c>
      <c r="AC9" s="426">
        <f t="shared" si="19"/>
        <v>1170505</v>
      </c>
      <c r="AD9" s="428">
        <f t="shared" si="28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44658</v>
      </c>
      <c r="D10" s="592">
        <v>268030</v>
      </c>
      <c r="E10" s="580">
        <f t="shared" si="8"/>
        <v>1490</v>
      </c>
      <c r="F10" s="569">
        <v>4127559</v>
      </c>
      <c r="G10" s="449">
        <f t="shared" si="21"/>
        <v>274</v>
      </c>
      <c r="H10" s="426">
        <v>18032702</v>
      </c>
      <c r="I10" s="449">
        <f t="shared" si="22"/>
        <v>440</v>
      </c>
      <c r="J10" s="426">
        <v>29766678</v>
      </c>
      <c r="K10" s="449">
        <f t="shared" si="23"/>
        <v>1748</v>
      </c>
      <c r="L10" s="426">
        <v>24567564</v>
      </c>
      <c r="M10" s="449">
        <f t="shared" si="24"/>
        <v>838</v>
      </c>
      <c r="N10" s="297">
        <f t="shared" si="25"/>
        <v>4790</v>
      </c>
      <c r="O10" s="445">
        <f t="shared" si="0"/>
        <v>0</v>
      </c>
      <c r="P10" s="563">
        <v>19146.745999999999</v>
      </c>
      <c r="Q10" s="446">
        <f t="shared" si="1"/>
        <v>4628.0000000006112</v>
      </c>
      <c r="R10" s="428">
        <f t="shared" si="29"/>
        <v>161.99999999938882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6"/>
        <v>0</v>
      </c>
      <c r="W10" s="426">
        <f t="shared" si="16"/>
        <v>33484</v>
      </c>
      <c r="X10" s="428">
        <f t="shared" ref="X10:X31" si="31">W10-W9</f>
        <v>0</v>
      </c>
      <c r="Y10" s="426">
        <f t="shared" si="17"/>
        <v>996900</v>
      </c>
      <c r="Z10" s="428">
        <f t="shared" si="30"/>
        <v>0</v>
      </c>
      <c r="AA10" s="426">
        <f t="shared" si="18"/>
        <v>36796</v>
      </c>
      <c r="AB10" s="428">
        <f t="shared" si="27"/>
        <v>0</v>
      </c>
      <c r="AC10" s="426">
        <f t="shared" si="19"/>
        <v>1170505</v>
      </c>
      <c r="AD10" s="428">
        <f t="shared" si="28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44659</v>
      </c>
      <c r="D11" s="592">
        <f t="shared" si="7"/>
        <v>268030</v>
      </c>
      <c r="E11" s="580">
        <f t="shared" si="8"/>
        <v>0</v>
      </c>
      <c r="F11" s="569">
        <f t="shared" si="9"/>
        <v>4127559</v>
      </c>
      <c r="G11" s="449">
        <f t="shared" si="21"/>
        <v>0</v>
      </c>
      <c r="H11" s="426">
        <f t="shared" si="10"/>
        <v>18032702</v>
      </c>
      <c r="I11" s="449">
        <f t="shared" si="22"/>
        <v>0</v>
      </c>
      <c r="J11" s="426">
        <f t="shared" si="11"/>
        <v>29766678</v>
      </c>
      <c r="K11" s="449">
        <f t="shared" si="23"/>
        <v>0</v>
      </c>
      <c r="L11" s="426">
        <f t="shared" si="12"/>
        <v>24567564</v>
      </c>
      <c r="M11" s="449">
        <f t="shared" si="24"/>
        <v>0</v>
      </c>
      <c r="N11" s="297">
        <f t="shared" si="25"/>
        <v>0</v>
      </c>
      <c r="O11" s="445">
        <f t="shared" ref="O11:O31" si="32">IF(B11&gt;0,N11/B11,0)</f>
        <v>0</v>
      </c>
      <c r="P11" s="563">
        <f t="shared" si="13"/>
        <v>19146.745999999999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6"/>
        <v>0</v>
      </c>
      <c r="W11" s="426">
        <f t="shared" si="16"/>
        <v>33484</v>
      </c>
      <c r="X11" s="428">
        <f t="shared" si="31"/>
        <v>0</v>
      </c>
      <c r="Y11" s="426">
        <f t="shared" si="17"/>
        <v>996900</v>
      </c>
      <c r="Z11" s="428">
        <f t="shared" si="30"/>
        <v>0</v>
      </c>
      <c r="AA11" s="426">
        <f t="shared" si="18"/>
        <v>36796</v>
      </c>
      <c r="AB11" s="428">
        <f t="shared" si="27"/>
        <v>0</v>
      </c>
      <c r="AC11" s="426">
        <f t="shared" si="19"/>
        <v>1170505</v>
      </c>
      <c r="AD11" s="428">
        <f t="shared" si="28"/>
        <v>0</v>
      </c>
      <c r="AE11" s="450">
        <f t="shared" si="20"/>
        <v>0</v>
      </c>
      <c r="AF11" s="451">
        <f t="shared" si="4"/>
        <v>0</v>
      </c>
      <c r="AG11" s="443">
        <f t="shared" ref="AG11:AG32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44660</v>
      </c>
      <c r="D12" s="592">
        <f t="shared" si="7"/>
        <v>268030</v>
      </c>
      <c r="E12" s="580">
        <f>D12-D11</f>
        <v>0</v>
      </c>
      <c r="F12" s="569">
        <f t="shared" si="9"/>
        <v>4127559</v>
      </c>
      <c r="G12" s="449">
        <f t="shared" si="21"/>
        <v>0</v>
      </c>
      <c r="H12" s="426">
        <f t="shared" si="10"/>
        <v>18032702</v>
      </c>
      <c r="I12" s="449">
        <f t="shared" si="22"/>
        <v>0</v>
      </c>
      <c r="J12" s="426">
        <f t="shared" si="11"/>
        <v>29766678</v>
      </c>
      <c r="K12" s="449">
        <f t="shared" si="23"/>
        <v>0</v>
      </c>
      <c r="L12" s="426">
        <f t="shared" si="12"/>
        <v>24567564</v>
      </c>
      <c r="M12" s="449">
        <f t="shared" si="24"/>
        <v>0</v>
      </c>
      <c r="N12" s="297">
        <f>M12+K12+I12+G12+E12</f>
        <v>0</v>
      </c>
      <c r="O12" s="445">
        <f t="shared" si="32"/>
        <v>0</v>
      </c>
      <c r="P12" s="563">
        <f t="shared" si="13"/>
        <v>19146.745999999999</v>
      </c>
      <c r="Q12" s="446">
        <f t="shared" si="1"/>
        <v>0</v>
      </c>
      <c r="R12" s="428">
        <f t="shared" si="29"/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6"/>
        <v>0</v>
      </c>
      <c r="W12" s="426">
        <f t="shared" si="16"/>
        <v>33484</v>
      </c>
      <c r="X12" s="428">
        <f t="shared" si="31"/>
        <v>0</v>
      </c>
      <c r="Y12" s="426">
        <f t="shared" si="17"/>
        <v>996900</v>
      </c>
      <c r="Z12" s="428">
        <f t="shared" si="30"/>
        <v>0</v>
      </c>
      <c r="AA12" s="426">
        <f t="shared" si="18"/>
        <v>36796</v>
      </c>
      <c r="AB12" s="428">
        <f t="shared" si="27"/>
        <v>0</v>
      </c>
      <c r="AC12" s="426">
        <f t="shared" si="19"/>
        <v>1170505</v>
      </c>
      <c r="AD12" s="428">
        <f t="shared" si="28"/>
        <v>0</v>
      </c>
      <c r="AE12" s="450">
        <f t="shared" si="20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44661</v>
      </c>
      <c r="D13" s="592">
        <v>269540</v>
      </c>
      <c r="E13" s="580">
        <f t="shared" si="8"/>
        <v>1510</v>
      </c>
      <c r="F13" s="569">
        <v>4127812</v>
      </c>
      <c r="G13" s="449">
        <f t="shared" si="21"/>
        <v>253</v>
      </c>
      <c r="H13" s="426">
        <v>18033130</v>
      </c>
      <c r="I13" s="449">
        <f t="shared" si="22"/>
        <v>428</v>
      </c>
      <c r="J13" s="426">
        <v>29768714</v>
      </c>
      <c r="K13" s="449">
        <f t="shared" si="23"/>
        <v>2036</v>
      </c>
      <c r="L13" s="426">
        <v>24568408</v>
      </c>
      <c r="M13" s="449">
        <f t="shared" si="24"/>
        <v>844</v>
      </c>
      <c r="N13" s="297">
        <f>M13+K13+I13+G13+E13</f>
        <v>5071</v>
      </c>
      <c r="O13" s="445">
        <f t="shared" si="32"/>
        <v>0</v>
      </c>
      <c r="P13" s="563">
        <v>19151.650000000001</v>
      </c>
      <c r="Q13" s="446">
        <f t="shared" si="1"/>
        <v>4904.0000000022701</v>
      </c>
      <c r="R13" s="428">
        <f t="shared" si="29"/>
        <v>166.9999999977299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6"/>
        <v>0</v>
      </c>
      <c r="W13" s="426">
        <f t="shared" si="16"/>
        <v>33484</v>
      </c>
      <c r="X13" s="428">
        <f t="shared" si="31"/>
        <v>0</v>
      </c>
      <c r="Y13" s="426">
        <f t="shared" si="17"/>
        <v>996900</v>
      </c>
      <c r="Z13" s="428">
        <f t="shared" si="30"/>
        <v>0</v>
      </c>
      <c r="AA13" s="426">
        <f t="shared" si="18"/>
        <v>36796</v>
      </c>
      <c r="AB13" s="428">
        <f t="shared" si="27"/>
        <v>0</v>
      </c>
      <c r="AC13" s="426">
        <f t="shared" si="19"/>
        <v>1170505</v>
      </c>
      <c r="AD13" s="428">
        <f t="shared" si="28"/>
        <v>0</v>
      </c>
      <c r="AE13" s="450">
        <f t="shared" si="20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44662</v>
      </c>
      <c r="D14" s="592">
        <v>271630</v>
      </c>
      <c r="E14" s="580">
        <f t="shared" si="8"/>
        <v>2090</v>
      </c>
      <c r="F14" s="569">
        <v>4128215</v>
      </c>
      <c r="G14" s="449">
        <f t="shared" si="21"/>
        <v>403</v>
      </c>
      <c r="H14" s="426">
        <v>18033810</v>
      </c>
      <c r="I14" s="449">
        <f t="shared" si="22"/>
        <v>680</v>
      </c>
      <c r="J14" s="426">
        <v>29770756</v>
      </c>
      <c r="K14" s="449">
        <f t="shared" si="23"/>
        <v>2042</v>
      </c>
      <c r="L14" s="426">
        <v>24569674</v>
      </c>
      <c r="M14" s="449">
        <f t="shared" si="24"/>
        <v>1266</v>
      </c>
      <c r="N14" s="297">
        <f t="shared" si="25"/>
        <v>6481</v>
      </c>
      <c r="O14" s="445">
        <f t="shared" si="32"/>
        <v>0</v>
      </c>
      <c r="P14" s="563">
        <v>19157.853999999999</v>
      </c>
      <c r="Q14" s="446">
        <f t="shared" si="1"/>
        <v>6203.9999999979045</v>
      </c>
      <c r="R14" s="428">
        <f t="shared" si="29"/>
        <v>277.00000000209548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6"/>
        <v>0</v>
      </c>
      <c r="W14" s="426">
        <f t="shared" si="16"/>
        <v>33484</v>
      </c>
      <c r="X14" s="428">
        <f t="shared" si="31"/>
        <v>0</v>
      </c>
      <c r="Y14" s="426">
        <f t="shared" si="17"/>
        <v>996900</v>
      </c>
      <c r="Z14" s="428">
        <f t="shared" si="30"/>
        <v>0</v>
      </c>
      <c r="AA14" s="426">
        <f t="shared" si="18"/>
        <v>36796</v>
      </c>
      <c r="AB14" s="428">
        <f t="shared" si="27"/>
        <v>0</v>
      </c>
      <c r="AC14" s="426">
        <f t="shared" si="19"/>
        <v>1170505</v>
      </c>
      <c r="AD14" s="428">
        <f t="shared" si="28"/>
        <v>0</v>
      </c>
      <c r="AE14" s="450">
        <f t="shared" si="20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44663</v>
      </c>
      <c r="D15" s="592">
        <v>272300</v>
      </c>
      <c r="E15" s="580">
        <f t="shared" si="8"/>
        <v>670</v>
      </c>
      <c r="F15" s="569">
        <v>4128343</v>
      </c>
      <c r="G15" s="449">
        <f t="shared" si="21"/>
        <v>128</v>
      </c>
      <c r="H15" s="426">
        <v>18034032</v>
      </c>
      <c r="I15" s="449">
        <f t="shared" si="22"/>
        <v>222</v>
      </c>
      <c r="J15" s="426">
        <v>29771490</v>
      </c>
      <c r="K15" s="449">
        <f t="shared" si="23"/>
        <v>734</v>
      </c>
      <c r="L15" s="426">
        <v>24570084</v>
      </c>
      <c r="M15" s="449">
        <f t="shared" si="24"/>
        <v>410</v>
      </c>
      <c r="N15" s="297">
        <f t="shared" si="25"/>
        <v>2164</v>
      </c>
      <c r="O15" s="445">
        <f t="shared" si="32"/>
        <v>0</v>
      </c>
      <c r="P15" s="563">
        <v>19159.939999999999</v>
      </c>
      <c r="Q15" s="446">
        <f t="shared" si="1"/>
        <v>2085.9999999993306</v>
      </c>
      <c r="R15" s="594">
        <f>N15-Q15</f>
        <v>78.000000000669388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6"/>
        <v>0</v>
      </c>
      <c r="W15" s="426">
        <f t="shared" si="16"/>
        <v>33484</v>
      </c>
      <c r="X15" s="428">
        <f t="shared" si="31"/>
        <v>0</v>
      </c>
      <c r="Y15" s="426">
        <f t="shared" si="17"/>
        <v>996900</v>
      </c>
      <c r="Z15" s="428">
        <f t="shared" si="30"/>
        <v>0</v>
      </c>
      <c r="AA15" s="426">
        <f t="shared" si="18"/>
        <v>36796</v>
      </c>
      <c r="AB15" s="428">
        <f t="shared" si="27"/>
        <v>0</v>
      </c>
      <c r="AC15" s="426">
        <f t="shared" si="19"/>
        <v>1170505</v>
      </c>
      <c r="AD15" s="428">
        <f t="shared" si="28"/>
        <v>0</v>
      </c>
      <c r="AE15" s="450">
        <f t="shared" si="20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44664</v>
      </c>
      <c r="D16" s="592">
        <v>274250</v>
      </c>
      <c r="E16" s="580">
        <f t="shared" si="8"/>
        <v>1950</v>
      </c>
      <c r="F16" s="569">
        <v>4128736</v>
      </c>
      <c r="G16" s="449">
        <f t="shared" si="21"/>
        <v>393</v>
      </c>
      <c r="H16" s="426">
        <v>18035358</v>
      </c>
      <c r="I16" s="449">
        <f t="shared" si="22"/>
        <v>1326</v>
      </c>
      <c r="J16" s="426">
        <v>29772322</v>
      </c>
      <c r="K16" s="449">
        <f t="shared" si="23"/>
        <v>832</v>
      </c>
      <c r="L16" s="426">
        <v>24570970</v>
      </c>
      <c r="M16" s="449">
        <f t="shared" si="24"/>
        <v>886</v>
      </c>
      <c r="N16" s="297">
        <f t="shared" si="25"/>
        <v>5387</v>
      </c>
      <c r="O16" s="445">
        <f t="shared" si="32"/>
        <v>0</v>
      </c>
      <c r="P16" s="563">
        <v>19165.124</v>
      </c>
      <c r="Q16" s="446">
        <f t="shared" si="1"/>
        <v>5184.0000000011059</v>
      </c>
      <c r="R16" s="428">
        <f t="shared" si="29"/>
        <v>202.99999999889405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6"/>
        <v>0</v>
      </c>
      <c r="W16" s="426">
        <f t="shared" si="16"/>
        <v>33484</v>
      </c>
      <c r="X16" s="428">
        <f t="shared" si="31"/>
        <v>0</v>
      </c>
      <c r="Y16" s="426">
        <f t="shared" si="17"/>
        <v>996900</v>
      </c>
      <c r="Z16" s="428">
        <f t="shared" si="30"/>
        <v>0</v>
      </c>
      <c r="AA16" s="426">
        <f t="shared" si="18"/>
        <v>36796</v>
      </c>
      <c r="AB16" s="428">
        <f t="shared" si="27"/>
        <v>0</v>
      </c>
      <c r="AC16" s="426">
        <f t="shared" si="19"/>
        <v>1170505</v>
      </c>
      <c r="AD16" s="428">
        <f t="shared" si="28"/>
        <v>0</v>
      </c>
      <c r="AE16" s="450">
        <f t="shared" si="20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44665</v>
      </c>
      <c r="D17" s="592">
        <f t="shared" si="7"/>
        <v>274250</v>
      </c>
      <c r="E17" s="580">
        <f t="shared" si="8"/>
        <v>0</v>
      </c>
      <c r="F17" s="569">
        <f t="shared" si="9"/>
        <v>4128736</v>
      </c>
      <c r="G17" s="449">
        <f t="shared" si="21"/>
        <v>0</v>
      </c>
      <c r="H17" s="426">
        <f t="shared" si="10"/>
        <v>18035358</v>
      </c>
      <c r="I17" s="449">
        <f t="shared" si="22"/>
        <v>0</v>
      </c>
      <c r="J17" s="426">
        <f t="shared" si="11"/>
        <v>29772322</v>
      </c>
      <c r="K17" s="449">
        <f t="shared" si="23"/>
        <v>0</v>
      </c>
      <c r="L17" s="426">
        <f t="shared" si="12"/>
        <v>24570970</v>
      </c>
      <c r="M17" s="449">
        <f t="shared" si="24"/>
        <v>0</v>
      </c>
      <c r="N17" s="297">
        <f t="shared" si="25"/>
        <v>0</v>
      </c>
      <c r="O17" s="445">
        <f t="shared" si="32"/>
        <v>0</v>
      </c>
      <c r="P17" s="563">
        <f t="shared" si="13"/>
        <v>19165.124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6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1170505</v>
      </c>
      <c r="AD17" s="428">
        <f t="shared" si="28"/>
        <v>0</v>
      </c>
      <c r="AE17" s="450">
        <f t="shared" si="20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44666</v>
      </c>
      <c r="D18" s="592">
        <f t="shared" si="7"/>
        <v>274250</v>
      </c>
      <c r="E18" s="580">
        <f t="shared" si="8"/>
        <v>0</v>
      </c>
      <c r="F18" s="569">
        <f t="shared" si="9"/>
        <v>4128736</v>
      </c>
      <c r="G18" s="449">
        <f t="shared" si="21"/>
        <v>0</v>
      </c>
      <c r="H18" s="426">
        <f t="shared" si="10"/>
        <v>18035358</v>
      </c>
      <c r="I18" s="449">
        <f t="shared" si="22"/>
        <v>0</v>
      </c>
      <c r="J18" s="426">
        <f t="shared" si="11"/>
        <v>29772322</v>
      </c>
      <c r="K18" s="449">
        <f t="shared" si="23"/>
        <v>0</v>
      </c>
      <c r="L18" s="426">
        <f t="shared" si="12"/>
        <v>24570970</v>
      </c>
      <c r="M18" s="449">
        <f t="shared" si="24"/>
        <v>0</v>
      </c>
      <c r="N18" s="297">
        <f>M18+K18+I18+G18+E18</f>
        <v>0</v>
      </c>
      <c r="O18" s="445">
        <f t="shared" si="32"/>
        <v>0</v>
      </c>
      <c r="P18" s="563">
        <f t="shared" si="13"/>
        <v>19165.124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6"/>
        <v>0</v>
      </c>
      <c r="W18" s="426">
        <f t="shared" si="16"/>
        <v>33484</v>
      </c>
      <c r="X18" s="428">
        <f t="shared" si="31"/>
        <v>0</v>
      </c>
      <c r="Y18" s="426">
        <f t="shared" si="17"/>
        <v>996900</v>
      </c>
      <c r="Z18" s="428">
        <f t="shared" si="30"/>
        <v>0</v>
      </c>
      <c r="AA18" s="426">
        <f t="shared" si="18"/>
        <v>36796</v>
      </c>
      <c r="AB18" s="428">
        <f t="shared" si="27"/>
        <v>0</v>
      </c>
      <c r="AC18" s="426">
        <f t="shared" si="19"/>
        <v>1170505</v>
      </c>
      <c r="AD18" s="428">
        <f t="shared" ref="AD18:AD31" si="34">AC18-AC17</f>
        <v>0</v>
      </c>
      <c r="AE18" s="450">
        <f t="shared" si="20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44667</v>
      </c>
      <c r="D19" s="592">
        <f t="shared" si="7"/>
        <v>274250</v>
      </c>
      <c r="E19" s="580">
        <f t="shared" si="8"/>
        <v>0</v>
      </c>
      <c r="F19" s="569">
        <f t="shared" si="9"/>
        <v>4128736</v>
      </c>
      <c r="G19" s="449">
        <f t="shared" si="21"/>
        <v>0</v>
      </c>
      <c r="H19" s="426">
        <f t="shared" si="10"/>
        <v>18035358</v>
      </c>
      <c r="I19" s="449">
        <f t="shared" si="22"/>
        <v>0</v>
      </c>
      <c r="J19" s="426">
        <f t="shared" si="11"/>
        <v>29772322</v>
      </c>
      <c r="K19" s="449">
        <f t="shared" si="23"/>
        <v>0</v>
      </c>
      <c r="L19" s="426">
        <f t="shared" si="12"/>
        <v>24570970</v>
      </c>
      <c r="M19" s="449">
        <f t="shared" si="24"/>
        <v>0</v>
      </c>
      <c r="N19" s="297">
        <f t="shared" si="25"/>
        <v>0</v>
      </c>
      <c r="O19" s="445">
        <f t="shared" si="32"/>
        <v>0</v>
      </c>
      <c r="P19" s="563">
        <f t="shared" si="13"/>
        <v>19165.124</v>
      </c>
      <c r="Q19" s="446">
        <f>(P19-P18)*1000</f>
        <v>0</v>
      </c>
      <c r="R19" s="594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6"/>
        <v>0</v>
      </c>
      <c r="W19" s="426">
        <f t="shared" si="16"/>
        <v>33484</v>
      </c>
      <c r="X19" s="428">
        <f t="shared" si="31"/>
        <v>0</v>
      </c>
      <c r="Y19" s="426">
        <f t="shared" si="17"/>
        <v>996900</v>
      </c>
      <c r="Z19" s="428">
        <f t="shared" si="30"/>
        <v>0</v>
      </c>
      <c r="AA19" s="426">
        <f t="shared" si="18"/>
        <v>36796</v>
      </c>
      <c r="AB19" s="428">
        <f t="shared" si="27"/>
        <v>0</v>
      </c>
      <c r="AC19" s="426">
        <f t="shared" si="19"/>
        <v>1170505</v>
      </c>
      <c r="AD19" s="428">
        <f t="shared" si="34"/>
        <v>0</v>
      </c>
      <c r="AE19" s="450">
        <f t="shared" si="20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44668</v>
      </c>
      <c r="D20" s="592">
        <f t="shared" si="7"/>
        <v>274250</v>
      </c>
      <c r="E20" s="580">
        <f t="shared" si="8"/>
        <v>0</v>
      </c>
      <c r="F20" s="569">
        <f t="shared" si="9"/>
        <v>4128736</v>
      </c>
      <c r="G20" s="449">
        <f t="shared" si="21"/>
        <v>0</v>
      </c>
      <c r="H20" s="426">
        <f t="shared" si="10"/>
        <v>18035358</v>
      </c>
      <c r="I20" s="449">
        <f t="shared" si="22"/>
        <v>0</v>
      </c>
      <c r="J20" s="426">
        <f t="shared" si="11"/>
        <v>29772322</v>
      </c>
      <c r="K20" s="449">
        <f t="shared" si="23"/>
        <v>0</v>
      </c>
      <c r="L20" s="426">
        <f t="shared" si="12"/>
        <v>24570970</v>
      </c>
      <c r="M20" s="449">
        <f t="shared" si="24"/>
        <v>0</v>
      </c>
      <c r="N20" s="297">
        <f t="shared" si="25"/>
        <v>0</v>
      </c>
      <c r="O20" s="445">
        <f t="shared" si="32"/>
        <v>0</v>
      </c>
      <c r="P20" s="563">
        <f t="shared" si="13"/>
        <v>19165.124</v>
      </c>
      <c r="Q20" s="446">
        <f>(P20-P19)*1000</f>
        <v>0</v>
      </c>
      <c r="R20" s="594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6"/>
        <v>0</v>
      </c>
      <c r="W20" s="426">
        <f t="shared" si="16"/>
        <v>33484</v>
      </c>
      <c r="X20" s="428">
        <f t="shared" si="31"/>
        <v>0</v>
      </c>
      <c r="Y20" s="426">
        <f t="shared" si="17"/>
        <v>996900</v>
      </c>
      <c r="Z20" s="428">
        <f t="shared" si="30"/>
        <v>0</v>
      </c>
      <c r="AA20" s="426">
        <f t="shared" si="18"/>
        <v>36796</v>
      </c>
      <c r="AB20" s="428">
        <f t="shared" si="27"/>
        <v>0</v>
      </c>
      <c r="AC20" s="426">
        <f t="shared" si="19"/>
        <v>1170505</v>
      </c>
      <c r="AD20" s="428">
        <f t="shared" si="34"/>
        <v>0</v>
      </c>
      <c r="AE20" s="450">
        <f t="shared" si="20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44669</v>
      </c>
      <c r="D21" s="592">
        <f t="shared" si="7"/>
        <v>274250</v>
      </c>
      <c r="E21" s="580">
        <f t="shared" si="8"/>
        <v>0</v>
      </c>
      <c r="F21" s="569">
        <f t="shared" si="9"/>
        <v>4128736</v>
      </c>
      <c r="G21" s="449">
        <f t="shared" si="21"/>
        <v>0</v>
      </c>
      <c r="H21" s="426">
        <f t="shared" si="10"/>
        <v>18035358</v>
      </c>
      <c r="I21" s="449">
        <f t="shared" si="22"/>
        <v>0</v>
      </c>
      <c r="J21" s="426">
        <f t="shared" si="11"/>
        <v>29772322</v>
      </c>
      <c r="K21" s="449">
        <f t="shared" si="23"/>
        <v>0</v>
      </c>
      <c r="L21" s="426">
        <f t="shared" si="12"/>
        <v>24570970</v>
      </c>
      <c r="M21" s="449">
        <f t="shared" si="24"/>
        <v>0</v>
      </c>
      <c r="N21" s="297">
        <f t="shared" si="25"/>
        <v>0</v>
      </c>
      <c r="O21" s="445">
        <f t="shared" si="32"/>
        <v>0</v>
      </c>
      <c r="P21" s="563">
        <f t="shared" si="13"/>
        <v>19165.124</v>
      </c>
      <c r="Q21" s="446">
        <f t="shared" si="1"/>
        <v>0</v>
      </c>
      <c r="R21" s="594">
        <f t="shared" ref="R21:R31" si="35">N21-Q21</f>
        <v>0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6"/>
        <v>0</v>
      </c>
      <c r="W21" s="426">
        <f t="shared" si="16"/>
        <v>33484</v>
      </c>
      <c r="X21" s="428">
        <f t="shared" si="31"/>
        <v>0</v>
      </c>
      <c r="Y21" s="426">
        <f t="shared" si="17"/>
        <v>996900</v>
      </c>
      <c r="Z21" s="428">
        <f t="shared" si="30"/>
        <v>0</v>
      </c>
      <c r="AA21" s="426">
        <f t="shared" si="18"/>
        <v>36796</v>
      </c>
      <c r="AB21" s="428">
        <f t="shared" si="27"/>
        <v>0</v>
      </c>
      <c r="AC21" s="426">
        <f t="shared" si="19"/>
        <v>1170505</v>
      </c>
      <c r="AD21" s="428">
        <f t="shared" si="34"/>
        <v>0</v>
      </c>
      <c r="AE21" s="450">
        <f t="shared" si="20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44670</v>
      </c>
      <c r="D22" s="592">
        <f t="shared" si="7"/>
        <v>274250</v>
      </c>
      <c r="E22" s="580">
        <f t="shared" ref="E22" si="36">D22-D21</f>
        <v>0</v>
      </c>
      <c r="F22" s="569">
        <f t="shared" si="9"/>
        <v>4128736</v>
      </c>
      <c r="G22" s="449">
        <f t="shared" ref="G22" si="37">F22-F21</f>
        <v>0</v>
      </c>
      <c r="H22" s="426">
        <f t="shared" si="10"/>
        <v>18035358</v>
      </c>
      <c r="I22" s="449">
        <f t="shared" ref="I22" si="38">H22-H21</f>
        <v>0</v>
      </c>
      <c r="J22" s="426">
        <f t="shared" si="11"/>
        <v>29772322</v>
      </c>
      <c r="K22" s="449">
        <f t="shared" ref="K22" si="39">J22-J21</f>
        <v>0</v>
      </c>
      <c r="L22" s="426">
        <f t="shared" si="12"/>
        <v>24570970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3">
        <f t="shared" si="13"/>
        <v>19165.124</v>
      </c>
      <c r="Q22" s="446">
        <f t="shared" ref="Q22" si="43">(P22-P21)*1000</f>
        <v>0</v>
      </c>
      <c r="R22" s="594">
        <f t="shared" ref="R22" si="44">N22-Q22</f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6"/>
        <v>0</v>
      </c>
      <c r="W22" s="426">
        <f t="shared" si="16"/>
        <v>33484</v>
      </c>
      <c r="X22" s="428">
        <f t="shared" si="31"/>
        <v>0</v>
      </c>
      <c r="Y22" s="426">
        <f t="shared" si="17"/>
        <v>996900</v>
      </c>
      <c r="Z22" s="428">
        <f t="shared" si="30"/>
        <v>0</v>
      </c>
      <c r="AA22" s="426">
        <f t="shared" si="18"/>
        <v>36796</v>
      </c>
      <c r="AB22" s="428">
        <f t="shared" si="27"/>
        <v>0</v>
      </c>
      <c r="AC22" s="426">
        <f t="shared" si="19"/>
        <v>1170505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44671</v>
      </c>
      <c r="D23" s="592">
        <f t="shared" si="7"/>
        <v>274250</v>
      </c>
      <c r="E23" s="580">
        <f t="shared" si="8"/>
        <v>0</v>
      </c>
      <c r="F23" s="569">
        <f t="shared" si="9"/>
        <v>4128736</v>
      </c>
      <c r="G23" s="449">
        <f t="shared" si="21"/>
        <v>0</v>
      </c>
      <c r="H23" s="426">
        <f t="shared" si="10"/>
        <v>18035358</v>
      </c>
      <c r="I23" s="449">
        <f t="shared" si="22"/>
        <v>0</v>
      </c>
      <c r="J23" s="426">
        <f t="shared" si="11"/>
        <v>29772322</v>
      </c>
      <c r="K23" s="449">
        <f t="shared" si="23"/>
        <v>0</v>
      </c>
      <c r="L23" s="426">
        <f t="shared" si="12"/>
        <v>24570970</v>
      </c>
      <c r="M23" s="449">
        <f t="shared" si="24"/>
        <v>0</v>
      </c>
      <c r="N23" s="297">
        <f t="shared" si="25"/>
        <v>0</v>
      </c>
      <c r="O23" s="445">
        <f t="shared" si="32"/>
        <v>0</v>
      </c>
      <c r="P23" s="563">
        <f t="shared" si="13"/>
        <v>19165.124</v>
      </c>
      <c r="Q23" s="446">
        <f t="shared" si="1"/>
        <v>0</v>
      </c>
      <c r="R23" s="594">
        <f t="shared" si="35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6"/>
        <v>0</v>
      </c>
      <c r="W23" s="426">
        <f t="shared" si="16"/>
        <v>33484</v>
      </c>
      <c r="X23" s="428">
        <f t="shared" si="31"/>
        <v>0</v>
      </c>
      <c r="Y23" s="426">
        <f t="shared" si="17"/>
        <v>996900</v>
      </c>
      <c r="Z23" s="428">
        <f t="shared" si="30"/>
        <v>0</v>
      </c>
      <c r="AA23" s="426">
        <f t="shared" si="18"/>
        <v>36796</v>
      </c>
      <c r="AB23" s="428">
        <f t="shared" si="27"/>
        <v>0</v>
      </c>
      <c r="AC23" s="426">
        <f t="shared" si="19"/>
        <v>1170505</v>
      </c>
      <c r="AD23" s="428">
        <f t="shared" si="34"/>
        <v>0</v>
      </c>
      <c r="AE23" s="450">
        <f t="shared" si="20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44672</v>
      </c>
      <c r="D24" s="592">
        <f t="shared" si="7"/>
        <v>274250</v>
      </c>
      <c r="E24" s="580">
        <f t="shared" si="8"/>
        <v>0</v>
      </c>
      <c r="F24" s="569">
        <f t="shared" si="9"/>
        <v>4128736</v>
      </c>
      <c r="G24" s="449">
        <f t="shared" si="21"/>
        <v>0</v>
      </c>
      <c r="H24" s="426">
        <f t="shared" si="10"/>
        <v>18035358</v>
      </c>
      <c r="I24" s="599">
        <f t="shared" si="22"/>
        <v>0</v>
      </c>
      <c r="J24" s="426">
        <f t="shared" si="11"/>
        <v>29772322</v>
      </c>
      <c r="K24" s="449">
        <f t="shared" si="23"/>
        <v>0</v>
      </c>
      <c r="L24" s="426">
        <f t="shared" si="12"/>
        <v>24570970</v>
      </c>
      <c r="M24" s="449">
        <f t="shared" si="24"/>
        <v>0</v>
      </c>
      <c r="N24" s="297">
        <f t="shared" si="25"/>
        <v>0</v>
      </c>
      <c r="O24" s="445">
        <f t="shared" si="32"/>
        <v>0</v>
      </c>
      <c r="P24" s="563">
        <f t="shared" si="13"/>
        <v>19165.124</v>
      </c>
      <c r="Q24" s="446">
        <f t="shared" si="1"/>
        <v>0</v>
      </c>
      <c r="R24" s="594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6"/>
        <v>0</v>
      </c>
      <c r="W24" s="426">
        <f t="shared" si="16"/>
        <v>33484</v>
      </c>
      <c r="X24" s="428">
        <f t="shared" si="31"/>
        <v>0</v>
      </c>
      <c r="Y24" s="426">
        <f t="shared" si="17"/>
        <v>996900</v>
      </c>
      <c r="Z24" s="428">
        <f t="shared" si="30"/>
        <v>0</v>
      </c>
      <c r="AA24" s="426">
        <f t="shared" si="18"/>
        <v>36796</v>
      </c>
      <c r="AB24" s="428">
        <f t="shared" si="27"/>
        <v>0</v>
      </c>
      <c r="AC24" s="426">
        <f t="shared" si="19"/>
        <v>1170505</v>
      </c>
      <c r="AD24" s="428">
        <f t="shared" si="34"/>
        <v>0</v>
      </c>
      <c r="AE24" s="450">
        <f t="shared" si="20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44673</v>
      </c>
      <c r="D25" s="592">
        <f t="shared" si="7"/>
        <v>274250</v>
      </c>
      <c r="E25" s="580">
        <f t="shared" si="8"/>
        <v>0</v>
      </c>
      <c r="F25" s="569">
        <f t="shared" si="9"/>
        <v>4128736</v>
      </c>
      <c r="G25" s="449">
        <f t="shared" si="21"/>
        <v>0</v>
      </c>
      <c r="H25" s="426">
        <f t="shared" si="10"/>
        <v>18035358</v>
      </c>
      <c r="I25" s="449">
        <f t="shared" si="22"/>
        <v>0</v>
      </c>
      <c r="J25" s="426">
        <f t="shared" si="11"/>
        <v>29772322</v>
      </c>
      <c r="K25" s="449">
        <f t="shared" si="23"/>
        <v>0</v>
      </c>
      <c r="L25" s="426">
        <f t="shared" si="12"/>
        <v>24570970</v>
      </c>
      <c r="M25" s="449">
        <f t="shared" si="24"/>
        <v>0</v>
      </c>
      <c r="N25" s="297">
        <f t="shared" si="25"/>
        <v>0</v>
      </c>
      <c r="O25" s="445">
        <f t="shared" si="32"/>
        <v>0</v>
      </c>
      <c r="P25" s="563">
        <f t="shared" si="13"/>
        <v>19165.124</v>
      </c>
      <c r="Q25" s="446">
        <f t="shared" si="1"/>
        <v>0</v>
      </c>
      <c r="R25" s="594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6"/>
        <v>0</v>
      </c>
      <c r="W25" s="426">
        <f t="shared" si="16"/>
        <v>33484</v>
      </c>
      <c r="X25" s="428">
        <f t="shared" si="31"/>
        <v>0</v>
      </c>
      <c r="Y25" s="426">
        <f t="shared" si="17"/>
        <v>996900</v>
      </c>
      <c r="Z25" s="428">
        <f t="shared" si="30"/>
        <v>0</v>
      </c>
      <c r="AA25" s="426">
        <f t="shared" si="18"/>
        <v>36796</v>
      </c>
      <c r="AB25" s="428">
        <f t="shared" si="27"/>
        <v>0</v>
      </c>
      <c r="AC25" s="426">
        <f t="shared" si="19"/>
        <v>1170505</v>
      </c>
      <c r="AD25" s="428">
        <f t="shared" si="34"/>
        <v>0</v>
      </c>
      <c r="AE25" s="450">
        <f t="shared" si="20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44674</v>
      </c>
      <c r="D26" s="592">
        <f t="shared" si="7"/>
        <v>274250</v>
      </c>
      <c r="E26" s="580">
        <f t="shared" si="8"/>
        <v>0</v>
      </c>
      <c r="F26" s="569">
        <f t="shared" si="9"/>
        <v>4128736</v>
      </c>
      <c r="G26" s="449">
        <f t="shared" si="21"/>
        <v>0</v>
      </c>
      <c r="H26" s="426">
        <f t="shared" si="10"/>
        <v>18035358</v>
      </c>
      <c r="I26" s="449">
        <f t="shared" si="22"/>
        <v>0</v>
      </c>
      <c r="J26" s="426">
        <f t="shared" si="11"/>
        <v>29772322</v>
      </c>
      <c r="K26" s="449">
        <f t="shared" si="23"/>
        <v>0</v>
      </c>
      <c r="L26" s="426">
        <f t="shared" si="12"/>
        <v>24570970</v>
      </c>
      <c r="M26" s="449">
        <f t="shared" si="24"/>
        <v>0</v>
      </c>
      <c r="N26" s="297">
        <f t="shared" si="25"/>
        <v>0</v>
      </c>
      <c r="O26" s="445">
        <f t="shared" si="32"/>
        <v>0</v>
      </c>
      <c r="P26" s="563">
        <f t="shared" si="13"/>
        <v>19165.124</v>
      </c>
      <c r="Q26" s="446">
        <f t="shared" si="1"/>
        <v>0</v>
      </c>
      <c r="R26" s="594">
        <f t="shared" si="35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6"/>
        <v>0</v>
      </c>
      <c r="W26" s="426">
        <f t="shared" si="16"/>
        <v>33484</v>
      </c>
      <c r="X26" s="428">
        <f t="shared" si="31"/>
        <v>0</v>
      </c>
      <c r="Y26" s="426">
        <f t="shared" si="17"/>
        <v>996900</v>
      </c>
      <c r="Z26" s="428">
        <f t="shared" si="30"/>
        <v>0</v>
      </c>
      <c r="AA26" s="426">
        <f t="shared" si="18"/>
        <v>36796</v>
      </c>
      <c r="AB26" s="428">
        <f t="shared" si="27"/>
        <v>0</v>
      </c>
      <c r="AC26" s="426">
        <f t="shared" si="19"/>
        <v>1170505</v>
      </c>
      <c r="AD26" s="428">
        <f t="shared" si="34"/>
        <v>0</v>
      </c>
      <c r="AE26" s="450">
        <f t="shared" si="20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44675</v>
      </c>
      <c r="D27" s="592">
        <f t="shared" si="7"/>
        <v>274250</v>
      </c>
      <c r="E27" s="580">
        <f t="shared" si="8"/>
        <v>0</v>
      </c>
      <c r="F27" s="569">
        <f t="shared" si="9"/>
        <v>4128736</v>
      </c>
      <c r="G27" s="449">
        <f t="shared" si="21"/>
        <v>0</v>
      </c>
      <c r="H27" s="426">
        <f t="shared" si="10"/>
        <v>18035358</v>
      </c>
      <c r="I27" s="449">
        <f t="shared" si="22"/>
        <v>0</v>
      </c>
      <c r="J27" s="426">
        <f t="shared" si="11"/>
        <v>29772322</v>
      </c>
      <c r="K27" s="449">
        <f t="shared" si="23"/>
        <v>0</v>
      </c>
      <c r="L27" s="426">
        <f t="shared" si="12"/>
        <v>24570970</v>
      </c>
      <c r="M27" s="449">
        <f t="shared" si="24"/>
        <v>0</v>
      </c>
      <c r="N27" s="297">
        <f t="shared" si="25"/>
        <v>0</v>
      </c>
      <c r="O27" s="445">
        <f t="shared" si="32"/>
        <v>0</v>
      </c>
      <c r="P27" s="563">
        <f t="shared" si="13"/>
        <v>19165.124</v>
      </c>
      <c r="Q27" s="446">
        <f t="shared" si="1"/>
        <v>0</v>
      </c>
      <c r="R27" s="594">
        <f t="shared" si="35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6"/>
        <v>0</v>
      </c>
      <c r="W27" s="426">
        <f t="shared" si="16"/>
        <v>33484</v>
      </c>
      <c r="X27" s="428">
        <f t="shared" si="31"/>
        <v>0</v>
      </c>
      <c r="Y27" s="426">
        <f t="shared" si="17"/>
        <v>996900</v>
      </c>
      <c r="Z27" s="428">
        <f t="shared" si="30"/>
        <v>0</v>
      </c>
      <c r="AA27" s="426">
        <f t="shared" si="18"/>
        <v>36796</v>
      </c>
      <c r="AB27" s="428">
        <f t="shared" si="27"/>
        <v>0</v>
      </c>
      <c r="AC27" s="426">
        <f t="shared" si="19"/>
        <v>1170505</v>
      </c>
      <c r="AD27" s="428">
        <f t="shared" si="34"/>
        <v>0</v>
      </c>
      <c r="AE27" s="450">
        <f t="shared" si="20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44676</v>
      </c>
      <c r="D28" s="592">
        <f t="shared" si="7"/>
        <v>274250</v>
      </c>
      <c r="E28" s="580">
        <f t="shared" si="8"/>
        <v>0</v>
      </c>
      <c r="F28" s="569">
        <f t="shared" si="9"/>
        <v>4128736</v>
      </c>
      <c r="G28" s="449">
        <f>F28-F27</f>
        <v>0</v>
      </c>
      <c r="H28" s="426">
        <f t="shared" si="10"/>
        <v>18035358</v>
      </c>
      <c r="I28" s="449">
        <f t="shared" si="22"/>
        <v>0</v>
      </c>
      <c r="J28" s="426">
        <f t="shared" si="11"/>
        <v>29772322</v>
      </c>
      <c r="K28" s="449">
        <f t="shared" si="23"/>
        <v>0</v>
      </c>
      <c r="L28" s="426">
        <f t="shared" si="12"/>
        <v>24570970</v>
      </c>
      <c r="M28" s="449">
        <f t="shared" si="24"/>
        <v>0</v>
      </c>
      <c r="N28" s="297">
        <f t="shared" si="25"/>
        <v>0</v>
      </c>
      <c r="O28" s="445">
        <f t="shared" si="32"/>
        <v>0</v>
      </c>
      <c r="P28" s="563">
        <f t="shared" si="13"/>
        <v>19165.124</v>
      </c>
      <c r="Q28" s="446">
        <f t="shared" si="1"/>
        <v>0</v>
      </c>
      <c r="R28" s="594">
        <f t="shared" si="35"/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6"/>
        <v>0</v>
      </c>
      <c r="W28" s="426">
        <f t="shared" si="16"/>
        <v>33484</v>
      </c>
      <c r="X28" s="428">
        <f t="shared" si="31"/>
        <v>0</v>
      </c>
      <c r="Y28" s="426">
        <f t="shared" si="17"/>
        <v>996900</v>
      </c>
      <c r="Z28" s="428">
        <f t="shared" si="30"/>
        <v>0</v>
      </c>
      <c r="AA28" s="426">
        <f t="shared" si="18"/>
        <v>36796</v>
      </c>
      <c r="AB28" s="428">
        <f t="shared" si="27"/>
        <v>0</v>
      </c>
      <c r="AC28" s="426">
        <f t="shared" si="19"/>
        <v>1170505</v>
      </c>
      <c r="AD28" s="428">
        <f t="shared" si="34"/>
        <v>0</v>
      </c>
      <c r="AE28" s="450">
        <f t="shared" si="20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44677</v>
      </c>
      <c r="D29" s="592">
        <f t="shared" si="7"/>
        <v>274250</v>
      </c>
      <c r="E29" s="580">
        <f t="shared" si="8"/>
        <v>0</v>
      </c>
      <c r="F29" s="569">
        <f t="shared" si="9"/>
        <v>4128736</v>
      </c>
      <c r="G29" s="449">
        <f>F29-F28</f>
        <v>0</v>
      </c>
      <c r="H29" s="426">
        <f t="shared" si="10"/>
        <v>18035358</v>
      </c>
      <c r="I29" s="449">
        <f>H29-H28</f>
        <v>0</v>
      </c>
      <c r="J29" s="426">
        <f t="shared" si="11"/>
        <v>29772322</v>
      </c>
      <c r="K29" s="449">
        <f>J29-J28</f>
        <v>0</v>
      </c>
      <c r="L29" s="426">
        <f t="shared" si="12"/>
        <v>24570970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13"/>
        <v>19165.124</v>
      </c>
      <c r="Q29" s="446">
        <f>(P29-P28)*1000</f>
        <v>0</v>
      </c>
      <c r="R29" s="594">
        <f t="shared" si="35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44678</v>
      </c>
      <c r="D30" s="592">
        <f t="shared" si="7"/>
        <v>274250</v>
      </c>
      <c r="E30" s="580">
        <f t="shared" si="8"/>
        <v>0</v>
      </c>
      <c r="F30" s="569">
        <f t="shared" si="9"/>
        <v>4128736</v>
      </c>
      <c r="G30" s="449">
        <f t="shared" si="21"/>
        <v>0</v>
      </c>
      <c r="H30" s="426">
        <f t="shared" si="10"/>
        <v>18035358</v>
      </c>
      <c r="I30" s="449">
        <f t="shared" si="22"/>
        <v>0</v>
      </c>
      <c r="J30" s="426">
        <f t="shared" si="11"/>
        <v>29772322</v>
      </c>
      <c r="K30" s="449">
        <f t="shared" si="23"/>
        <v>0</v>
      </c>
      <c r="L30" s="426">
        <f t="shared" si="12"/>
        <v>24570970</v>
      </c>
      <c r="M30" s="449">
        <f t="shared" si="24"/>
        <v>0</v>
      </c>
      <c r="N30" s="297">
        <f>M30+K30+I30+G30+E30</f>
        <v>0</v>
      </c>
      <c r="O30" s="445">
        <f t="shared" si="32"/>
        <v>0</v>
      </c>
      <c r="P30" s="563">
        <f t="shared" si="13"/>
        <v>19165.124</v>
      </c>
      <c r="Q30" s="446">
        <f t="shared" si="1"/>
        <v>0</v>
      </c>
      <c r="R30" s="594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6"/>
        <v>0</v>
      </c>
      <c r="W30" s="426">
        <f t="shared" si="16"/>
        <v>33484</v>
      </c>
      <c r="X30" s="428">
        <f t="shared" si="31"/>
        <v>0</v>
      </c>
      <c r="Y30" s="426">
        <f t="shared" si="17"/>
        <v>996900</v>
      </c>
      <c r="Z30" s="428">
        <f t="shared" si="30"/>
        <v>0</v>
      </c>
      <c r="AA30" s="426">
        <f t="shared" si="18"/>
        <v>36796</v>
      </c>
      <c r="AB30" s="428">
        <f t="shared" si="27"/>
        <v>0</v>
      </c>
      <c r="AC30" s="426">
        <f t="shared" si="19"/>
        <v>1170505</v>
      </c>
      <c r="AD30" s="428">
        <f t="shared" si="34"/>
        <v>0</v>
      </c>
      <c r="AE30" s="450">
        <f t="shared" si="20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44679</v>
      </c>
      <c r="D31" s="592">
        <f t="shared" si="7"/>
        <v>274250</v>
      </c>
      <c r="E31" s="580">
        <f t="shared" si="8"/>
        <v>0</v>
      </c>
      <c r="F31" s="569">
        <f t="shared" si="9"/>
        <v>4128736</v>
      </c>
      <c r="G31" s="449">
        <f t="shared" si="21"/>
        <v>0</v>
      </c>
      <c r="H31" s="426">
        <f t="shared" si="10"/>
        <v>18035358</v>
      </c>
      <c r="I31" s="449">
        <f t="shared" si="22"/>
        <v>0</v>
      </c>
      <c r="J31" s="426">
        <f t="shared" si="11"/>
        <v>29772322</v>
      </c>
      <c r="K31" s="449">
        <f t="shared" si="23"/>
        <v>0</v>
      </c>
      <c r="L31" s="426">
        <f t="shared" si="12"/>
        <v>24570970</v>
      </c>
      <c r="M31" s="449">
        <f t="shared" si="24"/>
        <v>0</v>
      </c>
      <c r="N31" s="297">
        <f t="shared" si="25"/>
        <v>0</v>
      </c>
      <c r="O31" s="445">
        <f t="shared" si="32"/>
        <v>0</v>
      </c>
      <c r="P31" s="563">
        <f t="shared" si="13"/>
        <v>19165.124</v>
      </c>
      <c r="Q31" s="446">
        <f t="shared" si="1"/>
        <v>0</v>
      </c>
      <c r="R31" s="594">
        <f t="shared" si="35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1"/>
        <v>0</v>
      </c>
      <c r="Y31" s="426">
        <f t="shared" si="17"/>
        <v>996900</v>
      </c>
      <c r="Z31" s="428">
        <f t="shared" si="30"/>
        <v>0</v>
      </c>
      <c r="AA31" s="426">
        <f t="shared" si="18"/>
        <v>36796</v>
      </c>
      <c r="AB31" s="428">
        <f t="shared" si="27"/>
        <v>0</v>
      </c>
      <c r="AC31" s="426">
        <f t="shared" si="19"/>
        <v>1170505</v>
      </c>
      <c r="AD31" s="428">
        <f t="shared" si="34"/>
        <v>0</v>
      </c>
      <c r="AE31" s="450">
        <f t="shared" si="20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44680</v>
      </c>
      <c r="D32" s="592">
        <f t="shared" si="7"/>
        <v>274250</v>
      </c>
      <c r="E32" s="580">
        <f t="shared" si="8"/>
        <v>0</v>
      </c>
      <c r="F32" s="569">
        <f t="shared" si="9"/>
        <v>4128736</v>
      </c>
      <c r="G32" s="449">
        <f t="shared" si="21"/>
        <v>0</v>
      </c>
      <c r="H32" s="426">
        <f t="shared" si="10"/>
        <v>18035358</v>
      </c>
      <c r="I32" s="449">
        <f t="shared" si="22"/>
        <v>0</v>
      </c>
      <c r="J32" s="426">
        <f t="shared" si="11"/>
        <v>29772322</v>
      </c>
      <c r="K32" s="449">
        <f t="shared" si="23"/>
        <v>0</v>
      </c>
      <c r="L32" s="426">
        <f t="shared" si="12"/>
        <v>24570970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13"/>
        <v>19165.124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51">W32-W31</f>
        <v>0</v>
      </c>
      <c r="Y32" s="426">
        <f t="shared" si="17"/>
        <v>996900</v>
      </c>
      <c r="Z32" s="428">
        <f t="shared" ref="Z32:Z34" si="52">Y32-Y31</f>
        <v>0</v>
      </c>
      <c r="AA32" s="426">
        <f t="shared" si="18"/>
        <v>36796</v>
      </c>
      <c r="AB32" s="428">
        <f t="shared" ref="AB32:AB34" si="53">AA32-AA31</f>
        <v>0</v>
      </c>
      <c r="AC32" s="426">
        <f t="shared" si="19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>
        <f t="shared" si="33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44681</v>
      </c>
      <c r="D33" s="592">
        <f t="shared" si="7"/>
        <v>274250</v>
      </c>
      <c r="E33" s="580">
        <f t="shared" si="8"/>
        <v>0</v>
      </c>
      <c r="F33" s="569">
        <f t="shared" si="9"/>
        <v>4128736</v>
      </c>
      <c r="G33" s="449">
        <f t="shared" si="21"/>
        <v>0</v>
      </c>
      <c r="H33" s="426">
        <f t="shared" si="10"/>
        <v>18035358</v>
      </c>
      <c r="I33" s="449">
        <f t="shared" si="22"/>
        <v>0</v>
      </c>
      <c r="J33" s="426">
        <f t="shared" si="11"/>
        <v>29772322</v>
      </c>
      <c r="K33" s="449">
        <f t="shared" si="23"/>
        <v>0</v>
      </c>
      <c r="L33" s="426">
        <f t="shared" si="12"/>
        <v>24570970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13"/>
        <v>19165.124</v>
      </c>
      <c r="Q33" s="446">
        <f t="shared" si="49"/>
        <v>0</v>
      </c>
      <c r="R33" s="594">
        <f t="shared" si="50"/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57">U33-U32</f>
        <v>0</v>
      </c>
      <c r="W33" s="426">
        <f t="shared" si="16"/>
        <v>33484</v>
      </c>
      <c r="X33" s="448">
        <f t="shared" si="51"/>
        <v>0</v>
      </c>
      <c r="Y33" s="426">
        <f t="shared" si="17"/>
        <v>996900</v>
      </c>
      <c r="Z33" s="428">
        <f t="shared" si="52"/>
        <v>0</v>
      </c>
      <c r="AA33" s="426">
        <f t="shared" si="18"/>
        <v>36796</v>
      </c>
      <c r="AB33" s="428">
        <f t="shared" si="53"/>
        <v>0</v>
      </c>
      <c r="AC33" s="426">
        <f t="shared" si="19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44682</v>
      </c>
      <c r="D34" s="592">
        <f t="shared" si="7"/>
        <v>274250</v>
      </c>
      <c r="E34" s="580">
        <f t="shared" si="8"/>
        <v>0</v>
      </c>
      <c r="F34" s="569">
        <f t="shared" si="9"/>
        <v>4128736</v>
      </c>
      <c r="G34" s="449">
        <f t="shared" si="21"/>
        <v>0</v>
      </c>
      <c r="H34" s="426">
        <f t="shared" si="10"/>
        <v>18035358</v>
      </c>
      <c r="I34" s="449">
        <f t="shared" si="22"/>
        <v>0</v>
      </c>
      <c r="J34" s="426">
        <f t="shared" si="11"/>
        <v>29772322</v>
      </c>
      <c r="K34" s="449">
        <f t="shared" si="23"/>
        <v>0</v>
      </c>
      <c r="L34" s="426">
        <f t="shared" si="12"/>
        <v>24570970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13"/>
        <v>19165.124</v>
      </c>
      <c r="Q34" s="446">
        <f t="shared" si="49"/>
        <v>0</v>
      </c>
      <c r="R34" s="594">
        <f t="shared" si="50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51"/>
        <v>0</v>
      </c>
      <c r="Y34" s="426">
        <f t="shared" si="17"/>
        <v>996900</v>
      </c>
      <c r="Z34" s="428">
        <f t="shared" si="52"/>
        <v>0</v>
      </c>
      <c r="AA34" s="426">
        <f t="shared" si="18"/>
        <v>36796</v>
      </c>
      <c r="AB34" s="428">
        <f t="shared" si="53"/>
        <v>0</v>
      </c>
      <c r="AC34" s="426">
        <f t="shared" si="19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K17" sqref="K17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4" t="s">
        <v>2</v>
      </c>
      <c r="G1" s="635"/>
      <c r="H1" s="635"/>
      <c r="I1" s="636"/>
      <c r="J1" s="271">
        <f>J36</f>
        <v>71.196666666666687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381"/>
      <c r="V1" s="27" t="s">
        <v>104</v>
      </c>
      <c r="W1" s="382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44651</v>
      </c>
      <c r="B4" s="379">
        <f>[2]B5!B35</f>
        <v>244</v>
      </c>
      <c r="C4" s="379">
        <f>[2]B5!C35</f>
        <v>251</v>
      </c>
      <c r="D4" s="379">
        <f>[2]B5!D35</f>
        <v>-11</v>
      </c>
      <c r="E4" s="379">
        <f>[2]B5!E35</f>
        <v>-92.18</v>
      </c>
      <c r="F4" s="379">
        <f>[2]B5!F35</f>
        <v>2202</v>
      </c>
      <c r="G4" s="379">
        <f>[2]B5!G35</f>
        <v>0</v>
      </c>
      <c r="H4" s="379">
        <f>[2]B5!H35</f>
        <v>40475</v>
      </c>
      <c r="I4" s="379">
        <f>[2]B5!I35</f>
        <v>0</v>
      </c>
      <c r="J4" s="379">
        <f>[2]B5!J35</f>
        <v>0</v>
      </c>
      <c r="K4" s="379">
        <f>[2]B5!K35</f>
        <v>2407</v>
      </c>
      <c r="L4" s="379">
        <f>[2]B5!L35</f>
        <v>4</v>
      </c>
      <c r="M4" s="379">
        <f>[2]B5!M35</f>
        <v>178130</v>
      </c>
      <c r="N4" s="379">
        <f>[2]B5!N35</f>
        <v>262</v>
      </c>
      <c r="O4" s="379">
        <f>[2]B5!O35</f>
        <v>1869</v>
      </c>
      <c r="P4" s="379">
        <f>[2]B5!P35</f>
        <v>2189</v>
      </c>
      <c r="Q4" s="379">
        <f>[2]B5!Q35</f>
        <v>183235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4</v>
      </c>
      <c r="V4" s="379">
        <f>[2]B5!V35</f>
        <v>262</v>
      </c>
      <c r="W4" s="379">
        <f>[2]B5!W35</f>
        <v>0</v>
      </c>
      <c r="X4" s="379">
        <f>[2]B5!X35</f>
        <v>2473</v>
      </c>
      <c r="Y4" s="379">
        <f>[2]B5!Y35</f>
        <v>2</v>
      </c>
      <c r="Z4" s="379">
        <f>[2]B5!Z35</f>
        <v>139431</v>
      </c>
      <c r="AA4" s="379">
        <f>[2]B5!AA35</f>
        <v>218.29999999998836</v>
      </c>
      <c r="AB4" s="379">
        <f>[2]B5!AB35</f>
        <v>0</v>
      </c>
      <c r="AC4" s="379">
        <f>[2]B5!AC35</f>
        <v>1944</v>
      </c>
      <c r="AD4" s="379">
        <f>[2]B5!AD35</f>
        <v>0</v>
      </c>
      <c r="AE4" s="379">
        <f>[2]B5!AE35</f>
        <v>366312</v>
      </c>
      <c r="AF4" s="379">
        <f>[2]B5!AF35</f>
        <v>0</v>
      </c>
      <c r="AG4" s="379">
        <f>[2]B5!AG35</f>
        <v>0</v>
      </c>
      <c r="AH4" s="379">
        <f>[2]B5!AH35</f>
        <v>218.29999999998836</v>
      </c>
      <c r="AI4" s="379">
        <f>[2]B5!AI35</f>
        <v>480.29999999998836</v>
      </c>
      <c r="AJ4" s="379">
        <f>[2]B5!AJ35</f>
        <v>480.29999999998836</v>
      </c>
      <c r="AK4" s="379">
        <f>[2]B5!AK35</f>
        <v>0</v>
      </c>
      <c r="AL4" s="379">
        <f>[2]B5!AL35</f>
        <v>4</v>
      </c>
      <c r="AM4" s="379">
        <f>[2]B5!AM35</f>
        <v>2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44652</v>
      </c>
      <c r="B5" s="537">
        <f>B4</f>
        <v>244</v>
      </c>
      <c r="C5" s="537">
        <f>C4</f>
        <v>251</v>
      </c>
      <c r="D5" s="45">
        <f>C4-C5</f>
        <v>0</v>
      </c>
      <c r="E5" s="45">
        <f>D5*8.38</f>
        <v>0</v>
      </c>
      <c r="F5" s="537">
        <f>F4</f>
        <v>2202</v>
      </c>
      <c r="G5" s="52">
        <f t="shared" ref="G5:G32" si="0">F5-F4</f>
        <v>0</v>
      </c>
      <c r="H5" s="537">
        <f>H4</f>
        <v>40475</v>
      </c>
      <c r="I5" s="380">
        <f t="shared" ref="I5:I32" si="1">SUM(H5-H4)</f>
        <v>0</v>
      </c>
      <c r="J5" s="66">
        <v>1</v>
      </c>
      <c r="K5" s="537">
        <f>K4</f>
        <v>2407</v>
      </c>
      <c r="L5" s="52">
        <f>K5-K4</f>
        <v>0</v>
      </c>
      <c r="M5" s="537">
        <f>M4</f>
        <v>178130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2189</v>
      </c>
      <c r="Q5" s="537">
        <f>Q4</f>
        <v>183235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2473</v>
      </c>
      <c r="Y5" s="52">
        <f>X5-X4</f>
        <v>0</v>
      </c>
      <c r="Z5" s="537">
        <f>Z4</f>
        <v>139431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44653</v>
      </c>
      <c r="B6" s="537">
        <f t="shared" ref="B6:B35" si="12">B5</f>
        <v>244</v>
      </c>
      <c r="C6" s="537">
        <f t="shared" ref="C6:C35" si="13">C5</f>
        <v>251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2202</v>
      </c>
      <c r="G6" s="52">
        <f t="shared" si="0"/>
        <v>0</v>
      </c>
      <c r="H6" s="537">
        <f t="shared" ref="H6:H35" si="16">H5</f>
        <v>40475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2407</v>
      </c>
      <c r="L6" s="52">
        <f t="shared" ref="L6:L32" si="19">K6-K5</f>
        <v>0</v>
      </c>
      <c r="M6" s="537">
        <f t="shared" ref="M6:M35" si="20">M5</f>
        <v>178130</v>
      </c>
      <c r="N6" s="380">
        <f t="shared" si="2"/>
        <v>0</v>
      </c>
      <c r="O6" s="64">
        <f t="shared" si="3"/>
        <v>1869</v>
      </c>
      <c r="P6" s="537">
        <f t="shared" si="3"/>
        <v>2189</v>
      </c>
      <c r="Q6" s="537">
        <f t="shared" si="3"/>
        <v>183235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2473</v>
      </c>
      <c r="Y6" s="52">
        <f t="shared" ref="Y6:Y32" si="25">X6-X5</f>
        <v>0</v>
      </c>
      <c r="Z6" s="537">
        <f t="shared" ref="Z6:Z35" si="26">Z5</f>
        <v>139431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44654</v>
      </c>
      <c r="B7" s="537">
        <v>236</v>
      </c>
      <c r="C7" s="537">
        <v>243</v>
      </c>
      <c r="D7" s="45">
        <f t="shared" ref="D7:D19" si="36">C6-C7</f>
        <v>8</v>
      </c>
      <c r="E7" s="45">
        <f t="shared" si="14"/>
        <v>67.040000000000006</v>
      </c>
      <c r="F7" s="537">
        <v>2203</v>
      </c>
      <c r="G7" s="52">
        <f t="shared" si="0"/>
        <v>1</v>
      </c>
      <c r="H7" s="537">
        <v>40553</v>
      </c>
      <c r="I7" s="380">
        <f t="shared" si="1"/>
        <v>78</v>
      </c>
      <c r="J7" s="66">
        <f t="shared" si="17"/>
        <v>78</v>
      </c>
      <c r="K7" s="537">
        <v>2409</v>
      </c>
      <c r="L7" s="52">
        <f t="shared" si="19"/>
        <v>2</v>
      </c>
      <c r="M7" s="537">
        <v>178399</v>
      </c>
      <c r="N7" s="380">
        <f t="shared" si="2"/>
        <v>269</v>
      </c>
      <c r="O7" s="64">
        <f t="shared" si="3"/>
        <v>1869</v>
      </c>
      <c r="P7" s="537">
        <f t="shared" si="3"/>
        <v>2189</v>
      </c>
      <c r="Q7" s="537">
        <f t="shared" si="3"/>
        <v>183235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347</v>
      </c>
      <c r="W7" s="384">
        <f t="shared" si="23"/>
        <v>115.66666666666667</v>
      </c>
      <c r="X7" s="537">
        <f t="shared" si="24"/>
        <v>2473</v>
      </c>
      <c r="Y7" s="52">
        <f t="shared" si="25"/>
        <v>0</v>
      </c>
      <c r="Z7" s="537">
        <f t="shared" si="26"/>
        <v>139431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347</v>
      </c>
      <c r="AJ7" s="303">
        <f>-tanks!AW8</f>
        <v>347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44655</v>
      </c>
      <c r="B8" s="537">
        <v>229</v>
      </c>
      <c r="C8" s="537">
        <v>236</v>
      </c>
      <c r="D8" s="45">
        <f t="shared" si="36"/>
        <v>7</v>
      </c>
      <c r="E8" s="45">
        <f t="shared" si="14"/>
        <v>58.660000000000004</v>
      </c>
      <c r="F8" s="537">
        <v>2206</v>
      </c>
      <c r="G8" s="52">
        <f t="shared" si="0"/>
        <v>3</v>
      </c>
      <c r="H8" s="537">
        <v>40944</v>
      </c>
      <c r="I8" s="380">
        <f t="shared" si="1"/>
        <v>391</v>
      </c>
      <c r="J8" s="66">
        <f t="shared" si="17"/>
        <v>130.33333333333334</v>
      </c>
      <c r="K8" s="537">
        <f t="shared" si="18"/>
        <v>2409</v>
      </c>
      <c r="L8" s="52">
        <f t="shared" si="19"/>
        <v>0</v>
      </c>
      <c r="M8" s="537">
        <f t="shared" si="20"/>
        <v>178399</v>
      </c>
      <c r="N8" s="380">
        <f t="shared" si="2"/>
        <v>0</v>
      </c>
      <c r="O8" s="64">
        <f t="shared" si="3"/>
        <v>1869</v>
      </c>
      <c r="P8" s="537">
        <f t="shared" si="3"/>
        <v>2189</v>
      </c>
      <c r="Q8" s="537">
        <f t="shared" si="3"/>
        <v>183235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3</v>
      </c>
      <c r="V8" s="62">
        <f>R8+N8+I8:I8</f>
        <v>391</v>
      </c>
      <c r="W8" s="384">
        <f t="shared" si="23"/>
        <v>130.33333333333334</v>
      </c>
      <c r="X8" s="537">
        <f t="shared" si="24"/>
        <v>2473</v>
      </c>
      <c r="Y8" s="52">
        <f t="shared" si="25"/>
        <v>0</v>
      </c>
      <c r="Z8" s="537">
        <f t="shared" si="26"/>
        <v>139431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391</v>
      </c>
      <c r="AJ8" s="303">
        <f>-tanks!AW9</f>
        <v>391</v>
      </c>
      <c r="AK8" s="303">
        <f t="shared" si="31"/>
        <v>0</v>
      </c>
      <c r="AL8" s="303">
        <f t="shared" si="8"/>
        <v>3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44656</v>
      </c>
      <c r="B9" s="537">
        <v>223</v>
      </c>
      <c r="C9" s="537">
        <v>230</v>
      </c>
      <c r="D9" s="45">
        <f t="shared" si="36"/>
        <v>6</v>
      </c>
      <c r="E9" s="45">
        <f t="shared" si="14"/>
        <v>50.28</v>
      </c>
      <c r="F9" s="537">
        <v>2210</v>
      </c>
      <c r="G9" s="52">
        <f t="shared" si="0"/>
        <v>4</v>
      </c>
      <c r="H9" s="537">
        <v>41107</v>
      </c>
      <c r="I9" s="380">
        <f t="shared" si="1"/>
        <v>163</v>
      </c>
      <c r="J9" s="66">
        <f t="shared" si="17"/>
        <v>40.75</v>
      </c>
      <c r="K9" s="537">
        <f t="shared" si="18"/>
        <v>2409</v>
      </c>
      <c r="L9" s="52">
        <f t="shared" si="19"/>
        <v>0</v>
      </c>
      <c r="M9" s="537">
        <f t="shared" si="20"/>
        <v>178399</v>
      </c>
      <c r="N9" s="380">
        <f t="shared" si="2"/>
        <v>0</v>
      </c>
      <c r="O9" s="64">
        <f t="shared" si="3"/>
        <v>1869</v>
      </c>
      <c r="P9" s="537">
        <f t="shared" si="3"/>
        <v>2189</v>
      </c>
      <c r="Q9" s="537">
        <f t="shared" si="3"/>
        <v>183235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4</v>
      </c>
      <c r="V9" s="62">
        <f t="shared" si="22"/>
        <v>163</v>
      </c>
      <c r="W9" s="384">
        <f t="shared" si="23"/>
        <v>40.75</v>
      </c>
      <c r="X9" s="537">
        <v>2474</v>
      </c>
      <c r="Y9" s="52">
        <f t="shared" si="25"/>
        <v>1</v>
      </c>
      <c r="Z9" s="537">
        <v>139464</v>
      </c>
      <c r="AA9" s="65">
        <f t="shared" si="6"/>
        <v>33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33</v>
      </c>
      <c r="AI9" s="303">
        <f t="shared" si="30"/>
        <v>196</v>
      </c>
      <c r="AJ9" s="303">
        <f>-tanks!AW10</f>
        <v>196</v>
      </c>
      <c r="AK9" s="303">
        <f t="shared" si="31"/>
        <v>0</v>
      </c>
      <c r="AL9" s="303">
        <f t="shared" si="8"/>
        <v>4</v>
      </c>
      <c r="AM9" s="303">
        <f t="shared" si="32"/>
        <v>1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44657</v>
      </c>
      <c r="B10" s="537">
        <v>217</v>
      </c>
      <c r="C10" s="537">
        <v>223</v>
      </c>
      <c r="D10" s="45">
        <f t="shared" si="36"/>
        <v>7</v>
      </c>
      <c r="E10" s="45">
        <f t="shared" si="14"/>
        <v>58.660000000000004</v>
      </c>
      <c r="F10" s="537">
        <v>2212</v>
      </c>
      <c r="G10" s="52">
        <f t="shared" si="0"/>
        <v>2</v>
      </c>
      <c r="H10" s="537">
        <v>41272</v>
      </c>
      <c r="I10" s="380">
        <f t="shared" si="1"/>
        <v>165</v>
      </c>
      <c r="J10" s="66">
        <f t="shared" si="17"/>
        <v>82.5</v>
      </c>
      <c r="K10" s="537">
        <f t="shared" si="18"/>
        <v>2409</v>
      </c>
      <c r="L10" s="52">
        <f t="shared" si="19"/>
        <v>0</v>
      </c>
      <c r="M10" s="537">
        <f t="shared" si="20"/>
        <v>178399</v>
      </c>
      <c r="N10" s="380">
        <f t="shared" si="2"/>
        <v>0</v>
      </c>
      <c r="O10" s="64">
        <f t="shared" si="3"/>
        <v>1869</v>
      </c>
      <c r="P10" s="537">
        <f t="shared" si="3"/>
        <v>2189</v>
      </c>
      <c r="Q10" s="537">
        <f t="shared" si="3"/>
        <v>183235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2</v>
      </c>
      <c r="V10" s="62">
        <f t="shared" si="22"/>
        <v>165</v>
      </c>
      <c r="W10" s="384">
        <f t="shared" si="23"/>
        <v>82.5</v>
      </c>
      <c r="X10" s="537">
        <f t="shared" si="24"/>
        <v>2474</v>
      </c>
      <c r="Y10" s="52">
        <f t="shared" si="25"/>
        <v>0</v>
      </c>
      <c r="Z10" s="537">
        <f t="shared" si="26"/>
        <v>139464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165</v>
      </c>
      <c r="AJ10" s="303">
        <f>-tanks!AW11</f>
        <v>165</v>
      </c>
      <c r="AK10" s="303">
        <f t="shared" si="31"/>
        <v>0</v>
      </c>
      <c r="AL10" s="303">
        <f t="shared" si="8"/>
        <v>2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44658</v>
      </c>
      <c r="B11" s="537">
        <v>230</v>
      </c>
      <c r="C11" s="537">
        <v>237</v>
      </c>
      <c r="D11" s="45">
        <f t="shared" si="36"/>
        <v>-14</v>
      </c>
      <c r="E11" s="45">
        <f t="shared" si="14"/>
        <v>-117.32000000000001</v>
      </c>
      <c r="F11" s="537">
        <v>2214</v>
      </c>
      <c r="G11" s="52">
        <f t="shared" si="0"/>
        <v>2</v>
      </c>
      <c r="H11" s="537">
        <v>41429</v>
      </c>
      <c r="I11" s="380">
        <f t="shared" si="1"/>
        <v>157</v>
      </c>
      <c r="J11" s="66">
        <f t="shared" si="17"/>
        <v>78.5</v>
      </c>
      <c r="K11" s="537">
        <f t="shared" si="18"/>
        <v>2409</v>
      </c>
      <c r="L11" s="52">
        <f t="shared" si="19"/>
        <v>0</v>
      </c>
      <c r="M11" s="537">
        <f t="shared" si="20"/>
        <v>178399</v>
      </c>
      <c r="N11" s="380">
        <f t="shared" si="2"/>
        <v>0</v>
      </c>
      <c r="O11" s="64">
        <f t="shared" si="3"/>
        <v>1869</v>
      </c>
      <c r="P11" s="537">
        <f t="shared" si="3"/>
        <v>2189</v>
      </c>
      <c r="Q11" s="537">
        <f t="shared" si="3"/>
        <v>183235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2</v>
      </c>
      <c r="V11" s="62">
        <f t="shared" si="22"/>
        <v>157</v>
      </c>
      <c r="W11" s="384">
        <f t="shared" si="23"/>
        <v>78.5</v>
      </c>
      <c r="X11" s="537">
        <f t="shared" si="24"/>
        <v>2474</v>
      </c>
      <c r="Y11" s="52">
        <f t="shared" si="25"/>
        <v>0</v>
      </c>
      <c r="Z11" s="537">
        <f t="shared" si="26"/>
        <v>139464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157</v>
      </c>
      <c r="AJ11" s="303">
        <f>-tanks!AW12</f>
        <v>157</v>
      </c>
      <c r="AK11" s="303">
        <f t="shared" si="31"/>
        <v>0</v>
      </c>
      <c r="AL11" s="303">
        <f t="shared" si="8"/>
        <v>2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44659</v>
      </c>
      <c r="B12" s="537">
        <f t="shared" si="12"/>
        <v>230</v>
      </c>
      <c r="C12" s="537">
        <f t="shared" si="13"/>
        <v>237</v>
      </c>
      <c r="D12" s="45">
        <f t="shared" si="36"/>
        <v>0</v>
      </c>
      <c r="E12" s="45">
        <f t="shared" si="14"/>
        <v>0</v>
      </c>
      <c r="F12" s="537">
        <f t="shared" si="15"/>
        <v>2214</v>
      </c>
      <c r="G12" s="52">
        <f t="shared" si="0"/>
        <v>0</v>
      </c>
      <c r="H12" s="537">
        <f t="shared" si="16"/>
        <v>41429</v>
      </c>
      <c r="I12" s="380">
        <f t="shared" si="1"/>
        <v>0</v>
      </c>
      <c r="J12" s="66">
        <f t="shared" si="17"/>
        <v>0</v>
      </c>
      <c r="K12" s="537">
        <f t="shared" si="18"/>
        <v>2409</v>
      </c>
      <c r="L12" s="52">
        <f t="shared" si="19"/>
        <v>0</v>
      </c>
      <c r="M12" s="537">
        <f t="shared" si="20"/>
        <v>178399</v>
      </c>
      <c r="N12" s="380">
        <f t="shared" si="2"/>
        <v>0</v>
      </c>
      <c r="O12" s="64">
        <f t="shared" si="3"/>
        <v>1869</v>
      </c>
      <c r="P12" s="537">
        <f t="shared" si="3"/>
        <v>2189</v>
      </c>
      <c r="Q12" s="537">
        <f t="shared" si="3"/>
        <v>183235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f t="shared" si="22"/>
        <v>0</v>
      </c>
      <c r="W12" s="384" t="e">
        <f t="shared" si="23"/>
        <v>#DIV/0!</v>
      </c>
      <c r="X12" s="537">
        <f t="shared" si="24"/>
        <v>2474</v>
      </c>
      <c r="Y12" s="52">
        <f t="shared" si="25"/>
        <v>0</v>
      </c>
      <c r="Z12" s="537">
        <f t="shared" si="26"/>
        <v>139464</v>
      </c>
      <c r="AA12" s="65">
        <f t="shared" si="6"/>
        <v>0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44660</v>
      </c>
      <c r="B13" s="537">
        <f t="shared" si="12"/>
        <v>230</v>
      </c>
      <c r="C13" s="537">
        <f t="shared" si="13"/>
        <v>237</v>
      </c>
      <c r="D13" s="45">
        <f t="shared" si="36"/>
        <v>0</v>
      </c>
      <c r="E13" s="45">
        <f t="shared" si="14"/>
        <v>0</v>
      </c>
      <c r="F13" s="537">
        <f t="shared" si="15"/>
        <v>2214</v>
      </c>
      <c r="G13" s="52">
        <f t="shared" si="0"/>
        <v>0</v>
      </c>
      <c r="H13" s="537">
        <f t="shared" si="16"/>
        <v>41429</v>
      </c>
      <c r="I13" s="380">
        <f t="shared" si="1"/>
        <v>0</v>
      </c>
      <c r="J13" s="66">
        <f t="shared" si="17"/>
        <v>0</v>
      </c>
      <c r="K13" s="537">
        <f t="shared" si="18"/>
        <v>2409</v>
      </c>
      <c r="L13" s="52">
        <f t="shared" si="19"/>
        <v>0</v>
      </c>
      <c r="M13" s="537">
        <f t="shared" si="20"/>
        <v>178399</v>
      </c>
      <c r="N13" s="380">
        <f t="shared" si="2"/>
        <v>0</v>
      </c>
      <c r="O13" s="64">
        <f t="shared" si="3"/>
        <v>1869</v>
      </c>
      <c r="P13" s="537">
        <f t="shared" si="3"/>
        <v>2189</v>
      </c>
      <c r="Q13" s="537">
        <f t="shared" si="3"/>
        <v>183235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0</v>
      </c>
      <c r="V13" s="62">
        <f t="shared" si="22"/>
        <v>0</v>
      </c>
      <c r="W13" s="384" t="e">
        <f t="shared" si="23"/>
        <v>#DIV/0!</v>
      </c>
      <c r="X13" s="537">
        <f t="shared" si="24"/>
        <v>2474</v>
      </c>
      <c r="Y13" s="52">
        <f t="shared" si="25"/>
        <v>0</v>
      </c>
      <c r="Z13" s="537">
        <f t="shared" si="26"/>
        <v>139464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0</v>
      </c>
      <c r="AJ13" s="303">
        <f>-tanks!AW14</f>
        <v>0</v>
      </c>
      <c r="AK13" s="303">
        <f t="shared" si="31"/>
        <v>0</v>
      </c>
      <c r="AL13" s="303">
        <f t="shared" si="8"/>
        <v>0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44661</v>
      </c>
      <c r="B14" s="537">
        <v>243</v>
      </c>
      <c r="C14" s="537">
        <v>250</v>
      </c>
      <c r="D14" s="45">
        <f t="shared" si="36"/>
        <v>-13</v>
      </c>
      <c r="E14" s="45">
        <f t="shared" si="14"/>
        <v>-108.94000000000001</v>
      </c>
      <c r="F14" s="537">
        <v>2219</v>
      </c>
      <c r="G14" s="52">
        <f t="shared" si="0"/>
        <v>5</v>
      </c>
      <c r="H14" s="537">
        <v>41738</v>
      </c>
      <c r="I14" s="380">
        <f t="shared" si="1"/>
        <v>309</v>
      </c>
      <c r="J14" s="66">
        <f t="shared" si="17"/>
        <v>61.8</v>
      </c>
      <c r="K14" s="537">
        <v>2410</v>
      </c>
      <c r="L14" s="52">
        <f t="shared" si="19"/>
        <v>1</v>
      </c>
      <c r="M14" s="537">
        <v>178435</v>
      </c>
      <c r="N14" s="380">
        <f t="shared" si="2"/>
        <v>36</v>
      </c>
      <c r="O14" s="64">
        <f t="shared" si="3"/>
        <v>1869</v>
      </c>
      <c r="P14" s="537">
        <f t="shared" si="3"/>
        <v>2189</v>
      </c>
      <c r="Q14" s="537">
        <f t="shared" si="3"/>
        <v>183235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6</v>
      </c>
      <c r="V14" s="62">
        <f t="shared" si="22"/>
        <v>345</v>
      </c>
      <c r="W14" s="384">
        <f t="shared" si="23"/>
        <v>57.5</v>
      </c>
      <c r="X14" s="537">
        <f t="shared" si="24"/>
        <v>2474</v>
      </c>
      <c r="Y14" s="52">
        <f t="shared" si="25"/>
        <v>0</v>
      </c>
      <c r="Z14" s="537">
        <f t="shared" si="26"/>
        <v>139464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345</v>
      </c>
      <c r="AJ14" s="303">
        <f>-tanks!AW15</f>
        <v>345</v>
      </c>
      <c r="AK14" s="303">
        <f t="shared" si="31"/>
        <v>0</v>
      </c>
      <c r="AL14" s="303">
        <f t="shared" si="8"/>
        <v>6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44662</v>
      </c>
      <c r="B15" s="537">
        <v>237</v>
      </c>
      <c r="C15" s="537">
        <v>245</v>
      </c>
      <c r="D15" s="45">
        <f t="shared" si="36"/>
        <v>5</v>
      </c>
      <c r="E15" s="45">
        <f t="shared" si="14"/>
        <v>41.900000000000006</v>
      </c>
      <c r="F15" s="537">
        <v>2223</v>
      </c>
      <c r="G15" s="52">
        <f t="shared" si="0"/>
        <v>4</v>
      </c>
      <c r="H15" s="537">
        <v>42065</v>
      </c>
      <c r="I15" s="380">
        <f t="shared" si="1"/>
        <v>327</v>
      </c>
      <c r="J15" s="66">
        <f t="shared" si="17"/>
        <v>81.75</v>
      </c>
      <c r="K15" s="537">
        <f t="shared" si="18"/>
        <v>2410</v>
      </c>
      <c r="L15" s="52">
        <f t="shared" si="19"/>
        <v>0</v>
      </c>
      <c r="M15" s="537">
        <f t="shared" si="20"/>
        <v>178435</v>
      </c>
      <c r="N15" s="380">
        <f t="shared" si="2"/>
        <v>0</v>
      </c>
      <c r="O15" s="64">
        <f t="shared" si="3"/>
        <v>1869</v>
      </c>
      <c r="P15" s="537">
        <f t="shared" si="3"/>
        <v>2189</v>
      </c>
      <c r="Q15" s="537">
        <f t="shared" si="3"/>
        <v>183235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4</v>
      </c>
      <c r="V15" s="62">
        <f t="shared" si="22"/>
        <v>327</v>
      </c>
      <c r="W15" s="384">
        <f t="shared" si="23"/>
        <v>81.75</v>
      </c>
      <c r="X15" s="537">
        <f t="shared" si="24"/>
        <v>2474</v>
      </c>
      <c r="Y15" s="52">
        <f t="shared" si="25"/>
        <v>0</v>
      </c>
      <c r="Z15" s="537">
        <v>139523</v>
      </c>
      <c r="AA15" s="65">
        <f t="shared" si="6"/>
        <v>59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59</v>
      </c>
      <c r="AI15" s="303">
        <f t="shared" si="30"/>
        <v>386</v>
      </c>
      <c r="AJ15" s="303">
        <f>-tanks!AW16</f>
        <v>386</v>
      </c>
      <c r="AK15" s="303">
        <f t="shared" si="31"/>
        <v>0</v>
      </c>
      <c r="AL15" s="303">
        <f t="shared" si="8"/>
        <v>4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44663</v>
      </c>
      <c r="B16" s="537">
        <v>230</v>
      </c>
      <c r="C16" s="537">
        <v>237</v>
      </c>
      <c r="D16" s="45">
        <f t="shared" si="36"/>
        <v>8</v>
      </c>
      <c r="E16" s="45">
        <f t="shared" si="14"/>
        <v>67.040000000000006</v>
      </c>
      <c r="F16" s="537">
        <v>2226</v>
      </c>
      <c r="G16" s="52">
        <f t="shared" si="0"/>
        <v>3</v>
      </c>
      <c r="H16" s="537">
        <v>42315</v>
      </c>
      <c r="I16" s="380">
        <f t="shared" si="1"/>
        <v>250</v>
      </c>
      <c r="J16" s="66">
        <f t="shared" si="17"/>
        <v>83.333333333333329</v>
      </c>
      <c r="K16" s="537">
        <f t="shared" si="18"/>
        <v>2410</v>
      </c>
      <c r="L16" s="52">
        <f t="shared" si="19"/>
        <v>0</v>
      </c>
      <c r="M16" s="537">
        <f t="shared" si="20"/>
        <v>178435</v>
      </c>
      <c r="N16" s="380">
        <f t="shared" si="2"/>
        <v>0</v>
      </c>
      <c r="O16" s="64">
        <f t="shared" si="3"/>
        <v>1869</v>
      </c>
      <c r="P16" s="537">
        <f t="shared" si="3"/>
        <v>2189</v>
      </c>
      <c r="Q16" s="537">
        <v>183245</v>
      </c>
      <c r="R16" s="379">
        <f t="shared" si="44"/>
        <v>10</v>
      </c>
      <c r="S16" s="52">
        <f t="shared" si="5"/>
        <v>0</v>
      </c>
      <c r="T16" s="67">
        <f t="shared" si="37"/>
        <v>0</v>
      </c>
      <c r="U16" s="386">
        <f t="shared" si="21"/>
        <v>3</v>
      </c>
      <c r="V16" s="62">
        <f t="shared" si="22"/>
        <v>260</v>
      </c>
      <c r="W16" s="384">
        <f t="shared" si="23"/>
        <v>86.666666666666671</v>
      </c>
      <c r="X16" s="537">
        <v>2475</v>
      </c>
      <c r="Y16" s="52">
        <f t="shared" si="25"/>
        <v>1</v>
      </c>
      <c r="Z16" s="537">
        <v>139559</v>
      </c>
      <c r="AA16" s="65">
        <f t="shared" si="6"/>
        <v>36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36</v>
      </c>
      <c r="AI16" s="303">
        <f t="shared" si="30"/>
        <v>296</v>
      </c>
      <c r="AJ16" s="303">
        <f>-tanks!AW17</f>
        <v>296</v>
      </c>
      <c r="AK16" s="303">
        <f t="shared" si="31"/>
        <v>0</v>
      </c>
      <c r="AL16" s="303">
        <f t="shared" si="8"/>
        <v>3</v>
      </c>
      <c r="AM16" s="303">
        <f t="shared" si="32"/>
        <v>1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44664</v>
      </c>
      <c r="B17" s="537">
        <v>242</v>
      </c>
      <c r="C17" s="537">
        <v>249</v>
      </c>
      <c r="D17" s="45">
        <f t="shared" si="36"/>
        <v>-12</v>
      </c>
      <c r="E17" s="45">
        <f t="shared" si="14"/>
        <v>-100.56</v>
      </c>
      <c r="F17" s="537">
        <v>2231</v>
      </c>
      <c r="G17" s="52">
        <f t="shared" si="0"/>
        <v>5</v>
      </c>
      <c r="H17" s="537">
        <v>42685</v>
      </c>
      <c r="I17" s="380">
        <f t="shared" si="1"/>
        <v>370</v>
      </c>
      <c r="J17" s="66">
        <f t="shared" si="17"/>
        <v>74</v>
      </c>
      <c r="K17" s="537">
        <f t="shared" si="18"/>
        <v>2410</v>
      </c>
      <c r="L17" s="52">
        <f t="shared" si="19"/>
        <v>0</v>
      </c>
      <c r="M17" s="537">
        <f t="shared" si="20"/>
        <v>178435</v>
      </c>
      <c r="N17" s="380">
        <f t="shared" si="2"/>
        <v>0</v>
      </c>
      <c r="O17" s="64">
        <f t="shared" si="3"/>
        <v>1869</v>
      </c>
      <c r="P17" s="537">
        <f t="shared" si="3"/>
        <v>2189</v>
      </c>
      <c r="Q17" s="537">
        <f t="shared" si="3"/>
        <v>183245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5</v>
      </c>
      <c r="V17" s="62">
        <f t="shared" si="22"/>
        <v>370</v>
      </c>
      <c r="W17" s="384"/>
      <c r="X17" s="537">
        <f t="shared" si="24"/>
        <v>2475</v>
      </c>
      <c r="Y17" s="52">
        <f t="shared" si="25"/>
        <v>0</v>
      </c>
      <c r="Z17" s="537">
        <f t="shared" si="26"/>
        <v>139559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370</v>
      </c>
      <c r="AJ17" s="303">
        <f>-tanks!AW18</f>
        <v>370</v>
      </c>
      <c r="AK17" s="303">
        <f t="shared" si="31"/>
        <v>0</v>
      </c>
      <c r="AL17" s="303">
        <f t="shared" si="8"/>
        <v>5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44665</v>
      </c>
      <c r="B18" s="537">
        <f t="shared" si="12"/>
        <v>242</v>
      </c>
      <c r="C18" s="537">
        <f t="shared" si="13"/>
        <v>249</v>
      </c>
      <c r="D18" s="45">
        <f t="shared" si="36"/>
        <v>0</v>
      </c>
      <c r="E18" s="45">
        <f t="shared" si="14"/>
        <v>0</v>
      </c>
      <c r="F18" s="537">
        <f t="shared" si="15"/>
        <v>2231</v>
      </c>
      <c r="G18" s="52">
        <f t="shared" si="0"/>
        <v>0</v>
      </c>
      <c r="H18" s="537">
        <f t="shared" si="16"/>
        <v>42685</v>
      </c>
      <c r="I18" s="380">
        <f t="shared" si="1"/>
        <v>0</v>
      </c>
      <c r="J18" s="66">
        <f t="shared" si="17"/>
        <v>0</v>
      </c>
      <c r="K18" s="537">
        <f t="shared" si="18"/>
        <v>2410</v>
      </c>
      <c r="L18" s="52">
        <f t="shared" si="19"/>
        <v>0</v>
      </c>
      <c r="M18" s="537">
        <f t="shared" si="20"/>
        <v>178435</v>
      </c>
      <c r="N18" s="380">
        <f t="shared" si="2"/>
        <v>0</v>
      </c>
      <c r="O18" s="64">
        <v>1869</v>
      </c>
      <c r="P18" s="537">
        <f t="shared" ref="P18:P35" si="45">P17</f>
        <v>2189</v>
      </c>
      <c r="Q18" s="537">
        <f t="shared" ref="Q18:Q35" si="46">Q17</f>
        <v>183245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2475</v>
      </c>
      <c r="Y18" s="52">
        <f t="shared" si="25"/>
        <v>0</v>
      </c>
      <c r="Z18" s="537">
        <f t="shared" si="26"/>
        <v>139559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44666</v>
      </c>
      <c r="B19" s="537">
        <f t="shared" si="12"/>
        <v>242</v>
      </c>
      <c r="C19" s="537">
        <f t="shared" si="13"/>
        <v>249</v>
      </c>
      <c r="D19" s="45">
        <f t="shared" si="36"/>
        <v>0</v>
      </c>
      <c r="E19" s="45">
        <f t="shared" si="14"/>
        <v>0</v>
      </c>
      <c r="F19" s="537">
        <f t="shared" si="15"/>
        <v>2231</v>
      </c>
      <c r="G19" s="52">
        <f t="shared" si="0"/>
        <v>0</v>
      </c>
      <c r="H19" s="537">
        <f t="shared" si="16"/>
        <v>42685</v>
      </c>
      <c r="I19" s="380">
        <f t="shared" si="1"/>
        <v>0</v>
      </c>
      <c r="J19" s="66">
        <f t="shared" si="17"/>
        <v>0</v>
      </c>
      <c r="K19" s="537">
        <f t="shared" si="18"/>
        <v>2410</v>
      </c>
      <c r="L19" s="52">
        <f t="shared" si="19"/>
        <v>0</v>
      </c>
      <c r="M19" s="537">
        <f t="shared" si="20"/>
        <v>178435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2189</v>
      </c>
      <c r="Q19" s="537">
        <f t="shared" si="46"/>
        <v>183245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2475</v>
      </c>
      <c r="Y19" s="52">
        <f t="shared" si="25"/>
        <v>0</v>
      </c>
      <c r="Z19" s="537">
        <f t="shared" si="26"/>
        <v>139559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44667</v>
      </c>
      <c r="B20" s="537">
        <f t="shared" si="12"/>
        <v>242</v>
      </c>
      <c r="C20" s="537">
        <f t="shared" si="13"/>
        <v>249</v>
      </c>
      <c r="D20" s="45">
        <f>C19-C20</f>
        <v>0</v>
      </c>
      <c r="E20" s="45">
        <f t="shared" si="14"/>
        <v>0</v>
      </c>
      <c r="F20" s="537">
        <f t="shared" si="15"/>
        <v>2231</v>
      </c>
      <c r="G20" s="52">
        <f t="shared" si="0"/>
        <v>0</v>
      </c>
      <c r="H20" s="537">
        <f t="shared" si="16"/>
        <v>42685</v>
      </c>
      <c r="I20" s="380">
        <f t="shared" si="1"/>
        <v>0</v>
      </c>
      <c r="J20" s="66">
        <f t="shared" si="17"/>
        <v>0</v>
      </c>
      <c r="K20" s="537">
        <f t="shared" si="18"/>
        <v>2410</v>
      </c>
      <c r="L20" s="52">
        <f t="shared" si="19"/>
        <v>0</v>
      </c>
      <c r="M20" s="537">
        <f t="shared" si="20"/>
        <v>178435</v>
      </c>
      <c r="N20" s="380">
        <f t="shared" si="2"/>
        <v>0</v>
      </c>
      <c r="O20" s="64">
        <f t="shared" si="48"/>
        <v>1869</v>
      </c>
      <c r="P20" s="537">
        <f t="shared" si="45"/>
        <v>2189</v>
      </c>
      <c r="Q20" s="537">
        <f t="shared" si="46"/>
        <v>183245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0</v>
      </c>
      <c r="V20" s="62">
        <f t="shared" si="22"/>
        <v>0</v>
      </c>
      <c r="W20" s="384"/>
      <c r="X20" s="537">
        <f t="shared" si="24"/>
        <v>2475</v>
      </c>
      <c r="Y20" s="52">
        <f t="shared" si="25"/>
        <v>0</v>
      </c>
      <c r="Z20" s="537">
        <f t="shared" si="26"/>
        <v>139559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0</v>
      </c>
      <c r="AJ20" s="303">
        <f>-tanks!AW21</f>
        <v>0</v>
      </c>
      <c r="AK20" s="303">
        <f t="shared" si="31"/>
        <v>0</v>
      </c>
      <c r="AL20" s="303">
        <f t="shared" si="8"/>
        <v>0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44668</v>
      </c>
      <c r="B21" s="537">
        <f t="shared" si="12"/>
        <v>242</v>
      </c>
      <c r="C21" s="537">
        <f t="shared" si="13"/>
        <v>249</v>
      </c>
      <c r="D21" s="45">
        <f t="shared" ref="D21:D32" si="49">C20-C21</f>
        <v>0</v>
      </c>
      <c r="E21" s="45">
        <f t="shared" si="14"/>
        <v>0</v>
      </c>
      <c r="F21" s="537">
        <f t="shared" si="15"/>
        <v>2231</v>
      </c>
      <c r="G21" s="52">
        <f t="shared" si="0"/>
        <v>0</v>
      </c>
      <c r="H21" s="537">
        <f t="shared" si="16"/>
        <v>42685</v>
      </c>
      <c r="I21" s="380">
        <f t="shared" si="1"/>
        <v>0</v>
      </c>
      <c r="J21" s="66">
        <f t="shared" si="17"/>
        <v>0</v>
      </c>
      <c r="K21" s="537">
        <f t="shared" si="18"/>
        <v>2410</v>
      </c>
      <c r="L21" s="52">
        <f t="shared" si="19"/>
        <v>0</v>
      </c>
      <c r="M21" s="537">
        <f t="shared" si="20"/>
        <v>178435</v>
      </c>
      <c r="N21" s="380">
        <f t="shared" si="2"/>
        <v>0</v>
      </c>
      <c r="O21" s="64">
        <f t="shared" si="48"/>
        <v>1869</v>
      </c>
      <c r="P21" s="537">
        <f t="shared" si="45"/>
        <v>2189</v>
      </c>
      <c r="Q21" s="537">
        <f t="shared" si="46"/>
        <v>183245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0</v>
      </c>
      <c r="V21" s="62">
        <f t="shared" si="22"/>
        <v>0</v>
      </c>
      <c r="W21" s="384"/>
      <c r="X21" s="537">
        <f t="shared" si="24"/>
        <v>2475</v>
      </c>
      <c r="Y21" s="52">
        <f t="shared" si="25"/>
        <v>0</v>
      </c>
      <c r="Z21" s="537">
        <f t="shared" si="26"/>
        <v>139559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f t="shared" si="28"/>
        <v>366312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0</v>
      </c>
      <c r="AJ21" s="303">
        <f>-tanks!AW22</f>
        <v>0</v>
      </c>
      <c r="AK21" s="303">
        <f t="shared" si="31"/>
        <v>0</v>
      </c>
      <c r="AL21" s="303">
        <f t="shared" si="8"/>
        <v>0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44669</v>
      </c>
      <c r="B22" s="537">
        <f t="shared" si="12"/>
        <v>242</v>
      </c>
      <c r="C22" s="537">
        <f t="shared" si="13"/>
        <v>249</v>
      </c>
      <c r="D22" s="45">
        <f t="shared" si="49"/>
        <v>0</v>
      </c>
      <c r="E22" s="45">
        <f t="shared" si="14"/>
        <v>0</v>
      </c>
      <c r="F22" s="537">
        <f t="shared" si="15"/>
        <v>2231</v>
      </c>
      <c r="G22" s="52">
        <f t="shared" si="0"/>
        <v>0</v>
      </c>
      <c r="H22" s="537">
        <f t="shared" si="16"/>
        <v>42685</v>
      </c>
      <c r="I22" s="380">
        <f t="shared" si="1"/>
        <v>0</v>
      </c>
      <c r="J22" s="66">
        <f t="shared" si="17"/>
        <v>0</v>
      </c>
      <c r="K22" s="537">
        <f t="shared" si="18"/>
        <v>2410</v>
      </c>
      <c r="L22" s="52">
        <f t="shared" si="19"/>
        <v>0</v>
      </c>
      <c r="M22" s="537">
        <f t="shared" si="20"/>
        <v>178435</v>
      </c>
      <c r="N22" s="380">
        <f t="shared" si="2"/>
        <v>0</v>
      </c>
      <c r="O22" s="64">
        <f t="shared" si="48"/>
        <v>1869</v>
      </c>
      <c r="P22" s="537">
        <f t="shared" si="45"/>
        <v>2189</v>
      </c>
      <c r="Q22" s="537">
        <f t="shared" si="46"/>
        <v>183245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0</v>
      </c>
      <c r="V22" s="62">
        <f t="shared" si="22"/>
        <v>0</v>
      </c>
      <c r="W22" s="384"/>
      <c r="X22" s="537">
        <f t="shared" si="24"/>
        <v>2475</v>
      </c>
      <c r="Y22" s="52">
        <f t="shared" si="25"/>
        <v>0</v>
      </c>
      <c r="Z22" s="537">
        <f t="shared" si="26"/>
        <v>139559</v>
      </c>
      <c r="AA22" s="65">
        <f t="shared" si="6"/>
        <v>0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366312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0</v>
      </c>
      <c r="AJ22" s="303">
        <f>-tanks!AW23</f>
        <v>0</v>
      </c>
      <c r="AK22" s="303">
        <f t="shared" si="31"/>
        <v>0</v>
      </c>
      <c r="AL22" s="303">
        <f t="shared" si="8"/>
        <v>0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44670</v>
      </c>
      <c r="B23" s="537">
        <f t="shared" si="12"/>
        <v>242</v>
      </c>
      <c r="C23" s="537">
        <f t="shared" si="13"/>
        <v>249</v>
      </c>
      <c r="D23" s="45">
        <f t="shared" si="49"/>
        <v>0</v>
      </c>
      <c r="E23" s="45">
        <f t="shared" si="14"/>
        <v>0</v>
      </c>
      <c r="F23" s="537">
        <f t="shared" si="15"/>
        <v>2231</v>
      </c>
      <c r="G23" s="52">
        <f t="shared" si="0"/>
        <v>0</v>
      </c>
      <c r="H23" s="537">
        <f t="shared" si="16"/>
        <v>42685</v>
      </c>
      <c r="I23" s="380">
        <f t="shared" si="1"/>
        <v>0</v>
      </c>
      <c r="J23" s="66">
        <f t="shared" si="17"/>
        <v>0</v>
      </c>
      <c r="K23" s="537">
        <f t="shared" si="18"/>
        <v>2410</v>
      </c>
      <c r="L23" s="52">
        <f t="shared" si="19"/>
        <v>0</v>
      </c>
      <c r="M23" s="537">
        <f t="shared" si="20"/>
        <v>178435</v>
      </c>
      <c r="N23" s="380">
        <f t="shared" si="2"/>
        <v>0</v>
      </c>
      <c r="O23" s="64">
        <f t="shared" si="48"/>
        <v>1869</v>
      </c>
      <c r="P23" s="537">
        <f t="shared" si="45"/>
        <v>2189</v>
      </c>
      <c r="Q23" s="537">
        <f t="shared" si="46"/>
        <v>183245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21"/>
        <v>0</v>
      </c>
      <c r="V23" s="62">
        <f t="shared" si="22"/>
        <v>0</v>
      </c>
      <c r="W23" s="384"/>
      <c r="X23" s="537">
        <f t="shared" si="24"/>
        <v>2475</v>
      </c>
      <c r="Y23" s="52">
        <f t="shared" si="25"/>
        <v>0</v>
      </c>
      <c r="Z23" s="537">
        <f t="shared" si="26"/>
        <v>139559</v>
      </c>
      <c r="AA23" s="65">
        <f t="shared" si="6"/>
        <v>0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366312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44671</v>
      </c>
      <c r="B24" s="537">
        <f t="shared" si="12"/>
        <v>242</v>
      </c>
      <c r="C24" s="537">
        <f t="shared" si="13"/>
        <v>249</v>
      </c>
      <c r="D24" s="45">
        <f t="shared" si="49"/>
        <v>0</v>
      </c>
      <c r="E24" s="45">
        <f t="shared" si="14"/>
        <v>0</v>
      </c>
      <c r="F24" s="537">
        <f t="shared" si="15"/>
        <v>2231</v>
      </c>
      <c r="G24" s="52">
        <f t="shared" si="0"/>
        <v>0</v>
      </c>
      <c r="H24" s="537">
        <f t="shared" si="16"/>
        <v>42685</v>
      </c>
      <c r="I24" s="380">
        <f t="shared" si="1"/>
        <v>0</v>
      </c>
      <c r="J24" s="66">
        <f t="shared" si="17"/>
        <v>0</v>
      </c>
      <c r="K24" s="537">
        <f t="shared" si="18"/>
        <v>2410</v>
      </c>
      <c r="L24" s="52">
        <f t="shared" si="19"/>
        <v>0</v>
      </c>
      <c r="M24" s="537">
        <f t="shared" si="20"/>
        <v>178435</v>
      </c>
      <c r="N24" s="380">
        <f t="shared" si="2"/>
        <v>0</v>
      </c>
      <c r="O24" s="64">
        <f t="shared" si="48"/>
        <v>1869</v>
      </c>
      <c r="P24" s="537">
        <f t="shared" si="45"/>
        <v>2189</v>
      </c>
      <c r="Q24" s="537">
        <f t="shared" si="46"/>
        <v>183245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2475</v>
      </c>
      <c r="Y24" s="52">
        <f t="shared" si="25"/>
        <v>0</v>
      </c>
      <c r="Z24" s="537">
        <f t="shared" si="26"/>
        <v>139559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366312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44672</v>
      </c>
      <c r="B25" s="537">
        <f t="shared" si="12"/>
        <v>242</v>
      </c>
      <c r="C25" s="537">
        <f t="shared" si="13"/>
        <v>249</v>
      </c>
      <c r="D25" s="45">
        <f t="shared" si="49"/>
        <v>0</v>
      </c>
      <c r="E25" s="45">
        <f t="shared" si="14"/>
        <v>0</v>
      </c>
      <c r="F25" s="537">
        <f t="shared" si="15"/>
        <v>2231</v>
      </c>
      <c r="G25" s="52">
        <f t="shared" si="0"/>
        <v>0</v>
      </c>
      <c r="H25" s="537">
        <f t="shared" si="16"/>
        <v>42685</v>
      </c>
      <c r="I25" s="380">
        <f t="shared" si="1"/>
        <v>0</v>
      </c>
      <c r="J25" s="66">
        <f t="shared" si="17"/>
        <v>0</v>
      </c>
      <c r="K25" s="537">
        <f t="shared" si="18"/>
        <v>2410</v>
      </c>
      <c r="L25" s="52">
        <f t="shared" si="19"/>
        <v>0</v>
      </c>
      <c r="M25" s="537">
        <f t="shared" si="20"/>
        <v>178435</v>
      </c>
      <c r="N25" s="380">
        <f t="shared" si="2"/>
        <v>0</v>
      </c>
      <c r="O25" s="64">
        <f t="shared" si="48"/>
        <v>1869</v>
      </c>
      <c r="P25" s="537">
        <f t="shared" si="45"/>
        <v>2189</v>
      </c>
      <c r="Q25" s="537">
        <f t="shared" si="46"/>
        <v>183245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2475</v>
      </c>
      <c r="Y25" s="52">
        <f t="shared" si="25"/>
        <v>0</v>
      </c>
      <c r="Z25" s="537">
        <f t="shared" si="26"/>
        <v>139559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366312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44673</v>
      </c>
      <c r="B26" s="537">
        <f t="shared" si="12"/>
        <v>242</v>
      </c>
      <c r="C26" s="537">
        <f t="shared" si="13"/>
        <v>249</v>
      </c>
      <c r="D26" s="45">
        <f t="shared" si="49"/>
        <v>0</v>
      </c>
      <c r="E26" s="45">
        <f t="shared" si="14"/>
        <v>0</v>
      </c>
      <c r="F26" s="537">
        <f t="shared" si="15"/>
        <v>2231</v>
      </c>
      <c r="G26" s="52">
        <f t="shared" si="0"/>
        <v>0</v>
      </c>
      <c r="H26" s="537">
        <f t="shared" si="16"/>
        <v>42685</v>
      </c>
      <c r="I26" s="380">
        <f t="shared" si="1"/>
        <v>0</v>
      </c>
      <c r="J26" s="66">
        <f t="shared" si="17"/>
        <v>0</v>
      </c>
      <c r="K26" s="537">
        <f t="shared" si="18"/>
        <v>2410</v>
      </c>
      <c r="L26" s="52">
        <f t="shared" si="19"/>
        <v>0</v>
      </c>
      <c r="M26" s="537">
        <f t="shared" si="20"/>
        <v>178435</v>
      </c>
      <c r="N26" s="380">
        <f t="shared" si="2"/>
        <v>0</v>
      </c>
      <c r="O26" s="64">
        <f t="shared" si="48"/>
        <v>1869</v>
      </c>
      <c r="P26" s="537">
        <f t="shared" si="45"/>
        <v>2189</v>
      </c>
      <c r="Q26" s="537">
        <f t="shared" si="46"/>
        <v>183245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2475</v>
      </c>
      <c r="Y26" s="52">
        <f t="shared" si="25"/>
        <v>0</v>
      </c>
      <c r="Z26" s="537">
        <f t="shared" si="26"/>
        <v>139559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366312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44674</v>
      </c>
      <c r="B27" s="537">
        <f t="shared" si="12"/>
        <v>242</v>
      </c>
      <c r="C27" s="537">
        <f t="shared" si="13"/>
        <v>249</v>
      </c>
      <c r="D27" s="45">
        <f t="shared" si="49"/>
        <v>0</v>
      </c>
      <c r="E27" s="45">
        <f t="shared" si="14"/>
        <v>0</v>
      </c>
      <c r="F27" s="537">
        <f t="shared" si="15"/>
        <v>2231</v>
      </c>
      <c r="G27" s="52">
        <f t="shared" si="0"/>
        <v>0</v>
      </c>
      <c r="H27" s="537">
        <f t="shared" si="16"/>
        <v>42685</v>
      </c>
      <c r="I27" s="380">
        <f t="shared" si="1"/>
        <v>0</v>
      </c>
      <c r="J27" s="66">
        <f t="shared" si="17"/>
        <v>0</v>
      </c>
      <c r="K27" s="537">
        <f t="shared" si="18"/>
        <v>2410</v>
      </c>
      <c r="L27" s="52">
        <f t="shared" si="19"/>
        <v>0</v>
      </c>
      <c r="M27" s="537">
        <f t="shared" si="20"/>
        <v>178435</v>
      </c>
      <c r="N27" s="380">
        <f t="shared" si="2"/>
        <v>0</v>
      </c>
      <c r="O27" s="64">
        <f t="shared" si="48"/>
        <v>1869</v>
      </c>
      <c r="P27" s="537">
        <f t="shared" si="45"/>
        <v>2189</v>
      </c>
      <c r="Q27" s="537">
        <f t="shared" si="46"/>
        <v>183245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2475</v>
      </c>
      <c r="Y27" s="52">
        <f t="shared" si="25"/>
        <v>0</v>
      </c>
      <c r="Z27" s="537">
        <f t="shared" si="26"/>
        <v>139559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366312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44675</v>
      </c>
      <c r="B28" s="537">
        <f t="shared" si="12"/>
        <v>242</v>
      </c>
      <c r="C28" s="537">
        <f t="shared" si="13"/>
        <v>249</v>
      </c>
      <c r="D28" s="45">
        <f t="shared" si="49"/>
        <v>0</v>
      </c>
      <c r="E28" s="45">
        <f t="shared" si="14"/>
        <v>0</v>
      </c>
      <c r="F28" s="537">
        <f t="shared" si="15"/>
        <v>2231</v>
      </c>
      <c r="G28" s="52">
        <f t="shared" si="0"/>
        <v>0</v>
      </c>
      <c r="H28" s="537">
        <f t="shared" si="16"/>
        <v>42685</v>
      </c>
      <c r="I28" s="380">
        <f t="shared" si="1"/>
        <v>0</v>
      </c>
      <c r="J28" s="66">
        <f t="shared" si="17"/>
        <v>0</v>
      </c>
      <c r="K28" s="537">
        <f t="shared" si="18"/>
        <v>2410</v>
      </c>
      <c r="L28" s="52">
        <f t="shared" si="19"/>
        <v>0</v>
      </c>
      <c r="M28" s="537">
        <f t="shared" si="20"/>
        <v>178435</v>
      </c>
      <c r="N28" s="380">
        <f t="shared" si="2"/>
        <v>0</v>
      </c>
      <c r="O28" s="64">
        <f t="shared" si="48"/>
        <v>1869</v>
      </c>
      <c r="P28" s="537">
        <f t="shared" si="45"/>
        <v>2189</v>
      </c>
      <c r="Q28" s="537">
        <f t="shared" si="46"/>
        <v>183245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2475</v>
      </c>
      <c r="Y28" s="52">
        <f t="shared" si="25"/>
        <v>0</v>
      </c>
      <c r="Z28" s="537">
        <f t="shared" si="26"/>
        <v>139559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366312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44676</v>
      </c>
      <c r="B29" s="537">
        <f t="shared" si="12"/>
        <v>242</v>
      </c>
      <c r="C29" s="537">
        <f t="shared" si="13"/>
        <v>249</v>
      </c>
      <c r="D29" s="45">
        <f t="shared" si="49"/>
        <v>0</v>
      </c>
      <c r="E29" s="45">
        <f t="shared" si="14"/>
        <v>0</v>
      </c>
      <c r="F29" s="537">
        <f t="shared" si="15"/>
        <v>2231</v>
      </c>
      <c r="G29" s="52">
        <f t="shared" si="0"/>
        <v>0</v>
      </c>
      <c r="H29" s="537">
        <f t="shared" si="16"/>
        <v>42685</v>
      </c>
      <c r="I29" s="380">
        <f t="shared" si="1"/>
        <v>0</v>
      </c>
      <c r="J29" s="66">
        <f t="shared" si="17"/>
        <v>0</v>
      </c>
      <c r="K29" s="537">
        <f t="shared" si="18"/>
        <v>2410</v>
      </c>
      <c r="L29" s="52">
        <f t="shared" si="19"/>
        <v>0</v>
      </c>
      <c r="M29" s="537">
        <f t="shared" si="20"/>
        <v>178435</v>
      </c>
      <c r="N29" s="380">
        <f t="shared" si="2"/>
        <v>0</v>
      </c>
      <c r="O29" s="64">
        <f t="shared" si="48"/>
        <v>1869</v>
      </c>
      <c r="P29" s="537">
        <f t="shared" si="45"/>
        <v>2189</v>
      </c>
      <c r="Q29" s="537">
        <f t="shared" si="46"/>
        <v>183245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2475</v>
      </c>
      <c r="Y29" s="52">
        <f t="shared" si="25"/>
        <v>0</v>
      </c>
      <c r="Z29" s="537">
        <f t="shared" si="26"/>
        <v>139559</v>
      </c>
      <c r="AA29" s="65">
        <f t="shared" si="6"/>
        <v>0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366312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44677</v>
      </c>
      <c r="B30" s="537">
        <f t="shared" si="12"/>
        <v>242</v>
      </c>
      <c r="C30" s="537">
        <f t="shared" si="13"/>
        <v>249</v>
      </c>
      <c r="D30" s="45">
        <f>C29-C30</f>
        <v>0</v>
      </c>
      <c r="E30" s="45">
        <f>D30*8.38</f>
        <v>0</v>
      </c>
      <c r="F30" s="537">
        <f t="shared" si="15"/>
        <v>2231</v>
      </c>
      <c r="G30" s="52">
        <f>F30-F29</f>
        <v>0</v>
      </c>
      <c r="H30" s="537">
        <f t="shared" si="16"/>
        <v>42685</v>
      </c>
      <c r="I30" s="380">
        <f>SUM(H30-H29)</f>
        <v>0</v>
      </c>
      <c r="J30" s="66">
        <f>IF(G30&gt;0,I30/G30,0)</f>
        <v>0</v>
      </c>
      <c r="K30" s="537">
        <f t="shared" si="18"/>
        <v>2410</v>
      </c>
      <c r="L30" s="52">
        <f>K30-K29</f>
        <v>0</v>
      </c>
      <c r="M30" s="537">
        <f t="shared" si="20"/>
        <v>178435</v>
      </c>
      <c r="N30" s="380">
        <f>M30-M29</f>
        <v>0</v>
      </c>
      <c r="O30" s="64">
        <f t="shared" si="48"/>
        <v>1869</v>
      </c>
      <c r="P30" s="537">
        <f t="shared" si="45"/>
        <v>2189</v>
      </c>
      <c r="Q30" s="537">
        <f t="shared" si="46"/>
        <v>183245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22"/>
        <v>0</v>
      </c>
      <c r="W30" s="384"/>
      <c r="X30" s="537">
        <f t="shared" si="24"/>
        <v>2475</v>
      </c>
      <c r="Y30" s="52">
        <f>X30-X29</f>
        <v>0</v>
      </c>
      <c r="Z30" s="537">
        <f t="shared" si="26"/>
        <v>139559</v>
      </c>
      <c r="AA30" s="65">
        <f>Z30-Z29</f>
        <v>0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366312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44678</v>
      </c>
      <c r="B31" s="537">
        <f t="shared" si="12"/>
        <v>242</v>
      </c>
      <c r="C31" s="537">
        <f t="shared" si="13"/>
        <v>249</v>
      </c>
      <c r="D31" s="45">
        <f t="shared" si="49"/>
        <v>0</v>
      </c>
      <c r="E31" s="45">
        <f t="shared" si="14"/>
        <v>0</v>
      </c>
      <c r="F31" s="537">
        <f t="shared" si="15"/>
        <v>2231</v>
      </c>
      <c r="G31" s="52">
        <f t="shared" si="0"/>
        <v>0</v>
      </c>
      <c r="H31" s="537">
        <f t="shared" si="16"/>
        <v>42685</v>
      </c>
      <c r="I31" s="380">
        <f t="shared" si="1"/>
        <v>0</v>
      </c>
      <c r="J31" s="66">
        <f t="shared" si="17"/>
        <v>0</v>
      </c>
      <c r="K31" s="537">
        <f t="shared" si="18"/>
        <v>2410</v>
      </c>
      <c r="L31" s="52">
        <f t="shared" si="19"/>
        <v>0</v>
      </c>
      <c r="M31" s="537">
        <f t="shared" si="20"/>
        <v>178435</v>
      </c>
      <c r="N31" s="380">
        <f t="shared" si="2"/>
        <v>0</v>
      </c>
      <c r="O31" s="64">
        <f t="shared" si="48"/>
        <v>1869</v>
      </c>
      <c r="P31" s="537">
        <f t="shared" si="45"/>
        <v>2189</v>
      </c>
      <c r="Q31" s="537">
        <f t="shared" si="46"/>
        <v>183245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2475</v>
      </c>
      <c r="Y31" s="52">
        <f t="shared" si="25"/>
        <v>0</v>
      </c>
      <c r="Z31" s="537">
        <f t="shared" si="26"/>
        <v>139559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366312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44679</v>
      </c>
      <c r="B32" s="537">
        <f t="shared" si="12"/>
        <v>242</v>
      </c>
      <c r="C32" s="537">
        <f t="shared" si="13"/>
        <v>249</v>
      </c>
      <c r="D32" s="45">
        <f t="shared" si="49"/>
        <v>0</v>
      </c>
      <c r="E32" s="45">
        <f t="shared" si="14"/>
        <v>0</v>
      </c>
      <c r="F32" s="537">
        <f t="shared" si="15"/>
        <v>2231</v>
      </c>
      <c r="G32" s="52">
        <f t="shared" si="0"/>
        <v>0</v>
      </c>
      <c r="H32" s="537">
        <f t="shared" si="16"/>
        <v>42685</v>
      </c>
      <c r="I32" s="380">
        <f t="shared" si="1"/>
        <v>0</v>
      </c>
      <c r="J32" s="66">
        <f t="shared" si="17"/>
        <v>0</v>
      </c>
      <c r="K32" s="537">
        <f t="shared" si="18"/>
        <v>2410</v>
      </c>
      <c r="L32" s="52">
        <f t="shared" si="19"/>
        <v>0</v>
      </c>
      <c r="M32" s="537">
        <f t="shared" si="20"/>
        <v>178435</v>
      </c>
      <c r="N32" s="380">
        <f t="shared" si="2"/>
        <v>0</v>
      </c>
      <c r="O32" s="64">
        <f t="shared" si="48"/>
        <v>1869</v>
      </c>
      <c r="P32" s="537">
        <f t="shared" si="45"/>
        <v>2189</v>
      </c>
      <c r="Q32" s="537">
        <f t="shared" si="46"/>
        <v>183245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2475</v>
      </c>
      <c r="Y32" s="52">
        <f t="shared" si="25"/>
        <v>0</v>
      </c>
      <c r="Z32" s="537">
        <f t="shared" si="26"/>
        <v>139559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366312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44680</v>
      </c>
      <c r="B33" s="537">
        <f t="shared" si="12"/>
        <v>242</v>
      </c>
      <c r="C33" s="537">
        <f t="shared" si="13"/>
        <v>249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5"/>
        <v>2231</v>
      </c>
      <c r="G33" s="52">
        <f t="shared" ref="G33:G35" si="56">F33-F32</f>
        <v>0</v>
      </c>
      <c r="H33" s="537">
        <f t="shared" si="16"/>
        <v>42685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8"/>
        <v>2410</v>
      </c>
      <c r="L33" s="52">
        <f t="shared" ref="L33:L35" si="59">K33-K32</f>
        <v>0</v>
      </c>
      <c r="M33" s="537">
        <f t="shared" si="20"/>
        <v>178435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2189</v>
      </c>
      <c r="Q33" s="537">
        <f t="shared" si="46"/>
        <v>183245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4"/>
        <v>2475</v>
      </c>
      <c r="Y33" s="52">
        <f t="shared" ref="Y33:Y35" si="66">X33-X32</f>
        <v>0</v>
      </c>
      <c r="Z33" s="537">
        <f t="shared" si="26"/>
        <v>139559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366312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44681</v>
      </c>
      <c r="B34" s="537">
        <f t="shared" si="12"/>
        <v>242</v>
      </c>
      <c r="C34" s="537">
        <f t="shared" si="13"/>
        <v>249</v>
      </c>
      <c r="D34" s="45">
        <f t="shared" si="54"/>
        <v>0</v>
      </c>
      <c r="E34" s="45">
        <f t="shared" si="55"/>
        <v>0</v>
      </c>
      <c r="F34" s="537">
        <f t="shared" si="15"/>
        <v>2231</v>
      </c>
      <c r="G34" s="52">
        <f t="shared" si="56"/>
        <v>0</v>
      </c>
      <c r="H34" s="537">
        <f t="shared" si="16"/>
        <v>42685</v>
      </c>
      <c r="I34" s="380">
        <f t="shared" si="57"/>
        <v>0</v>
      </c>
      <c r="J34" s="66">
        <f t="shared" si="58"/>
        <v>0</v>
      </c>
      <c r="K34" s="537">
        <f t="shared" si="18"/>
        <v>2410</v>
      </c>
      <c r="L34" s="52">
        <f t="shared" si="59"/>
        <v>0</v>
      </c>
      <c r="M34" s="537">
        <f t="shared" si="20"/>
        <v>178435</v>
      </c>
      <c r="N34" s="380">
        <f t="shared" si="60"/>
        <v>0</v>
      </c>
      <c r="O34" s="64">
        <f t="shared" si="48"/>
        <v>1869</v>
      </c>
      <c r="P34" s="537">
        <f t="shared" si="45"/>
        <v>2189</v>
      </c>
      <c r="Q34" s="537">
        <f t="shared" si="46"/>
        <v>183245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4"/>
        <v>2475</v>
      </c>
      <c r="Y34" s="52">
        <f t="shared" si="66"/>
        <v>0</v>
      </c>
      <c r="Z34" s="537">
        <f t="shared" si="26"/>
        <v>139559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366312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44682</v>
      </c>
      <c r="B35" s="537">
        <f t="shared" si="12"/>
        <v>242</v>
      </c>
      <c r="C35" s="537">
        <f t="shared" si="13"/>
        <v>249</v>
      </c>
      <c r="D35" s="45">
        <f t="shared" si="54"/>
        <v>0</v>
      </c>
      <c r="E35" s="45">
        <f t="shared" si="55"/>
        <v>0</v>
      </c>
      <c r="F35" s="537">
        <f t="shared" si="15"/>
        <v>2231</v>
      </c>
      <c r="G35" s="52">
        <f t="shared" si="56"/>
        <v>0</v>
      </c>
      <c r="H35" s="537">
        <f t="shared" si="16"/>
        <v>42685</v>
      </c>
      <c r="I35" s="380">
        <f t="shared" si="57"/>
        <v>0</v>
      </c>
      <c r="J35" s="66">
        <f t="shared" si="58"/>
        <v>0</v>
      </c>
      <c r="K35" s="537">
        <f t="shared" si="18"/>
        <v>2410</v>
      </c>
      <c r="L35" s="52">
        <f t="shared" si="59"/>
        <v>0</v>
      </c>
      <c r="M35" s="537">
        <f t="shared" si="20"/>
        <v>178435</v>
      </c>
      <c r="N35" s="380">
        <f t="shared" si="60"/>
        <v>0</v>
      </c>
      <c r="O35" s="64">
        <f t="shared" si="48"/>
        <v>1869</v>
      </c>
      <c r="P35" s="537">
        <f t="shared" si="45"/>
        <v>2189</v>
      </c>
      <c r="Q35" s="537">
        <f t="shared" si="46"/>
        <v>183245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2475</v>
      </c>
      <c r="Y35" s="52">
        <f t="shared" si="66"/>
        <v>0</v>
      </c>
      <c r="Z35" s="537">
        <f t="shared" si="26"/>
        <v>139559</v>
      </c>
      <c r="AA35" s="65">
        <f t="shared" si="67"/>
        <v>0</v>
      </c>
      <c r="AB35" s="273">
        <f t="shared" si="68"/>
        <v>0</v>
      </c>
      <c r="AC35" s="537">
        <f t="shared" si="27"/>
        <v>1944</v>
      </c>
      <c r="AD35" s="259">
        <f t="shared" si="69"/>
        <v>0</v>
      </c>
      <c r="AE35" s="537">
        <f t="shared" si="28"/>
        <v>366312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71.196666666666687</v>
      </c>
      <c r="U36" s="70">
        <f>SUM(U5:U35)</f>
        <v>32</v>
      </c>
      <c r="V36" s="62">
        <f>SUM(V5:V35)</f>
        <v>2525</v>
      </c>
      <c r="AE36" s="71" t="s">
        <v>379</v>
      </c>
      <c r="AG36" s="329"/>
      <c r="AH36" s="62">
        <f>SUM(AH5:AH35)</f>
        <v>128</v>
      </c>
      <c r="AL36" s="62">
        <f>SUM(AL5:AL35)</f>
        <v>32</v>
      </c>
      <c r="AM36" s="62">
        <f>SUM(AM5:AM35)</f>
        <v>2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78.90625</v>
      </c>
      <c r="AH37" s="62">
        <f>AF37+AA37</f>
        <v>0</v>
      </c>
      <c r="AI37" s="306">
        <f>SUM(AI5:AI35)</f>
        <v>2653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G1" zoomScale="90" zoomScaleNormal="90" workbookViewId="0">
      <pane ySplit="3" topLeftCell="A4" activePane="bottomLeft" state="frozen"/>
      <selection pane="bottomLeft" activeCell="BA29" sqref="BA2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8164351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0" t="s">
        <v>126</v>
      </c>
      <c r="AO3" s="641"/>
      <c r="AP3" s="642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44651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627932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7046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5182</v>
      </c>
      <c r="U5" s="393">
        <f>[2]WATER!U36</f>
        <v>0</v>
      </c>
      <c r="V5" s="393">
        <f>[2]WATER!V36</f>
        <v>482</v>
      </c>
      <c r="W5" s="393">
        <f>[2]WATER!W36</f>
        <v>0</v>
      </c>
      <c r="X5" s="393">
        <f>[2]WATER!X36</f>
        <v>155209</v>
      </c>
      <c r="Y5" s="393">
        <f>[2]WATER!Y36</f>
        <v>0</v>
      </c>
      <c r="Z5" s="393">
        <f>[2]WATER!Z36</f>
        <v>99356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240.12</v>
      </c>
      <c r="AF5" s="393">
        <f>[2]WATER!AF36</f>
        <v>0.15999999999999659</v>
      </c>
      <c r="AG5" s="393">
        <f>[2]WATER!AG36</f>
        <v>2222.14</v>
      </c>
      <c r="AH5" s="393">
        <f>[2]WATER!AH36</f>
        <v>0</v>
      </c>
      <c r="AI5" s="393">
        <f>[2]WATER!AI36</f>
        <v>0.15999999999999659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17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3">
        <f>[2]WATER!$AR$36</f>
        <v>44651</v>
      </c>
      <c r="AS5" s="393">
        <f>[2]WATER!AS36</f>
        <v>0.9</v>
      </c>
      <c r="AT5" s="393">
        <f>[2]WATER!AT36</f>
        <v>152</v>
      </c>
      <c r="AU5" s="393">
        <f>[2]WATER!AU36</f>
        <v>1.1000000000000001</v>
      </c>
      <c r="AV5" s="393">
        <f>[2]WATER!AV36</f>
        <v>129</v>
      </c>
      <c r="AW5" s="393">
        <f>[2]WATER!AW36</f>
        <v>2.9</v>
      </c>
      <c r="AX5" s="393">
        <f>[2]WATER!AX36</f>
        <v>129</v>
      </c>
      <c r="AY5" s="393">
        <f>[2]WATER!AY36</f>
        <v>136.80000000000001</v>
      </c>
      <c r="AZ5" s="393">
        <f>[2]WATER!AZ36</f>
        <v>141.9</v>
      </c>
      <c r="BA5" s="393">
        <f>[2]WATER!BA36</f>
        <v>374.09999999999997</v>
      </c>
      <c r="BB5" s="393">
        <f>[2]WATER!BB36</f>
        <v>0</v>
      </c>
      <c r="BC5" s="393">
        <f>[2]WATER!BC36</f>
        <v>-1.0999999999999943</v>
      </c>
      <c r="BD5" s="393">
        <f>[2]WATER!BD36</f>
        <v>-8.7000000000000455</v>
      </c>
      <c r="BE5" s="393">
        <f>[2]WATER!BE36</f>
        <v>-9.8000000000000398</v>
      </c>
      <c r="BF5" s="393">
        <f>[2]WATER!BF36</f>
        <v>9.8000000000000398</v>
      </c>
      <c r="BG5" s="393">
        <f>[2]WATER!BG36</f>
        <v>-9.8000000000000398</v>
      </c>
    </row>
    <row r="6" spans="1:65" ht="15.75" thickBot="1">
      <c r="A6" s="6">
        <f>ELEC!C4</f>
        <v>44652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627932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7046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155209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44652</v>
      </c>
      <c r="AS6" s="407">
        <f>AS5</f>
        <v>0.9</v>
      </c>
      <c r="AT6" s="201">
        <f>AT5</f>
        <v>152</v>
      </c>
      <c r="AU6" s="408">
        <f>AU5</f>
        <v>1.1000000000000001</v>
      </c>
      <c r="AV6" s="201">
        <f>AV5</f>
        <v>129</v>
      </c>
      <c r="AW6" s="5">
        <v>2.9</v>
      </c>
      <c r="AX6" s="201">
        <f>AX5</f>
        <v>129</v>
      </c>
      <c r="AY6" s="409">
        <f>AS6*AT6</f>
        <v>136.80000000000001</v>
      </c>
      <c r="AZ6" s="409">
        <f>AU6*AV6</f>
        <v>141.9</v>
      </c>
      <c r="BA6" s="409">
        <f>AW6*AX6</f>
        <v>374.09999999999997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44653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f t="shared" ref="G7:G36" si="8">G6</f>
        <v>627932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7046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155209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44653</v>
      </c>
      <c r="AS7" s="407">
        <f t="shared" ref="AS7:AT21" si="29">AS6</f>
        <v>0.9</v>
      </c>
      <c r="AT7" s="201">
        <f t="shared" si="29"/>
        <v>152</v>
      </c>
      <c r="AU7" s="408">
        <f>AU6</f>
        <v>1.1000000000000001</v>
      </c>
      <c r="AV7" s="201">
        <f t="shared" ref="AV7:AV36" si="30">AV6</f>
        <v>129</v>
      </c>
      <c r="AW7" s="5">
        <v>2.9</v>
      </c>
      <c r="AX7" s="201">
        <f t="shared" ref="AX7:AX36" si="31">AX6</f>
        <v>129</v>
      </c>
      <c r="AY7" s="409">
        <f>AS7*AT7</f>
        <v>136.80000000000001</v>
      </c>
      <c r="AZ7" s="409">
        <f>AU7*AV7</f>
        <v>141.9</v>
      </c>
      <c r="BA7" s="409">
        <f>AW7*AX7</f>
        <v>374.09999999999997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44654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si="8"/>
        <v>627932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7049</v>
      </c>
      <c r="L8" s="83">
        <f>K8-K7</f>
        <v>3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f t="shared" si="14"/>
        <v>482</v>
      </c>
      <c r="W8" s="309">
        <f t="shared" si="15"/>
        <v>0</v>
      </c>
      <c r="X8" s="5">
        <f t="shared" si="16"/>
        <v>155209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-3</v>
      </c>
      <c r="AL8" s="312">
        <f t="shared" si="27"/>
        <v>0</v>
      </c>
      <c r="AM8" s="312">
        <f>'General information '!D7</f>
        <v>20.5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44654</v>
      </c>
      <c r="AS8" s="407">
        <f t="shared" si="29"/>
        <v>0.9</v>
      </c>
      <c r="AT8" s="201">
        <f t="shared" si="29"/>
        <v>152</v>
      </c>
      <c r="AU8" s="408">
        <v>1.1000000000000001</v>
      </c>
      <c r="AV8" s="201">
        <f t="shared" si="30"/>
        <v>129</v>
      </c>
      <c r="AW8" s="5">
        <v>2.9</v>
      </c>
      <c r="AX8" s="201">
        <f t="shared" si="31"/>
        <v>129</v>
      </c>
      <c r="AY8" s="409">
        <f t="shared" ref="AY8:AY33" si="37">AS8*AT8</f>
        <v>136.80000000000001</v>
      </c>
      <c r="AZ8" s="409">
        <f t="shared" ref="AZ8:AZ33" si="38">AU8*AV8</f>
        <v>141.9</v>
      </c>
      <c r="BA8" s="409">
        <f t="shared" ref="BA8:BA33" si="39">AW8*AX8</f>
        <v>374.09999999999997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44655</v>
      </c>
      <c r="B9" s="5">
        <f t="shared" si="5"/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f t="shared" si="8"/>
        <v>627932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7050</v>
      </c>
      <c r="L9" s="83">
        <f t="shared" ref="L9:L33" si="41">K9-K8</f>
        <v>1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f t="shared" si="14"/>
        <v>482</v>
      </c>
      <c r="W9" s="309">
        <f t="shared" si="15"/>
        <v>0</v>
      </c>
      <c r="X9" s="5">
        <f t="shared" si="16"/>
        <v>155209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5"/>
        <v>0</v>
      </c>
      <c r="AE9" s="5">
        <f t="shared" si="21"/>
        <v>240.12</v>
      </c>
      <c r="AF9" s="83">
        <f t="shared" si="22"/>
        <v>0</v>
      </c>
      <c r="AG9" s="5">
        <f t="shared" si="23"/>
        <v>2222.14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6"/>
        <v>-1</v>
      </c>
      <c r="AL9" s="312">
        <f t="shared" si="27"/>
        <v>0</v>
      </c>
      <c r="AM9" s="312">
        <f>'General information '!D8</f>
        <v>20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44655</v>
      </c>
      <c r="AS9" s="407">
        <f t="shared" si="29"/>
        <v>0.9</v>
      </c>
      <c r="AT9" s="201">
        <f t="shared" si="29"/>
        <v>152</v>
      </c>
      <c r="AU9" s="408">
        <f t="shared" ref="AU9:AU36" si="43">AU8</f>
        <v>1.1000000000000001</v>
      </c>
      <c r="AV9" s="201">
        <v>127</v>
      </c>
      <c r="AW9" s="5">
        <v>2.9</v>
      </c>
      <c r="AX9" s="201">
        <v>126</v>
      </c>
      <c r="AY9" s="409">
        <f t="shared" si="37"/>
        <v>136.80000000000001</v>
      </c>
      <c r="AZ9" s="409">
        <f t="shared" si="38"/>
        <v>139.70000000000002</v>
      </c>
      <c r="BA9" s="409">
        <f t="shared" si="39"/>
        <v>365.4</v>
      </c>
      <c r="BB9" s="21">
        <f t="shared" si="40"/>
        <v>0</v>
      </c>
      <c r="BC9" s="21">
        <f t="shared" si="32"/>
        <v>-2.1999999999999886</v>
      </c>
      <c r="BD9" s="21">
        <f t="shared" si="32"/>
        <v>-8.6999999999999886</v>
      </c>
      <c r="BE9" s="24">
        <f t="shared" si="33"/>
        <v>-10.899999999999977</v>
      </c>
      <c r="BF9" s="330">
        <f t="shared" si="34"/>
        <v>10.899999999999977</v>
      </c>
      <c r="BG9" s="82">
        <f t="shared" si="4"/>
        <v>-10.899999999999977</v>
      </c>
    </row>
    <row r="10" spans="1:65" ht="15.75" thickBot="1">
      <c r="A10" s="6">
        <f>ELEC!C8</f>
        <v>44656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v>628027</v>
      </c>
      <c r="H10" s="5">
        <f t="shared" si="9"/>
        <v>95</v>
      </c>
      <c r="I10" s="5">
        <f t="shared" si="10"/>
        <v>95</v>
      </c>
      <c r="J10" s="319">
        <f t="shared" si="0"/>
        <v>2.6315789473684212</v>
      </c>
      <c r="K10" s="5">
        <f>'Swimming Pool quality check '!H10</f>
        <v>7052</v>
      </c>
      <c r="L10" s="83">
        <f>K10-K9</f>
        <v>2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f t="shared" si="14"/>
        <v>482</v>
      </c>
      <c r="W10" s="309">
        <f t="shared" si="15"/>
        <v>0</v>
      </c>
      <c r="X10" s="5">
        <f t="shared" si="16"/>
        <v>155209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260</v>
      </c>
      <c r="AC10" s="5">
        <f t="shared" si="20"/>
        <v>790</v>
      </c>
      <c r="AD10" s="83">
        <f t="shared" si="35"/>
        <v>0</v>
      </c>
      <c r="AE10" s="5">
        <f t="shared" si="21"/>
        <v>240.12</v>
      </c>
      <c r="AF10" s="83">
        <f t="shared" si="22"/>
        <v>0</v>
      </c>
      <c r="AG10" s="5">
        <f t="shared" si="23"/>
        <v>2222.14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-2</v>
      </c>
      <c r="AL10" s="312">
        <f t="shared" si="27"/>
        <v>0</v>
      </c>
      <c r="AM10" s="312">
        <f>'General information '!D9</f>
        <v>23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44656</v>
      </c>
      <c r="AS10" s="407">
        <f t="shared" si="29"/>
        <v>0.9</v>
      </c>
      <c r="AT10" s="201">
        <v>153</v>
      </c>
      <c r="AU10" s="408">
        <f t="shared" si="43"/>
        <v>1.1000000000000001</v>
      </c>
      <c r="AV10" s="201">
        <v>125</v>
      </c>
      <c r="AW10" s="5">
        <v>2.9</v>
      </c>
      <c r="AX10" s="201">
        <v>123</v>
      </c>
      <c r="AY10" s="409">
        <f t="shared" si="37"/>
        <v>137.70000000000002</v>
      </c>
      <c r="AZ10" s="409">
        <f t="shared" si="38"/>
        <v>137.5</v>
      </c>
      <c r="BA10" s="409">
        <f t="shared" si="39"/>
        <v>356.7</v>
      </c>
      <c r="BB10" s="21">
        <f t="shared" si="40"/>
        <v>0.90000000000000568</v>
      </c>
      <c r="BC10" s="21">
        <f t="shared" si="32"/>
        <v>-2.2000000000000171</v>
      </c>
      <c r="BD10" s="21">
        <f t="shared" si="32"/>
        <v>-8.6999999999999886</v>
      </c>
      <c r="BE10" s="24">
        <f t="shared" si="33"/>
        <v>-10</v>
      </c>
      <c r="BF10" s="96">
        <f t="shared" si="34"/>
        <v>105</v>
      </c>
      <c r="BG10" s="82">
        <f t="shared" si="4"/>
        <v>-10</v>
      </c>
    </row>
    <row r="11" spans="1:65" ht="15.75" thickBot="1">
      <c r="A11" s="6">
        <f>ELEC!C9</f>
        <v>44657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f t="shared" si="8"/>
        <v>628027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7052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482</v>
      </c>
      <c r="W11" s="309">
        <f t="shared" si="15"/>
        <v>0</v>
      </c>
      <c r="X11" s="5">
        <f t="shared" si="16"/>
        <v>155209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260</v>
      </c>
      <c r="AC11" s="5">
        <f t="shared" si="20"/>
        <v>790</v>
      </c>
      <c r="AD11" s="83">
        <f t="shared" si="35"/>
        <v>0</v>
      </c>
      <c r="AE11" s="5">
        <f t="shared" si="21"/>
        <v>240.12</v>
      </c>
      <c r="AF11" s="83">
        <f t="shared" si="22"/>
        <v>0</v>
      </c>
      <c r="AG11" s="5">
        <f t="shared" si="23"/>
        <v>2222.14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26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44657</v>
      </c>
      <c r="AS11" s="407">
        <f t="shared" si="29"/>
        <v>0.9</v>
      </c>
      <c r="AT11" s="201">
        <f t="shared" si="29"/>
        <v>153</v>
      </c>
      <c r="AU11" s="408">
        <f t="shared" si="43"/>
        <v>1.1000000000000001</v>
      </c>
      <c r="AV11" s="201">
        <v>124</v>
      </c>
      <c r="AW11" s="5">
        <v>2.9</v>
      </c>
      <c r="AX11" s="201">
        <v>122</v>
      </c>
      <c r="AY11" s="409">
        <f t="shared" si="37"/>
        <v>137.70000000000002</v>
      </c>
      <c r="AZ11" s="409">
        <f t="shared" si="38"/>
        <v>136.4</v>
      </c>
      <c r="BA11" s="409">
        <f t="shared" si="39"/>
        <v>353.8</v>
      </c>
      <c r="BB11" s="21">
        <f t="shared" si="40"/>
        <v>0</v>
      </c>
      <c r="BC11" s="21">
        <f t="shared" si="32"/>
        <v>-1.0999999999999943</v>
      </c>
      <c r="BD11" s="21">
        <f t="shared" si="32"/>
        <v>-2.8999999999999773</v>
      </c>
      <c r="BE11" s="24">
        <f t="shared" si="33"/>
        <v>-3.9999999999999716</v>
      </c>
      <c r="BF11" s="96">
        <f t="shared" si="34"/>
        <v>3.9999999999999716</v>
      </c>
      <c r="BG11" s="82">
        <f t="shared" si="4"/>
        <v>-3.9999999999999716</v>
      </c>
    </row>
    <row r="12" spans="1:65" ht="15.75" thickBot="1">
      <c r="A12" s="6">
        <f>ELEC!C10</f>
        <v>44658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f t="shared" si="8"/>
        <v>628027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7052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482</v>
      </c>
      <c r="W12" s="309">
        <f t="shared" si="15"/>
        <v>0</v>
      </c>
      <c r="X12" s="5">
        <f t="shared" si="16"/>
        <v>155209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260</v>
      </c>
      <c r="AC12" s="5">
        <f t="shared" si="20"/>
        <v>790</v>
      </c>
      <c r="AD12" s="83">
        <f t="shared" si="35"/>
        <v>0</v>
      </c>
      <c r="AE12" s="5">
        <f t="shared" si="21"/>
        <v>240.12</v>
      </c>
      <c r="AF12" s="83">
        <f t="shared" si="22"/>
        <v>0</v>
      </c>
      <c r="AG12" s="5">
        <f t="shared" si="23"/>
        <v>2222.14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18.5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44658</v>
      </c>
      <c r="AS12" s="407">
        <f t="shared" si="29"/>
        <v>0.9</v>
      </c>
      <c r="AT12" s="201">
        <f t="shared" si="29"/>
        <v>153</v>
      </c>
      <c r="AU12" s="408">
        <f t="shared" si="43"/>
        <v>1.1000000000000001</v>
      </c>
      <c r="AV12" s="201">
        <f t="shared" si="30"/>
        <v>124</v>
      </c>
      <c r="AW12" s="5">
        <v>2.9</v>
      </c>
      <c r="AX12" s="201">
        <v>118</v>
      </c>
      <c r="AY12" s="409">
        <f t="shared" si="37"/>
        <v>137.70000000000002</v>
      </c>
      <c r="AZ12" s="409">
        <f t="shared" si="38"/>
        <v>136.4</v>
      </c>
      <c r="BA12" s="409">
        <f t="shared" si="39"/>
        <v>342.2</v>
      </c>
      <c r="BB12" s="21">
        <f t="shared" si="40"/>
        <v>0</v>
      </c>
      <c r="BC12" s="21">
        <f t="shared" si="32"/>
        <v>0</v>
      </c>
      <c r="BD12" s="21">
        <f t="shared" si="32"/>
        <v>-11.600000000000023</v>
      </c>
      <c r="BE12" s="24">
        <f t="shared" si="33"/>
        <v>-11.600000000000023</v>
      </c>
      <c r="BF12" s="96">
        <f t="shared" si="34"/>
        <v>11.600000000000023</v>
      </c>
      <c r="BG12" s="82">
        <f t="shared" si="4"/>
        <v>-11.600000000000023</v>
      </c>
    </row>
    <row r="13" spans="1:65" ht="15.75" thickBot="1">
      <c r="A13" s="6">
        <f>ELEC!C11</f>
        <v>44659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8"/>
        <v>628027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7052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f t="shared" si="14"/>
        <v>482</v>
      </c>
      <c r="W13" s="309">
        <f t="shared" si="15"/>
        <v>0</v>
      </c>
      <c r="X13" s="5">
        <f t="shared" si="16"/>
        <v>155209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260</v>
      </c>
      <c r="AC13" s="5">
        <f t="shared" si="20"/>
        <v>790</v>
      </c>
      <c r="AD13" s="83">
        <f t="shared" si="35"/>
        <v>0</v>
      </c>
      <c r="AE13" s="5">
        <f t="shared" si="21"/>
        <v>240.12</v>
      </c>
      <c r="AF13" s="83">
        <f t="shared" si="22"/>
        <v>0</v>
      </c>
      <c r="AG13" s="5">
        <f t="shared" si="23"/>
        <v>2222.14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44659</v>
      </c>
      <c r="AS13" s="407">
        <f t="shared" si="29"/>
        <v>0.9</v>
      </c>
      <c r="AT13" s="201">
        <f t="shared" si="29"/>
        <v>153</v>
      </c>
      <c r="AU13" s="408">
        <f t="shared" si="43"/>
        <v>1.1000000000000001</v>
      </c>
      <c r="AV13" s="201">
        <f t="shared" si="30"/>
        <v>124</v>
      </c>
      <c r="AW13" s="5">
        <v>2.9</v>
      </c>
      <c r="AX13" s="201">
        <f t="shared" si="31"/>
        <v>118</v>
      </c>
      <c r="AY13" s="409">
        <f t="shared" si="37"/>
        <v>137.70000000000002</v>
      </c>
      <c r="AZ13" s="409">
        <f t="shared" si="38"/>
        <v>136.4</v>
      </c>
      <c r="BA13" s="409">
        <f t="shared" si="39"/>
        <v>342.2</v>
      </c>
      <c r="BB13" s="21">
        <f t="shared" si="40"/>
        <v>0</v>
      </c>
      <c r="BC13" s="21">
        <f t="shared" si="32"/>
        <v>0</v>
      </c>
      <c r="BD13" s="21">
        <f t="shared" si="32"/>
        <v>0</v>
      </c>
      <c r="BE13" s="24">
        <f t="shared" si="33"/>
        <v>0</v>
      </c>
      <c r="BF13" s="96">
        <f t="shared" si="34"/>
        <v>0</v>
      </c>
      <c r="BG13" s="82">
        <f t="shared" si="4"/>
        <v>0</v>
      </c>
    </row>
    <row r="14" spans="1:65" ht="15.75" thickBot="1">
      <c r="A14" s="6">
        <f>ELEC!C12</f>
        <v>44660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8"/>
        <v>628027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7052</v>
      </c>
      <c r="L14" s="83">
        <f t="shared" si="41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f t="shared" si="14"/>
        <v>482</v>
      </c>
      <c r="W14" s="309">
        <f t="shared" si="15"/>
        <v>0</v>
      </c>
      <c r="X14" s="5">
        <f t="shared" si="16"/>
        <v>155209</v>
      </c>
      <c r="Y14" s="309">
        <f t="shared" si="42"/>
        <v>0</v>
      </c>
      <c r="Z14" s="5">
        <f t="shared" si="17"/>
        <v>99356</v>
      </c>
      <c r="AA14" s="83">
        <f t="shared" si="18"/>
        <v>0</v>
      </c>
      <c r="AB14" s="5">
        <f t="shared" si="19"/>
        <v>260</v>
      </c>
      <c r="AC14" s="5">
        <f t="shared" si="20"/>
        <v>790</v>
      </c>
      <c r="AD14" s="83">
        <f t="shared" si="35"/>
        <v>0</v>
      </c>
      <c r="AE14" s="5">
        <f t="shared" si="21"/>
        <v>240.12</v>
      </c>
      <c r="AF14" s="83">
        <f t="shared" si="22"/>
        <v>0</v>
      </c>
      <c r="AG14" s="5">
        <f t="shared" si="23"/>
        <v>2222.14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6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44660</v>
      </c>
      <c r="AS14" s="407">
        <f t="shared" si="29"/>
        <v>0.9</v>
      </c>
      <c r="AT14" s="201">
        <f t="shared" si="29"/>
        <v>153</v>
      </c>
      <c r="AU14" s="408">
        <f t="shared" si="43"/>
        <v>1.1000000000000001</v>
      </c>
      <c r="AV14" s="201">
        <f t="shared" si="30"/>
        <v>124</v>
      </c>
      <c r="AW14" s="5">
        <v>2.9</v>
      </c>
      <c r="AX14" s="201">
        <f t="shared" si="31"/>
        <v>118</v>
      </c>
      <c r="AY14" s="409">
        <f t="shared" si="37"/>
        <v>137.70000000000002</v>
      </c>
      <c r="AZ14" s="409">
        <f t="shared" si="38"/>
        <v>136.4</v>
      </c>
      <c r="BA14" s="409">
        <f t="shared" si="39"/>
        <v>342.2</v>
      </c>
      <c r="BB14" s="21">
        <f t="shared" si="40"/>
        <v>0</v>
      </c>
      <c r="BC14" s="21">
        <f t="shared" si="32"/>
        <v>0</v>
      </c>
      <c r="BD14" s="21">
        <f t="shared" si="32"/>
        <v>0</v>
      </c>
      <c r="BE14" s="24">
        <f t="shared" si="33"/>
        <v>0</v>
      </c>
      <c r="BF14" s="96">
        <f t="shared" si="34"/>
        <v>0</v>
      </c>
      <c r="BG14" s="82">
        <f t="shared" si="4"/>
        <v>0</v>
      </c>
    </row>
    <row r="15" spans="1:65" ht="16.5" customHeight="1" thickBot="1">
      <c r="A15" s="6">
        <f>ELEC!C13</f>
        <v>44661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8"/>
        <v>628027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7062</v>
      </c>
      <c r="L15" s="83">
        <f t="shared" si="41"/>
        <v>10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482</v>
      </c>
      <c r="W15" s="309">
        <f t="shared" si="15"/>
        <v>0</v>
      </c>
      <c r="X15" s="5">
        <f t="shared" si="16"/>
        <v>155209</v>
      </c>
      <c r="Y15" s="309">
        <f t="shared" si="42"/>
        <v>0</v>
      </c>
      <c r="Z15" s="5">
        <f t="shared" si="17"/>
        <v>99356</v>
      </c>
      <c r="AA15" s="83">
        <f t="shared" si="18"/>
        <v>0</v>
      </c>
      <c r="AB15" s="5">
        <f t="shared" si="19"/>
        <v>260</v>
      </c>
      <c r="AC15" s="5">
        <f t="shared" si="20"/>
        <v>790</v>
      </c>
      <c r="AD15" s="83">
        <f t="shared" si="35"/>
        <v>0</v>
      </c>
      <c r="AE15" s="5">
        <f t="shared" si="21"/>
        <v>240.12</v>
      </c>
      <c r="AF15" s="83">
        <f t="shared" si="22"/>
        <v>0</v>
      </c>
      <c r="AG15" s="5">
        <f t="shared" si="23"/>
        <v>2222.14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>SUM(Y15-L15)</f>
        <v>-10</v>
      </c>
      <c r="AL15" s="312">
        <f t="shared" si="27"/>
        <v>0</v>
      </c>
      <c r="AM15" s="312">
        <f>'General information '!D14</f>
        <v>18.5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44661</v>
      </c>
      <c r="AS15" s="407">
        <f t="shared" si="29"/>
        <v>0.9</v>
      </c>
      <c r="AT15" s="201">
        <f t="shared" si="29"/>
        <v>153</v>
      </c>
      <c r="AU15" s="408">
        <f t="shared" si="43"/>
        <v>1.1000000000000001</v>
      </c>
      <c r="AV15" s="201">
        <v>119</v>
      </c>
      <c r="AW15" s="5">
        <v>2.9</v>
      </c>
      <c r="AX15" s="201">
        <v>112</v>
      </c>
      <c r="AY15" s="409">
        <f t="shared" si="37"/>
        <v>137.70000000000002</v>
      </c>
      <c r="AZ15" s="409">
        <f t="shared" si="38"/>
        <v>130.9</v>
      </c>
      <c r="BA15" s="409">
        <f t="shared" si="39"/>
        <v>324.8</v>
      </c>
      <c r="BB15" s="21">
        <f t="shared" si="40"/>
        <v>0</v>
      </c>
      <c r="BC15" s="21">
        <f t="shared" si="32"/>
        <v>-5.5</v>
      </c>
      <c r="BD15" s="21">
        <f t="shared" si="32"/>
        <v>-17.399999999999977</v>
      </c>
      <c r="BE15" s="24">
        <f t="shared" si="33"/>
        <v>-22.899999999999977</v>
      </c>
      <c r="BF15" s="96">
        <f t="shared" si="34"/>
        <v>22.899999999999977</v>
      </c>
      <c r="BG15" s="82">
        <f t="shared" si="4"/>
        <v>-22.899999999999977</v>
      </c>
    </row>
    <row r="16" spans="1:65" ht="15.75" thickBot="1">
      <c r="A16" s="6">
        <f>ELEC!C14</f>
        <v>44662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f t="shared" si="8"/>
        <v>628027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7062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482</v>
      </c>
      <c r="W16" s="309">
        <f t="shared" si="15"/>
        <v>0</v>
      </c>
      <c r="X16" s="5">
        <f t="shared" si="16"/>
        <v>155209</v>
      </c>
      <c r="Y16" s="309">
        <f t="shared" si="42"/>
        <v>0</v>
      </c>
      <c r="Z16" s="5">
        <f t="shared" si="17"/>
        <v>99356</v>
      </c>
      <c r="AA16" s="83">
        <f t="shared" si="18"/>
        <v>0</v>
      </c>
      <c r="AB16" s="5">
        <f t="shared" si="19"/>
        <v>260</v>
      </c>
      <c r="AC16" s="5">
        <f t="shared" si="20"/>
        <v>790</v>
      </c>
      <c r="AD16" s="83">
        <f t="shared" si="35"/>
        <v>0</v>
      </c>
      <c r="AE16" s="5">
        <f t="shared" si="21"/>
        <v>240.12</v>
      </c>
      <c r="AF16" s="83">
        <f t="shared" si="22"/>
        <v>0</v>
      </c>
      <c r="AG16" s="5">
        <f t="shared" si="23"/>
        <v>2222.14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6"/>
        <v>0</v>
      </c>
      <c r="AL16" s="312">
        <f t="shared" si="27"/>
        <v>0</v>
      </c>
      <c r="AM16" s="312">
        <f>'General information '!D15</f>
        <v>18.5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44662</v>
      </c>
      <c r="AS16" s="407">
        <f t="shared" si="29"/>
        <v>0.9</v>
      </c>
      <c r="AT16" s="201">
        <v>158</v>
      </c>
      <c r="AU16" s="408">
        <f t="shared" si="43"/>
        <v>1.1000000000000001</v>
      </c>
      <c r="AV16" s="201">
        <v>117</v>
      </c>
      <c r="AW16" s="5">
        <v>2.9</v>
      </c>
      <c r="AX16" s="201">
        <v>110</v>
      </c>
      <c r="AY16" s="409">
        <f t="shared" si="37"/>
        <v>142.20000000000002</v>
      </c>
      <c r="AZ16" s="409">
        <f t="shared" si="38"/>
        <v>128.70000000000002</v>
      </c>
      <c r="BA16" s="409">
        <f t="shared" si="39"/>
        <v>319</v>
      </c>
      <c r="BB16" s="21">
        <f t="shared" si="40"/>
        <v>4.5</v>
      </c>
      <c r="BC16" s="21">
        <f t="shared" si="32"/>
        <v>-2.1999999999999886</v>
      </c>
      <c r="BD16" s="21">
        <f t="shared" si="32"/>
        <v>-5.8000000000000114</v>
      </c>
      <c r="BE16" s="24">
        <f t="shared" si="33"/>
        <v>-3.5</v>
      </c>
      <c r="BF16" s="96">
        <f t="shared" si="34"/>
        <v>3.5</v>
      </c>
      <c r="BG16" s="82">
        <f t="shared" si="4"/>
        <v>-3.5</v>
      </c>
    </row>
    <row r="17" spans="1:61" ht="15.75" thickBot="1">
      <c r="A17" s="6">
        <f>ELEC!C15</f>
        <v>44663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8"/>
        <v>628027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7062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f t="shared" si="14"/>
        <v>482</v>
      </c>
      <c r="W17" s="309">
        <f t="shared" si="15"/>
        <v>0</v>
      </c>
      <c r="X17" s="5">
        <f t="shared" si="16"/>
        <v>155209</v>
      </c>
      <c r="Y17" s="309">
        <f t="shared" si="42"/>
        <v>0</v>
      </c>
      <c r="Z17" s="5">
        <f t="shared" si="17"/>
        <v>99356</v>
      </c>
      <c r="AA17" s="83">
        <f t="shared" si="18"/>
        <v>0</v>
      </c>
      <c r="AB17" s="5">
        <f t="shared" si="19"/>
        <v>260</v>
      </c>
      <c r="AC17" s="5">
        <f t="shared" si="20"/>
        <v>790</v>
      </c>
      <c r="AD17" s="83">
        <f t="shared" si="35"/>
        <v>0</v>
      </c>
      <c r="AE17" s="5">
        <f t="shared" si="21"/>
        <v>240.12</v>
      </c>
      <c r="AF17" s="83">
        <f t="shared" si="22"/>
        <v>0</v>
      </c>
      <c r="AG17" s="5">
        <f t="shared" si="23"/>
        <v>2222.14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18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44663</v>
      </c>
      <c r="AS17" s="407">
        <f t="shared" si="29"/>
        <v>0.9</v>
      </c>
      <c r="AT17" s="201">
        <v>136</v>
      </c>
      <c r="AU17" s="408">
        <f t="shared" si="43"/>
        <v>1.1000000000000001</v>
      </c>
      <c r="AV17" s="201">
        <v>115</v>
      </c>
      <c r="AW17" s="5">
        <v>2.9</v>
      </c>
      <c r="AX17" s="201">
        <v>107</v>
      </c>
      <c r="AY17" s="409">
        <f t="shared" si="37"/>
        <v>122.4</v>
      </c>
      <c r="AZ17" s="409">
        <f t="shared" si="38"/>
        <v>126.50000000000001</v>
      </c>
      <c r="BA17" s="409">
        <f t="shared" si="39"/>
        <v>310.3</v>
      </c>
      <c r="BB17" s="21">
        <f t="shared" si="40"/>
        <v>-19.800000000000011</v>
      </c>
      <c r="BC17" s="21">
        <f t="shared" si="32"/>
        <v>-2.2000000000000028</v>
      </c>
      <c r="BD17" s="21">
        <f t="shared" si="32"/>
        <v>-8.6999999999999886</v>
      </c>
      <c r="BE17" s="24">
        <f t="shared" si="33"/>
        <v>-30.700000000000003</v>
      </c>
      <c r="BF17" s="96">
        <f t="shared" si="34"/>
        <v>30.700000000000003</v>
      </c>
      <c r="BG17" s="82">
        <f t="shared" si="4"/>
        <v>-30.700000000000003</v>
      </c>
    </row>
    <row r="18" spans="1:61" ht="15.75" thickBot="1">
      <c r="A18" s="6">
        <f>ELEC!C16</f>
        <v>44664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8"/>
        <v>628027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7062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482</v>
      </c>
      <c r="W18" s="309">
        <f t="shared" si="15"/>
        <v>0</v>
      </c>
      <c r="X18" s="5">
        <f t="shared" si="16"/>
        <v>155209</v>
      </c>
      <c r="Y18" s="309">
        <f t="shared" si="42"/>
        <v>0</v>
      </c>
      <c r="Z18" s="5">
        <f t="shared" si="17"/>
        <v>99356</v>
      </c>
      <c r="AA18" s="83">
        <f t="shared" si="18"/>
        <v>0</v>
      </c>
      <c r="AB18" s="5">
        <f t="shared" si="19"/>
        <v>260</v>
      </c>
      <c r="AC18" s="5">
        <f t="shared" si="20"/>
        <v>790</v>
      </c>
      <c r="AD18" s="83">
        <f t="shared" si="35"/>
        <v>0</v>
      </c>
      <c r="AE18" s="5">
        <f t="shared" si="21"/>
        <v>240.12</v>
      </c>
      <c r="AF18" s="83">
        <f t="shared" si="22"/>
        <v>0</v>
      </c>
      <c r="AG18" s="5">
        <f t="shared" si="23"/>
        <v>2222.14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44664</v>
      </c>
      <c r="AS18" s="407">
        <f t="shared" si="29"/>
        <v>0.9</v>
      </c>
      <c r="AT18" s="201">
        <f t="shared" si="29"/>
        <v>136</v>
      </c>
      <c r="AU18" s="408">
        <f t="shared" si="43"/>
        <v>1.1000000000000001</v>
      </c>
      <c r="AV18" s="201">
        <v>114</v>
      </c>
      <c r="AW18" s="5">
        <v>2.9</v>
      </c>
      <c r="AX18" s="201">
        <v>105</v>
      </c>
      <c r="AY18" s="409">
        <f t="shared" si="37"/>
        <v>122.4</v>
      </c>
      <c r="AZ18" s="409">
        <f t="shared" si="38"/>
        <v>125.4</v>
      </c>
      <c r="BA18" s="409">
        <f t="shared" si="39"/>
        <v>304.5</v>
      </c>
      <c r="BB18" s="21">
        <f t="shared" si="40"/>
        <v>0</v>
      </c>
      <c r="BC18" s="21">
        <f t="shared" si="32"/>
        <v>-1.1000000000000085</v>
      </c>
      <c r="BD18" s="21">
        <f t="shared" si="32"/>
        <v>-5.8000000000000114</v>
      </c>
      <c r="BE18" s="24">
        <f t="shared" si="33"/>
        <v>-6.9000000000000199</v>
      </c>
      <c r="BF18" s="96">
        <f t="shared" si="34"/>
        <v>6.9000000000000199</v>
      </c>
      <c r="BG18" s="82">
        <f t="shared" si="4"/>
        <v>-6.9000000000000199</v>
      </c>
    </row>
    <row r="19" spans="1:61" ht="15.75" thickBot="1">
      <c r="A19" s="6">
        <f>ELEC!C17</f>
        <v>44665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8"/>
        <v>628027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7062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482</v>
      </c>
      <c r="W19" s="309">
        <f t="shared" si="15"/>
        <v>0</v>
      </c>
      <c r="X19" s="5">
        <f t="shared" si="16"/>
        <v>155209</v>
      </c>
      <c r="Y19" s="309">
        <f t="shared" si="42"/>
        <v>0</v>
      </c>
      <c r="Z19" s="5">
        <f t="shared" si="17"/>
        <v>99356</v>
      </c>
      <c r="AA19" s="83">
        <f t="shared" si="18"/>
        <v>0</v>
      </c>
      <c r="AB19" s="5">
        <f t="shared" si="19"/>
        <v>260</v>
      </c>
      <c r="AC19" s="5">
        <f t="shared" si="20"/>
        <v>790</v>
      </c>
      <c r="AD19" s="83">
        <f t="shared" si="35"/>
        <v>0</v>
      </c>
      <c r="AE19" s="5">
        <f t="shared" si="21"/>
        <v>240.12</v>
      </c>
      <c r="AF19" s="83">
        <f t="shared" si="22"/>
        <v>0</v>
      </c>
      <c r="AG19" s="5">
        <f t="shared" si="23"/>
        <v>2222.14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44665</v>
      </c>
      <c r="AS19" s="407">
        <f t="shared" si="29"/>
        <v>0.9</v>
      </c>
      <c r="AT19" s="201">
        <f t="shared" si="29"/>
        <v>136</v>
      </c>
      <c r="AU19" s="408">
        <f t="shared" si="43"/>
        <v>1.1000000000000001</v>
      </c>
      <c r="AV19" s="201">
        <f t="shared" si="30"/>
        <v>114</v>
      </c>
      <c r="AW19" s="5">
        <v>2.9</v>
      </c>
      <c r="AX19" s="201">
        <f t="shared" si="31"/>
        <v>105</v>
      </c>
      <c r="AY19" s="409">
        <f>AS19*AT19</f>
        <v>122.4</v>
      </c>
      <c r="AZ19" s="409">
        <f>AU19*AV19</f>
        <v>125.4</v>
      </c>
      <c r="BA19" s="409">
        <f>AW19*AX19</f>
        <v>304.5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44666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8"/>
        <v>628027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7062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482</v>
      </c>
      <c r="W20" s="309">
        <f t="shared" si="15"/>
        <v>0</v>
      </c>
      <c r="X20" s="5">
        <f t="shared" si="16"/>
        <v>155209</v>
      </c>
      <c r="Y20" s="309">
        <f t="shared" si="42"/>
        <v>0</v>
      </c>
      <c r="Z20" s="5">
        <f t="shared" si="17"/>
        <v>99356</v>
      </c>
      <c r="AA20" s="83">
        <f t="shared" si="18"/>
        <v>0</v>
      </c>
      <c r="AB20" s="5">
        <f t="shared" si="19"/>
        <v>260</v>
      </c>
      <c r="AC20" s="5">
        <f t="shared" si="20"/>
        <v>790</v>
      </c>
      <c r="AD20" s="83">
        <f t="shared" si="35"/>
        <v>0</v>
      </c>
      <c r="AE20" s="5">
        <f t="shared" si="21"/>
        <v>240.12</v>
      </c>
      <c r="AF20" s="83">
        <f t="shared" si="22"/>
        <v>0</v>
      </c>
      <c r="AG20" s="5">
        <f t="shared" si="23"/>
        <v>2222.14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44666</v>
      </c>
      <c r="AS20" s="407">
        <f t="shared" si="29"/>
        <v>0.9</v>
      </c>
      <c r="AT20" s="201">
        <f t="shared" si="29"/>
        <v>136</v>
      </c>
      <c r="AU20" s="408">
        <f t="shared" si="43"/>
        <v>1.1000000000000001</v>
      </c>
      <c r="AV20" s="201">
        <f t="shared" si="30"/>
        <v>114</v>
      </c>
      <c r="AW20" s="5">
        <v>2.9</v>
      </c>
      <c r="AX20" s="201">
        <f t="shared" si="31"/>
        <v>105</v>
      </c>
      <c r="AY20" s="409">
        <f>AS20*AT20</f>
        <v>122.4</v>
      </c>
      <c r="AZ20" s="409">
        <f>AU20*AV20</f>
        <v>125.4</v>
      </c>
      <c r="BA20" s="409">
        <f>AW20*AX20</f>
        <v>304.5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4"/>
        <v>0</v>
      </c>
      <c r="BG20" s="82">
        <f t="shared" si="4"/>
        <v>0</v>
      </c>
    </row>
    <row r="21" spans="1:61" ht="15.75" thickBot="1">
      <c r="A21" s="6">
        <f>ELEC!C19</f>
        <v>44667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8"/>
        <v>628027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7062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5182</v>
      </c>
      <c r="U21" s="5">
        <f t="shared" si="3"/>
        <v>0</v>
      </c>
      <c r="V21" s="5">
        <f t="shared" si="14"/>
        <v>482</v>
      </c>
      <c r="W21" s="309">
        <f t="shared" si="15"/>
        <v>0</v>
      </c>
      <c r="X21" s="5">
        <f t="shared" si="16"/>
        <v>155209</v>
      </c>
      <c r="Y21" s="309">
        <f>SUM(X21-X20)</f>
        <v>0</v>
      </c>
      <c r="Z21" s="5">
        <f t="shared" si="17"/>
        <v>99356</v>
      </c>
      <c r="AA21" s="83">
        <f t="shared" si="18"/>
        <v>0</v>
      </c>
      <c r="AB21" s="5">
        <f t="shared" si="19"/>
        <v>260</v>
      </c>
      <c r="AC21" s="5">
        <f t="shared" si="20"/>
        <v>790</v>
      </c>
      <c r="AD21" s="83">
        <f t="shared" si="35"/>
        <v>0</v>
      </c>
      <c r="AE21" s="5">
        <f t="shared" si="21"/>
        <v>240.12</v>
      </c>
      <c r="AF21" s="83">
        <f t="shared" si="22"/>
        <v>0</v>
      </c>
      <c r="AG21" s="5">
        <f t="shared" si="23"/>
        <v>2222.14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44667</v>
      </c>
      <c r="AS21" s="407">
        <f t="shared" si="29"/>
        <v>0.9</v>
      </c>
      <c r="AT21" s="201">
        <f t="shared" si="29"/>
        <v>136</v>
      </c>
      <c r="AU21" s="408">
        <f t="shared" si="43"/>
        <v>1.1000000000000001</v>
      </c>
      <c r="AV21" s="201">
        <f t="shared" si="30"/>
        <v>114</v>
      </c>
      <c r="AW21" s="5">
        <v>2.9</v>
      </c>
      <c r="AX21" s="201">
        <f t="shared" si="31"/>
        <v>105</v>
      </c>
      <c r="AY21" s="409">
        <f>AS21*AT21</f>
        <v>122.4</v>
      </c>
      <c r="AZ21" s="409">
        <f>AU21*AV21</f>
        <v>125.4</v>
      </c>
      <c r="BA21" s="409">
        <f>AW21*AX21</f>
        <v>304.5</v>
      </c>
      <c r="BB21" s="21">
        <f t="shared" ref="BB21:BD33" si="48">AY21-AY20</f>
        <v>0</v>
      </c>
      <c r="BC21" s="21">
        <f t="shared" si="32"/>
        <v>0</v>
      </c>
      <c r="BD21" s="21">
        <f t="shared" si="32"/>
        <v>0</v>
      </c>
      <c r="BE21" s="24">
        <f t="shared" si="33"/>
        <v>0</v>
      </c>
      <c r="BF21" s="96">
        <f t="shared" si="34"/>
        <v>0</v>
      </c>
      <c r="BG21" s="82">
        <f t="shared" si="4"/>
        <v>0</v>
      </c>
    </row>
    <row r="22" spans="1:61" ht="15.75" thickBot="1">
      <c r="A22" s="6">
        <f>ELEC!C20</f>
        <v>44668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8"/>
        <v>628027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7062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5182</v>
      </c>
      <c r="U22" s="5">
        <f t="shared" si="3"/>
        <v>0</v>
      </c>
      <c r="V22" s="5">
        <f t="shared" si="14"/>
        <v>482</v>
      </c>
      <c r="W22" s="309">
        <f t="shared" si="15"/>
        <v>0</v>
      </c>
      <c r="X22" s="5">
        <f t="shared" si="16"/>
        <v>155209</v>
      </c>
      <c r="Y22" s="309">
        <f t="shared" si="42"/>
        <v>0</v>
      </c>
      <c r="Z22" s="5">
        <f t="shared" si="17"/>
        <v>99356</v>
      </c>
      <c r="AA22" s="83">
        <f t="shared" si="18"/>
        <v>0</v>
      </c>
      <c r="AB22" s="5">
        <f t="shared" si="19"/>
        <v>260</v>
      </c>
      <c r="AC22" s="5">
        <f t="shared" si="20"/>
        <v>790</v>
      </c>
      <c r="AD22" s="83">
        <f t="shared" si="35"/>
        <v>0</v>
      </c>
      <c r="AE22" s="5">
        <f t="shared" si="21"/>
        <v>240.12</v>
      </c>
      <c r="AF22" s="83">
        <f t="shared" si="22"/>
        <v>0</v>
      </c>
      <c r="AG22" s="5">
        <f t="shared" si="23"/>
        <v>2222.14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44668</v>
      </c>
      <c r="AS22" s="407">
        <f t="shared" ref="AS22:AT33" si="49">AS21</f>
        <v>0.9</v>
      </c>
      <c r="AT22" s="201">
        <f t="shared" si="49"/>
        <v>136</v>
      </c>
      <c r="AU22" s="408">
        <f t="shared" si="43"/>
        <v>1.1000000000000001</v>
      </c>
      <c r="AV22" s="201">
        <f t="shared" si="30"/>
        <v>114</v>
      </c>
      <c r="AW22" s="5">
        <v>2.9</v>
      </c>
      <c r="AX22" s="201">
        <f t="shared" si="31"/>
        <v>105</v>
      </c>
      <c r="AY22" s="409">
        <f t="shared" si="37"/>
        <v>122.4</v>
      </c>
      <c r="AZ22" s="409">
        <f t="shared" si="38"/>
        <v>125.4</v>
      </c>
      <c r="BA22" s="409">
        <f t="shared" si="39"/>
        <v>304.5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3"/>
        <v>0</v>
      </c>
      <c r="BF22" s="96">
        <f t="shared" si="34"/>
        <v>0</v>
      </c>
      <c r="BG22" s="82">
        <f t="shared" si="4"/>
        <v>0</v>
      </c>
    </row>
    <row r="23" spans="1:61" ht="15.75" thickBot="1">
      <c r="A23" s="6">
        <f>ELEC!C21</f>
        <v>44669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f t="shared" si="8"/>
        <v>628027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7062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5182</v>
      </c>
      <c r="U23" s="5">
        <f t="shared" si="3"/>
        <v>0</v>
      </c>
      <c r="V23" s="5">
        <f t="shared" si="14"/>
        <v>482</v>
      </c>
      <c r="W23" s="309">
        <f t="shared" si="15"/>
        <v>0</v>
      </c>
      <c r="X23" s="5">
        <f t="shared" si="16"/>
        <v>155209</v>
      </c>
      <c r="Y23" s="309">
        <f t="shared" si="42"/>
        <v>0</v>
      </c>
      <c r="Z23" s="5">
        <f t="shared" si="17"/>
        <v>99356</v>
      </c>
      <c r="AA23" s="83">
        <f t="shared" si="18"/>
        <v>0</v>
      </c>
      <c r="AB23" s="5">
        <f t="shared" si="19"/>
        <v>260</v>
      </c>
      <c r="AC23" s="5">
        <f t="shared" si="20"/>
        <v>790</v>
      </c>
      <c r="AD23" s="83">
        <f t="shared" si="35"/>
        <v>0</v>
      </c>
      <c r="AE23" s="5">
        <f t="shared" si="21"/>
        <v>240.12</v>
      </c>
      <c r="AF23" s="83">
        <f t="shared" si="22"/>
        <v>0</v>
      </c>
      <c r="AG23" s="5">
        <f t="shared" si="23"/>
        <v>2222.14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6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44669</v>
      </c>
      <c r="AS23" s="407">
        <f t="shared" si="49"/>
        <v>0.9</v>
      </c>
      <c r="AT23" s="201">
        <f t="shared" si="49"/>
        <v>136</v>
      </c>
      <c r="AU23" s="408">
        <f t="shared" si="43"/>
        <v>1.1000000000000001</v>
      </c>
      <c r="AV23" s="201">
        <f t="shared" si="30"/>
        <v>114</v>
      </c>
      <c r="AW23" s="5">
        <v>2.9</v>
      </c>
      <c r="AX23" s="201">
        <f t="shared" si="31"/>
        <v>105</v>
      </c>
      <c r="AY23" s="409">
        <f t="shared" si="37"/>
        <v>122.4</v>
      </c>
      <c r="AZ23" s="409">
        <f t="shared" si="38"/>
        <v>125.4</v>
      </c>
      <c r="BA23" s="409">
        <f t="shared" si="39"/>
        <v>304.5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3"/>
        <v>0</v>
      </c>
      <c r="BF23" s="96">
        <f t="shared" si="34"/>
        <v>0</v>
      </c>
      <c r="BG23" s="82">
        <f t="shared" si="4"/>
        <v>0</v>
      </c>
    </row>
    <row r="24" spans="1:61" ht="15.75" thickBot="1">
      <c r="A24" s="6">
        <f>ELEC!C22</f>
        <v>44670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8"/>
        <v>628027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7062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5182</v>
      </c>
      <c r="U24" s="5">
        <f t="shared" si="3"/>
        <v>0</v>
      </c>
      <c r="V24" s="5">
        <f t="shared" si="14"/>
        <v>482</v>
      </c>
      <c r="W24" s="309">
        <f t="shared" si="15"/>
        <v>0</v>
      </c>
      <c r="X24" s="5">
        <f t="shared" si="16"/>
        <v>155209</v>
      </c>
      <c r="Y24" s="309">
        <f t="shared" si="42"/>
        <v>0</v>
      </c>
      <c r="Z24" s="5">
        <f t="shared" si="17"/>
        <v>99356</v>
      </c>
      <c r="AA24" s="83">
        <f t="shared" si="18"/>
        <v>0</v>
      </c>
      <c r="AB24" s="5">
        <f t="shared" si="19"/>
        <v>260</v>
      </c>
      <c r="AC24" s="5">
        <f t="shared" si="20"/>
        <v>790</v>
      </c>
      <c r="AD24" s="83">
        <f t="shared" si="35"/>
        <v>0</v>
      </c>
      <c r="AE24" s="5">
        <f t="shared" si="21"/>
        <v>240.12</v>
      </c>
      <c r="AF24" s="83">
        <f t="shared" si="22"/>
        <v>0</v>
      </c>
      <c r="AG24" s="5">
        <f t="shared" si="23"/>
        <v>2222.14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44670</v>
      </c>
      <c r="AS24" s="407">
        <f t="shared" si="49"/>
        <v>0.9</v>
      </c>
      <c r="AT24" s="201">
        <f t="shared" si="49"/>
        <v>136</v>
      </c>
      <c r="AU24" s="408">
        <f t="shared" si="43"/>
        <v>1.1000000000000001</v>
      </c>
      <c r="AV24" s="201">
        <f t="shared" si="30"/>
        <v>114</v>
      </c>
      <c r="AW24" s="5">
        <v>2.9</v>
      </c>
      <c r="AX24" s="201">
        <f t="shared" si="31"/>
        <v>105</v>
      </c>
      <c r="AY24" s="409">
        <f t="shared" si="37"/>
        <v>122.4</v>
      </c>
      <c r="AZ24" s="409">
        <f t="shared" si="38"/>
        <v>125.4</v>
      </c>
      <c r="BA24" s="409">
        <f t="shared" si="39"/>
        <v>304.5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3"/>
        <v>0</v>
      </c>
      <c r="BF24" s="96">
        <f t="shared" si="34"/>
        <v>0</v>
      </c>
      <c r="BG24" s="82">
        <f t="shared" si="4"/>
        <v>0</v>
      </c>
      <c r="BI24" s="82"/>
    </row>
    <row r="25" spans="1:61" ht="15.75" thickBot="1">
      <c r="A25" s="6">
        <f>ELEC!C23</f>
        <v>44671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8"/>
        <v>628027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7062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5182</v>
      </c>
      <c r="U25" s="5">
        <f t="shared" si="3"/>
        <v>0</v>
      </c>
      <c r="V25" s="5">
        <f t="shared" si="14"/>
        <v>482</v>
      </c>
      <c r="W25" s="309">
        <f t="shared" si="15"/>
        <v>0</v>
      </c>
      <c r="X25" s="5">
        <f t="shared" si="16"/>
        <v>155209</v>
      </c>
      <c r="Y25" s="309">
        <f t="shared" si="42"/>
        <v>0</v>
      </c>
      <c r="Z25" s="5">
        <f t="shared" si="17"/>
        <v>99356</v>
      </c>
      <c r="AA25" s="83">
        <f t="shared" si="18"/>
        <v>0</v>
      </c>
      <c r="AB25" s="5">
        <f t="shared" si="19"/>
        <v>260</v>
      </c>
      <c r="AC25" s="5">
        <f t="shared" si="20"/>
        <v>790</v>
      </c>
      <c r="AD25" s="83">
        <f t="shared" si="35"/>
        <v>0</v>
      </c>
      <c r="AE25" s="5">
        <f t="shared" si="21"/>
        <v>240.12</v>
      </c>
      <c r="AF25" s="83">
        <f t="shared" si="22"/>
        <v>0</v>
      </c>
      <c r="AG25" s="5">
        <f t="shared" si="23"/>
        <v>2222.14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44671</v>
      </c>
      <c r="AS25" s="407">
        <f t="shared" si="49"/>
        <v>0.9</v>
      </c>
      <c r="AT25" s="201">
        <f t="shared" si="49"/>
        <v>136</v>
      </c>
      <c r="AU25" s="408">
        <f t="shared" si="43"/>
        <v>1.1000000000000001</v>
      </c>
      <c r="AV25" s="201">
        <f t="shared" si="30"/>
        <v>114</v>
      </c>
      <c r="AW25" s="5">
        <v>2.9</v>
      </c>
      <c r="AX25" s="201">
        <f t="shared" si="31"/>
        <v>105</v>
      </c>
      <c r="AY25" s="409">
        <f t="shared" si="37"/>
        <v>122.4</v>
      </c>
      <c r="AZ25" s="409">
        <f t="shared" si="38"/>
        <v>125.4</v>
      </c>
      <c r="BA25" s="409">
        <f t="shared" si="39"/>
        <v>304.5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44672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8"/>
        <v>628027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7062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5182</v>
      </c>
      <c r="U26" s="5">
        <f t="shared" si="3"/>
        <v>0</v>
      </c>
      <c r="V26" s="5">
        <v>482</v>
      </c>
      <c r="W26" s="309">
        <f t="shared" si="15"/>
        <v>0</v>
      </c>
      <c r="X26" s="5">
        <f t="shared" si="16"/>
        <v>155209</v>
      </c>
      <c r="Y26" s="309">
        <f t="shared" si="42"/>
        <v>0</v>
      </c>
      <c r="Z26" s="5">
        <f t="shared" si="17"/>
        <v>99356</v>
      </c>
      <c r="AA26" s="83">
        <f t="shared" si="18"/>
        <v>0</v>
      </c>
      <c r="AB26" s="5">
        <f t="shared" si="19"/>
        <v>260</v>
      </c>
      <c r="AC26" s="5">
        <f t="shared" si="20"/>
        <v>790</v>
      </c>
      <c r="AD26" s="83">
        <f t="shared" si="35"/>
        <v>0</v>
      </c>
      <c r="AE26" s="5">
        <f t="shared" si="21"/>
        <v>240.12</v>
      </c>
      <c r="AF26" s="83">
        <f t="shared" si="22"/>
        <v>0</v>
      </c>
      <c r="AG26" s="5">
        <f t="shared" si="23"/>
        <v>2222.14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44672</v>
      </c>
      <c r="AS26" s="407">
        <f t="shared" si="49"/>
        <v>0.9</v>
      </c>
      <c r="AT26" s="201">
        <f t="shared" si="49"/>
        <v>136</v>
      </c>
      <c r="AU26" s="408">
        <f t="shared" si="43"/>
        <v>1.1000000000000001</v>
      </c>
      <c r="AV26" s="201">
        <f t="shared" si="30"/>
        <v>114</v>
      </c>
      <c r="AW26" s="5">
        <v>2.9</v>
      </c>
      <c r="AX26" s="201">
        <f t="shared" si="31"/>
        <v>105</v>
      </c>
      <c r="AY26" s="409">
        <f t="shared" si="37"/>
        <v>122.4</v>
      </c>
      <c r="AZ26" s="409">
        <f t="shared" si="38"/>
        <v>125.4</v>
      </c>
      <c r="BA26" s="409">
        <f t="shared" si="39"/>
        <v>304.5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44673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8"/>
        <v>628027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7062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5182</v>
      </c>
      <c r="U27" s="5">
        <f t="shared" si="3"/>
        <v>0</v>
      </c>
      <c r="V27" s="5">
        <f t="shared" si="14"/>
        <v>482</v>
      </c>
      <c r="W27" s="309">
        <f t="shared" si="15"/>
        <v>0</v>
      </c>
      <c r="X27" s="5">
        <f t="shared" si="16"/>
        <v>155209</v>
      </c>
      <c r="Y27" s="309">
        <f t="shared" si="42"/>
        <v>0</v>
      </c>
      <c r="Z27" s="5">
        <f t="shared" si="17"/>
        <v>99356</v>
      </c>
      <c r="AA27" s="83">
        <f t="shared" si="18"/>
        <v>0</v>
      </c>
      <c r="AB27" s="5">
        <f t="shared" si="19"/>
        <v>260</v>
      </c>
      <c r="AC27" s="5">
        <f t="shared" si="20"/>
        <v>790</v>
      </c>
      <c r="AD27" s="83">
        <f t="shared" si="35"/>
        <v>0</v>
      </c>
      <c r="AE27" s="5">
        <f t="shared" si="21"/>
        <v>240.12</v>
      </c>
      <c r="AF27" s="83">
        <f t="shared" si="22"/>
        <v>0</v>
      </c>
      <c r="AG27" s="5">
        <f t="shared" si="23"/>
        <v>2222.14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44673</v>
      </c>
      <c r="AS27" s="407">
        <f t="shared" si="49"/>
        <v>0.9</v>
      </c>
      <c r="AT27" s="201">
        <f t="shared" si="49"/>
        <v>136</v>
      </c>
      <c r="AU27" s="408">
        <f t="shared" si="43"/>
        <v>1.1000000000000001</v>
      </c>
      <c r="AV27" s="201">
        <f t="shared" si="30"/>
        <v>114</v>
      </c>
      <c r="AW27" s="5">
        <v>2.9</v>
      </c>
      <c r="AX27" s="201">
        <f t="shared" si="31"/>
        <v>105</v>
      </c>
      <c r="AY27" s="409">
        <f t="shared" si="37"/>
        <v>122.4</v>
      </c>
      <c r="AZ27" s="409">
        <f t="shared" si="38"/>
        <v>125.4</v>
      </c>
      <c r="BA27" s="409">
        <f t="shared" si="39"/>
        <v>304.5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44674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8"/>
        <v>628027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7062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5182</v>
      </c>
      <c r="U28" s="5">
        <f t="shared" si="3"/>
        <v>0</v>
      </c>
      <c r="V28" s="5">
        <f t="shared" si="14"/>
        <v>482</v>
      </c>
      <c r="W28" s="309">
        <f t="shared" si="15"/>
        <v>0</v>
      </c>
      <c r="X28" s="5">
        <f t="shared" si="16"/>
        <v>155209</v>
      </c>
      <c r="Y28" s="309">
        <f t="shared" si="42"/>
        <v>0</v>
      </c>
      <c r="Z28" s="5">
        <f t="shared" si="17"/>
        <v>99356</v>
      </c>
      <c r="AA28" s="83">
        <f t="shared" si="18"/>
        <v>0</v>
      </c>
      <c r="AB28" s="5">
        <f t="shared" si="19"/>
        <v>260</v>
      </c>
      <c r="AC28" s="5">
        <f t="shared" si="20"/>
        <v>790</v>
      </c>
      <c r="AD28" s="83">
        <f t="shared" si="35"/>
        <v>0</v>
      </c>
      <c r="AE28" s="5">
        <f t="shared" si="21"/>
        <v>240.12</v>
      </c>
      <c r="AF28" s="83">
        <f t="shared" si="22"/>
        <v>0</v>
      </c>
      <c r="AG28" s="5">
        <f t="shared" si="23"/>
        <v>2222.14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44674</v>
      </c>
      <c r="AS28" s="407">
        <f t="shared" si="49"/>
        <v>0.9</v>
      </c>
      <c r="AT28" s="201">
        <f t="shared" si="49"/>
        <v>136</v>
      </c>
      <c r="AU28" s="408">
        <f t="shared" si="43"/>
        <v>1.1000000000000001</v>
      </c>
      <c r="AV28" s="201">
        <f t="shared" si="30"/>
        <v>114</v>
      </c>
      <c r="AW28" s="5">
        <v>2.9</v>
      </c>
      <c r="AX28" s="201">
        <f t="shared" si="31"/>
        <v>105</v>
      </c>
      <c r="AY28" s="409">
        <f t="shared" si="37"/>
        <v>122.4</v>
      </c>
      <c r="AZ28" s="409">
        <f t="shared" si="38"/>
        <v>125.4</v>
      </c>
      <c r="BA28" s="409">
        <f t="shared" si="39"/>
        <v>304.5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44675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8"/>
        <v>628027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7062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5182</v>
      </c>
      <c r="U29" s="5">
        <f t="shared" si="3"/>
        <v>0</v>
      </c>
      <c r="V29" s="5">
        <f t="shared" si="14"/>
        <v>482</v>
      </c>
      <c r="W29" s="309">
        <f t="shared" si="15"/>
        <v>0</v>
      </c>
      <c r="X29" s="5">
        <f t="shared" si="16"/>
        <v>155209</v>
      </c>
      <c r="Y29" s="309">
        <f t="shared" si="42"/>
        <v>0</v>
      </c>
      <c r="Z29" s="5">
        <f t="shared" si="17"/>
        <v>99356</v>
      </c>
      <c r="AA29" s="83">
        <f t="shared" si="18"/>
        <v>0</v>
      </c>
      <c r="AB29" s="5">
        <f t="shared" si="19"/>
        <v>260</v>
      </c>
      <c r="AC29" s="5">
        <f t="shared" si="20"/>
        <v>790</v>
      </c>
      <c r="AD29" s="83">
        <f t="shared" si="35"/>
        <v>0</v>
      </c>
      <c r="AE29" s="5">
        <f t="shared" si="21"/>
        <v>240.12</v>
      </c>
      <c r="AF29" s="83">
        <f t="shared" si="22"/>
        <v>0</v>
      </c>
      <c r="AG29" s="5">
        <f t="shared" si="23"/>
        <v>2222.14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44675</v>
      </c>
      <c r="AS29" s="407">
        <f t="shared" si="49"/>
        <v>0.9</v>
      </c>
      <c r="AT29" s="201">
        <f t="shared" si="49"/>
        <v>136</v>
      </c>
      <c r="AU29" s="408">
        <f t="shared" si="43"/>
        <v>1.1000000000000001</v>
      </c>
      <c r="AV29" s="201">
        <f t="shared" si="30"/>
        <v>114</v>
      </c>
      <c r="AW29" s="5">
        <v>2.9</v>
      </c>
      <c r="AX29" s="201">
        <f t="shared" si="31"/>
        <v>105</v>
      </c>
      <c r="AY29" s="409">
        <f t="shared" si="37"/>
        <v>122.4</v>
      </c>
      <c r="AZ29" s="409">
        <f t="shared" si="38"/>
        <v>125.4</v>
      </c>
      <c r="BA29" s="409">
        <f t="shared" si="39"/>
        <v>304.5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3"/>
        <v>0</v>
      </c>
      <c r="BF29" s="96">
        <f t="shared" si="34"/>
        <v>0</v>
      </c>
      <c r="BG29" s="82">
        <f t="shared" si="4"/>
        <v>0</v>
      </c>
    </row>
    <row r="30" spans="1:61" ht="15.75" thickBot="1">
      <c r="A30" s="6">
        <f>ELEC!C28</f>
        <v>44676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8"/>
        <v>628027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7062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5182</v>
      </c>
      <c r="U30" s="5">
        <f t="shared" si="3"/>
        <v>0</v>
      </c>
      <c r="V30" s="5">
        <f t="shared" si="14"/>
        <v>482</v>
      </c>
      <c r="W30" s="309">
        <f t="shared" si="15"/>
        <v>0</v>
      </c>
      <c r="X30" s="5">
        <f t="shared" si="16"/>
        <v>155209</v>
      </c>
      <c r="Y30" s="309">
        <f t="shared" si="42"/>
        <v>0</v>
      </c>
      <c r="Z30" s="5">
        <f t="shared" si="17"/>
        <v>99356</v>
      </c>
      <c r="AA30" s="83">
        <f t="shared" si="18"/>
        <v>0</v>
      </c>
      <c r="AB30" s="5">
        <f t="shared" si="19"/>
        <v>260</v>
      </c>
      <c r="AC30" s="5">
        <f t="shared" si="20"/>
        <v>790</v>
      </c>
      <c r="AD30" s="83">
        <f t="shared" si="35"/>
        <v>0</v>
      </c>
      <c r="AE30" s="5">
        <f t="shared" si="21"/>
        <v>240.12</v>
      </c>
      <c r="AF30" s="83">
        <f t="shared" si="22"/>
        <v>0</v>
      </c>
      <c r="AG30" s="5">
        <f t="shared" si="23"/>
        <v>2222.14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6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44676</v>
      </c>
      <c r="AS30" s="407">
        <f t="shared" si="49"/>
        <v>0.9</v>
      </c>
      <c r="AT30" s="201">
        <f t="shared" si="49"/>
        <v>136</v>
      </c>
      <c r="AU30" s="408">
        <f t="shared" si="43"/>
        <v>1.1000000000000001</v>
      </c>
      <c r="AV30" s="201">
        <f t="shared" si="30"/>
        <v>114</v>
      </c>
      <c r="AW30" s="5">
        <v>2.9</v>
      </c>
      <c r="AX30" s="201">
        <f t="shared" si="31"/>
        <v>105</v>
      </c>
      <c r="AY30" s="409">
        <f t="shared" si="37"/>
        <v>122.4</v>
      </c>
      <c r="AZ30" s="409">
        <f t="shared" si="38"/>
        <v>125.4</v>
      </c>
      <c r="BA30" s="409">
        <f t="shared" si="39"/>
        <v>304.5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3"/>
        <v>0</v>
      </c>
      <c r="BF30" s="96">
        <f t="shared" si="34"/>
        <v>0</v>
      </c>
      <c r="BG30" s="82">
        <f t="shared" si="4"/>
        <v>0</v>
      </c>
    </row>
    <row r="31" spans="1:61" ht="15.75" thickBot="1">
      <c r="A31" s="6">
        <f>ELEC!C29</f>
        <v>44677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8"/>
        <v>628027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7062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5182</v>
      </c>
      <c r="U31" s="5">
        <f t="shared" si="3"/>
        <v>0</v>
      </c>
      <c r="V31" s="5">
        <f t="shared" si="14"/>
        <v>482</v>
      </c>
      <c r="W31" s="309">
        <f t="shared" si="15"/>
        <v>0</v>
      </c>
      <c r="X31" s="5">
        <f t="shared" si="16"/>
        <v>155209</v>
      </c>
      <c r="Y31" s="309">
        <f t="shared" si="42"/>
        <v>0</v>
      </c>
      <c r="Z31" s="5">
        <f t="shared" si="17"/>
        <v>99356</v>
      </c>
      <c r="AA31" s="83">
        <f t="shared" si="18"/>
        <v>0</v>
      </c>
      <c r="AB31" s="5">
        <f t="shared" si="19"/>
        <v>260</v>
      </c>
      <c r="AC31" s="5">
        <f t="shared" si="20"/>
        <v>790</v>
      </c>
      <c r="AD31" s="83">
        <f t="shared" si="35"/>
        <v>0</v>
      </c>
      <c r="AE31" s="5">
        <f t="shared" si="21"/>
        <v>240.12</v>
      </c>
      <c r="AF31" s="83">
        <f t="shared" si="22"/>
        <v>0</v>
      </c>
      <c r="AG31" s="5">
        <f t="shared" si="23"/>
        <v>2222.14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44677</v>
      </c>
      <c r="AS31" s="407">
        <f t="shared" si="49"/>
        <v>0.9</v>
      </c>
      <c r="AT31" s="201">
        <f t="shared" si="49"/>
        <v>136</v>
      </c>
      <c r="AU31" s="408">
        <f t="shared" si="43"/>
        <v>1.1000000000000001</v>
      </c>
      <c r="AV31" s="201">
        <f t="shared" si="30"/>
        <v>114</v>
      </c>
      <c r="AW31" s="5">
        <v>2.9</v>
      </c>
      <c r="AX31" s="201">
        <f t="shared" si="31"/>
        <v>105</v>
      </c>
      <c r="AY31" s="409">
        <f t="shared" si="37"/>
        <v>122.4</v>
      </c>
      <c r="AZ31" s="409">
        <f>AU31*AV31</f>
        <v>125.4</v>
      </c>
      <c r="BA31" s="409">
        <f t="shared" si="39"/>
        <v>304.5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44678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8"/>
        <v>628027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7062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5182</v>
      </c>
      <c r="U32" s="5">
        <f t="shared" si="3"/>
        <v>0</v>
      </c>
      <c r="V32" s="5">
        <f t="shared" si="14"/>
        <v>482</v>
      </c>
      <c r="W32" s="309">
        <f t="shared" si="15"/>
        <v>0</v>
      </c>
      <c r="X32" s="5">
        <f t="shared" si="16"/>
        <v>155209</v>
      </c>
      <c r="Y32" s="309">
        <f t="shared" si="42"/>
        <v>0</v>
      </c>
      <c r="Z32" s="5">
        <f t="shared" si="17"/>
        <v>99356</v>
      </c>
      <c r="AA32" s="83">
        <f t="shared" si="18"/>
        <v>0</v>
      </c>
      <c r="AB32" s="5">
        <f t="shared" si="19"/>
        <v>260</v>
      </c>
      <c r="AC32" s="5">
        <f t="shared" si="20"/>
        <v>790</v>
      </c>
      <c r="AD32" s="83">
        <f t="shared" si="35"/>
        <v>0</v>
      </c>
      <c r="AE32" s="5">
        <f t="shared" si="21"/>
        <v>240.12</v>
      </c>
      <c r="AF32" s="83">
        <f t="shared" si="22"/>
        <v>0</v>
      </c>
      <c r="AG32" s="5">
        <f t="shared" si="23"/>
        <v>2222.14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44678</v>
      </c>
      <c r="AS32" s="407">
        <f t="shared" si="49"/>
        <v>0.9</v>
      </c>
      <c r="AT32" s="201">
        <f t="shared" si="49"/>
        <v>136</v>
      </c>
      <c r="AU32" s="408">
        <f t="shared" si="43"/>
        <v>1.1000000000000001</v>
      </c>
      <c r="AV32" s="201">
        <f t="shared" si="30"/>
        <v>114</v>
      </c>
      <c r="AW32" s="5">
        <v>2.9</v>
      </c>
      <c r="AX32" s="201">
        <f t="shared" si="31"/>
        <v>105</v>
      </c>
      <c r="AY32" s="409">
        <f t="shared" si="37"/>
        <v>122.4</v>
      </c>
      <c r="AZ32" s="409">
        <f t="shared" si="38"/>
        <v>125.4</v>
      </c>
      <c r="BA32" s="409">
        <f t="shared" si="39"/>
        <v>304.5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44679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8"/>
        <v>628027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7062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5182</v>
      </c>
      <c r="U33" s="5">
        <f t="shared" si="3"/>
        <v>0</v>
      </c>
      <c r="V33" s="5">
        <f t="shared" si="14"/>
        <v>482</v>
      </c>
      <c r="W33" s="309">
        <f t="shared" si="15"/>
        <v>0</v>
      </c>
      <c r="X33" s="5">
        <f t="shared" si="16"/>
        <v>155209</v>
      </c>
      <c r="Y33" s="309">
        <f t="shared" si="42"/>
        <v>0</v>
      </c>
      <c r="Z33" s="5">
        <f t="shared" si="17"/>
        <v>99356</v>
      </c>
      <c r="AA33" s="83">
        <f t="shared" si="18"/>
        <v>0</v>
      </c>
      <c r="AB33" s="5">
        <f t="shared" si="19"/>
        <v>260</v>
      </c>
      <c r="AC33" s="5">
        <f t="shared" si="20"/>
        <v>790</v>
      </c>
      <c r="AD33" s="83">
        <f t="shared" si="35"/>
        <v>0</v>
      </c>
      <c r="AE33" s="5">
        <f t="shared" si="21"/>
        <v>240.12</v>
      </c>
      <c r="AF33" s="83">
        <f>AE33-AE32</f>
        <v>0</v>
      </c>
      <c r="AG33" s="5">
        <f t="shared" si="23"/>
        <v>2222.14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44679</v>
      </c>
      <c r="AS33" s="407">
        <f t="shared" si="49"/>
        <v>0.9</v>
      </c>
      <c r="AT33" s="201">
        <f t="shared" si="49"/>
        <v>136</v>
      </c>
      <c r="AU33" s="408">
        <f t="shared" si="43"/>
        <v>1.1000000000000001</v>
      </c>
      <c r="AV33" s="201">
        <f t="shared" si="30"/>
        <v>114</v>
      </c>
      <c r="AW33" s="5">
        <v>2.9</v>
      </c>
      <c r="AX33" s="201">
        <f t="shared" si="31"/>
        <v>105</v>
      </c>
      <c r="AY33" s="409">
        <f t="shared" si="37"/>
        <v>122.4</v>
      </c>
      <c r="AZ33" s="409">
        <f t="shared" si="38"/>
        <v>125.4</v>
      </c>
      <c r="BA33" s="409">
        <f t="shared" si="39"/>
        <v>304.5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44680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250</v>
      </c>
      <c r="F34" s="312"/>
      <c r="G34" s="5">
        <f t="shared" si="8"/>
        <v>628027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7062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5182</v>
      </c>
      <c r="U34" s="5">
        <f t="shared" ref="U34:U36" si="59">SUM(T34-T33)</f>
        <v>0</v>
      </c>
      <c r="V34" s="5">
        <f t="shared" si="14"/>
        <v>482</v>
      </c>
      <c r="W34" s="309">
        <f t="shared" ref="W34:W36" si="60">+V34-V33</f>
        <v>0</v>
      </c>
      <c r="X34" s="5">
        <f t="shared" si="16"/>
        <v>155209</v>
      </c>
      <c r="Y34" s="309">
        <f t="shared" ref="Y34:Y36" si="61">SUM(X34-X33)</f>
        <v>0</v>
      </c>
      <c r="Z34" s="5">
        <f t="shared" si="17"/>
        <v>99356</v>
      </c>
      <c r="AA34" s="83">
        <f t="shared" ref="AA34:AA36" si="62">Z34-Z33</f>
        <v>0</v>
      </c>
      <c r="AB34" s="5">
        <f t="shared" si="19"/>
        <v>260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240.12</v>
      </c>
      <c r="AF34" s="83">
        <f t="shared" ref="AF34:AF36" si="64">AE34-AE33</f>
        <v>0</v>
      </c>
      <c r="AG34" s="5">
        <v>2222.14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44680</v>
      </c>
      <c r="AS34" s="407">
        <f t="shared" ref="AS34:AT34" si="70">AS33</f>
        <v>0.9</v>
      </c>
      <c r="AT34" s="201">
        <f t="shared" si="70"/>
        <v>136</v>
      </c>
      <c r="AU34" s="408">
        <f t="shared" si="43"/>
        <v>1.1000000000000001</v>
      </c>
      <c r="AV34" s="201">
        <f t="shared" si="30"/>
        <v>114</v>
      </c>
      <c r="AW34" s="5">
        <v>2.9</v>
      </c>
      <c r="AX34" s="201">
        <f t="shared" si="31"/>
        <v>105</v>
      </c>
      <c r="AY34" s="409">
        <f t="shared" ref="AY34:AY36" si="71">AS34*AT34</f>
        <v>122.4</v>
      </c>
      <c r="AZ34" s="409">
        <f t="shared" ref="AZ34:AZ36" si="72">AU34*AV34</f>
        <v>125.4</v>
      </c>
      <c r="BA34" s="409">
        <f t="shared" ref="BA34:BA36" si="73">AW34*AX34</f>
        <v>304.5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44681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250</v>
      </c>
      <c r="F35" s="312"/>
      <c r="G35" s="5">
        <f t="shared" si="8"/>
        <v>628027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7062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5182</v>
      </c>
      <c r="U35" s="5">
        <f t="shared" si="59"/>
        <v>0</v>
      </c>
      <c r="V35" s="5">
        <f t="shared" si="14"/>
        <v>482</v>
      </c>
      <c r="W35" s="309">
        <f t="shared" si="60"/>
        <v>0</v>
      </c>
      <c r="X35" s="5">
        <f t="shared" si="16"/>
        <v>155209</v>
      </c>
      <c r="Y35" s="309">
        <f t="shared" si="61"/>
        <v>0</v>
      </c>
      <c r="Z35" s="5">
        <f t="shared" si="17"/>
        <v>99356</v>
      </c>
      <c r="AA35" s="83">
        <f t="shared" si="62"/>
        <v>0</v>
      </c>
      <c r="AB35" s="5">
        <f t="shared" si="19"/>
        <v>260</v>
      </c>
      <c r="AC35" s="5">
        <f t="shared" si="20"/>
        <v>790</v>
      </c>
      <c r="AD35" s="83">
        <f t="shared" si="63"/>
        <v>0</v>
      </c>
      <c r="AE35" s="5">
        <f t="shared" si="21"/>
        <v>240.12</v>
      </c>
      <c r="AF35" s="83">
        <f t="shared" si="64"/>
        <v>0</v>
      </c>
      <c r="AG35" s="5">
        <f t="shared" si="23"/>
        <v>2222.14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44681</v>
      </c>
      <c r="AS35" s="407">
        <f t="shared" ref="AS35:AT35" si="81">AS34</f>
        <v>0.9</v>
      </c>
      <c r="AT35" s="201">
        <f t="shared" si="81"/>
        <v>136</v>
      </c>
      <c r="AU35" s="408">
        <f t="shared" si="43"/>
        <v>1.1000000000000001</v>
      </c>
      <c r="AV35" s="201">
        <f t="shared" si="30"/>
        <v>114</v>
      </c>
      <c r="AW35" s="5">
        <v>2.9</v>
      </c>
      <c r="AX35" s="201">
        <f t="shared" si="31"/>
        <v>105</v>
      </c>
      <c r="AY35" s="409">
        <f t="shared" si="71"/>
        <v>122.4</v>
      </c>
      <c r="AZ35" s="409">
        <f t="shared" si="72"/>
        <v>125.4</v>
      </c>
      <c r="BA35" s="409">
        <f t="shared" si="73"/>
        <v>304.5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44682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250</v>
      </c>
      <c r="F36" s="312"/>
      <c r="G36" s="5">
        <f t="shared" si="8"/>
        <v>628027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7062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5182</v>
      </c>
      <c r="U36" s="5">
        <f t="shared" si="59"/>
        <v>0</v>
      </c>
      <c r="V36" s="5">
        <f t="shared" si="14"/>
        <v>482</v>
      </c>
      <c r="W36" s="309">
        <f t="shared" si="60"/>
        <v>0</v>
      </c>
      <c r="X36" s="5">
        <f t="shared" si="16"/>
        <v>155209</v>
      </c>
      <c r="Y36" s="309">
        <f t="shared" si="61"/>
        <v>0</v>
      </c>
      <c r="Z36" s="5">
        <f t="shared" si="17"/>
        <v>99356</v>
      </c>
      <c r="AA36" s="83">
        <f t="shared" si="62"/>
        <v>0</v>
      </c>
      <c r="AB36" s="5">
        <f t="shared" si="19"/>
        <v>260</v>
      </c>
      <c r="AC36" s="5">
        <f t="shared" si="20"/>
        <v>790</v>
      </c>
      <c r="AD36" s="83">
        <f t="shared" si="63"/>
        <v>0</v>
      </c>
      <c r="AE36" s="5">
        <f t="shared" si="21"/>
        <v>240.12</v>
      </c>
      <c r="AF36" s="83">
        <f t="shared" si="64"/>
        <v>0</v>
      </c>
      <c r="AG36" s="5">
        <f t="shared" si="23"/>
        <v>2222.14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44682</v>
      </c>
      <c r="AS36" s="407">
        <f t="shared" ref="AS36:AT36" si="82">AS35</f>
        <v>0.9</v>
      </c>
      <c r="AT36" s="201">
        <f t="shared" si="82"/>
        <v>136</v>
      </c>
      <c r="AU36" s="408">
        <f t="shared" si="43"/>
        <v>1.1000000000000001</v>
      </c>
      <c r="AV36" s="201">
        <f t="shared" si="30"/>
        <v>114</v>
      </c>
      <c r="AW36" s="5">
        <v>2.9</v>
      </c>
      <c r="AX36" s="201">
        <f t="shared" si="31"/>
        <v>105</v>
      </c>
      <c r="AY36" s="409">
        <f t="shared" si="71"/>
        <v>122.4</v>
      </c>
      <c r="AZ36" s="409">
        <f t="shared" si="72"/>
        <v>125.4</v>
      </c>
      <c r="BA36" s="409">
        <f t="shared" si="73"/>
        <v>304.5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95</v>
      </c>
      <c r="I37" s="395">
        <f>SUM(I6:I36)</f>
        <v>95</v>
      </c>
      <c r="L37" s="258">
        <f>SUM(L7:L36)</f>
        <v>16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-16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95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95</v>
      </c>
      <c r="H39" s="1">
        <f>SUM(H38+C38)</f>
        <v>7500</v>
      </c>
      <c r="K39" s="1">
        <f>SUM(H39/G39)</f>
        <v>78.94736842105263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topLeftCell="B1" zoomScale="70" zoomScaleNormal="70" workbookViewId="0">
      <pane ySplit="1" topLeftCell="A2" activePane="bottomLeft" state="frozen"/>
      <selection pane="bottomLeft" activeCell="S15" sqref="S15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44651</v>
      </c>
      <c r="B2" s="260">
        <f>[2]GEN!B33</f>
        <v>11629</v>
      </c>
      <c r="C2" s="260">
        <f>[2]GEN!C33</f>
        <v>0</v>
      </c>
      <c r="D2" s="260">
        <f>[2]GEN!D33</f>
        <v>670266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11690</v>
      </c>
      <c r="I2" s="260" t="str">
        <f>[2]GEN!I33</f>
        <v>ok</v>
      </c>
      <c r="J2" s="260">
        <f>[2]GEN!J33</f>
        <v>10716</v>
      </c>
      <c r="K2" s="260">
        <f>[2]GEN!K33</f>
        <v>0</v>
      </c>
      <c r="L2" s="260">
        <f>[2]GEN!L33</f>
        <v>362191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13785</v>
      </c>
      <c r="S2" s="260">
        <f>[2]GEN!S33</f>
        <v>15</v>
      </c>
      <c r="T2" s="260">
        <f>[2]GEN!T33</f>
        <v>385762</v>
      </c>
      <c r="U2" s="260">
        <f>[2]GEN!U33</f>
        <v>3750</v>
      </c>
      <c r="V2" s="260">
        <f>[2]GEN!V33</f>
        <v>250</v>
      </c>
      <c r="W2" s="260">
        <f>[2]GEN!W33</f>
        <v>0</v>
      </c>
      <c r="X2" s="260">
        <f>[2]GEN!X33</f>
        <v>13873</v>
      </c>
      <c r="Y2" s="260" t="str">
        <f>[2]GEN!Y33</f>
        <v>ok</v>
      </c>
      <c r="Z2" s="260">
        <f>[2]GEN!Z33</f>
        <v>15</v>
      </c>
      <c r="AA2" s="260">
        <f>[2]GEN!AA33</f>
        <v>3750</v>
      </c>
      <c r="AB2" s="260">
        <f>[2]GEN!AB33</f>
        <v>250</v>
      </c>
      <c r="AC2" s="260">
        <f>[2]GEN!AC33</f>
        <v>250</v>
      </c>
      <c r="AD2" s="260">
        <f>[2]GEN!AD33</f>
        <v>5966.999999996915</v>
      </c>
      <c r="AE2" s="260">
        <f>[2]GEN!AE33</f>
        <v>397.79999999979435</v>
      </c>
      <c r="AF2" s="260">
        <f>[2]GEN!AF33</f>
        <v>0.24862499999987148</v>
      </c>
      <c r="AG2" s="260">
        <f>[2]GEN!AG33</f>
        <v>1.5539062499991967E-4</v>
      </c>
      <c r="AH2" s="260">
        <f>[2]GEN!AH33</f>
        <v>249.999844609375</v>
      </c>
      <c r="AI2" s="260">
        <f>[2]GEN!AI33</f>
        <v>1535.8101265814846</v>
      </c>
      <c r="AJ2" s="260">
        <f>[2]GEN!AJ33</f>
        <v>0.25738396624472576</v>
      </c>
      <c r="AK2" s="260">
        <f>[2]GEN!AK33</f>
        <v>102.38734177209898</v>
      </c>
      <c r="AL2" s="260">
        <f>[2]GEN!AL33</f>
        <v>1</v>
      </c>
    </row>
    <row r="3" spans="1:38" ht="15.75" thickBot="1">
      <c r="A3" s="4">
        <f>ELEC!C4</f>
        <v>44652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10716</v>
      </c>
      <c r="K3" s="276">
        <f t="shared" ref="K3:K33" si="2">J3-J2</f>
        <v>0</v>
      </c>
      <c r="L3" s="503">
        <f>L2</f>
        <v>362191</v>
      </c>
      <c r="M3" s="276">
        <f t="shared" ref="M3:M6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13785</v>
      </c>
      <c r="S3" s="276">
        <f t="shared" ref="S3:S30" si="5">R3-R2</f>
        <v>0</v>
      </c>
      <c r="T3" s="503">
        <f t="shared" ref="T3:T8" si="6">T2+U3</f>
        <v>385762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ok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44653</v>
      </c>
      <c r="B4" s="502">
        <f t="shared" ref="B4:B33" si="11">B3</f>
        <v>11629</v>
      </c>
      <c r="C4" s="276">
        <f t="shared" ref="C4:C30" si="12">B4-B3</f>
        <v>0</v>
      </c>
      <c r="D4" s="503">
        <f t="shared" ref="D4:D30" si="13">D3+C4*250</f>
        <v>670266</v>
      </c>
      <c r="E4" s="276">
        <f t="shared" ref="E4:E25" si="14">SUM(D4-D3)</f>
        <v>0</v>
      </c>
      <c r="F4" s="276">
        <f t="shared" si="0"/>
        <v>0</v>
      </c>
      <c r="G4" s="196"/>
      <c r="H4" s="260">
        <f t="shared" ref="H4:H33" si="15">H3</f>
        <v>11690</v>
      </c>
      <c r="I4" s="276" t="str">
        <f t="shared" si="1"/>
        <v>ok</v>
      </c>
      <c r="J4" s="502">
        <f t="shared" ref="J4:J33" si="16">J3</f>
        <v>10716</v>
      </c>
      <c r="K4" s="276">
        <f t="shared" si="2"/>
        <v>0</v>
      </c>
      <c r="L4" s="503">
        <f t="shared" ref="L4:L6" si="17">L3</f>
        <v>362191</v>
      </c>
      <c r="M4" s="276">
        <f t="shared" si="3"/>
        <v>0</v>
      </c>
      <c r="N4" s="276">
        <v>250</v>
      </c>
      <c r="O4" s="196"/>
      <c r="P4" s="277">
        <f t="shared" ref="P4:P33" si="18">P3</f>
        <v>10873</v>
      </c>
      <c r="Q4" s="276" t="str">
        <f t="shared" si="4"/>
        <v>ok</v>
      </c>
      <c r="R4" s="502">
        <f t="shared" ref="R4:R33" si="19">R3</f>
        <v>13785</v>
      </c>
      <c r="S4" s="276">
        <f t="shared" si="5"/>
        <v>0</v>
      </c>
      <c r="T4" s="503">
        <f t="shared" si="6"/>
        <v>385762</v>
      </c>
      <c r="U4" s="276">
        <f t="shared" si="7"/>
        <v>0</v>
      </c>
      <c r="V4" s="276">
        <v>250</v>
      </c>
      <c r="W4" s="196"/>
      <c r="X4" s="260">
        <f t="shared" ref="X4:X33" si="20">X3</f>
        <v>13873</v>
      </c>
      <c r="Y4" s="276" t="str">
        <f t="shared" ref="Y4:Y19" si="21">IF(R4-X4&lt;=0,"ok","oil change")</f>
        <v>ok</v>
      </c>
      <c r="Z4" s="276">
        <f t="shared" si="8"/>
        <v>0</v>
      </c>
      <c r="AA4" s="276">
        <f t="shared" ref="AA4:AA30" si="22">U4+M4+E4</f>
        <v>0</v>
      </c>
      <c r="AB4" s="276">
        <f t="shared" ref="AB4:AB30" si="23">V4+N4+F4</f>
        <v>500</v>
      </c>
      <c r="AC4" s="276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5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6">IF(Z4=0,0,1)</f>
        <v>0</v>
      </c>
    </row>
    <row r="5" spans="1:38" ht="15.75" thickBot="1">
      <c r="A5" s="4">
        <f>ELEC!C6</f>
        <v>44654</v>
      </c>
      <c r="B5" s="502">
        <f t="shared" si="11"/>
        <v>11629</v>
      </c>
      <c r="C5" s="276">
        <f t="shared" si="12"/>
        <v>0</v>
      </c>
      <c r="D5" s="503">
        <f t="shared" si="13"/>
        <v>670266</v>
      </c>
      <c r="E5" s="276">
        <f t="shared" si="14"/>
        <v>0</v>
      </c>
      <c r="F5" s="276">
        <f t="shared" si="0"/>
        <v>0</v>
      </c>
      <c r="G5" s="274"/>
      <c r="H5" s="260">
        <f t="shared" si="15"/>
        <v>11690</v>
      </c>
      <c r="I5" s="276" t="str">
        <f t="shared" si="1"/>
        <v>ok</v>
      </c>
      <c r="J5" s="502">
        <v>10716</v>
      </c>
      <c r="K5" s="276">
        <f t="shared" si="2"/>
        <v>0</v>
      </c>
      <c r="L5" s="503">
        <f t="shared" si="17"/>
        <v>362191</v>
      </c>
      <c r="M5" s="276">
        <f>SUM(L5-L4)</f>
        <v>0</v>
      </c>
      <c r="N5" s="276">
        <v>250</v>
      </c>
      <c r="O5" s="196"/>
      <c r="P5" s="277">
        <f t="shared" si="18"/>
        <v>10873</v>
      </c>
      <c r="Q5" s="276" t="str">
        <f t="shared" si="4"/>
        <v>ok</v>
      </c>
      <c r="R5" s="502">
        <v>13799</v>
      </c>
      <c r="S5" s="276">
        <f t="shared" si="5"/>
        <v>14</v>
      </c>
      <c r="T5" s="503">
        <f t="shared" si="6"/>
        <v>389262</v>
      </c>
      <c r="U5" s="276">
        <f t="shared" si="7"/>
        <v>3500</v>
      </c>
      <c r="V5" s="276">
        <v>250</v>
      </c>
      <c r="W5" s="196"/>
      <c r="X5" s="260">
        <f t="shared" si="20"/>
        <v>13873</v>
      </c>
      <c r="Y5" s="276" t="str">
        <f t="shared" si="21"/>
        <v>ok</v>
      </c>
      <c r="Z5" s="276">
        <f t="shared" si="8"/>
        <v>14</v>
      </c>
      <c r="AA5" s="276">
        <f t="shared" si="22"/>
        <v>3500</v>
      </c>
      <c r="AB5" s="276">
        <f t="shared" si="23"/>
        <v>500</v>
      </c>
      <c r="AC5" s="276">
        <f t="shared" si="24"/>
        <v>250</v>
      </c>
      <c r="AD5" s="73">
        <f>ELEC!Q6</f>
        <v>6048.0000000025029</v>
      </c>
      <c r="AE5" s="73">
        <f t="shared" ref="AE5:AE30" si="27">SUM(AD5/Z5)</f>
        <v>432.00000000017877</v>
      </c>
      <c r="AF5" s="387">
        <f t="shared" ref="AF5:AG30" si="28">SUM(AE5/1600)</f>
        <v>0.27000000000011171</v>
      </c>
      <c r="AG5" s="388">
        <f>SUM(320*AF5)</f>
        <v>86.400000000035746</v>
      </c>
      <c r="AH5" s="388">
        <f t="shared" si="25"/>
        <v>163.59999999996427</v>
      </c>
      <c r="AI5" s="73">
        <f t="shared" ref="AI5:AI30" si="29">AD5*AJ5</f>
        <v>1556.6582278487456</v>
      </c>
      <c r="AJ5" s="278">
        <f t="shared" si="9"/>
        <v>0.25738396624472576</v>
      </c>
      <c r="AK5" s="278">
        <f t="shared" si="10"/>
        <v>111.18987341776754</v>
      </c>
      <c r="AL5">
        <f t="shared" si="26"/>
        <v>1</v>
      </c>
    </row>
    <row r="6" spans="1:38" ht="15.75" thickBot="1">
      <c r="A6" s="4">
        <f>ELEC!C7</f>
        <v>44655</v>
      </c>
      <c r="B6" s="502">
        <f t="shared" si="11"/>
        <v>11629</v>
      </c>
      <c r="C6" s="276">
        <f>B6-B5</f>
        <v>0</v>
      </c>
      <c r="D6" s="503">
        <f t="shared" si="13"/>
        <v>670266</v>
      </c>
      <c r="E6" s="276">
        <f t="shared" si="14"/>
        <v>0</v>
      </c>
      <c r="F6" s="276">
        <f t="shared" si="0"/>
        <v>0</v>
      </c>
      <c r="G6" s="196"/>
      <c r="H6" s="260">
        <f t="shared" si="15"/>
        <v>11690</v>
      </c>
      <c r="I6" s="276" t="str">
        <f t="shared" si="1"/>
        <v>ok</v>
      </c>
      <c r="J6" s="502">
        <f t="shared" si="16"/>
        <v>10716</v>
      </c>
      <c r="K6" s="276">
        <f t="shared" si="2"/>
        <v>0</v>
      </c>
      <c r="L6" s="503">
        <f t="shared" si="17"/>
        <v>362191</v>
      </c>
      <c r="M6" s="276">
        <f t="shared" si="3"/>
        <v>0</v>
      </c>
      <c r="N6" s="276">
        <v>250</v>
      </c>
      <c r="O6" s="294"/>
      <c r="P6" s="277">
        <f t="shared" si="18"/>
        <v>10873</v>
      </c>
      <c r="Q6" s="276" t="str">
        <f t="shared" si="4"/>
        <v>ok</v>
      </c>
      <c r="R6" s="502">
        <v>13809</v>
      </c>
      <c r="S6" s="276">
        <f t="shared" si="5"/>
        <v>10</v>
      </c>
      <c r="T6" s="503">
        <f t="shared" si="6"/>
        <v>391762</v>
      </c>
      <c r="U6" s="276">
        <f t="shared" si="7"/>
        <v>2500</v>
      </c>
      <c r="V6" s="276">
        <v>250</v>
      </c>
      <c r="W6" s="294"/>
      <c r="X6" s="260">
        <f t="shared" si="20"/>
        <v>13873</v>
      </c>
      <c r="Y6" s="276" t="str">
        <f t="shared" si="21"/>
        <v>ok</v>
      </c>
      <c r="Z6" s="276">
        <f t="shared" si="8"/>
        <v>10</v>
      </c>
      <c r="AA6" s="276">
        <f t="shared" si="22"/>
        <v>2500</v>
      </c>
      <c r="AB6" s="276">
        <f t="shared" si="23"/>
        <v>500</v>
      </c>
      <c r="AC6" s="276">
        <f t="shared" si="24"/>
        <v>250</v>
      </c>
      <c r="AD6" s="73">
        <f>ELEC!Q7</f>
        <v>4681.0000000004948</v>
      </c>
      <c r="AE6" s="73">
        <f>SUM(AD6/Z6)</f>
        <v>468.10000000004948</v>
      </c>
      <c r="AF6" s="387">
        <f t="shared" si="28"/>
        <v>0.29256250000003092</v>
      </c>
      <c r="AG6" s="388">
        <f>SUM(320*AF6)</f>
        <v>93.620000000009895</v>
      </c>
      <c r="AH6" s="388">
        <f t="shared" si="25"/>
        <v>156.3799999999901</v>
      </c>
      <c r="AI6" s="73">
        <f t="shared" si="29"/>
        <v>1204.8143459916887</v>
      </c>
      <c r="AJ6" s="278">
        <f t="shared" si="9"/>
        <v>0.25738396624472576</v>
      </c>
      <c r="AK6" s="278">
        <f t="shared" si="10"/>
        <v>120.48143459916886</v>
      </c>
      <c r="AL6">
        <f t="shared" si="26"/>
        <v>1</v>
      </c>
    </row>
    <row r="7" spans="1:38" ht="15.75" thickBot="1">
      <c r="A7" s="4">
        <f>ELEC!C8</f>
        <v>44656</v>
      </c>
      <c r="B7" s="502">
        <f t="shared" si="11"/>
        <v>11629</v>
      </c>
      <c r="C7" s="276">
        <f t="shared" si="12"/>
        <v>0</v>
      </c>
      <c r="D7" s="503">
        <f t="shared" si="13"/>
        <v>670266</v>
      </c>
      <c r="E7" s="276">
        <f t="shared" si="14"/>
        <v>0</v>
      </c>
      <c r="F7" s="276">
        <f t="shared" si="0"/>
        <v>0</v>
      </c>
      <c r="G7" s="196"/>
      <c r="H7" s="260">
        <f>H6</f>
        <v>11690</v>
      </c>
      <c r="I7" s="276" t="str">
        <f t="shared" si="1"/>
        <v>ok</v>
      </c>
      <c r="J7" s="502">
        <v>10722</v>
      </c>
      <c r="K7" s="276">
        <f t="shared" si="2"/>
        <v>6</v>
      </c>
      <c r="L7" s="503">
        <f>L6+M7</f>
        <v>363691</v>
      </c>
      <c r="M7" s="276">
        <f>N7*K7</f>
        <v>1500</v>
      </c>
      <c r="N7" s="276">
        <v>250</v>
      </c>
      <c r="O7" s="294"/>
      <c r="P7" s="277">
        <f t="shared" si="18"/>
        <v>10873</v>
      </c>
      <c r="Q7" s="276" t="str">
        <f>IF(J7-P7&lt;=0,"ok","oil change")</f>
        <v>ok</v>
      </c>
      <c r="R7" s="502">
        <v>13815</v>
      </c>
      <c r="S7" s="276">
        <f t="shared" si="5"/>
        <v>6</v>
      </c>
      <c r="T7" s="503">
        <f t="shared" si="6"/>
        <v>393262</v>
      </c>
      <c r="U7" s="276">
        <f>V7*S7</f>
        <v>1500</v>
      </c>
      <c r="V7" s="276">
        <v>250</v>
      </c>
      <c r="W7" s="196"/>
      <c r="X7" s="260">
        <f t="shared" si="20"/>
        <v>13873</v>
      </c>
      <c r="Y7" s="276" t="str">
        <f t="shared" si="21"/>
        <v>ok</v>
      </c>
      <c r="Z7" s="276">
        <f t="shared" si="8"/>
        <v>12</v>
      </c>
      <c r="AA7" s="276">
        <f>U7+M7+E7</f>
        <v>3000</v>
      </c>
      <c r="AB7" s="276">
        <f t="shared" si="23"/>
        <v>500</v>
      </c>
      <c r="AC7" s="276">
        <f t="shared" si="24"/>
        <v>250</v>
      </c>
      <c r="AD7" s="73">
        <f>ELEC!Q8</f>
        <v>5385.999999998603</v>
      </c>
      <c r="AE7" s="73">
        <f t="shared" si="27"/>
        <v>448.8333333332169</v>
      </c>
      <c r="AF7" s="387">
        <f t="shared" si="28"/>
        <v>0.28052083333326056</v>
      </c>
      <c r="AG7" s="387">
        <f t="shared" si="28"/>
        <v>1.7532552083328784E-4</v>
      </c>
      <c r="AH7" s="388">
        <f t="shared" si="25"/>
        <v>249.99982467447916</v>
      </c>
      <c r="AI7" s="73">
        <f t="shared" si="29"/>
        <v>1386.2700421937334</v>
      </c>
      <c r="AJ7" s="278">
        <f t="shared" si="9"/>
        <v>0.25738396624472576</v>
      </c>
      <c r="AK7" s="278">
        <f t="shared" si="10"/>
        <v>115.52250351614445</v>
      </c>
      <c r="AL7">
        <f t="shared" si="26"/>
        <v>1</v>
      </c>
    </row>
    <row r="8" spans="1:38" ht="15.75" thickBot="1">
      <c r="A8" s="4">
        <f>ELEC!C9</f>
        <v>44657</v>
      </c>
      <c r="B8" s="502">
        <f t="shared" si="11"/>
        <v>11629</v>
      </c>
      <c r="C8" s="276">
        <f t="shared" si="12"/>
        <v>0</v>
      </c>
      <c r="D8" s="503">
        <f t="shared" si="13"/>
        <v>670266</v>
      </c>
      <c r="E8" s="276">
        <f t="shared" si="14"/>
        <v>0</v>
      </c>
      <c r="F8" s="276">
        <f t="shared" si="0"/>
        <v>0</v>
      </c>
      <c r="G8" s="196"/>
      <c r="H8" s="260">
        <f t="shared" si="15"/>
        <v>11690</v>
      </c>
      <c r="I8" s="276" t="str">
        <f>IF(B8-H8&lt;=0,"ok","oil change")</f>
        <v>ok</v>
      </c>
      <c r="J8" s="502">
        <v>10727</v>
      </c>
      <c r="K8" s="276">
        <f t="shared" si="2"/>
        <v>5</v>
      </c>
      <c r="L8" s="503">
        <f t="shared" ref="L8:L33" si="30">L7+M8</f>
        <v>364941</v>
      </c>
      <c r="M8" s="276">
        <f t="shared" ref="M8:M33" si="31">N8*K8</f>
        <v>1250</v>
      </c>
      <c r="N8" s="276">
        <v>250</v>
      </c>
      <c r="O8" s="196"/>
      <c r="P8" s="277">
        <f t="shared" si="18"/>
        <v>10873</v>
      </c>
      <c r="Q8" s="276" t="str">
        <f t="shared" si="4"/>
        <v>ok</v>
      </c>
      <c r="R8" s="502">
        <v>13820</v>
      </c>
      <c r="S8" s="276">
        <f t="shared" si="5"/>
        <v>5</v>
      </c>
      <c r="T8" s="503">
        <f t="shared" si="6"/>
        <v>394512</v>
      </c>
      <c r="U8" s="276">
        <f t="shared" si="7"/>
        <v>1250</v>
      </c>
      <c r="V8" s="276">
        <v>250</v>
      </c>
      <c r="W8" s="196"/>
      <c r="X8" s="260">
        <f>X7</f>
        <v>13873</v>
      </c>
      <c r="Y8" s="276" t="str">
        <f t="shared" si="21"/>
        <v>ok</v>
      </c>
      <c r="Z8" s="276">
        <f t="shared" si="8"/>
        <v>10</v>
      </c>
      <c r="AA8" s="276">
        <f t="shared" si="22"/>
        <v>2500</v>
      </c>
      <c r="AB8" s="276">
        <f t="shared" si="23"/>
        <v>500</v>
      </c>
      <c r="AC8" s="276">
        <f t="shared" si="24"/>
        <v>250</v>
      </c>
      <c r="AD8" s="73">
        <f>ELEC!Q9</f>
        <v>4134.9999999983993</v>
      </c>
      <c r="AE8" s="73">
        <f>SUM(AD8/Z8)</f>
        <v>413.49999999983993</v>
      </c>
      <c r="AF8" s="387">
        <f t="shared" si="28"/>
        <v>0.25843749999989996</v>
      </c>
      <c r="AG8" s="387">
        <f t="shared" si="28"/>
        <v>1.6152343749993746E-4</v>
      </c>
      <c r="AH8" s="388">
        <f t="shared" si="25"/>
        <v>249.9998384765625</v>
      </c>
      <c r="AI8" s="73">
        <f t="shared" si="29"/>
        <v>1064.2827004215289</v>
      </c>
      <c r="AJ8" s="278">
        <f t="shared" si="9"/>
        <v>0.25738396624472576</v>
      </c>
      <c r="AK8" s="278">
        <f t="shared" si="10"/>
        <v>106.42827004215289</v>
      </c>
      <c r="AL8">
        <f t="shared" si="26"/>
        <v>1</v>
      </c>
    </row>
    <row r="9" spans="1:38" ht="15.75" thickBot="1">
      <c r="A9" s="4">
        <f>ELEC!C10</f>
        <v>44658</v>
      </c>
      <c r="B9" s="502">
        <f t="shared" si="11"/>
        <v>11629</v>
      </c>
      <c r="C9" s="276">
        <f t="shared" si="12"/>
        <v>0</v>
      </c>
      <c r="D9" s="503">
        <f t="shared" si="13"/>
        <v>670266</v>
      </c>
      <c r="E9" s="276">
        <f t="shared" si="14"/>
        <v>0</v>
      </c>
      <c r="F9" s="276">
        <f t="shared" si="0"/>
        <v>0</v>
      </c>
      <c r="G9" s="196"/>
      <c r="H9" s="260">
        <f t="shared" si="15"/>
        <v>11690</v>
      </c>
      <c r="I9" s="276" t="str">
        <f t="shared" si="1"/>
        <v>ok</v>
      </c>
      <c r="J9" s="502">
        <v>10728</v>
      </c>
      <c r="K9" s="276">
        <f t="shared" si="2"/>
        <v>1</v>
      </c>
      <c r="L9" s="503">
        <f t="shared" si="30"/>
        <v>365191</v>
      </c>
      <c r="M9" s="276">
        <f t="shared" si="31"/>
        <v>250</v>
      </c>
      <c r="N9" s="276">
        <v>250</v>
      </c>
      <c r="O9" s="196"/>
      <c r="P9" s="277">
        <f t="shared" si="18"/>
        <v>10873</v>
      </c>
      <c r="Q9" s="276" t="str">
        <f t="shared" si="4"/>
        <v>ok</v>
      </c>
      <c r="R9" s="502">
        <v>13829</v>
      </c>
      <c r="S9" s="276">
        <f t="shared" si="5"/>
        <v>9</v>
      </c>
      <c r="T9" s="503">
        <f t="shared" ref="T9:T33" si="32">T8+U9</f>
        <v>396762</v>
      </c>
      <c r="U9" s="276">
        <f t="shared" ref="U9:U30" si="33">V9*S9</f>
        <v>2250</v>
      </c>
      <c r="V9" s="276">
        <v>250</v>
      </c>
      <c r="W9" s="196"/>
      <c r="X9" s="260">
        <f t="shared" si="20"/>
        <v>13873</v>
      </c>
      <c r="Y9" s="276" t="str">
        <f t="shared" si="21"/>
        <v>ok</v>
      </c>
      <c r="Z9" s="276">
        <f t="shared" si="8"/>
        <v>10</v>
      </c>
      <c r="AA9" s="276">
        <f t="shared" si="22"/>
        <v>2500</v>
      </c>
      <c r="AB9" s="276">
        <f t="shared" si="23"/>
        <v>500</v>
      </c>
      <c r="AC9" s="276">
        <f t="shared" si="24"/>
        <v>250</v>
      </c>
      <c r="AD9" s="73">
        <f>ELEC!Q10</f>
        <v>4628.0000000006112</v>
      </c>
      <c r="AE9" s="73">
        <f t="shared" si="27"/>
        <v>462.80000000006112</v>
      </c>
      <c r="AF9" s="387">
        <f t="shared" si="28"/>
        <v>0.2892500000000382</v>
      </c>
      <c r="AG9" s="387">
        <f t="shared" si="28"/>
        <v>1.8078125000002389E-4</v>
      </c>
      <c r="AH9" s="388">
        <f t="shared" si="25"/>
        <v>249.99981921874999</v>
      </c>
      <c r="AI9" s="73">
        <f t="shared" si="29"/>
        <v>1191.1729957807481</v>
      </c>
      <c r="AJ9" s="278">
        <f t="shared" si="9"/>
        <v>0.25738396624472576</v>
      </c>
      <c r="AK9" s="278">
        <f t="shared" si="10"/>
        <v>119.11729957807481</v>
      </c>
      <c r="AL9">
        <f t="shared" si="26"/>
        <v>1</v>
      </c>
    </row>
    <row r="10" spans="1:38" ht="15.75" thickBot="1">
      <c r="A10" s="4">
        <f>ELEC!C11</f>
        <v>44659</v>
      </c>
      <c r="B10" s="502">
        <f t="shared" si="11"/>
        <v>11629</v>
      </c>
      <c r="C10" s="276">
        <f t="shared" si="12"/>
        <v>0</v>
      </c>
      <c r="D10" s="503">
        <f t="shared" si="13"/>
        <v>670266</v>
      </c>
      <c r="E10" s="276">
        <f>SUM(D10-D9)</f>
        <v>0</v>
      </c>
      <c r="F10" s="276">
        <f t="shared" si="0"/>
        <v>0</v>
      </c>
      <c r="G10" s="196"/>
      <c r="H10" s="260">
        <v>11690</v>
      </c>
      <c r="I10" s="276" t="str">
        <f>IF(B10-H10&lt;=0,"ok","oil change")</f>
        <v>ok</v>
      </c>
      <c r="J10" s="502">
        <f t="shared" si="16"/>
        <v>10728</v>
      </c>
      <c r="K10" s="276">
        <f t="shared" si="2"/>
        <v>0</v>
      </c>
      <c r="L10" s="503">
        <f t="shared" si="30"/>
        <v>365191</v>
      </c>
      <c r="M10" s="276">
        <f t="shared" si="31"/>
        <v>0</v>
      </c>
      <c r="N10" s="276">
        <v>250</v>
      </c>
      <c r="O10" s="196"/>
      <c r="P10" s="277">
        <f t="shared" si="18"/>
        <v>10873</v>
      </c>
      <c r="Q10" s="276" t="str">
        <f t="shared" si="4"/>
        <v>ok</v>
      </c>
      <c r="R10" s="502">
        <f t="shared" si="19"/>
        <v>13829</v>
      </c>
      <c r="S10" s="276">
        <f t="shared" si="5"/>
        <v>0</v>
      </c>
      <c r="T10" s="503">
        <f t="shared" si="32"/>
        <v>396762</v>
      </c>
      <c r="U10" s="276">
        <f t="shared" si="33"/>
        <v>0</v>
      </c>
      <c r="V10" s="276">
        <v>250</v>
      </c>
      <c r="W10" s="323"/>
      <c r="X10" s="260">
        <f t="shared" si="20"/>
        <v>13873</v>
      </c>
      <c r="Y10" s="276" t="str">
        <f t="shared" si="21"/>
        <v>ok</v>
      </c>
      <c r="Z10" s="276">
        <f t="shared" si="8"/>
        <v>0</v>
      </c>
      <c r="AA10" s="276">
        <f t="shared" si="22"/>
        <v>0</v>
      </c>
      <c r="AB10" s="276">
        <f t="shared" si="23"/>
        <v>500</v>
      </c>
      <c r="AC10" s="276">
        <f t="shared" si="24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5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6"/>
        <v>0</v>
      </c>
    </row>
    <row r="11" spans="1:38" ht="15.75" thickBot="1">
      <c r="A11" s="4">
        <f>ELEC!C12</f>
        <v>44660</v>
      </c>
      <c r="B11" s="502">
        <f t="shared" si="11"/>
        <v>11629</v>
      </c>
      <c r="C11" s="276">
        <f t="shared" si="12"/>
        <v>0</v>
      </c>
      <c r="D11" s="503">
        <f t="shared" si="13"/>
        <v>670266</v>
      </c>
      <c r="E11" s="276">
        <f t="shared" si="14"/>
        <v>0</v>
      </c>
      <c r="F11" s="276">
        <f>IF(C11&gt;0,E11/C11,0)</f>
        <v>0</v>
      </c>
      <c r="G11" s="196"/>
      <c r="H11" s="260">
        <f t="shared" si="15"/>
        <v>11690</v>
      </c>
      <c r="I11" s="276" t="str">
        <f t="shared" si="1"/>
        <v>ok</v>
      </c>
      <c r="J11" s="502">
        <f t="shared" si="16"/>
        <v>10728</v>
      </c>
      <c r="K11" s="276">
        <f t="shared" si="2"/>
        <v>0</v>
      </c>
      <c r="L11" s="503">
        <f t="shared" si="30"/>
        <v>365191</v>
      </c>
      <c r="M11" s="276">
        <f t="shared" si="31"/>
        <v>0</v>
      </c>
      <c r="N11" s="276">
        <v>250</v>
      </c>
      <c r="O11" s="196"/>
      <c r="P11" s="277">
        <f t="shared" si="18"/>
        <v>10873</v>
      </c>
      <c r="Q11" s="276" t="str">
        <f t="shared" si="4"/>
        <v>ok</v>
      </c>
      <c r="R11" s="502">
        <f t="shared" si="19"/>
        <v>13829</v>
      </c>
      <c r="S11" s="276">
        <f t="shared" si="5"/>
        <v>0</v>
      </c>
      <c r="T11" s="503">
        <f t="shared" si="32"/>
        <v>396762</v>
      </c>
      <c r="U11" s="276">
        <f t="shared" si="33"/>
        <v>0</v>
      </c>
      <c r="V11" s="276">
        <v>250</v>
      </c>
      <c r="W11" s="323"/>
      <c r="X11" s="260">
        <f t="shared" si="20"/>
        <v>13873</v>
      </c>
      <c r="Y11" s="276" t="str">
        <f t="shared" si="21"/>
        <v>ok</v>
      </c>
      <c r="Z11" s="276">
        <f t="shared" si="8"/>
        <v>0</v>
      </c>
      <c r="AA11" s="276">
        <f t="shared" si="22"/>
        <v>0</v>
      </c>
      <c r="AB11" s="276">
        <f t="shared" si="23"/>
        <v>500</v>
      </c>
      <c r="AC11" s="276">
        <f t="shared" si="24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5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6"/>
        <v>0</v>
      </c>
    </row>
    <row r="12" spans="1:38" ht="15.75" thickBot="1">
      <c r="A12" s="4">
        <f>ELEC!C13</f>
        <v>44661</v>
      </c>
      <c r="B12" s="502">
        <f t="shared" si="11"/>
        <v>11629</v>
      </c>
      <c r="C12" s="276">
        <f t="shared" si="12"/>
        <v>0</v>
      </c>
      <c r="D12" s="503">
        <f t="shared" si="13"/>
        <v>670266</v>
      </c>
      <c r="E12" s="276">
        <f t="shared" si="14"/>
        <v>0</v>
      </c>
      <c r="F12" s="276">
        <f t="shared" si="0"/>
        <v>0</v>
      </c>
      <c r="G12" s="196"/>
      <c r="H12" s="260">
        <f t="shared" si="15"/>
        <v>11690</v>
      </c>
      <c r="I12" s="276" t="str">
        <f t="shared" si="1"/>
        <v>ok</v>
      </c>
      <c r="J12" s="502">
        <v>10734</v>
      </c>
      <c r="K12" s="276">
        <f t="shared" si="2"/>
        <v>6</v>
      </c>
      <c r="L12" s="503">
        <f>L11+M12</f>
        <v>366691</v>
      </c>
      <c r="M12" s="276">
        <f>N12*K12</f>
        <v>1500</v>
      </c>
      <c r="N12" s="276">
        <v>250</v>
      </c>
      <c r="O12" s="196"/>
      <c r="P12" s="277">
        <f t="shared" si="18"/>
        <v>10873</v>
      </c>
      <c r="Q12" s="276" t="str">
        <f t="shared" si="4"/>
        <v>ok</v>
      </c>
      <c r="R12" s="502">
        <v>13833</v>
      </c>
      <c r="S12" s="276">
        <f t="shared" si="5"/>
        <v>4</v>
      </c>
      <c r="T12" s="503">
        <f>T11+U12</f>
        <v>397762</v>
      </c>
      <c r="U12" s="276">
        <f>V12*S12</f>
        <v>1000</v>
      </c>
      <c r="V12" s="276">
        <v>250</v>
      </c>
      <c r="W12" s="323"/>
      <c r="X12" s="260">
        <f t="shared" si="20"/>
        <v>13873</v>
      </c>
      <c r="Y12" s="276" t="str">
        <f t="shared" si="21"/>
        <v>ok</v>
      </c>
      <c r="Z12" s="276">
        <f t="shared" si="8"/>
        <v>10</v>
      </c>
      <c r="AA12" s="276">
        <f t="shared" si="22"/>
        <v>2500</v>
      </c>
      <c r="AB12" s="276">
        <f t="shared" si="23"/>
        <v>500</v>
      </c>
      <c r="AC12" s="276">
        <f t="shared" si="24"/>
        <v>250</v>
      </c>
      <c r="AD12" s="73">
        <f>ELEC!Q13</f>
        <v>4904.0000000022701</v>
      </c>
      <c r="AE12" s="73">
        <f t="shared" si="27"/>
        <v>490.40000000022701</v>
      </c>
      <c r="AF12" s="387">
        <f t="shared" si="28"/>
        <v>0.30650000000014188</v>
      </c>
      <c r="AG12" s="387">
        <f t="shared" si="28"/>
        <v>1.9156250000008869E-4</v>
      </c>
      <c r="AH12" s="388">
        <f t="shared" si="25"/>
        <v>249.99980843750001</v>
      </c>
      <c r="AI12" s="73">
        <f t="shared" si="29"/>
        <v>1262.2109704647194</v>
      </c>
      <c r="AJ12" s="278">
        <f t="shared" si="9"/>
        <v>0.25738396624472576</v>
      </c>
      <c r="AK12" s="278">
        <f t="shared" si="10"/>
        <v>126.22109704647194</v>
      </c>
      <c r="AL12">
        <f t="shared" si="26"/>
        <v>1</v>
      </c>
    </row>
    <row r="13" spans="1:38" ht="15.75" thickBot="1">
      <c r="A13" s="4">
        <f>ELEC!C14</f>
        <v>44662</v>
      </c>
      <c r="B13" s="502">
        <f t="shared" si="11"/>
        <v>11629</v>
      </c>
      <c r="C13" s="276">
        <f t="shared" si="12"/>
        <v>0</v>
      </c>
      <c r="D13" s="503">
        <f t="shared" si="13"/>
        <v>670266</v>
      </c>
      <c r="E13" s="276">
        <f t="shared" si="14"/>
        <v>0</v>
      </c>
      <c r="F13" s="276">
        <f t="shared" si="0"/>
        <v>0</v>
      </c>
      <c r="G13" s="196"/>
      <c r="H13" s="260">
        <f t="shared" si="15"/>
        <v>11690</v>
      </c>
      <c r="I13" s="276" t="str">
        <f t="shared" si="1"/>
        <v>ok</v>
      </c>
      <c r="J13" s="502">
        <v>10749</v>
      </c>
      <c r="K13" s="276">
        <f t="shared" si="2"/>
        <v>15</v>
      </c>
      <c r="L13" s="503">
        <f t="shared" si="30"/>
        <v>370441</v>
      </c>
      <c r="M13" s="276">
        <f t="shared" si="31"/>
        <v>3750</v>
      </c>
      <c r="N13" s="276">
        <v>250</v>
      </c>
      <c r="O13" s="196"/>
      <c r="P13" s="277">
        <f t="shared" si="18"/>
        <v>10873</v>
      </c>
      <c r="Q13" s="276" t="str">
        <f t="shared" si="4"/>
        <v>ok</v>
      </c>
      <c r="R13" s="502">
        <f t="shared" si="19"/>
        <v>13833</v>
      </c>
      <c r="S13" s="276">
        <f t="shared" si="5"/>
        <v>0</v>
      </c>
      <c r="T13" s="503">
        <f t="shared" si="32"/>
        <v>397762</v>
      </c>
      <c r="U13" s="276">
        <f t="shared" si="33"/>
        <v>0</v>
      </c>
      <c r="V13" s="276">
        <v>250</v>
      </c>
      <c r="W13" s="323"/>
      <c r="X13" s="260">
        <f t="shared" si="20"/>
        <v>13873</v>
      </c>
      <c r="Y13" s="276" t="str">
        <f t="shared" si="21"/>
        <v>ok</v>
      </c>
      <c r="Z13" s="276">
        <f t="shared" si="8"/>
        <v>15</v>
      </c>
      <c r="AA13" s="276">
        <f t="shared" si="22"/>
        <v>3750</v>
      </c>
      <c r="AB13" s="276">
        <f t="shared" si="23"/>
        <v>500</v>
      </c>
      <c r="AC13" s="276">
        <f t="shared" si="24"/>
        <v>250</v>
      </c>
      <c r="AD13" s="73">
        <f>ELEC!Q14</f>
        <v>6203.9999999979045</v>
      </c>
      <c r="AE13" s="73">
        <f t="shared" si="27"/>
        <v>413.5999999998603</v>
      </c>
      <c r="AF13" s="387">
        <f t="shared" si="28"/>
        <v>0.25849999999991269</v>
      </c>
      <c r="AG13" s="387">
        <f t="shared" si="28"/>
        <v>1.6156249999994544E-4</v>
      </c>
      <c r="AH13" s="388">
        <f t="shared" si="25"/>
        <v>249.99983843749999</v>
      </c>
      <c r="AI13" s="73">
        <f t="shared" si="29"/>
        <v>1596.8101265817393</v>
      </c>
      <c r="AJ13" s="278">
        <f t="shared" si="9"/>
        <v>0.25738396624472576</v>
      </c>
      <c r="AK13" s="278">
        <f t="shared" si="10"/>
        <v>106.45400843878262</v>
      </c>
      <c r="AL13">
        <f t="shared" si="26"/>
        <v>1</v>
      </c>
    </row>
    <row r="14" spans="1:38" ht="15.75" thickBot="1">
      <c r="A14" s="4">
        <f>ELEC!C15</f>
        <v>44663</v>
      </c>
      <c r="B14" s="502">
        <f t="shared" si="11"/>
        <v>11629</v>
      </c>
      <c r="C14" s="276">
        <f t="shared" si="12"/>
        <v>0</v>
      </c>
      <c r="D14" s="503">
        <f t="shared" si="13"/>
        <v>670266</v>
      </c>
      <c r="E14" s="276">
        <f t="shared" si="14"/>
        <v>0</v>
      </c>
      <c r="F14" s="276">
        <f t="shared" si="0"/>
        <v>0</v>
      </c>
      <c r="G14" s="196"/>
      <c r="H14" s="260">
        <f t="shared" si="15"/>
        <v>11690</v>
      </c>
      <c r="I14" s="276" t="str">
        <f t="shared" si="1"/>
        <v>ok</v>
      </c>
      <c r="J14" s="502">
        <v>10754</v>
      </c>
      <c r="K14" s="276">
        <f t="shared" si="2"/>
        <v>5</v>
      </c>
      <c r="L14" s="503">
        <f t="shared" si="30"/>
        <v>371691</v>
      </c>
      <c r="M14" s="276">
        <f t="shared" si="31"/>
        <v>1250</v>
      </c>
      <c r="N14" s="276">
        <v>250</v>
      </c>
      <c r="O14" s="196"/>
      <c r="P14" s="277">
        <f t="shared" si="18"/>
        <v>10873</v>
      </c>
      <c r="Q14" s="276" t="str">
        <f t="shared" si="4"/>
        <v>ok</v>
      </c>
      <c r="R14" s="502">
        <v>13833</v>
      </c>
      <c r="S14" s="276">
        <f t="shared" si="5"/>
        <v>0</v>
      </c>
      <c r="T14" s="503">
        <f t="shared" si="32"/>
        <v>397762</v>
      </c>
      <c r="U14" s="276">
        <f t="shared" si="33"/>
        <v>0</v>
      </c>
      <c r="V14" s="276">
        <v>250</v>
      </c>
      <c r="W14" s="323"/>
      <c r="X14" s="260">
        <f t="shared" si="20"/>
        <v>13873</v>
      </c>
      <c r="Y14" s="276" t="str">
        <f t="shared" si="21"/>
        <v>ok</v>
      </c>
      <c r="Z14" s="276">
        <f t="shared" si="8"/>
        <v>5</v>
      </c>
      <c r="AA14" s="276">
        <f t="shared" si="22"/>
        <v>1250</v>
      </c>
      <c r="AB14" s="276">
        <f t="shared" si="23"/>
        <v>500</v>
      </c>
      <c r="AC14" s="276">
        <f t="shared" si="24"/>
        <v>250</v>
      </c>
      <c r="AD14" s="73">
        <f>ELEC!Q15</f>
        <v>2085.9999999993306</v>
      </c>
      <c r="AE14" s="73">
        <f t="shared" si="27"/>
        <v>417.19999999986612</v>
      </c>
      <c r="AF14" s="387">
        <f t="shared" si="28"/>
        <v>0.26074999999991633</v>
      </c>
      <c r="AG14" s="387">
        <f t="shared" si="28"/>
        <v>1.6296874999994771E-4</v>
      </c>
      <c r="AH14" s="388">
        <f t="shared" si="25"/>
        <v>249.99983703125</v>
      </c>
      <c r="AI14" s="73">
        <f t="shared" si="29"/>
        <v>536.90295358632568</v>
      </c>
      <c r="AJ14" s="278">
        <f t="shared" si="9"/>
        <v>0.25738396624472576</v>
      </c>
      <c r="AK14" s="278">
        <f t="shared" si="10"/>
        <v>107.38059071726514</v>
      </c>
      <c r="AL14">
        <f t="shared" si="26"/>
        <v>1</v>
      </c>
    </row>
    <row r="15" spans="1:38" ht="15.75" thickBot="1">
      <c r="A15" s="4">
        <f>ELEC!C16</f>
        <v>44664</v>
      </c>
      <c r="B15" s="502">
        <f t="shared" si="11"/>
        <v>11629</v>
      </c>
      <c r="C15" s="276">
        <f t="shared" si="12"/>
        <v>0</v>
      </c>
      <c r="D15" s="503">
        <f t="shared" si="13"/>
        <v>670266</v>
      </c>
      <c r="E15" s="276">
        <f t="shared" si="14"/>
        <v>0</v>
      </c>
      <c r="F15" s="276">
        <f t="shared" si="0"/>
        <v>0</v>
      </c>
      <c r="G15" s="196"/>
      <c r="H15" s="260">
        <f t="shared" si="15"/>
        <v>11690</v>
      </c>
      <c r="I15" s="276" t="str">
        <f t="shared" si="1"/>
        <v>ok</v>
      </c>
      <c r="J15" s="502">
        <v>10763</v>
      </c>
      <c r="K15" s="276">
        <f t="shared" si="2"/>
        <v>9</v>
      </c>
      <c r="L15" s="503">
        <f t="shared" si="30"/>
        <v>373941</v>
      </c>
      <c r="M15" s="276">
        <f t="shared" si="31"/>
        <v>2250</v>
      </c>
      <c r="N15" s="276">
        <v>250</v>
      </c>
      <c r="O15" s="196"/>
      <c r="P15" s="277">
        <f t="shared" si="18"/>
        <v>10873</v>
      </c>
      <c r="Q15" s="276" t="str">
        <f t="shared" si="4"/>
        <v>ok</v>
      </c>
      <c r="R15" s="502">
        <v>13835</v>
      </c>
      <c r="S15" s="276">
        <f t="shared" si="5"/>
        <v>2</v>
      </c>
      <c r="T15" s="503">
        <f t="shared" si="32"/>
        <v>398262</v>
      </c>
      <c r="U15" s="276">
        <f t="shared" si="33"/>
        <v>500</v>
      </c>
      <c r="V15" s="276">
        <v>250</v>
      </c>
      <c r="W15" s="323"/>
      <c r="X15" s="260">
        <f t="shared" si="20"/>
        <v>13873</v>
      </c>
      <c r="Y15" s="276" t="str">
        <f t="shared" si="21"/>
        <v>ok</v>
      </c>
      <c r="Z15" s="276">
        <f t="shared" si="8"/>
        <v>11</v>
      </c>
      <c r="AA15" s="276">
        <f t="shared" si="22"/>
        <v>2750</v>
      </c>
      <c r="AB15" s="276">
        <f t="shared" si="23"/>
        <v>500</v>
      </c>
      <c r="AC15" s="276">
        <f t="shared" si="24"/>
        <v>250</v>
      </c>
      <c r="AD15" s="73">
        <f>ELEC!Q16</f>
        <v>5184.0000000011059</v>
      </c>
      <c r="AE15" s="73">
        <f t="shared" si="27"/>
        <v>471.27272727282781</v>
      </c>
      <c r="AF15" s="387">
        <f t="shared" si="28"/>
        <v>0.29454545454551739</v>
      </c>
      <c r="AG15" s="387">
        <f t="shared" si="28"/>
        <v>1.8409090909094836E-4</v>
      </c>
      <c r="AH15" s="388">
        <f t="shared" si="25"/>
        <v>249.9998159090909</v>
      </c>
      <c r="AI15" s="73">
        <f t="shared" si="29"/>
        <v>1334.2784810129431</v>
      </c>
      <c r="AJ15" s="278">
        <f t="shared" si="9"/>
        <v>0.25738396624472576</v>
      </c>
      <c r="AK15" s="278">
        <f t="shared" si="10"/>
        <v>121.29804372844937</v>
      </c>
      <c r="AL15">
        <f t="shared" si="26"/>
        <v>1</v>
      </c>
    </row>
    <row r="16" spans="1:38" ht="15.75" thickBot="1">
      <c r="A16" s="4">
        <f>ELEC!C17</f>
        <v>44665</v>
      </c>
      <c r="B16" s="502">
        <f t="shared" si="11"/>
        <v>11629</v>
      </c>
      <c r="C16" s="276">
        <f t="shared" si="12"/>
        <v>0</v>
      </c>
      <c r="D16" s="503">
        <f t="shared" si="13"/>
        <v>670266</v>
      </c>
      <c r="E16" s="276">
        <f t="shared" si="14"/>
        <v>0</v>
      </c>
      <c r="F16" s="276">
        <f t="shared" si="0"/>
        <v>0</v>
      </c>
      <c r="G16" s="196"/>
      <c r="H16" s="260">
        <f t="shared" si="15"/>
        <v>11690</v>
      </c>
      <c r="I16" s="276" t="str">
        <f t="shared" si="1"/>
        <v>ok</v>
      </c>
      <c r="J16" s="502">
        <f t="shared" si="16"/>
        <v>10763</v>
      </c>
      <c r="K16" s="276">
        <f t="shared" si="2"/>
        <v>0</v>
      </c>
      <c r="L16" s="503">
        <f t="shared" si="30"/>
        <v>373941</v>
      </c>
      <c r="M16" s="276">
        <f t="shared" si="31"/>
        <v>0</v>
      </c>
      <c r="N16" s="276">
        <v>250</v>
      </c>
      <c r="O16" s="196"/>
      <c r="P16" s="277">
        <f t="shared" si="18"/>
        <v>10873</v>
      </c>
      <c r="Q16" s="276" t="str">
        <f t="shared" si="4"/>
        <v>ok</v>
      </c>
      <c r="R16" s="502">
        <f t="shared" si="19"/>
        <v>13835</v>
      </c>
      <c r="S16" s="276">
        <f t="shared" si="5"/>
        <v>0</v>
      </c>
      <c r="T16" s="503">
        <f t="shared" si="32"/>
        <v>398262</v>
      </c>
      <c r="U16" s="276">
        <f t="shared" si="33"/>
        <v>0</v>
      </c>
      <c r="V16" s="276">
        <v>250</v>
      </c>
      <c r="W16" s="323"/>
      <c r="X16" s="260">
        <f t="shared" si="20"/>
        <v>13873</v>
      </c>
      <c r="Y16" s="276" t="str">
        <f t="shared" si="21"/>
        <v>ok</v>
      </c>
      <c r="Z16" s="276">
        <f t="shared" si="8"/>
        <v>0</v>
      </c>
      <c r="AA16" s="276">
        <f t="shared" si="22"/>
        <v>0</v>
      </c>
      <c r="AB16" s="276">
        <f t="shared" si="23"/>
        <v>500</v>
      </c>
      <c r="AC16" s="276">
        <f t="shared" si="24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5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6"/>
        <v>0</v>
      </c>
    </row>
    <row r="17" spans="1:38" ht="15.75" thickBot="1">
      <c r="A17" s="4">
        <f>ELEC!C18</f>
        <v>44666</v>
      </c>
      <c r="B17" s="502">
        <f t="shared" si="11"/>
        <v>11629</v>
      </c>
      <c r="C17" s="276">
        <f t="shared" si="12"/>
        <v>0</v>
      </c>
      <c r="D17" s="503">
        <f t="shared" si="13"/>
        <v>670266</v>
      </c>
      <c r="E17" s="276">
        <f t="shared" si="14"/>
        <v>0</v>
      </c>
      <c r="F17" s="276">
        <f t="shared" si="0"/>
        <v>0</v>
      </c>
      <c r="G17" s="196"/>
      <c r="H17" s="260">
        <f t="shared" si="15"/>
        <v>11690</v>
      </c>
      <c r="I17" s="276" t="str">
        <f t="shared" si="1"/>
        <v>ok</v>
      </c>
      <c r="J17" s="502">
        <f t="shared" si="16"/>
        <v>10763</v>
      </c>
      <c r="K17" s="276">
        <f t="shared" si="2"/>
        <v>0</v>
      </c>
      <c r="L17" s="503">
        <f t="shared" si="30"/>
        <v>373941</v>
      </c>
      <c r="M17" s="276">
        <f t="shared" si="31"/>
        <v>0</v>
      </c>
      <c r="N17" s="276">
        <v>250</v>
      </c>
      <c r="O17" s="196"/>
      <c r="P17" s="277">
        <f t="shared" si="18"/>
        <v>10873</v>
      </c>
      <c r="Q17" s="276" t="str">
        <f t="shared" si="4"/>
        <v>ok</v>
      </c>
      <c r="R17" s="502">
        <f t="shared" si="19"/>
        <v>13835</v>
      </c>
      <c r="S17" s="276">
        <f t="shared" si="5"/>
        <v>0</v>
      </c>
      <c r="T17" s="503">
        <f t="shared" si="32"/>
        <v>398262</v>
      </c>
      <c r="U17" s="276">
        <f t="shared" si="33"/>
        <v>0</v>
      </c>
      <c r="V17" s="276">
        <v>250</v>
      </c>
      <c r="W17" s="323"/>
      <c r="X17" s="260">
        <f t="shared" si="20"/>
        <v>13873</v>
      </c>
      <c r="Y17" s="276" t="str">
        <f t="shared" si="21"/>
        <v>ok</v>
      </c>
      <c r="Z17" s="276">
        <f t="shared" si="8"/>
        <v>0</v>
      </c>
      <c r="AA17" s="276">
        <f t="shared" si="22"/>
        <v>0</v>
      </c>
      <c r="AB17" s="276">
        <f t="shared" si="23"/>
        <v>500</v>
      </c>
      <c r="AC17" s="276">
        <f t="shared" si="24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5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6"/>
        <v>0</v>
      </c>
    </row>
    <row r="18" spans="1:38" ht="15.75" thickBot="1">
      <c r="A18" s="4">
        <f>ELEC!C19</f>
        <v>44667</v>
      </c>
      <c r="B18" s="502">
        <f t="shared" si="11"/>
        <v>11629</v>
      </c>
      <c r="C18" s="276">
        <f t="shared" si="12"/>
        <v>0</v>
      </c>
      <c r="D18" s="503">
        <f t="shared" si="13"/>
        <v>670266</v>
      </c>
      <c r="E18" s="276">
        <f t="shared" si="14"/>
        <v>0</v>
      </c>
      <c r="F18" s="276">
        <f t="shared" si="0"/>
        <v>0</v>
      </c>
      <c r="G18" s="196"/>
      <c r="H18" s="260">
        <f t="shared" si="15"/>
        <v>11690</v>
      </c>
      <c r="I18" s="276" t="str">
        <f t="shared" si="1"/>
        <v>ok</v>
      </c>
      <c r="J18" s="502">
        <f t="shared" si="16"/>
        <v>10763</v>
      </c>
      <c r="K18" s="276">
        <f t="shared" si="2"/>
        <v>0</v>
      </c>
      <c r="L18" s="503">
        <f t="shared" si="30"/>
        <v>373941</v>
      </c>
      <c r="M18" s="276">
        <f t="shared" si="31"/>
        <v>0</v>
      </c>
      <c r="N18" s="276">
        <v>250</v>
      </c>
      <c r="O18" s="196"/>
      <c r="P18" s="277">
        <f t="shared" si="18"/>
        <v>10873</v>
      </c>
      <c r="Q18" s="276" t="str">
        <f>IF(J18-P14&lt;=0,"ok","oil change")</f>
        <v>ok</v>
      </c>
      <c r="R18" s="502">
        <f t="shared" si="19"/>
        <v>13835</v>
      </c>
      <c r="S18" s="276">
        <f t="shared" si="5"/>
        <v>0</v>
      </c>
      <c r="T18" s="503">
        <f t="shared" si="32"/>
        <v>398262</v>
      </c>
      <c r="U18" s="276">
        <f t="shared" si="33"/>
        <v>0</v>
      </c>
      <c r="V18" s="276">
        <v>250</v>
      </c>
      <c r="W18" s="323"/>
      <c r="X18" s="260">
        <f t="shared" si="20"/>
        <v>13873</v>
      </c>
      <c r="Y18" s="276" t="str">
        <f t="shared" si="21"/>
        <v>ok</v>
      </c>
      <c r="Z18" s="276">
        <f t="shared" si="8"/>
        <v>0</v>
      </c>
      <c r="AA18" s="276">
        <f t="shared" si="22"/>
        <v>0</v>
      </c>
      <c r="AB18" s="276">
        <f t="shared" si="23"/>
        <v>500</v>
      </c>
      <c r="AC18" s="276">
        <f t="shared" si="24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5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6"/>
        <v>0</v>
      </c>
    </row>
    <row r="19" spans="1:38" ht="15.75" thickBot="1">
      <c r="A19" s="4">
        <f>ELEC!C20</f>
        <v>44668</v>
      </c>
      <c r="B19" s="502">
        <f t="shared" si="11"/>
        <v>11629</v>
      </c>
      <c r="C19" s="276">
        <f t="shared" si="12"/>
        <v>0</v>
      </c>
      <c r="D19" s="503">
        <f t="shared" si="13"/>
        <v>670266</v>
      </c>
      <c r="E19" s="276">
        <f t="shared" si="14"/>
        <v>0</v>
      </c>
      <c r="F19" s="276">
        <f t="shared" si="0"/>
        <v>0</v>
      </c>
      <c r="G19" s="196"/>
      <c r="H19" s="260">
        <f t="shared" si="15"/>
        <v>11690</v>
      </c>
      <c r="I19" s="276" t="str">
        <f t="shared" si="1"/>
        <v>ok</v>
      </c>
      <c r="J19" s="502">
        <f t="shared" si="16"/>
        <v>10763</v>
      </c>
      <c r="K19" s="276">
        <f t="shared" si="2"/>
        <v>0</v>
      </c>
      <c r="L19" s="503">
        <f t="shared" si="30"/>
        <v>373941</v>
      </c>
      <c r="M19" s="276">
        <f t="shared" si="31"/>
        <v>0</v>
      </c>
      <c r="N19" s="276">
        <v>250</v>
      </c>
      <c r="O19" s="196"/>
      <c r="P19" s="277">
        <f t="shared" si="18"/>
        <v>10873</v>
      </c>
      <c r="Q19" s="276" t="str">
        <f t="shared" ref="Q19:Q30" si="34">IF(J19-P19&lt;=0,"ok","oil change")</f>
        <v>ok</v>
      </c>
      <c r="R19" s="502">
        <f t="shared" si="19"/>
        <v>13835</v>
      </c>
      <c r="S19" s="276">
        <f t="shared" si="5"/>
        <v>0</v>
      </c>
      <c r="T19" s="503">
        <f t="shared" si="32"/>
        <v>398262</v>
      </c>
      <c r="U19" s="276">
        <f t="shared" si="33"/>
        <v>0</v>
      </c>
      <c r="V19" s="276">
        <v>250</v>
      </c>
      <c r="W19" s="323"/>
      <c r="X19" s="260">
        <f t="shared" si="20"/>
        <v>13873</v>
      </c>
      <c r="Y19" s="276" t="str">
        <f t="shared" si="21"/>
        <v>ok</v>
      </c>
      <c r="Z19" s="276">
        <f t="shared" si="8"/>
        <v>0</v>
      </c>
      <c r="AA19" s="276">
        <f t="shared" si="22"/>
        <v>0</v>
      </c>
      <c r="AB19" s="276">
        <f t="shared" si="23"/>
        <v>500</v>
      </c>
      <c r="AC19" s="276">
        <f t="shared" si="24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5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6"/>
        <v>0</v>
      </c>
    </row>
    <row r="20" spans="1:38" ht="15.75" thickBot="1">
      <c r="A20" s="4">
        <f>ELEC!C21</f>
        <v>44669</v>
      </c>
      <c r="B20" s="502">
        <f t="shared" si="11"/>
        <v>11629</v>
      </c>
      <c r="C20" s="276">
        <f>B20-B19</f>
        <v>0</v>
      </c>
      <c r="D20" s="503">
        <f t="shared" si="13"/>
        <v>670266</v>
      </c>
      <c r="E20" s="276">
        <f t="shared" si="14"/>
        <v>0</v>
      </c>
      <c r="F20" s="276">
        <f t="shared" si="0"/>
        <v>0</v>
      </c>
      <c r="G20" s="196"/>
      <c r="H20" s="260">
        <f t="shared" si="15"/>
        <v>11690</v>
      </c>
      <c r="I20" s="276" t="str">
        <f t="shared" si="1"/>
        <v>ok</v>
      </c>
      <c r="J20" s="502">
        <f t="shared" si="16"/>
        <v>10763</v>
      </c>
      <c r="K20" s="276">
        <f t="shared" si="2"/>
        <v>0</v>
      </c>
      <c r="L20" s="503">
        <f t="shared" si="30"/>
        <v>373941</v>
      </c>
      <c r="M20" s="276">
        <f t="shared" si="31"/>
        <v>0</v>
      </c>
      <c r="N20" s="276">
        <v>250</v>
      </c>
      <c r="O20" s="196"/>
      <c r="P20" s="277">
        <f t="shared" si="18"/>
        <v>10873</v>
      </c>
      <c r="Q20" s="276" t="str">
        <f t="shared" si="34"/>
        <v>ok</v>
      </c>
      <c r="R20" s="502">
        <f t="shared" si="19"/>
        <v>13835</v>
      </c>
      <c r="S20" s="276">
        <f t="shared" si="5"/>
        <v>0</v>
      </c>
      <c r="T20" s="503">
        <f t="shared" si="32"/>
        <v>398262</v>
      </c>
      <c r="U20" s="276">
        <f t="shared" si="33"/>
        <v>0</v>
      </c>
      <c r="V20" s="276">
        <v>250</v>
      </c>
      <c r="W20" s="323"/>
      <c r="X20" s="260">
        <f t="shared" si="20"/>
        <v>13873</v>
      </c>
      <c r="Y20" s="276" t="str">
        <f>IF(R20-X20&lt;=0,"ok","oil change")</f>
        <v>ok</v>
      </c>
      <c r="Z20" s="276">
        <f t="shared" si="8"/>
        <v>0</v>
      </c>
      <c r="AA20" s="276">
        <f t="shared" si="22"/>
        <v>0</v>
      </c>
      <c r="AB20" s="276">
        <f t="shared" si="23"/>
        <v>500</v>
      </c>
      <c r="AC20" s="276">
        <f t="shared" si="24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5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6"/>
        <v>0</v>
      </c>
    </row>
    <row r="21" spans="1:38" ht="15.75" thickBot="1">
      <c r="A21" s="4">
        <f>ELEC!C22</f>
        <v>44670</v>
      </c>
      <c r="B21" s="502">
        <f t="shared" si="11"/>
        <v>11629</v>
      </c>
      <c r="C21" s="276">
        <f>B21-B20</f>
        <v>0</v>
      </c>
      <c r="D21" s="503">
        <f t="shared" si="13"/>
        <v>670266</v>
      </c>
      <c r="E21" s="276">
        <f t="shared" si="14"/>
        <v>0</v>
      </c>
      <c r="F21" s="276">
        <f t="shared" si="0"/>
        <v>0</v>
      </c>
      <c r="G21" s="196"/>
      <c r="H21" s="260">
        <f t="shared" si="15"/>
        <v>11690</v>
      </c>
      <c r="I21" s="276" t="str">
        <f t="shared" si="1"/>
        <v>ok</v>
      </c>
      <c r="J21" s="502">
        <f t="shared" si="16"/>
        <v>10763</v>
      </c>
      <c r="K21" s="276">
        <f t="shared" si="2"/>
        <v>0</v>
      </c>
      <c r="L21" s="503">
        <f t="shared" si="30"/>
        <v>373941</v>
      </c>
      <c r="M21" s="276">
        <f t="shared" si="31"/>
        <v>0</v>
      </c>
      <c r="N21" s="276">
        <v>250</v>
      </c>
      <c r="O21" s="196"/>
      <c r="P21" s="277">
        <f t="shared" si="18"/>
        <v>10873</v>
      </c>
      <c r="Q21" s="276" t="str">
        <f t="shared" si="34"/>
        <v>ok</v>
      </c>
      <c r="R21" s="502">
        <f t="shared" si="19"/>
        <v>13835</v>
      </c>
      <c r="S21" s="276">
        <f t="shared" si="5"/>
        <v>0</v>
      </c>
      <c r="T21" s="503">
        <f t="shared" si="32"/>
        <v>398262</v>
      </c>
      <c r="U21" s="276">
        <f t="shared" si="33"/>
        <v>0</v>
      </c>
      <c r="V21" s="276">
        <v>250</v>
      </c>
      <c r="W21" s="196"/>
      <c r="X21" s="260">
        <f t="shared" si="20"/>
        <v>13873</v>
      </c>
      <c r="Y21" s="276" t="str">
        <f>Y20</f>
        <v>ok</v>
      </c>
      <c r="Z21" s="276">
        <f t="shared" si="8"/>
        <v>0</v>
      </c>
      <c r="AA21" s="276">
        <f t="shared" si="22"/>
        <v>0</v>
      </c>
      <c r="AB21" s="276">
        <f t="shared" si="23"/>
        <v>500</v>
      </c>
      <c r="AC21" s="276">
        <f t="shared" si="24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5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6"/>
        <v>0</v>
      </c>
    </row>
    <row r="22" spans="1:38" ht="15.75" thickBot="1">
      <c r="A22" s="4">
        <f>ELEC!C23</f>
        <v>44671</v>
      </c>
      <c r="B22" s="502">
        <f t="shared" si="11"/>
        <v>11629</v>
      </c>
      <c r="C22" s="276">
        <f t="shared" si="12"/>
        <v>0</v>
      </c>
      <c r="D22" s="503">
        <f t="shared" si="13"/>
        <v>670266</v>
      </c>
      <c r="E22" s="276">
        <f>150*C22</f>
        <v>0</v>
      </c>
      <c r="F22" s="276">
        <f t="shared" si="0"/>
        <v>0</v>
      </c>
      <c r="G22" s="196"/>
      <c r="H22" s="260">
        <f t="shared" si="15"/>
        <v>11690</v>
      </c>
      <c r="I22" s="276" t="str">
        <f t="shared" si="1"/>
        <v>ok</v>
      </c>
      <c r="J22" s="502">
        <f t="shared" si="16"/>
        <v>10763</v>
      </c>
      <c r="K22" s="276">
        <f t="shared" si="2"/>
        <v>0</v>
      </c>
      <c r="L22" s="503">
        <f t="shared" si="30"/>
        <v>373941</v>
      </c>
      <c r="M22" s="276">
        <f t="shared" si="31"/>
        <v>0</v>
      </c>
      <c r="N22" s="276">
        <v>250</v>
      </c>
      <c r="O22" s="196"/>
      <c r="P22" s="277">
        <f t="shared" si="18"/>
        <v>10873</v>
      </c>
      <c r="Q22" s="276" t="str">
        <f t="shared" si="34"/>
        <v>ok</v>
      </c>
      <c r="R22" s="502">
        <f t="shared" si="19"/>
        <v>13835</v>
      </c>
      <c r="S22" s="276">
        <f t="shared" si="5"/>
        <v>0</v>
      </c>
      <c r="T22" s="503">
        <f t="shared" si="32"/>
        <v>398262</v>
      </c>
      <c r="U22" s="276">
        <f t="shared" si="33"/>
        <v>0</v>
      </c>
      <c r="V22" s="276">
        <v>250</v>
      </c>
      <c r="W22" s="196"/>
      <c r="X22" s="260">
        <f t="shared" si="20"/>
        <v>13873</v>
      </c>
      <c r="Y22" s="276" t="str">
        <f t="shared" ref="Y22:Y33" si="35">Y21</f>
        <v>ok</v>
      </c>
      <c r="Z22" s="276">
        <f t="shared" si="8"/>
        <v>0</v>
      </c>
      <c r="AA22" s="276">
        <f t="shared" si="22"/>
        <v>0</v>
      </c>
      <c r="AB22" s="276">
        <f t="shared" si="23"/>
        <v>500</v>
      </c>
      <c r="AC22" s="276">
        <f t="shared" si="24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5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6"/>
        <v>0</v>
      </c>
    </row>
    <row r="23" spans="1:38" ht="15.75" thickBot="1">
      <c r="A23" s="4">
        <f>ELEC!C24</f>
        <v>44672</v>
      </c>
      <c r="B23" s="502">
        <f t="shared" si="11"/>
        <v>11629</v>
      </c>
      <c r="C23" s="276">
        <f t="shared" si="12"/>
        <v>0</v>
      </c>
      <c r="D23" s="503">
        <f t="shared" si="13"/>
        <v>670266</v>
      </c>
      <c r="E23" s="276">
        <f>150*C23</f>
        <v>0</v>
      </c>
      <c r="F23" s="276">
        <f t="shared" si="0"/>
        <v>0</v>
      </c>
      <c r="G23" s="196"/>
      <c r="H23" s="260">
        <f t="shared" si="15"/>
        <v>11690</v>
      </c>
      <c r="I23" s="276" t="str">
        <f t="shared" si="1"/>
        <v>ok</v>
      </c>
      <c r="J23" s="502">
        <f t="shared" si="16"/>
        <v>10763</v>
      </c>
      <c r="K23" s="276">
        <f t="shared" si="2"/>
        <v>0</v>
      </c>
      <c r="L23" s="503">
        <f t="shared" si="30"/>
        <v>373941</v>
      </c>
      <c r="M23" s="276">
        <f t="shared" si="31"/>
        <v>0</v>
      </c>
      <c r="N23" s="276">
        <v>250</v>
      </c>
      <c r="O23" s="196"/>
      <c r="P23" s="277">
        <f t="shared" si="18"/>
        <v>10873</v>
      </c>
      <c r="Q23" s="276" t="str">
        <f t="shared" si="34"/>
        <v>ok</v>
      </c>
      <c r="R23" s="502">
        <f t="shared" si="19"/>
        <v>13835</v>
      </c>
      <c r="S23" s="276">
        <f>R23-R22</f>
        <v>0</v>
      </c>
      <c r="T23" s="503">
        <f t="shared" si="32"/>
        <v>398262</v>
      </c>
      <c r="U23" s="276">
        <f>V23*S23</f>
        <v>0</v>
      </c>
      <c r="V23" s="276">
        <v>250</v>
      </c>
      <c r="W23" s="196"/>
      <c r="X23" s="260">
        <f t="shared" si="20"/>
        <v>13873</v>
      </c>
      <c r="Y23" s="276" t="str">
        <f t="shared" si="35"/>
        <v>ok</v>
      </c>
      <c r="Z23" s="276">
        <f t="shared" si="8"/>
        <v>0</v>
      </c>
      <c r="AA23" s="276">
        <f t="shared" si="22"/>
        <v>0</v>
      </c>
      <c r="AB23" s="276">
        <f t="shared" si="23"/>
        <v>500</v>
      </c>
      <c r="AC23" s="276">
        <f t="shared" si="24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5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6"/>
        <v>0</v>
      </c>
    </row>
    <row r="24" spans="1:38" ht="15.75" thickBot="1">
      <c r="A24" s="4">
        <f>ELEC!C25</f>
        <v>44673</v>
      </c>
      <c r="B24" s="502">
        <f t="shared" si="11"/>
        <v>11629</v>
      </c>
      <c r="C24" s="276">
        <f t="shared" si="12"/>
        <v>0</v>
      </c>
      <c r="D24" s="503">
        <f t="shared" si="13"/>
        <v>670266</v>
      </c>
      <c r="E24" s="276">
        <f t="shared" si="14"/>
        <v>0</v>
      </c>
      <c r="F24" s="276">
        <f t="shared" si="0"/>
        <v>0</v>
      </c>
      <c r="G24" s="196"/>
      <c r="H24" s="260">
        <f t="shared" si="15"/>
        <v>11690</v>
      </c>
      <c r="I24" s="276" t="str">
        <f t="shared" si="1"/>
        <v>ok</v>
      </c>
      <c r="J24" s="502">
        <f t="shared" si="16"/>
        <v>10763</v>
      </c>
      <c r="K24" s="276">
        <f t="shared" si="2"/>
        <v>0</v>
      </c>
      <c r="L24" s="503">
        <f t="shared" si="30"/>
        <v>373941</v>
      </c>
      <c r="M24" s="276">
        <f t="shared" si="31"/>
        <v>0</v>
      </c>
      <c r="N24" s="276">
        <v>250</v>
      </c>
      <c r="O24" s="196"/>
      <c r="P24" s="277">
        <f t="shared" si="18"/>
        <v>10873</v>
      </c>
      <c r="Q24" s="276" t="str">
        <f t="shared" si="34"/>
        <v>ok</v>
      </c>
      <c r="R24" s="502">
        <f t="shared" si="19"/>
        <v>13835</v>
      </c>
      <c r="S24" s="276">
        <f t="shared" si="5"/>
        <v>0</v>
      </c>
      <c r="T24" s="503">
        <f t="shared" si="32"/>
        <v>398262</v>
      </c>
      <c r="U24" s="276">
        <f t="shared" si="33"/>
        <v>0</v>
      </c>
      <c r="V24" s="276">
        <v>250</v>
      </c>
      <c r="W24" s="196"/>
      <c r="X24" s="260">
        <f t="shared" si="20"/>
        <v>13873</v>
      </c>
      <c r="Y24" s="276" t="str">
        <f t="shared" si="35"/>
        <v>ok</v>
      </c>
      <c r="Z24" s="276">
        <f t="shared" si="8"/>
        <v>0</v>
      </c>
      <c r="AA24" s="276">
        <f t="shared" si="22"/>
        <v>0</v>
      </c>
      <c r="AB24" s="276">
        <f t="shared" si="23"/>
        <v>500</v>
      </c>
      <c r="AC24" s="276">
        <f t="shared" si="24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5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6"/>
        <v>0</v>
      </c>
    </row>
    <row r="25" spans="1:38" ht="15.75" thickBot="1">
      <c r="A25" s="4">
        <f>ELEC!C26</f>
        <v>44674</v>
      </c>
      <c r="B25" s="502">
        <f t="shared" si="11"/>
        <v>11629</v>
      </c>
      <c r="C25" s="276">
        <f t="shared" si="12"/>
        <v>0</v>
      </c>
      <c r="D25" s="503">
        <f t="shared" si="13"/>
        <v>670266</v>
      </c>
      <c r="E25" s="276">
        <f t="shared" si="14"/>
        <v>0</v>
      </c>
      <c r="F25" s="276">
        <f t="shared" si="0"/>
        <v>0</v>
      </c>
      <c r="G25" s="196"/>
      <c r="H25" s="260">
        <f t="shared" si="15"/>
        <v>11690</v>
      </c>
      <c r="I25" s="276" t="str">
        <f t="shared" si="1"/>
        <v>ok</v>
      </c>
      <c r="J25" s="502">
        <f t="shared" si="16"/>
        <v>10763</v>
      </c>
      <c r="K25" s="276">
        <f t="shared" si="2"/>
        <v>0</v>
      </c>
      <c r="L25" s="503">
        <f t="shared" si="30"/>
        <v>373941</v>
      </c>
      <c r="M25" s="276">
        <f t="shared" si="31"/>
        <v>0</v>
      </c>
      <c r="N25" s="276">
        <v>250</v>
      </c>
      <c r="O25" s="196"/>
      <c r="P25" s="277">
        <f t="shared" si="18"/>
        <v>10873</v>
      </c>
      <c r="Q25" s="276" t="str">
        <f t="shared" si="34"/>
        <v>ok</v>
      </c>
      <c r="R25" s="502">
        <f t="shared" si="19"/>
        <v>13835</v>
      </c>
      <c r="S25" s="276">
        <f t="shared" si="5"/>
        <v>0</v>
      </c>
      <c r="T25" s="503">
        <f t="shared" si="32"/>
        <v>398262</v>
      </c>
      <c r="U25" s="276">
        <f t="shared" si="33"/>
        <v>0</v>
      </c>
      <c r="V25" s="276">
        <v>250</v>
      </c>
      <c r="W25" s="196"/>
      <c r="X25" s="260">
        <f t="shared" si="20"/>
        <v>13873</v>
      </c>
      <c r="Y25" s="276" t="str">
        <f t="shared" si="35"/>
        <v>ok</v>
      </c>
      <c r="Z25" s="276">
        <f t="shared" si="8"/>
        <v>0</v>
      </c>
      <c r="AA25" s="276">
        <f t="shared" si="22"/>
        <v>0</v>
      </c>
      <c r="AB25" s="276">
        <f t="shared" si="23"/>
        <v>500</v>
      </c>
      <c r="AC25" s="276">
        <f t="shared" si="24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5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6"/>
        <v>0</v>
      </c>
    </row>
    <row r="26" spans="1:38" ht="15.75" thickBot="1">
      <c r="A26" s="4">
        <f>ELEC!C27</f>
        <v>44675</v>
      </c>
      <c r="B26" s="502">
        <f t="shared" si="11"/>
        <v>11629</v>
      </c>
      <c r="C26" s="276">
        <f>B26-B25</f>
        <v>0</v>
      </c>
      <c r="D26" s="503">
        <f t="shared" si="13"/>
        <v>670266</v>
      </c>
      <c r="E26" s="276">
        <f>SUM(D26-D25)</f>
        <v>0</v>
      </c>
      <c r="F26" s="276">
        <f t="shared" si="0"/>
        <v>0</v>
      </c>
      <c r="G26" s="196"/>
      <c r="H26" s="260">
        <f t="shared" si="15"/>
        <v>11690</v>
      </c>
      <c r="I26" s="276" t="str">
        <f t="shared" si="1"/>
        <v>ok</v>
      </c>
      <c r="J26" s="502">
        <f t="shared" si="16"/>
        <v>10763</v>
      </c>
      <c r="K26" s="276">
        <f t="shared" si="2"/>
        <v>0</v>
      </c>
      <c r="L26" s="503">
        <f t="shared" si="30"/>
        <v>373941</v>
      </c>
      <c r="M26" s="276">
        <f t="shared" si="31"/>
        <v>0</v>
      </c>
      <c r="N26" s="276">
        <v>250</v>
      </c>
      <c r="O26" s="196"/>
      <c r="P26" s="277">
        <f t="shared" si="18"/>
        <v>10873</v>
      </c>
      <c r="Q26" s="276" t="str">
        <f t="shared" si="34"/>
        <v>ok</v>
      </c>
      <c r="R26" s="502">
        <f t="shared" si="19"/>
        <v>13835</v>
      </c>
      <c r="S26" s="276">
        <f>R26-R25</f>
        <v>0</v>
      </c>
      <c r="T26" s="503">
        <f t="shared" si="32"/>
        <v>398262</v>
      </c>
      <c r="U26" s="276">
        <f t="shared" si="33"/>
        <v>0</v>
      </c>
      <c r="V26" s="276">
        <v>250</v>
      </c>
      <c r="W26" s="196"/>
      <c r="X26" s="260">
        <f t="shared" si="20"/>
        <v>13873</v>
      </c>
      <c r="Y26" s="276" t="str">
        <f t="shared" si="35"/>
        <v>ok</v>
      </c>
      <c r="Z26" s="276">
        <f t="shared" si="8"/>
        <v>0</v>
      </c>
      <c r="AA26" s="276">
        <f t="shared" si="22"/>
        <v>0</v>
      </c>
      <c r="AB26" s="276">
        <f t="shared" si="23"/>
        <v>500</v>
      </c>
      <c r="AC26" s="276">
        <f t="shared" si="24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5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6"/>
        <v>0</v>
      </c>
    </row>
    <row r="27" spans="1:38" ht="15.75" thickBot="1">
      <c r="A27" s="4">
        <f>ELEC!C28</f>
        <v>44676</v>
      </c>
      <c r="B27" s="502">
        <f t="shared" si="11"/>
        <v>11629</v>
      </c>
      <c r="C27" s="276">
        <f>B27-B26</f>
        <v>0</v>
      </c>
      <c r="D27" s="503">
        <f t="shared" si="13"/>
        <v>670266</v>
      </c>
      <c r="E27" s="276">
        <f>SUM(D27-D26)</f>
        <v>0</v>
      </c>
      <c r="F27" s="276">
        <f t="shared" si="0"/>
        <v>0</v>
      </c>
      <c r="G27" s="196"/>
      <c r="H27" s="260">
        <f t="shared" si="15"/>
        <v>11690</v>
      </c>
      <c r="I27" s="276" t="str">
        <f>IF(B27-H27&lt;=0,"ok","oil change")</f>
        <v>ok</v>
      </c>
      <c r="J27" s="502">
        <f t="shared" si="16"/>
        <v>10763</v>
      </c>
      <c r="K27" s="276">
        <f t="shared" si="2"/>
        <v>0</v>
      </c>
      <c r="L27" s="503">
        <f t="shared" si="30"/>
        <v>373941</v>
      </c>
      <c r="M27" s="276">
        <f t="shared" si="31"/>
        <v>0</v>
      </c>
      <c r="N27" s="276">
        <v>250</v>
      </c>
      <c r="O27" s="196"/>
      <c r="P27" s="277">
        <f t="shared" si="18"/>
        <v>10873</v>
      </c>
      <c r="Q27" s="276" t="str">
        <f t="shared" si="34"/>
        <v>ok</v>
      </c>
      <c r="R27" s="502">
        <f t="shared" si="19"/>
        <v>13835</v>
      </c>
      <c r="S27" s="276">
        <f t="shared" si="5"/>
        <v>0</v>
      </c>
      <c r="T27" s="503">
        <f t="shared" si="32"/>
        <v>398262</v>
      </c>
      <c r="U27" s="276">
        <f t="shared" si="33"/>
        <v>0</v>
      </c>
      <c r="V27" s="276">
        <v>250</v>
      </c>
      <c r="W27" s="196"/>
      <c r="X27" s="260">
        <f t="shared" si="20"/>
        <v>13873</v>
      </c>
      <c r="Y27" s="276" t="str">
        <f t="shared" si="35"/>
        <v>ok</v>
      </c>
      <c r="Z27" s="276">
        <f t="shared" si="8"/>
        <v>0</v>
      </c>
      <c r="AA27" s="276">
        <f t="shared" si="22"/>
        <v>0</v>
      </c>
      <c r="AB27" s="276">
        <f t="shared" si="23"/>
        <v>500</v>
      </c>
      <c r="AC27" s="276">
        <f t="shared" si="24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5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6"/>
        <v>0</v>
      </c>
    </row>
    <row r="28" spans="1:38" ht="15.75" thickBot="1">
      <c r="A28" s="4">
        <f>ELEC!C29</f>
        <v>44677</v>
      </c>
      <c r="B28" s="502">
        <f t="shared" si="11"/>
        <v>11629</v>
      </c>
      <c r="C28" s="276">
        <f t="shared" si="12"/>
        <v>0</v>
      </c>
      <c r="D28" s="503">
        <f t="shared" si="13"/>
        <v>670266</v>
      </c>
      <c r="E28" s="276">
        <f>SUM(D28-D27)</f>
        <v>0</v>
      </c>
      <c r="F28" s="276">
        <f t="shared" si="0"/>
        <v>0</v>
      </c>
      <c r="G28" s="274"/>
      <c r="H28" s="260">
        <f t="shared" si="15"/>
        <v>11690</v>
      </c>
      <c r="I28" s="276" t="str">
        <f t="shared" si="1"/>
        <v>ok</v>
      </c>
      <c r="J28" s="502">
        <f t="shared" si="16"/>
        <v>10763</v>
      </c>
      <c r="K28" s="276">
        <f t="shared" si="2"/>
        <v>0</v>
      </c>
      <c r="L28" s="503">
        <f t="shared" si="30"/>
        <v>373941</v>
      </c>
      <c r="M28" s="276">
        <f t="shared" si="31"/>
        <v>0</v>
      </c>
      <c r="N28" s="276">
        <v>250</v>
      </c>
      <c r="O28" s="196"/>
      <c r="P28" s="277">
        <f t="shared" si="18"/>
        <v>10873</v>
      </c>
      <c r="Q28" s="276" t="str">
        <f t="shared" si="34"/>
        <v>ok</v>
      </c>
      <c r="R28" s="502">
        <f t="shared" si="19"/>
        <v>13835</v>
      </c>
      <c r="S28" s="276">
        <f t="shared" si="5"/>
        <v>0</v>
      </c>
      <c r="T28" s="503">
        <f t="shared" si="32"/>
        <v>398262</v>
      </c>
      <c r="U28" s="276">
        <f t="shared" si="33"/>
        <v>0</v>
      </c>
      <c r="V28" s="276">
        <v>250</v>
      </c>
      <c r="W28" s="196"/>
      <c r="X28" s="260">
        <f t="shared" si="20"/>
        <v>13873</v>
      </c>
      <c r="Y28" s="276" t="str">
        <f t="shared" si="35"/>
        <v>ok</v>
      </c>
      <c r="Z28" s="276">
        <f t="shared" si="8"/>
        <v>0</v>
      </c>
      <c r="AA28" s="276">
        <f t="shared" si="22"/>
        <v>0</v>
      </c>
      <c r="AB28" s="276">
        <f t="shared" si="23"/>
        <v>500</v>
      </c>
      <c r="AC28" s="276">
        <f t="shared" si="24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5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6"/>
        <v>0</v>
      </c>
    </row>
    <row r="29" spans="1:38" ht="15.75" thickBot="1">
      <c r="A29" s="4">
        <f>ELEC!C30</f>
        <v>44678</v>
      </c>
      <c r="B29" s="502">
        <f t="shared" si="11"/>
        <v>11629</v>
      </c>
      <c r="C29" s="276">
        <f t="shared" si="12"/>
        <v>0</v>
      </c>
      <c r="D29" s="503">
        <f t="shared" si="13"/>
        <v>670266</v>
      </c>
      <c r="E29" s="276">
        <f>SUM(D29-D28)</f>
        <v>0</v>
      </c>
      <c r="F29" s="276">
        <f t="shared" si="0"/>
        <v>0</v>
      </c>
      <c r="G29" s="196"/>
      <c r="H29" s="260">
        <f t="shared" si="15"/>
        <v>11690</v>
      </c>
      <c r="I29" s="276" t="str">
        <f t="shared" si="1"/>
        <v>ok</v>
      </c>
      <c r="J29" s="502">
        <f t="shared" si="16"/>
        <v>10763</v>
      </c>
      <c r="K29" s="276">
        <f t="shared" si="2"/>
        <v>0</v>
      </c>
      <c r="L29" s="503">
        <f t="shared" si="30"/>
        <v>373941</v>
      </c>
      <c r="M29" s="276">
        <f t="shared" si="31"/>
        <v>0</v>
      </c>
      <c r="N29" s="276">
        <v>250</v>
      </c>
      <c r="O29" s="196"/>
      <c r="P29" s="277">
        <f t="shared" si="18"/>
        <v>10873</v>
      </c>
      <c r="Q29" s="276" t="str">
        <f t="shared" si="34"/>
        <v>ok</v>
      </c>
      <c r="R29" s="502">
        <f t="shared" si="19"/>
        <v>13835</v>
      </c>
      <c r="S29" s="276">
        <f t="shared" si="5"/>
        <v>0</v>
      </c>
      <c r="T29" s="503">
        <f t="shared" si="32"/>
        <v>398262</v>
      </c>
      <c r="U29" s="276">
        <f>V29*S29</f>
        <v>0</v>
      </c>
      <c r="V29" s="276">
        <v>250</v>
      </c>
      <c r="W29" s="196"/>
      <c r="X29" s="260">
        <f t="shared" si="20"/>
        <v>13873</v>
      </c>
      <c r="Y29" s="276" t="str">
        <f t="shared" si="35"/>
        <v>ok</v>
      </c>
      <c r="Z29" s="276">
        <f t="shared" si="8"/>
        <v>0</v>
      </c>
      <c r="AA29" s="276">
        <f t="shared" si="22"/>
        <v>0</v>
      </c>
      <c r="AB29" s="276">
        <f t="shared" si="23"/>
        <v>500</v>
      </c>
      <c r="AC29" s="276">
        <f t="shared" si="24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5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6"/>
        <v>0</v>
      </c>
    </row>
    <row r="30" spans="1:38" ht="15.75" thickBot="1">
      <c r="A30" s="4">
        <f>ELEC!C31</f>
        <v>44679</v>
      </c>
      <c r="B30" s="502">
        <f t="shared" si="11"/>
        <v>11629</v>
      </c>
      <c r="C30" s="276">
        <f t="shared" si="12"/>
        <v>0</v>
      </c>
      <c r="D30" s="503">
        <f t="shared" si="13"/>
        <v>670266</v>
      </c>
      <c r="E30" s="276">
        <f>SUM(D30-D29)</f>
        <v>0</v>
      </c>
      <c r="F30" s="276">
        <f t="shared" si="0"/>
        <v>0</v>
      </c>
      <c r="G30" s="196"/>
      <c r="H30" s="260">
        <f t="shared" si="15"/>
        <v>11690</v>
      </c>
      <c r="I30" s="276" t="str">
        <f t="shared" si="1"/>
        <v>ok</v>
      </c>
      <c r="J30" s="502">
        <f t="shared" si="16"/>
        <v>10763</v>
      </c>
      <c r="K30" s="276">
        <f t="shared" si="2"/>
        <v>0</v>
      </c>
      <c r="L30" s="503">
        <f t="shared" si="30"/>
        <v>373941</v>
      </c>
      <c r="M30" s="276">
        <f t="shared" si="31"/>
        <v>0</v>
      </c>
      <c r="N30" s="276">
        <v>250</v>
      </c>
      <c r="O30" s="196"/>
      <c r="P30" s="277">
        <f t="shared" si="18"/>
        <v>10873</v>
      </c>
      <c r="Q30" s="276" t="str">
        <f t="shared" si="34"/>
        <v>ok</v>
      </c>
      <c r="R30" s="502">
        <f t="shared" si="19"/>
        <v>13835</v>
      </c>
      <c r="S30" s="276">
        <f t="shared" si="5"/>
        <v>0</v>
      </c>
      <c r="T30" s="503">
        <f t="shared" si="32"/>
        <v>398262</v>
      </c>
      <c r="U30" s="276">
        <f t="shared" si="33"/>
        <v>0</v>
      </c>
      <c r="V30" s="276">
        <v>250</v>
      </c>
      <c r="W30" s="274"/>
      <c r="X30" s="260">
        <f t="shared" si="20"/>
        <v>13873</v>
      </c>
      <c r="Y30" s="276" t="str">
        <f t="shared" si="35"/>
        <v>ok</v>
      </c>
      <c r="Z30" s="276">
        <f t="shared" si="8"/>
        <v>0</v>
      </c>
      <c r="AA30" s="276">
        <f t="shared" si="22"/>
        <v>0</v>
      </c>
      <c r="AB30" s="276">
        <f t="shared" si="23"/>
        <v>500</v>
      </c>
      <c r="AC30" s="276">
        <f t="shared" si="24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5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6"/>
        <v>0</v>
      </c>
    </row>
    <row r="31" spans="1:38" ht="15.75" thickBot="1">
      <c r="A31" s="4">
        <f>ELEC!C32</f>
        <v>44680</v>
      </c>
      <c r="B31" s="502">
        <f t="shared" si="11"/>
        <v>11629</v>
      </c>
      <c r="C31" s="276">
        <f t="shared" ref="C31:C33" si="36">B31-B30</f>
        <v>0</v>
      </c>
      <c r="D31" s="503">
        <f t="shared" ref="D31:D33" si="37">D30+C31*250</f>
        <v>670266</v>
      </c>
      <c r="E31" s="276">
        <f t="shared" ref="E31:E33" si="38">SUM(D31-D30)</f>
        <v>0</v>
      </c>
      <c r="F31" s="276">
        <f t="shared" ref="F31:F33" si="39">IF(C31&gt;0,E31/C31,0)</f>
        <v>0</v>
      </c>
      <c r="G31" s="323"/>
      <c r="H31" s="260">
        <f t="shared" si="15"/>
        <v>11690</v>
      </c>
      <c r="I31" s="276" t="str">
        <f t="shared" ref="I31:I33" si="40">IF(B31-H31&lt;=0,"ok","oil change")</f>
        <v>ok</v>
      </c>
      <c r="J31" s="502">
        <f t="shared" si="16"/>
        <v>10763</v>
      </c>
      <c r="K31" s="276">
        <f t="shared" si="2"/>
        <v>0</v>
      </c>
      <c r="L31" s="503">
        <f t="shared" si="30"/>
        <v>373941</v>
      </c>
      <c r="M31" s="276">
        <f t="shared" si="31"/>
        <v>0</v>
      </c>
      <c r="N31" s="276">
        <v>250</v>
      </c>
      <c r="O31" s="323"/>
      <c r="P31" s="277">
        <f t="shared" si="18"/>
        <v>10873</v>
      </c>
      <c r="Q31" s="276" t="str">
        <f t="shared" ref="Q31:Q33" si="41">IF(J31-P31&lt;=0,"ok","oil change")</f>
        <v>ok</v>
      </c>
      <c r="R31" s="502">
        <f t="shared" si="19"/>
        <v>13835</v>
      </c>
      <c r="S31" s="276">
        <f t="shared" ref="S31:S33" si="42">R31-R30</f>
        <v>0</v>
      </c>
      <c r="T31" s="503">
        <f t="shared" si="32"/>
        <v>398262</v>
      </c>
      <c r="U31" s="276">
        <f t="shared" ref="U31:U33" si="43">V31*S31</f>
        <v>0</v>
      </c>
      <c r="V31" s="276">
        <v>250</v>
      </c>
      <c r="W31" s="323"/>
      <c r="X31" s="260">
        <f t="shared" si="20"/>
        <v>13873</v>
      </c>
      <c r="Y31" s="276" t="str">
        <f t="shared" si="35"/>
        <v>ok</v>
      </c>
      <c r="Z31" s="276">
        <f t="shared" ref="Z31:Z33" si="44">C31+K31+S31</f>
        <v>0</v>
      </c>
      <c r="AA31" s="276">
        <f t="shared" ref="AA31:AA33" si="45">U31+M31+E31</f>
        <v>0</v>
      </c>
      <c r="AB31" s="276">
        <f t="shared" ref="AB31:AB33" si="46">V31+N31+F31</f>
        <v>500</v>
      </c>
      <c r="AC31" s="276">
        <f t="shared" ref="AC31:AC33" si="47">IF(Z31&gt;0,AA31/Z31,0)</f>
        <v>0</v>
      </c>
      <c r="AD31" s="73">
        <f>ELEC!Q32</f>
        <v>0</v>
      </c>
      <c r="AE31" s="73" t="e">
        <f t="shared" ref="AE31:AE33" si="48">SUM(AD31/Z31)</f>
        <v>#DIV/0!</v>
      </c>
      <c r="AF31" s="387" t="e">
        <f t="shared" ref="AF31:AF33" si="49">SUM(AE31/1600)</f>
        <v>#DIV/0!</v>
      </c>
      <c r="AG31" s="387" t="e">
        <f t="shared" ref="AG31:AG33" si="50">SUM(AF31/1600)</f>
        <v>#DIV/0!</v>
      </c>
      <c r="AH31" s="475" t="e">
        <f t="shared" ref="AH31:AH33" si="51">SUM(AC31-AG31)</f>
        <v>#DIV/0!</v>
      </c>
      <c r="AI31" s="73">
        <f t="shared" ref="AI31:AI33" si="52">AD31*AJ31</f>
        <v>0</v>
      </c>
      <c r="AJ31" s="278">
        <f t="shared" si="9"/>
        <v>0.25738396624472576</v>
      </c>
      <c r="AK31" s="278" t="e">
        <f t="shared" ref="AK31:AK33" si="53">AI31/Z31</f>
        <v>#DIV/0!</v>
      </c>
      <c r="AL31">
        <f t="shared" ref="AL31:AL33" si="54">IF(Z31=0,0,1)</f>
        <v>0</v>
      </c>
    </row>
    <row r="32" spans="1:38" ht="15.75" thickBot="1">
      <c r="A32" s="4">
        <f>ELEC!C33</f>
        <v>44681</v>
      </c>
      <c r="B32" s="502">
        <f t="shared" si="11"/>
        <v>11629</v>
      </c>
      <c r="C32" s="276">
        <f t="shared" si="36"/>
        <v>0</v>
      </c>
      <c r="D32" s="503">
        <f t="shared" si="37"/>
        <v>670266</v>
      </c>
      <c r="E32" s="276">
        <f t="shared" si="38"/>
        <v>0</v>
      </c>
      <c r="F32" s="276">
        <f t="shared" si="39"/>
        <v>0</v>
      </c>
      <c r="G32" s="323"/>
      <c r="H32" s="260">
        <f t="shared" si="15"/>
        <v>11690</v>
      </c>
      <c r="I32" s="276" t="str">
        <f t="shared" si="40"/>
        <v>ok</v>
      </c>
      <c r="J32" s="502">
        <f t="shared" si="16"/>
        <v>10763</v>
      </c>
      <c r="K32" s="276">
        <f t="shared" si="2"/>
        <v>0</v>
      </c>
      <c r="L32" s="503">
        <f t="shared" si="30"/>
        <v>373941</v>
      </c>
      <c r="M32" s="276">
        <f t="shared" si="31"/>
        <v>0</v>
      </c>
      <c r="N32" s="276">
        <v>250</v>
      </c>
      <c r="O32" s="323"/>
      <c r="P32" s="277">
        <f t="shared" si="18"/>
        <v>10873</v>
      </c>
      <c r="Q32" s="276" t="str">
        <f t="shared" si="41"/>
        <v>ok</v>
      </c>
      <c r="R32" s="502">
        <f t="shared" si="19"/>
        <v>13835</v>
      </c>
      <c r="S32" s="276">
        <f t="shared" si="42"/>
        <v>0</v>
      </c>
      <c r="T32" s="503">
        <f t="shared" si="32"/>
        <v>398262</v>
      </c>
      <c r="U32" s="276">
        <f t="shared" si="43"/>
        <v>0</v>
      </c>
      <c r="V32" s="276">
        <v>250</v>
      </c>
      <c r="W32" s="323"/>
      <c r="X32" s="260">
        <f t="shared" si="20"/>
        <v>13873</v>
      </c>
      <c r="Y32" s="276" t="str">
        <f t="shared" si="35"/>
        <v>ok</v>
      </c>
      <c r="Z32" s="276">
        <f t="shared" si="44"/>
        <v>0</v>
      </c>
      <c r="AA32" s="276">
        <f t="shared" si="45"/>
        <v>0</v>
      </c>
      <c r="AB32" s="276">
        <f t="shared" si="46"/>
        <v>500</v>
      </c>
      <c r="AC32" s="276">
        <f t="shared" si="47"/>
        <v>0</v>
      </c>
      <c r="AD32" s="73">
        <f>ELEC!Q33</f>
        <v>0</v>
      </c>
      <c r="AE32" s="73" t="e">
        <f t="shared" si="48"/>
        <v>#DIV/0!</v>
      </c>
      <c r="AF32" s="387" t="e">
        <f t="shared" si="49"/>
        <v>#DIV/0!</v>
      </c>
      <c r="AG32" s="387" t="e">
        <f t="shared" si="50"/>
        <v>#DIV/0!</v>
      </c>
      <c r="AH32" s="475" t="e">
        <f t="shared" si="51"/>
        <v>#DIV/0!</v>
      </c>
      <c r="AI32" s="73">
        <f t="shared" si="52"/>
        <v>0</v>
      </c>
      <c r="AJ32" s="278">
        <f t="shared" si="9"/>
        <v>0.25738396624472576</v>
      </c>
      <c r="AK32" s="278" t="e">
        <f t="shared" si="53"/>
        <v>#DIV/0!</v>
      </c>
      <c r="AL32">
        <f t="shared" si="54"/>
        <v>0</v>
      </c>
    </row>
    <row r="33" spans="1:38">
      <c r="A33" s="4">
        <f>ELEC!C34</f>
        <v>44682</v>
      </c>
      <c r="B33" s="502">
        <f t="shared" si="11"/>
        <v>11629</v>
      </c>
      <c r="C33" s="276">
        <f t="shared" si="36"/>
        <v>0</v>
      </c>
      <c r="D33" s="503">
        <f t="shared" si="37"/>
        <v>670266</v>
      </c>
      <c r="E33" s="276">
        <f t="shared" si="38"/>
        <v>0</v>
      </c>
      <c r="F33" s="276">
        <f t="shared" si="39"/>
        <v>0</v>
      </c>
      <c r="G33" s="323"/>
      <c r="H33" s="260">
        <f t="shared" si="15"/>
        <v>11690</v>
      </c>
      <c r="I33" s="276" t="str">
        <f t="shared" si="40"/>
        <v>ok</v>
      </c>
      <c r="J33" s="502">
        <f t="shared" si="16"/>
        <v>10763</v>
      </c>
      <c r="K33" s="276">
        <f t="shared" si="2"/>
        <v>0</v>
      </c>
      <c r="L33" s="503">
        <f t="shared" si="30"/>
        <v>373941</v>
      </c>
      <c r="M33" s="276">
        <f t="shared" si="31"/>
        <v>0</v>
      </c>
      <c r="N33" s="276">
        <v>250</v>
      </c>
      <c r="O33" s="323"/>
      <c r="P33" s="277">
        <f t="shared" si="18"/>
        <v>10873</v>
      </c>
      <c r="Q33" s="276" t="str">
        <f t="shared" si="41"/>
        <v>ok</v>
      </c>
      <c r="R33" s="502">
        <f t="shared" si="19"/>
        <v>13835</v>
      </c>
      <c r="S33" s="276">
        <f t="shared" si="42"/>
        <v>0</v>
      </c>
      <c r="T33" s="503">
        <f t="shared" si="32"/>
        <v>398262</v>
      </c>
      <c r="U33" s="276">
        <f t="shared" si="43"/>
        <v>0</v>
      </c>
      <c r="V33" s="276">
        <v>250</v>
      </c>
      <c r="W33" s="323"/>
      <c r="X33" s="260">
        <f t="shared" si="20"/>
        <v>13873</v>
      </c>
      <c r="Y33" s="276" t="str">
        <f t="shared" si="35"/>
        <v>ok</v>
      </c>
      <c r="Z33" s="276">
        <f t="shared" si="44"/>
        <v>0</v>
      </c>
      <c r="AA33" s="276">
        <f t="shared" si="45"/>
        <v>0</v>
      </c>
      <c r="AB33" s="276">
        <f t="shared" si="46"/>
        <v>500</v>
      </c>
      <c r="AC33" s="276">
        <f t="shared" si="47"/>
        <v>0</v>
      </c>
      <c r="AD33" s="73">
        <f>ELEC!Q34</f>
        <v>0</v>
      </c>
      <c r="AE33" s="73" t="e">
        <f t="shared" si="48"/>
        <v>#DIV/0!</v>
      </c>
      <c r="AF33" s="387" t="e">
        <f t="shared" si="49"/>
        <v>#DIV/0!</v>
      </c>
      <c r="AG33" s="387" t="e">
        <f t="shared" si="50"/>
        <v>#DIV/0!</v>
      </c>
      <c r="AH33" s="475" t="e">
        <f t="shared" si="51"/>
        <v>#DIV/0!</v>
      </c>
      <c r="AI33" s="73">
        <f t="shared" si="52"/>
        <v>0</v>
      </c>
      <c r="AJ33" s="278">
        <f t="shared" si="9"/>
        <v>0.25738396624472576</v>
      </c>
      <c r="AK33" s="278" t="e">
        <f t="shared" si="53"/>
        <v>#DIV/0!</v>
      </c>
      <c r="AL33">
        <f t="shared" si="54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97</v>
      </c>
      <c r="V34" s="40"/>
      <c r="X34">
        <v>341</v>
      </c>
      <c r="Z34" s="404">
        <f>SUM(Z3:Z33)</f>
        <v>97</v>
      </c>
      <c r="AF34" s="387">
        <f>SUM(AE34/1600)</f>
        <v>0</v>
      </c>
      <c r="AL34">
        <f>SUM(AL3:AL33)</f>
        <v>9</v>
      </c>
    </row>
    <row r="35" spans="1:38">
      <c r="C35" s="40">
        <f>SUM(C3:C33)</f>
        <v>0</v>
      </c>
      <c r="K35" s="40">
        <f>SUM(K3:K33)</f>
        <v>47</v>
      </c>
      <c r="S35" s="40">
        <f>SUM(S3:S33)</f>
        <v>50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V1" activePane="topRight" state="frozen"/>
      <selection pane="topRight" activeCell="AT18" sqref="AT18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231</v>
      </c>
      <c r="AT3" s="646" t="s">
        <v>299</v>
      </c>
      <c r="AU3" s="647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44651</v>
      </c>
      <c r="B5" s="499">
        <f>[2]tanks!B36</f>
        <v>244</v>
      </c>
      <c r="C5" s="499">
        <f>[2]tanks!C36</f>
        <v>5249.9354838709678</v>
      </c>
      <c r="D5" s="499">
        <f>[2]tanks!D36</f>
        <v>244</v>
      </c>
      <c r="E5" s="499">
        <f>[2]tanks!E36</f>
        <v>5249.9354838709678</v>
      </c>
      <c r="F5" s="499">
        <f>[2]tanks!F36</f>
        <v>244</v>
      </c>
      <c r="G5" s="499">
        <f>[2]tanks!G36</f>
        <v>5249.9354838709678</v>
      </c>
      <c r="H5" s="499">
        <f>[2]tanks!H36</f>
        <v>244</v>
      </c>
      <c r="I5" s="499">
        <f>[2]tanks!I36</f>
        <v>5249.9354838709678</v>
      </c>
      <c r="J5" s="499">
        <f>[2]tanks!J36</f>
        <v>244</v>
      </c>
      <c r="K5" s="499">
        <f>[2]tanks!K36</f>
        <v>5249.9354838709678</v>
      </c>
      <c r="L5" s="499">
        <f>[2]tanks!L36</f>
        <v>244</v>
      </c>
      <c r="M5" s="499">
        <f>[2]tanks!M36</f>
        <v>5249.9354838709678</v>
      </c>
      <c r="N5" s="499">
        <f>[2]tanks!N36</f>
        <v>244</v>
      </c>
      <c r="O5" s="499">
        <f>[2]tanks!O36</f>
        <v>5249.9354838709678</v>
      </c>
      <c r="P5" s="499">
        <f>[2]tanks!P36</f>
        <v>244</v>
      </c>
      <c r="Q5" s="499">
        <f>[2]tanks!Q36</f>
        <v>5249.9354838709678</v>
      </c>
      <c r="R5" s="499">
        <f>[2]tanks!R36</f>
        <v>244</v>
      </c>
      <c r="S5" s="499">
        <f>[2]tanks!S36</f>
        <v>5249.9354838709678</v>
      </c>
      <c r="T5" s="499">
        <f>[2]tanks!T36</f>
        <v>244</v>
      </c>
      <c r="U5" s="499">
        <f>[2]tanks!U36</f>
        <v>5249.9354838709678</v>
      </c>
      <c r="V5" s="499">
        <f>[2]tanks!V36</f>
        <v>244</v>
      </c>
      <c r="W5" s="499">
        <f>[2]tanks!W36</f>
        <v>5249.9354838709678</v>
      </c>
      <c r="X5" s="476">
        <f>[2]tanks!X36</f>
        <v>0.78709677419354862</v>
      </c>
      <c r="Y5" s="499">
        <f>[2]tanks!Y36</f>
        <v>57749.290322580659</v>
      </c>
      <c r="Z5" s="499">
        <f>[2]tanks!Z36</f>
        <v>251</v>
      </c>
      <c r="AA5" s="499">
        <f>[2]tanks!AA36</f>
        <v>2510</v>
      </c>
      <c r="AB5" s="499">
        <f>[2]tanks!AB36</f>
        <v>251</v>
      </c>
      <c r="AC5" s="499">
        <f>[2]tanks!AC36</f>
        <v>2510</v>
      </c>
      <c r="AD5" s="499">
        <f>[2]tanks!AD36</f>
        <v>251</v>
      </c>
      <c r="AE5" s="499">
        <f>[2]tanks!AE36</f>
        <v>2510</v>
      </c>
      <c r="AF5" s="499">
        <f>[2]tanks!AF36</f>
        <v>251</v>
      </c>
      <c r="AG5" s="499">
        <f>[2]tanks!AG36</f>
        <v>2510</v>
      </c>
      <c r="AH5" s="499">
        <f>[2]tanks!AH36</f>
        <v>251</v>
      </c>
      <c r="AI5" s="499">
        <f>[2]tanks!AI36</f>
        <v>2510</v>
      </c>
      <c r="AJ5" s="499">
        <f>[2]tanks!AJ36</f>
        <v>251</v>
      </c>
      <c r="AK5" s="499">
        <f>[2]tanks!AK36</f>
        <v>2510</v>
      </c>
      <c r="AL5" s="499">
        <f>[2]tanks!AL36</f>
        <v>251</v>
      </c>
      <c r="AM5" s="499">
        <f>[2]tanks!AM36</f>
        <v>2510</v>
      </c>
      <c r="AN5" s="476">
        <f>[2]tanks!AN36</f>
        <v>0.89642857142857146</v>
      </c>
      <c r="AO5" s="499">
        <f>[2]tanks!AO36</f>
        <v>17570</v>
      </c>
      <c r="AP5" s="499"/>
      <c r="AQ5" s="476">
        <f>[2]tanks!AQ36</f>
        <v>0.81014617965559499</v>
      </c>
      <c r="AR5" s="572">
        <f>[2]tanks!AR36</f>
        <v>75319.290322580666</v>
      </c>
      <c r="AS5" s="572">
        <f>[2]tanks!AS36</f>
        <v>-1626.5483870967582</v>
      </c>
      <c r="AT5" s="572">
        <f>[2]tanks!AT36</f>
        <v>5000</v>
      </c>
      <c r="AU5" s="572">
        <f>[2]tanks!AU36</f>
        <v>1.1200000000000001</v>
      </c>
      <c r="AV5" s="572">
        <f>[2]tanks!AV36</f>
        <v>1.1200000000000001</v>
      </c>
      <c r="AW5" s="572">
        <f>[2]tanks!AW36</f>
        <v>-480.29999999998836</v>
      </c>
      <c r="AX5" s="572">
        <f>[2]tanks!AX36</f>
        <v>-1146.2483870967699</v>
      </c>
      <c r="AY5" s="572">
        <f>[2]tanks!AY36</f>
        <v>-1626.5483870967582</v>
      </c>
      <c r="AZ5" s="476">
        <f>[2]tanks!AZ36</f>
        <v>0</v>
      </c>
      <c r="BA5" s="572">
        <f>[2]tanks!BA36</f>
        <v>17</v>
      </c>
      <c r="BB5" s="476">
        <f>[2]tanks!BB36</f>
        <v>0.69</v>
      </c>
      <c r="BC5" s="572" t="e">
        <f>[5]tanks!BC36</f>
        <v>#REF!</v>
      </c>
      <c r="BD5" s="572" t="e">
        <f>[5]tanks!BD36</f>
        <v>#REF!</v>
      </c>
      <c r="BE5" s="572" t="e">
        <f>[5]tanks!BE36</f>
        <v>#REF!</v>
      </c>
      <c r="BF5" s="572" t="e">
        <f>[5]tanks!BF36</f>
        <v>#REF!</v>
      </c>
      <c r="BG5" s="572" t="e">
        <f>[5]tanks!BG36</f>
        <v>#REF!</v>
      </c>
      <c r="BH5" s="572" t="e">
        <f>[5]tanks!BH36</f>
        <v>#REF!</v>
      </c>
      <c r="BI5" s="572">
        <f>[5]tanks!BI36</f>
        <v>23</v>
      </c>
    </row>
    <row r="6" spans="1:63">
      <c r="A6" s="425">
        <f>ELEC!C4</f>
        <v>44652</v>
      </c>
      <c r="B6" s="499">
        <f>'B5'!B5</f>
        <v>244</v>
      </c>
      <c r="C6" s="203">
        <f>B6*$B$4</f>
        <v>5249.9354838709678</v>
      </c>
      <c r="D6">
        <f>SUM(B6)</f>
        <v>244</v>
      </c>
      <c r="E6" s="203">
        <f>D6*$B$4</f>
        <v>5249.9354838709678</v>
      </c>
      <c r="F6">
        <f>SUM(D6)</f>
        <v>244</v>
      </c>
      <c r="G6" s="203">
        <f t="shared" ref="G6:G33" si="1">F6*$B$4</f>
        <v>5249.9354838709678</v>
      </c>
      <c r="H6" s="203">
        <f>SUM(F6)</f>
        <v>244</v>
      </c>
      <c r="I6" s="203">
        <f t="shared" ref="I6:I33" si="2">H6*$B$4</f>
        <v>5249.9354838709678</v>
      </c>
      <c r="J6" s="203">
        <f>SUM(H6)</f>
        <v>244</v>
      </c>
      <c r="K6" s="203">
        <f t="shared" ref="K6:K33" si="3">J6*$B$4</f>
        <v>5249.9354838709678</v>
      </c>
      <c r="L6" s="203">
        <f>SUM(J6)</f>
        <v>244</v>
      </c>
      <c r="M6" s="203">
        <f t="shared" ref="M6:M33" si="4">L6*$B$4</f>
        <v>5249.9354838709678</v>
      </c>
      <c r="N6" s="203">
        <f>SUM(L6)</f>
        <v>244</v>
      </c>
      <c r="O6" s="203">
        <f t="shared" ref="O6:O33" si="5">N6*$B$4</f>
        <v>5249.9354838709678</v>
      </c>
      <c r="P6" s="203">
        <f>SUM(N6)</f>
        <v>244</v>
      </c>
      <c r="Q6" s="203">
        <f t="shared" ref="Q6:Q33" si="6">P6*$B$4</f>
        <v>5249.9354838709678</v>
      </c>
      <c r="R6" s="203">
        <f>SUM(P6)</f>
        <v>244</v>
      </c>
      <c r="S6" s="203">
        <f t="shared" ref="S6:S33" si="7">R6*$B$4</f>
        <v>5249.9354838709678</v>
      </c>
      <c r="T6" s="203">
        <f>SUM(R6)</f>
        <v>244</v>
      </c>
      <c r="U6" s="203">
        <f t="shared" ref="U6:U33" si="8">T6*$B$4</f>
        <v>5249.9354838709678</v>
      </c>
      <c r="V6" s="203">
        <f>SUM(T6)</f>
        <v>244</v>
      </c>
      <c r="W6" s="203">
        <f t="shared" ref="W6:W33" si="9">V6*$B$4</f>
        <v>5249.9354838709678</v>
      </c>
      <c r="X6" s="35">
        <f t="shared" ref="X6:X29" si="10">SUM(Y6/73370)</f>
        <v>0.78709677419354862</v>
      </c>
      <c r="Y6" s="36">
        <f>SUM(C6+E6+G6+I6+K6+M6+O6+Q6+S6+U6+W6)</f>
        <v>57749.290322580659</v>
      </c>
      <c r="Z6" s="203">
        <f>'B5'!C5</f>
        <v>251</v>
      </c>
      <c r="AA6" s="203">
        <f>SUM(Z6*$Z$4)</f>
        <v>2510</v>
      </c>
      <c r="AB6" s="203">
        <f>SUM(Z6)</f>
        <v>251</v>
      </c>
      <c r="AC6" s="203">
        <f>SUM(AB6*$Z$4)</f>
        <v>2510</v>
      </c>
      <c r="AD6" s="203">
        <f>SUM(AB6)</f>
        <v>251</v>
      </c>
      <c r="AE6" s="203">
        <f t="shared" ref="AE6:AE33" si="11">SUM(AD6*$Z$4)</f>
        <v>2510</v>
      </c>
      <c r="AF6" s="203">
        <f>SUM(AD6)</f>
        <v>251</v>
      </c>
      <c r="AG6" s="203">
        <f t="shared" ref="AG6:AG33" si="12">SUM(AF6*$Z$4)</f>
        <v>2510</v>
      </c>
      <c r="AH6" s="203">
        <f>SUM(AF6)</f>
        <v>251</v>
      </c>
      <c r="AI6" s="203">
        <f t="shared" ref="AI6:AI33" si="13">SUM(AH6*$Z$4)</f>
        <v>2510</v>
      </c>
      <c r="AJ6" s="203">
        <f>SUM(AH6)</f>
        <v>251</v>
      </c>
      <c r="AK6" s="203">
        <f t="shared" ref="AK6:AK33" si="14">SUM(AJ6*$Z$4)</f>
        <v>2510</v>
      </c>
      <c r="AL6" s="203">
        <f>SUM(AJ6)</f>
        <v>251</v>
      </c>
      <c r="AM6" s="203">
        <f t="shared" ref="AM6:AM33" si="15">SUM(AL6*$Z$4)</f>
        <v>2510</v>
      </c>
      <c r="AN6" s="35">
        <f t="shared" ref="AN6:AN29" si="16">SUM(AO6/19600)</f>
        <v>0.89642857142857146</v>
      </c>
      <c r="AO6" s="36">
        <f>SUM(AA6+AC6+AE6+AG6+AI6+AK6+AM6)</f>
        <v>17570</v>
      </c>
      <c r="AQ6" s="223">
        <f>SUM(AR6/92970)</f>
        <v>0.81014617965559499</v>
      </c>
      <c r="AR6" s="38">
        <f>Y6+AO6</f>
        <v>75319.290322580666</v>
      </c>
      <c r="AS6" s="197">
        <f>SUM(AR6-AR5-AT6)</f>
        <v>0</v>
      </c>
      <c r="AT6" s="340"/>
      <c r="AU6" s="548"/>
      <c r="AV6" s="485">
        <f>IF(AT6&gt;0,AU6,AV5)</f>
        <v>1.1200000000000001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44653</v>
      </c>
      <c r="B7">
        <f>'B5'!B6</f>
        <v>244</v>
      </c>
      <c r="C7" s="203">
        <f t="shared" ref="C7:E33" si="18">B7*$B$4</f>
        <v>5249.9354838709678</v>
      </c>
      <c r="D7">
        <f t="shared" ref="D7:D29" si="19">SUM(B7)</f>
        <v>244</v>
      </c>
      <c r="E7" s="203">
        <f t="shared" si="18"/>
        <v>5249.9354838709678</v>
      </c>
      <c r="F7">
        <f t="shared" ref="F7:F29" si="20">SUM(D7)</f>
        <v>244</v>
      </c>
      <c r="G7" s="203">
        <f t="shared" si="1"/>
        <v>5249.9354838709678</v>
      </c>
      <c r="H7" s="203">
        <f t="shared" ref="H7:H29" si="21">SUM(F7)</f>
        <v>244</v>
      </c>
      <c r="I7" s="203">
        <f t="shared" si="2"/>
        <v>5249.9354838709678</v>
      </c>
      <c r="J7" s="203">
        <f t="shared" ref="J7:J29" si="22">SUM(H7)</f>
        <v>244</v>
      </c>
      <c r="K7" s="203">
        <f t="shared" si="3"/>
        <v>5249.9354838709678</v>
      </c>
      <c r="L7" s="203">
        <f t="shared" ref="L7:L29" si="23">SUM(J7)</f>
        <v>244</v>
      </c>
      <c r="M7" s="203">
        <f t="shared" si="4"/>
        <v>5249.9354838709678</v>
      </c>
      <c r="N7" s="203">
        <f t="shared" ref="N7:N29" si="24">SUM(L7)</f>
        <v>244</v>
      </c>
      <c r="O7" s="203">
        <f t="shared" si="5"/>
        <v>5249.9354838709678</v>
      </c>
      <c r="P7" s="203">
        <f t="shared" ref="P7:P29" si="25">SUM(N7)</f>
        <v>244</v>
      </c>
      <c r="Q7" s="203">
        <f t="shared" si="6"/>
        <v>5249.9354838709678</v>
      </c>
      <c r="R7" s="203">
        <f t="shared" ref="R7:R29" si="26">SUM(P7)</f>
        <v>244</v>
      </c>
      <c r="S7" s="203">
        <f t="shared" si="7"/>
        <v>5249.9354838709678</v>
      </c>
      <c r="T7" s="203">
        <f t="shared" ref="T7:T29" si="27">SUM(R7)</f>
        <v>244</v>
      </c>
      <c r="U7" s="203">
        <f t="shared" si="8"/>
        <v>5249.9354838709678</v>
      </c>
      <c r="V7" s="203">
        <f t="shared" ref="V7:V29" si="28">SUM(T7)</f>
        <v>244</v>
      </c>
      <c r="W7" s="203">
        <f t="shared" si="9"/>
        <v>5249.9354838709678</v>
      </c>
      <c r="X7" s="35">
        <f t="shared" si="10"/>
        <v>0.78709677419354862</v>
      </c>
      <c r="Y7" s="36">
        <f t="shared" ref="Y7:Y29" si="29">SUM(C7+E7+G7+I7+K7+M7+O7+Q7+S7+U7+W7)</f>
        <v>57749.290322580659</v>
      </c>
      <c r="Z7" s="203">
        <f>'B5'!C6</f>
        <v>251</v>
      </c>
      <c r="AA7" s="203">
        <f t="shared" ref="AA7:AC33" si="30">SUM(Z7*$Z$4)</f>
        <v>2510</v>
      </c>
      <c r="AB7" s="203">
        <f t="shared" ref="AB7:AB29" si="31">SUM(Z7)</f>
        <v>251</v>
      </c>
      <c r="AC7" s="203">
        <f t="shared" si="30"/>
        <v>2510</v>
      </c>
      <c r="AD7" s="203">
        <f t="shared" ref="AD7:AD29" si="32">SUM(AB7)</f>
        <v>251</v>
      </c>
      <c r="AE7" s="203">
        <f t="shared" si="11"/>
        <v>2510</v>
      </c>
      <c r="AF7" s="203">
        <f t="shared" ref="AF7:AF29" si="33">SUM(AD7)</f>
        <v>251</v>
      </c>
      <c r="AG7" s="203">
        <f t="shared" si="12"/>
        <v>2510</v>
      </c>
      <c r="AH7" s="203">
        <f t="shared" ref="AH7:AH29" si="34">SUM(AF7)</f>
        <v>251</v>
      </c>
      <c r="AI7" s="203">
        <f t="shared" si="13"/>
        <v>2510</v>
      </c>
      <c r="AJ7" s="203">
        <f t="shared" ref="AJ7:AJ29" si="35">SUM(AH7)</f>
        <v>251</v>
      </c>
      <c r="AK7" s="203">
        <f t="shared" si="14"/>
        <v>2510</v>
      </c>
      <c r="AL7" s="203">
        <f t="shared" ref="AL7:AL29" si="36">SUM(AJ7)</f>
        <v>251</v>
      </c>
      <c r="AM7" s="203">
        <f t="shared" si="15"/>
        <v>2510</v>
      </c>
      <c r="AN7" s="35">
        <f>SUM(AO7/19600)</f>
        <v>0.89642857142857146</v>
      </c>
      <c r="AO7" s="36">
        <f>SUM(AA7+AC7+AE7+AG7+AI7+AK7+AM7)</f>
        <v>17570</v>
      </c>
      <c r="AQ7" s="223">
        <f>SUM(AR7/92970)</f>
        <v>0.81014617965559499</v>
      </c>
      <c r="AR7" s="38">
        <f>Y7+AO7</f>
        <v>75319.290322580666</v>
      </c>
      <c r="AS7" s="197">
        <f>SUM(AR7-AR6-AT7)</f>
        <v>0</v>
      </c>
      <c r="AT7" s="340"/>
      <c r="AU7" s="548"/>
      <c r="AV7" s="485">
        <f>IF(AT7&gt;0,AU7,AV6)</f>
        <v>1.1200000000000001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1556.6582278487456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 t="e">
        <f>GEN!AF4</f>
        <v>#DIV/0!</v>
      </c>
    </row>
    <row r="8" spans="1:63">
      <c r="A8" s="425">
        <f>ELEC!C6</f>
        <v>44654</v>
      </c>
      <c r="B8">
        <f>'B5'!B7</f>
        <v>236</v>
      </c>
      <c r="C8" s="203">
        <f t="shared" si="18"/>
        <v>5077.8064516129034</v>
      </c>
      <c r="D8">
        <f t="shared" si="19"/>
        <v>236</v>
      </c>
      <c r="E8" s="203">
        <f t="shared" si="18"/>
        <v>5077.8064516129034</v>
      </c>
      <c r="F8">
        <f t="shared" si="20"/>
        <v>236</v>
      </c>
      <c r="G8" s="203">
        <f t="shared" si="1"/>
        <v>5077.8064516129034</v>
      </c>
      <c r="H8" s="203">
        <f t="shared" si="21"/>
        <v>236</v>
      </c>
      <c r="I8" s="203">
        <f t="shared" si="2"/>
        <v>5077.8064516129034</v>
      </c>
      <c r="J8" s="203">
        <f t="shared" si="22"/>
        <v>236</v>
      </c>
      <c r="K8" s="203">
        <f t="shared" si="3"/>
        <v>5077.8064516129034</v>
      </c>
      <c r="L8" s="203">
        <f t="shared" si="23"/>
        <v>236</v>
      </c>
      <c r="M8" s="203">
        <f t="shared" si="4"/>
        <v>5077.8064516129034</v>
      </c>
      <c r="N8" s="203">
        <f t="shared" si="24"/>
        <v>236</v>
      </c>
      <c r="O8" s="203">
        <f t="shared" si="5"/>
        <v>5077.8064516129034</v>
      </c>
      <c r="P8" s="203">
        <f t="shared" si="25"/>
        <v>236</v>
      </c>
      <c r="Q8" s="203">
        <f t="shared" si="6"/>
        <v>5077.8064516129034</v>
      </c>
      <c r="R8" s="203">
        <f t="shared" si="26"/>
        <v>236</v>
      </c>
      <c r="S8" s="203">
        <f t="shared" si="7"/>
        <v>5077.8064516129034</v>
      </c>
      <c r="T8" s="203">
        <f t="shared" si="27"/>
        <v>236</v>
      </c>
      <c r="U8" s="203">
        <f t="shared" si="8"/>
        <v>5077.8064516129034</v>
      </c>
      <c r="V8" s="203">
        <f t="shared" si="28"/>
        <v>236</v>
      </c>
      <c r="W8" s="203">
        <f t="shared" si="9"/>
        <v>5077.8064516129034</v>
      </c>
      <c r="X8" s="35">
        <f t="shared" si="10"/>
        <v>0.761290322580645</v>
      </c>
      <c r="Y8" s="36">
        <f t="shared" si="29"/>
        <v>55855.870967741925</v>
      </c>
      <c r="Z8" s="203">
        <f>'B5'!C7</f>
        <v>243</v>
      </c>
      <c r="AA8" s="203">
        <f t="shared" si="30"/>
        <v>2430</v>
      </c>
      <c r="AB8" s="203">
        <f t="shared" si="31"/>
        <v>243</v>
      </c>
      <c r="AC8" s="203">
        <f t="shared" si="30"/>
        <v>2430</v>
      </c>
      <c r="AD8" s="203">
        <f t="shared" si="32"/>
        <v>243</v>
      </c>
      <c r="AE8" s="203">
        <f t="shared" si="11"/>
        <v>2430</v>
      </c>
      <c r="AF8" s="203">
        <f t="shared" si="33"/>
        <v>243</v>
      </c>
      <c r="AG8" s="203">
        <f t="shared" si="12"/>
        <v>2430</v>
      </c>
      <c r="AH8" s="203">
        <f t="shared" si="34"/>
        <v>243</v>
      </c>
      <c r="AI8" s="203">
        <f t="shared" si="13"/>
        <v>2430</v>
      </c>
      <c r="AJ8" s="203">
        <f t="shared" si="35"/>
        <v>243</v>
      </c>
      <c r="AK8" s="203">
        <f t="shared" si="14"/>
        <v>2430</v>
      </c>
      <c r="AL8" s="203">
        <f t="shared" si="36"/>
        <v>243</v>
      </c>
      <c r="AM8" s="203">
        <f t="shared" si="15"/>
        <v>2430</v>
      </c>
      <c r="AN8" s="35">
        <f t="shared" si="16"/>
        <v>0.86785714285714288</v>
      </c>
      <c r="AO8" s="36">
        <f t="shared" ref="AO8:AO29" si="39">SUM(AA8+AC8+AE8+AG8+AI8+AK8+AM8)</f>
        <v>17010</v>
      </c>
      <c r="AQ8" s="223">
        <f t="shared" ref="AQ8:AQ33" si="40">SUM(AR8/92970)</f>
        <v>0.78375681367905692</v>
      </c>
      <c r="AR8" s="38">
        <f t="shared" ref="AR8:AR33" si="41">Y8+AO8</f>
        <v>72865.870967741925</v>
      </c>
      <c r="AS8" s="197">
        <f t="shared" ref="AS8:AS17" si="42">SUM(AR8-AR7-AT8)</f>
        <v>-2453.4193548387411</v>
      </c>
      <c r="AT8" s="340"/>
      <c r="AU8" s="548"/>
      <c r="AV8" s="485">
        <f t="shared" ref="AV8:AV31" si="43">IF(AT8&gt;0,AU8,AV7)</f>
        <v>1.1200000000000001</v>
      </c>
      <c r="AW8" s="279">
        <f>-SUM('B5'!AI7)</f>
        <v>-347</v>
      </c>
      <c r="AX8" s="279">
        <f t="shared" si="17"/>
        <v>-2106.4193548387411</v>
      </c>
      <c r="AY8" s="37">
        <f t="shared" si="37"/>
        <v>-2453.4193548387411</v>
      </c>
      <c r="AZ8" s="100">
        <f>ELEC!A6</f>
        <v>0</v>
      </c>
      <c r="BA8" s="118">
        <f>'General information '!D7</f>
        <v>20.5</v>
      </c>
      <c r="BB8" s="378">
        <f>SUM('General information '!E7)</f>
        <v>0.54</v>
      </c>
      <c r="BC8" s="3">
        <f t="shared" ref="BC8:BC33" si="44">IF(AR7&gt;=AR8,0,1)</f>
        <v>0</v>
      </c>
      <c r="BD8" s="102">
        <v>19222</v>
      </c>
      <c r="BE8" s="14">
        <f>(305/1185)*ELEC!Q7</f>
        <v>1204.8143459916887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-234.04659498208235</v>
      </c>
      <c r="BK8" s="538">
        <f>GEN!AF5</f>
        <v>0.27000000000011171</v>
      </c>
    </row>
    <row r="9" spans="1:63">
      <c r="A9" s="425">
        <f>ELEC!C7</f>
        <v>44655</v>
      </c>
      <c r="B9">
        <f>'B5'!B8</f>
        <v>229</v>
      </c>
      <c r="C9" s="203">
        <f t="shared" si="18"/>
        <v>4927.1935483870966</v>
      </c>
      <c r="D9">
        <f t="shared" si="19"/>
        <v>229</v>
      </c>
      <c r="E9" s="203">
        <f t="shared" si="18"/>
        <v>4927.1935483870966</v>
      </c>
      <c r="F9">
        <f t="shared" si="20"/>
        <v>229</v>
      </c>
      <c r="G9" s="203">
        <f t="shared" si="1"/>
        <v>4927.1935483870966</v>
      </c>
      <c r="H9" s="203">
        <f t="shared" si="21"/>
        <v>229</v>
      </c>
      <c r="I9" s="203">
        <f t="shared" si="2"/>
        <v>4927.1935483870966</v>
      </c>
      <c r="J9" s="203">
        <f t="shared" si="22"/>
        <v>229</v>
      </c>
      <c r="K9" s="203">
        <f t="shared" si="3"/>
        <v>4927.1935483870966</v>
      </c>
      <c r="L9" s="203">
        <f t="shared" si="23"/>
        <v>229</v>
      </c>
      <c r="M9" s="203">
        <f t="shared" si="4"/>
        <v>4927.1935483870966</v>
      </c>
      <c r="N9" s="203">
        <f t="shared" si="24"/>
        <v>229</v>
      </c>
      <c r="O9" s="203">
        <f t="shared" si="5"/>
        <v>4927.1935483870966</v>
      </c>
      <c r="P9" s="203">
        <f t="shared" si="25"/>
        <v>229</v>
      </c>
      <c r="Q9" s="203">
        <f t="shared" si="6"/>
        <v>4927.1935483870966</v>
      </c>
      <c r="R9" s="203">
        <f t="shared" si="26"/>
        <v>229</v>
      </c>
      <c r="S9" s="203">
        <f t="shared" si="7"/>
        <v>4927.1935483870966</v>
      </c>
      <c r="T9" s="203">
        <f t="shared" si="27"/>
        <v>229</v>
      </c>
      <c r="U9" s="203">
        <f t="shared" si="8"/>
        <v>4927.1935483870966</v>
      </c>
      <c r="V9" s="203">
        <f t="shared" si="28"/>
        <v>229</v>
      </c>
      <c r="W9" s="203">
        <f t="shared" si="9"/>
        <v>4927.1935483870966</v>
      </c>
      <c r="X9" s="35">
        <f t="shared" si="10"/>
        <v>0.738709677419355</v>
      </c>
      <c r="Y9" s="36">
        <f t="shared" si="29"/>
        <v>54199.129032258075</v>
      </c>
      <c r="Z9" s="203">
        <f>'B5'!C8</f>
        <v>236</v>
      </c>
      <c r="AA9" s="203">
        <f t="shared" si="30"/>
        <v>2360</v>
      </c>
      <c r="AB9" s="203">
        <f t="shared" si="31"/>
        <v>236</v>
      </c>
      <c r="AC9" s="203">
        <f t="shared" si="30"/>
        <v>2360</v>
      </c>
      <c r="AD9" s="203">
        <f t="shared" si="32"/>
        <v>236</v>
      </c>
      <c r="AE9" s="203">
        <f t="shared" si="11"/>
        <v>2360</v>
      </c>
      <c r="AF9" s="203">
        <f t="shared" si="33"/>
        <v>236</v>
      </c>
      <c r="AG9" s="203">
        <f t="shared" si="12"/>
        <v>2360</v>
      </c>
      <c r="AH9" s="203">
        <f t="shared" si="34"/>
        <v>236</v>
      </c>
      <c r="AI9" s="203">
        <f t="shared" si="13"/>
        <v>2360</v>
      </c>
      <c r="AJ9" s="203">
        <f t="shared" si="35"/>
        <v>236</v>
      </c>
      <c r="AK9" s="203">
        <f t="shared" si="14"/>
        <v>2360</v>
      </c>
      <c r="AL9" s="203">
        <f t="shared" si="36"/>
        <v>236</v>
      </c>
      <c r="AM9" s="203">
        <f t="shared" si="15"/>
        <v>2360</v>
      </c>
      <c r="AN9" s="35">
        <f t="shared" si="16"/>
        <v>0.84285714285714286</v>
      </c>
      <c r="AO9" s="36">
        <f>SUM(AA9+AC9+AE9+AG9+AI9+AK9+AM9)</f>
        <v>16520</v>
      </c>
      <c r="AQ9" s="223">
        <f t="shared" si="40"/>
        <v>0.76066611844958665</v>
      </c>
      <c r="AR9" s="38">
        <f t="shared" si="41"/>
        <v>70719.129032258075</v>
      </c>
      <c r="AS9" s="197">
        <f t="shared" si="42"/>
        <v>-2146.7419354838494</v>
      </c>
      <c r="AT9" s="340"/>
      <c r="AU9" s="548"/>
      <c r="AV9" s="485">
        <f t="shared" si="43"/>
        <v>1.1200000000000001</v>
      </c>
      <c r="AW9" s="279">
        <f>-SUM('B5'!AI8)</f>
        <v>-391</v>
      </c>
      <c r="AX9" s="279">
        <f t="shared" si="17"/>
        <v>-1755.7419354838494</v>
      </c>
      <c r="AY9" s="37">
        <f t="shared" si="37"/>
        <v>-2146.7419354838494</v>
      </c>
      <c r="AZ9" s="100">
        <f>ELEC!A7</f>
        <v>0</v>
      </c>
      <c r="BA9" s="118">
        <f>'General information '!D8</f>
        <v>20</v>
      </c>
      <c r="BB9" s="378">
        <f>SUM('General information '!E8)</f>
        <v>0.59</v>
      </c>
      <c r="BC9" s="3">
        <f t="shared" si="44"/>
        <v>0</v>
      </c>
      <c r="BD9" s="102">
        <v>19222</v>
      </c>
      <c r="BE9" s="14">
        <f>(305/1185)*ELEC!Q8</f>
        <v>1386.2700421937334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-292.62365591397491</v>
      </c>
      <c r="BK9" s="538">
        <f>GEN!AF6</f>
        <v>0.29256250000003092</v>
      </c>
    </row>
    <row r="10" spans="1:63">
      <c r="A10" s="425">
        <f>ELEC!C8</f>
        <v>44656</v>
      </c>
      <c r="B10">
        <f>'B5'!B9</f>
        <v>223</v>
      </c>
      <c r="C10" s="203">
        <f t="shared" si="18"/>
        <v>4798.0967741935483</v>
      </c>
      <c r="D10">
        <f t="shared" si="19"/>
        <v>223</v>
      </c>
      <c r="E10" s="203">
        <f t="shared" si="18"/>
        <v>4798.0967741935483</v>
      </c>
      <c r="F10">
        <f t="shared" si="20"/>
        <v>223</v>
      </c>
      <c r="G10" s="203">
        <f t="shared" si="1"/>
        <v>4798.0967741935483</v>
      </c>
      <c r="H10" s="203">
        <f t="shared" si="21"/>
        <v>223</v>
      </c>
      <c r="I10" s="203">
        <f t="shared" si="2"/>
        <v>4798.0967741935483</v>
      </c>
      <c r="J10" s="203">
        <f t="shared" si="22"/>
        <v>223</v>
      </c>
      <c r="K10" s="203">
        <f t="shared" si="3"/>
        <v>4798.0967741935483</v>
      </c>
      <c r="L10" s="203">
        <f t="shared" si="23"/>
        <v>223</v>
      </c>
      <c r="M10" s="203">
        <f t="shared" si="4"/>
        <v>4798.0967741935483</v>
      </c>
      <c r="N10" s="203">
        <f t="shared" si="24"/>
        <v>223</v>
      </c>
      <c r="O10" s="203">
        <f t="shared" si="5"/>
        <v>4798.0967741935483</v>
      </c>
      <c r="P10" s="203">
        <f t="shared" si="25"/>
        <v>223</v>
      </c>
      <c r="Q10" s="203">
        <f t="shared" si="6"/>
        <v>4798.0967741935483</v>
      </c>
      <c r="R10" s="203">
        <f t="shared" si="26"/>
        <v>223</v>
      </c>
      <c r="S10" s="203">
        <f t="shared" si="7"/>
        <v>4798.0967741935483</v>
      </c>
      <c r="T10" s="203">
        <f t="shared" si="27"/>
        <v>223</v>
      </c>
      <c r="U10" s="203">
        <f t="shared" si="8"/>
        <v>4798.0967741935483</v>
      </c>
      <c r="V10" s="203">
        <f t="shared" si="28"/>
        <v>223</v>
      </c>
      <c r="W10" s="203">
        <f t="shared" si="9"/>
        <v>4798.0967741935483</v>
      </c>
      <c r="X10" s="35">
        <f t="shared" si="10"/>
        <v>0.71935483870967731</v>
      </c>
      <c r="Y10" s="36">
        <f t="shared" si="29"/>
        <v>52779.064516129023</v>
      </c>
      <c r="Z10" s="203">
        <f>'B5'!C9</f>
        <v>230</v>
      </c>
      <c r="AA10" s="203">
        <f t="shared" si="30"/>
        <v>2300</v>
      </c>
      <c r="AB10" s="203">
        <f t="shared" si="31"/>
        <v>230</v>
      </c>
      <c r="AC10" s="203">
        <f t="shared" si="30"/>
        <v>2300</v>
      </c>
      <c r="AD10" s="203">
        <f t="shared" si="32"/>
        <v>230</v>
      </c>
      <c r="AE10" s="203">
        <f t="shared" si="11"/>
        <v>2300</v>
      </c>
      <c r="AF10" s="203">
        <f t="shared" si="33"/>
        <v>230</v>
      </c>
      <c r="AG10" s="203">
        <f t="shared" si="12"/>
        <v>2300</v>
      </c>
      <c r="AH10" s="203">
        <f t="shared" si="34"/>
        <v>230</v>
      </c>
      <c r="AI10" s="203">
        <f t="shared" si="13"/>
        <v>2300</v>
      </c>
      <c r="AJ10" s="203">
        <f t="shared" si="35"/>
        <v>230</v>
      </c>
      <c r="AK10" s="203">
        <f t="shared" si="14"/>
        <v>2300</v>
      </c>
      <c r="AL10" s="203">
        <f t="shared" si="36"/>
        <v>230</v>
      </c>
      <c r="AM10" s="203">
        <f t="shared" si="15"/>
        <v>2300</v>
      </c>
      <c r="AN10" s="35">
        <f t="shared" si="16"/>
        <v>0.8214285714285714</v>
      </c>
      <c r="AO10" s="36">
        <f t="shared" si="39"/>
        <v>16100</v>
      </c>
      <c r="AQ10" s="223">
        <f t="shared" si="40"/>
        <v>0.74087409396718329</v>
      </c>
      <c r="AR10" s="38">
        <f t="shared" si="41"/>
        <v>68879.06451612903</v>
      </c>
      <c r="AS10" s="197">
        <f t="shared" si="42"/>
        <v>-1840.0645161290449</v>
      </c>
      <c r="AT10" s="340"/>
      <c r="AU10" s="548"/>
      <c r="AV10" s="485">
        <f>IF(AT10&gt;0,AU10,AV9)</f>
        <v>1.1200000000000001</v>
      </c>
      <c r="AW10" s="279">
        <f>-SUM('B5'!AI9)</f>
        <v>-196</v>
      </c>
      <c r="AX10" s="279">
        <f t="shared" si="17"/>
        <v>-1644.0645161290449</v>
      </c>
      <c r="AY10" s="37">
        <f t="shared" si="37"/>
        <v>-1840.0645161290449</v>
      </c>
      <c r="AZ10" s="100">
        <f>ELEC!A8</f>
        <v>0</v>
      </c>
      <c r="BA10" s="118">
        <f>'General information '!D9</f>
        <v>23</v>
      </c>
      <c r="BB10" s="378">
        <f>SUM('General information '!E9)</f>
        <v>0.38</v>
      </c>
      <c r="BC10" s="3">
        <f t="shared" si="44"/>
        <v>0</v>
      </c>
      <c r="BD10" s="102">
        <v>19222</v>
      </c>
      <c r="BE10" s="14">
        <f>(305/1185)*ELEC!Q9</f>
        <v>1064.2827004215289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-234.86635944700643</v>
      </c>
      <c r="BK10" s="538">
        <f>GEN!AF7</f>
        <v>0.28052083333326056</v>
      </c>
    </row>
    <row r="11" spans="1:63">
      <c r="A11" s="425">
        <f>ELEC!C9</f>
        <v>44657</v>
      </c>
      <c r="B11">
        <f>'B5'!B10</f>
        <v>217</v>
      </c>
      <c r="C11" s="203">
        <f t="shared" si="18"/>
        <v>4669</v>
      </c>
      <c r="D11">
        <f>SUM(B11)</f>
        <v>217</v>
      </c>
      <c r="E11" s="203">
        <f t="shared" si="18"/>
        <v>4669</v>
      </c>
      <c r="F11">
        <f>SUM(D11)</f>
        <v>217</v>
      </c>
      <c r="G11" s="203">
        <f t="shared" si="1"/>
        <v>4669</v>
      </c>
      <c r="H11" s="203">
        <f>SUM(F11)</f>
        <v>217</v>
      </c>
      <c r="I11" s="203">
        <f t="shared" si="2"/>
        <v>4669</v>
      </c>
      <c r="J11" s="203">
        <f>SUM(H11)</f>
        <v>217</v>
      </c>
      <c r="K11" s="203">
        <f t="shared" si="3"/>
        <v>4669</v>
      </c>
      <c r="L11" s="203">
        <f>SUM(J11)</f>
        <v>217</v>
      </c>
      <c r="M11" s="203">
        <f t="shared" si="4"/>
        <v>4669</v>
      </c>
      <c r="N11" s="203">
        <f>SUM(L11)</f>
        <v>217</v>
      </c>
      <c r="O11" s="203">
        <f t="shared" si="5"/>
        <v>4669</v>
      </c>
      <c r="P11" s="203">
        <f>SUM(N11)</f>
        <v>217</v>
      </c>
      <c r="Q11" s="203">
        <f t="shared" si="6"/>
        <v>4669</v>
      </c>
      <c r="R11" s="203">
        <f>SUM(P11)</f>
        <v>217</v>
      </c>
      <c r="S11" s="203">
        <f t="shared" si="7"/>
        <v>4669</v>
      </c>
      <c r="T11" s="203">
        <f>SUM(R11)</f>
        <v>217</v>
      </c>
      <c r="U11" s="203">
        <f t="shared" si="8"/>
        <v>4669</v>
      </c>
      <c r="V11" s="203">
        <f>SUM(T11)</f>
        <v>217</v>
      </c>
      <c r="W11" s="203">
        <f t="shared" si="9"/>
        <v>4669</v>
      </c>
      <c r="X11" s="35">
        <f>SUM(Y11/73370)</f>
        <v>0.7</v>
      </c>
      <c r="Y11" s="36">
        <f>SUM(C11+E11+G11+I11+K11+M11+O11+Q11+S11+U11+W11)</f>
        <v>51359</v>
      </c>
      <c r="Z11" s="203">
        <f>'B5'!C10</f>
        <v>223</v>
      </c>
      <c r="AA11" s="203">
        <f t="shared" si="30"/>
        <v>2230</v>
      </c>
      <c r="AB11" s="203">
        <f>SUM(Z11)</f>
        <v>223</v>
      </c>
      <c r="AC11" s="203">
        <f t="shared" si="30"/>
        <v>2230</v>
      </c>
      <c r="AD11" s="203">
        <f>SUM(AB11)</f>
        <v>223</v>
      </c>
      <c r="AE11" s="203">
        <f t="shared" si="11"/>
        <v>2230</v>
      </c>
      <c r="AF11" s="203">
        <f>SUM(AD11)</f>
        <v>223</v>
      </c>
      <c r="AG11" s="203">
        <f t="shared" si="12"/>
        <v>2230</v>
      </c>
      <c r="AH11" s="203">
        <f>SUM(AF11)</f>
        <v>223</v>
      </c>
      <c r="AI11" s="203">
        <f t="shared" si="13"/>
        <v>2230</v>
      </c>
      <c r="AJ11" s="203">
        <f>SUM(AH11)</f>
        <v>223</v>
      </c>
      <c r="AK11" s="203">
        <f t="shared" si="14"/>
        <v>2230</v>
      </c>
      <c r="AL11" s="203">
        <f>SUM(AJ11)</f>
        <v>223</v>
      </c>
      <c r="AM11" s="203">
        <f t="shared" si="15"/>
        <v>2230</v>
      </c>
      <c r="AN11" s="35">
        <f>SUM(AO11/19600)</f>
        <v>0.79642857142857137</v>
      </c>
      <c r="AO11" s="36">
        <f t="shared" si="39"/>
        <v>15610</v>
      </c>
      <c r="AP11" s="525"/>
      <c r="AQ11" s="223">
        <f t="shared" si="40"/>
        <v>0.72032913843175217</v>
      </c>
      <c r="AR11" s="38">
        <f t="shared" si="41"/>
        <v>66969</v>
      </c>
      <c r="AS11" s="197">
        <f t="shared" si="42"/>
        <v>-1910.0645161290304</v>
      </c>
      <c r="AT11" s="340"/>
      <c r="AU11" s="548"/>
      <c r="AV11" s="485">
        <f>IF(AT11&gt;0,AU11,AV10)</f>
        <v>1.1200000000000001</v>
      </c>
      <c r="AW11" s="279">
        <f>-SUM('B5'!AI10)</f>
        <v>-165</v>
      </c>
      <c r="AX11" s="279">
        <f t="shared" si="17"/>
        <v>-1745.0645161290304</v>
      </c>
      <c r="AY11" s="37">
        <f t="shared" si="37"/>
        <v>-1910.0645161290304</v>
      </c>
      <c r="AZ11" s="100">
        <f>ELEC!A9</f>
        <v>0</v>
      </c>
      <c r="BA11" s="118">
        <f>'General information '!D10</f>
        <v>26</v>
      </c>
      <c r="BB11" s="378">
        <f>SUM('General information '!E10)</f>
        <v>0.45</v>
      </c>
      <c r="BC11" s="3">
        <f t="shared" si="44"/>
        <v>0</v>
      </c>
      <c r="BD11" s="102">
        <v>19222</v>
      </c>
      <c r="BE11" s="14">
        <f>(305/1185)*ELEC!Q10</f>
        <v>1191.1729957807481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-187.64134582034052</v>
      </c>
      <c r="BK11" s="538">
        <f>GEN!AF8</f>
        <v>0.25843749999989996</v>
      </c>
    </row>
    <row r="12" spans="1:63">
      <c r="A12" s="425">
        <f>ELEC!C10</f>
        <v>44658</v>
      </c>
      <c r="B12">
        <f>'B5'!B11</f>
        <v>230</v>
      </c>
      <c r="C12" s="203">
        <f t="shared" si="18"/>
        <v>4948.7096774193551</v>
      </c>
      <c r="D12">
        <f t="shared" si="19"/>
        <v>230</v>
      </c>
      <c r="E12" s="203">
        <f t="shared" si="18"/>
        <v>4948.7096774193551</v>
      </c>
      <c r="F12">
        <f t="shared" si="20"/>
        <v>230</v>
      </c>
      <c r="G12" s="203">
        <f t="shared" si="1"/>
        <v>4948.7096774193551</v>
      </c>
      <c r="H12" s="203">
        <f t="shared" si="21"/>
        <v>230</v>
      </c>
      <c r="I12" s="203">
        <f t="shared" si="2"/>
        <v>4948.7096774193551</v>
      </c>
      <c r="J12" s="203">
        <f t="shared" si="22"/>
        <v>230</v>
      </c>
      <c r="K12" s="203">
        <f t="shared" si="3"/>
        <v>4948.7096774193551</v>
      </c>
      <c r="L12" s="203">
        <f t="shared" si="23"/>
        <v>230</v>
      </c>
      <c r="M12" s="203">
        <f t="shared" si="4"/>
        <v>4948.7096774193551</v>
      </c>
      <c r="N12" s="203">
        <f t="shared" si="24"/>
        <v>230</v>
      </c>
      <c r="O12" s="203">
        <f t="shared" si="5"/>
        <v>4948.7096774193551</v>
      </c>
      <c r="P12" s="203">
        <f t="shared" si="25"/>
        <v>230</v>
      </c>
      <c r="Q12" s="203">
        <f t="shared" si="6"/>
        <v>4948.7096774193551</v>
      </c>
      <c r="R12" s="203">
        <f t="shared" si="26"/>
        <v>230</v>
      </c>
      <c r="S12" s="203">
        <f t="shared" si="7"/>
        <v>4948.7096774193551</v>
      </c>
      <c r="T12" s="203">
        <f t="shared" si="27"/>
        <v>230</v>
      </c>
      <c r="U12" s="203">
        <f t="shared" si="8"/>
        <v>4948.7096774193551</v>
      </c>
      <c r="V12" s="203">
        <f t="shared" si="28"/>
        <v>230</v>
      </c>
      <c r="W12" s="203">
        <f t="shared" si="9"/>
        <v>4948.7096774193551</v>
      </c>
      <c r="X12" s="35">
        <f t="shared" si="10"/>
        <v>0.74193548387096786</v>
      </c>
      <c r="Y12" s="36">
        <f t="shared" si="29"/>
        <v>54435.806451612909</v>
      </c>
      <c r="Z12" s="203">
        <f>'B5'!C11</f>
        <v>237</v>
      </c>
      <c r="AA12" s="203">
        <f t="shared" si="30"/>
        <v>2370</v>
      </c>
      <c r="AB12" s="203">
        <f t="shared" si="31"/>
        <v>237</v>
      </c>
      <c r="AC12" s="203">
        <f t="shared" si="30"/>
        <v>2370</v>
      </c>
      <c r="AD12" s="203">
        <f t="shared" si="32"/>
        <v>237</v>
      </c>
      <c r="AE12" s="203">
        <f t="shared" si="11"/>
        <v>2370</v>
      </c>
      <c r="AF12" s="203">
        <f t="shared" si="33"/>
        <v>237</v>
      </c>
      <c r="AG12" s="203">
        <f t="shared" si="12"/>
        <v>2370</v>
      </c>
      <c r="AH12" s="203">
        <f t="shared" si="34"/>
        <v>237</v>
      </c>
      <c r="AI12" s="203">
        <f t="shared" si="13"/>
        <v>2370</v>
      </c>
      <c r="AJ12" s="203">
        <f t="shared" si="35"/>
        <v>237</v>
      </c>
      <c r="AK12" s="203">
        <f t="shared" si="14"/>
        <v>2370</v>
      </c>
      <c r="AL12" s="203">
        <f t="shared" si="36"/>
        <v>237</v>
      </c>
      <c r="AM12" s="203">
        <f t="shared" si="15"/>
        <v>2370</v>
      </c>
      <c r="AN12" s="35">
        <f t="shared" si="16"/>
        <v>0.84642857142857142</v>
      </c>
      <c r="AO12" s="36">
        <f t="shared" si="39"/>
        <v>16590</v>
      </c>
      <c r="AP12" s="525"/>
      <c r="AQ12" s="223">
        <f t="shared" si="40"/>
        <v>0.76396478919665389</v>
      </c>
      <c r="AR12" s="38">
        <f t="shared" si="41"/>
        <v>71025.806451612909</v>
      </c>
      <c r="AS12" s="197">
        <f t="shared" si="42"/>
        <v>-1025.1935483870911</v>
      </c>
      <c r="AT12" s="340">
        <v>5082</v>
      </c>
      <c r="AU12" s="548">
        <v>1.0089999999999999</v>
      </c>
      <c r="AV12" s="485">
        <f t="shared" si="43"/>
        <v>1.0089999999999999</v>
      </c>
      <c r="AW12" s="279">
        <f>-SUM('B5'!AI11)</f>
        <v>-157</v>
      </c>
      <c r="AX12" s="279">
        <f t="shared" si="17"/>
        <v>-868.19354838709114</v>
      </c>
      <c r="AY12" s="37">
        <f t="shared" si="37"/>
        <v>-1025.1935483870911</v>
      </c>
      <c r="AZ12" s="100">
        <f>ELEC!A10</f>
        <v>0</v>
      </c>
      <c r="BA12" s="118">
        <f>'General information '!D11</f>
        <v>18.5</v>
      </c>
      <c r="BB12" s="378">
        <f>SUM('General information '!E11)</f>
        <v>0.75</v>
      </c>
      <c r="BC12" s="3">
        <f t="shared" si="44"/>
        <v>1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-234.64690496943794</v>
      </c>
      <c r="BK12" s="538">
        <f>GEN!AF9</f>
        <v>0.2892500000000382</v>
      </c>
    </row>
    <row r="13" spans="1:63">
      <c r="A13" s="425">
        <f>ELEC!C11</f>
        <v>44659</v>
      </c>
      <c r="B13">
        <f>'B5'!B12</f>
        <v>230</v>
      </c>
      <c r="C13" s="203">
        <f t="shared" si="18"/>
        <v>4948.7096774193551</v>
      </c>
      <c r="D13">
        <f t="shared" si="19"/>
        <v>230</v>
      </c>
      <c r="E13" s="203">
        <f t="shared" si="18"/>
        <v>4948.7096774193551</v>
      </c>
      <c r="F13">
        <f t="shared" si="20"/>
        <v>230</v>
      </c>
      <c r="G13" s="203">
        <f t="shared" si="1"/>
        <v>4948.7096774193551</v>
      </c>
      <c r="H13" s="203">
        <f t="shared" si="21"/>
        <v>230</v>
      </c>
      <c r="I13" s="203">
        <f t="shared" si="2"/>
        <v>4948.7096774193551</v>
      </c>
      <c r="J13" s="203">
        <f t="shared" si="22"/>
        <v>230</v>
      </c>
      <c r="K13" s="203">
        <f t="shared" si="3"/>
        <v>4948.7096774193551</v>
      </c>
      <c r="L13" s="203">
        <f t="shared" si="23"/>
        <v>230</v>
      </c>
      <c r="M13" s="203">
        <f t="shared" si="4"/>
        <v>4948.7096774193551</v>
      </c>
      <c r="N13" s="203">
        <f t="shared" si="24"/>
        <v>230</v>
      </c>
      <c r="O13" s="203">
        <f t="shared" si="5"/>
        <v>4948.7096774193551</v>
      </c>
      <c r="P13" s="203">
        <f t="shared" si="25"/>
        <v>230</v>
      </c>
      <c r="Q13" s="203">
        <f t="shared" si="6"/>
        <v>4948.7096774193551</v>
      </c>
      <c r="R13" s="203">
        <f t="shared" si="26"/>
        <v>230</v>
      </c>
      <c r="S13" s="203">
        <f t="shared" si="7"/>
        <v>4948.7096774193551</v>
      </c>
      <c r="T13" s="203">
        <f t="shared" si="27"/>
        <v>230</v>
      </c>
      <c r="U13" s="203">
        <f t="shared" si="8"/>
        <v>4948.7096774193551</v>
      </c>
      <c r="V13" s="203">
        <f t="shared" si="28"/>
        <v>230</v>
      </c>
      <c r="W13" s="203">
        <f t="shared" si="9"/>
        <v>4948.7096774193551</v>
      </c>
      <c r="X13" s="35">
        <f t="shared" si="10"/>
        <v>0.74193548387096786</v>
      </c>
      <c r="Y13" s="36">
        <f t="shared" si="29"/>
        <v>54435.806451612909</v>
      </c>
      <c r="Z13" s="203">
        <f>'B5'!C12</f>
        <v>237</v>
      </c>
      <c r="AA13" s="203">
        <f t="shared" si="30"/>
        <v>2370</v>
      </c>
      <c r="AB13" s="203">
        <f t="shared" si="31"/>
        <v>237</v>
      </c>
      <c r="AC13" s="203">
        <f t="shared" si="30"/>
        <v>2370</v>
      </c>
      <c r="AD13" s="203">
        <f t="shared" si="32"/>
        <v>237</v>
      </c>
      <c r="AE13" s="203">
        <f t="shared" si="11"/>
        <v>2370</v>
      </c>
      <c r="AF13" s="203">
        <f t="shared" si="33"/>
        <v>237</v>
      </c>
      <c r="AG13" s="203">
        <f t="shared" si="12"/>
        <v>2370</v>
      </c>
      <c r="AH13" s="203">
        <f t="shared" si="34"/>
        <v>237</v>
      </c>
      <c r="AI13" s="203">
        <f t="shared" si="13"/>
        <v>2370</v>
      </c>
      <c r="AJ13" s="203">
        <f t="shared" si="35"/>
        <v>237</v>
      </c>
      <c r="AK13" s="203">
        <f t="shared" si="14"/>
        <v>2370</v>
      </c>
      <c r="AL13" s="203">
        <f t="shared" si="36"/>
        <v>237</v>
      </c>
      <c r="AM13" s="203">
        <f t="shared" si="15"/>
        <v>2370</v>
      </c>
      <c r="AN13" s="35">
        <f t="shared" si="16"/>
        <v>0.84642857142857142</v>
      </c>
      <c r="AO13" s="36">
        <f t="shared" si="39"/>
        <v>16590</v>
      </c>
      <c r="AP13" s="525"/>
      <c r="AQ13" s="223">
        <f t="shared" si="40"/>
        <v>0.76396478919665389</v>
      </c>
      <c r="AR13" s="38">
        <f t="shared" si="41"/>
        <v>71025.806451612909</v>
      </c>
      <c r="AS13" s="197">
        <f t="shared" si="42"/>
        <v>0</v>
      </c>
      <c r="AT13" s="340"/>
      <c r="AU13" s="548"/>
      <c r="AV13" s="485">
        <f t="shared" si="43"/>
        <v>1.0089999999999999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8" t="e">
        <f>GEN!AF10</f>
        <v>#DIV/0!</v>
      </c>
    </row>
    <row r="14" spans="1:63">
      <c r="A14" s="425">
        <f>ELEC!C12</f>
        <v>44660</v>
      </c>
      <c r="B14">
        <f>'B5'!B13</f>
        <v>230</v>
      </c>
      <c r="C14" s="203">
        <f t="shared" si="18"/>
        <v>4948.7096774193551</v>
      </c>
      <c r="D14">
        <f t="shared" si="19"/>
        <v>230</v>
      </c>
      <c r="E14" s="203">
        <f t="shared" si="18"/>
        <v>4948.7096774193551</v>
      </c>
      <c r="F14">
        <f t="shared" si="20"/>
        <v>230</v>
      </c>
      <c r="G14" s="203">
        <f t="shared" si="1"/>
        <v>4948.7096774193551</v>
      </c>
      <c r="H14" s="203">
        <f t="shared" si="21"/>
        <v>230</v>
      </c>
      <c r="I14" s="203">
        <f t="shared" si="2"/>
        <v>4948.7096774193551</v>
      </c>
      <c r="J14" s="203">
        <f t="shared" si="22"/>
        <v>230</v>
      </c>
      <c r="K14" s="203">
        <f t="shared" si="3"/>
        <v>4948.7096774193551</v>
      </c>
      <c r="L14" s="203">
        <f t="shared" si="23"/>
        <v>230</v>
      </c>
      <c r="M14" s="203">
        <f t="shared" si="4"/>
        <v>4948.7096774193551</v>
      </c>
      <c r="N14" s="203">
        <f t="shared" si="24"/>
        <v>230</v>
      </c>
      <c r="O14" s="203">
        <f t="shared" si="5"/>
        <v>4948.7096774193551</v>
      </c>
      <c r="P14" s="203">
        <f t="shared" si="25"/>
        <v>230</v>
      </c>
      <c r="Q14" s="203">
        <f t="shared" si="6"/>
        <v>4948.7096774193551</v>
      </c>
      <c r="R14" s="203">
        <f t="shared" si="26"/>
        <v>230</v>
      </c>
      <c r="S14" s="203">
        <f t="shared" si="7"/>
        <v>4948.7096774193551</v>
      </c>
      <c r="T14" s="203">
        <f t="shared" si="27"/>
        <v>230</v>
      </c>
      <c r="U14" s="203">
        <f t="shared" si="8"/>
        <v>4948.7096774193551</v>
      </c>
      <c r="V14" s="203">
        <f t="shared" si="28"/>
        <v>230</v>
      </c>
      <c r="W14" s="203">
        <f t="shared" si="9"/>
        <v>4948.7096774193551</v>
      </c>
      <c r="X14" s="35">
        <f t="shared" si="10"/>
        <v>0.74193548387096786</v>
      </c>
      <c r="Y14" s="36">
        <f t="shared" si="29"/>
        <v>54435.806451612909</v>
      </c>
      <c r="Z14" s="203">
        <f>'B5'!C13</f>
        <v>237</v>
      </c>
      <c r="AA14" s="203">
        <f t="shared" si="30"/>
        <v>2370</v>
      </c>
      <c r="AB14" s="203">
        <f t="shared" si="31"/>
        <v>237</v>
      </c>
      <c r="AC14" s="203">
        <f t="shared" si="30"/>
        <v>2370</v>
      </c>
      <c r="AD14" s="203">
        <f t="shared" si="32"/>
        <v>237</v>
      </c>
      <c r="AE14" s="203">
        <f t="shared" si="11"/>
        <v>2370</v>
      </c>
      <c r="AF14" s="203">
        <f t="shared" si="33"/>
        <v>237</v>
      </c>
      <c r="AG14" s="203">
        <f t="shared" si="12"/>
        <v>2370</v>
      </c>
      <c r="AH14" s="203">
        <f t="shared" si="34"/>
        <v>237</v>
      </c>
      <c r="AI14" s="203">
        <f t="shared" si="13"/>
        <v>2370</v>
      </c>
      <c r="AJ14" s="203">
        <f t="shared" si="35"/>
        <v>237</v>
      </c>
      <c r="AK14" s="203">
        <f t="shared" si="14"/>
        <v>2370</v>
      </c>
      <c r="AL14" s="203">
        <f t="shared" si="36"/>
        <v>237</v>
      </c>
      <c r="AM14" s="203">
        <f t="shared" si="15"/>
        <v>2370</v>
      </c>
      <c r="AN14" s="35">
        <f t="shared" si="16"/>
        <v>0.84642857142857142</v>
      </c>
      <c r="AO14" s="36">
        <f t="shared" si="39"/>
        <v>16590</v>
      </c>
      <c r="AQ14" s="223">
        <f t="shared" si="40"/>
        <v>0.76396478919665389</v>
      </c>
      <c r="AR14" s="38">
        <f t="shared" si="41"/>
        <v>71025.806451612909</v>
      </c>
      <c r="AS14" s="197">
        <f t="shared" si="42"/>
        <v>0</v>
      </c>
      <c r="AT14" s="340"/>
      <c r="AU14" s="548"/>
      <c r="AV14" s="485">
        <f t="shared" si="43"/>
        <v>1.0089999999999999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1262.2109704647194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8" t="e">
        <f>GEN!AF11</f>
        <v>#DIV/0!</v>
      </c>
    </row>
    <row r="15" spans="1:63" ht="13.5" customHeight="1">
      <c r="A15" s="425">
        <f>ELEC!C13</f>
        <v>44661</v>
      </c>
      <c r="B15">
        <f>'B5'!B14</f>
        <v>243</v>
      </c>
      <c r="C15" s="203">
        <f>B15*$B$4</f>
        <v>5228.4193548387093</v>
      </c>
      <c r="D15">
        <f t="shared" si="19"/>
        <v>243</v>
      </c>
      <c r="E15" s="203">
        <f t="shared" si="18"/>
        <v>5228.4193548387093</v>
      </c>
      <c r="F15">
        <f t="shared" si="20"/>
        <v>243</v>
      </c>
      <c r="G15" s="203">
        <f t="shared" si="1"/>
        <v>5228.4193548387093</v>
      </c>
      <c r="H15" s="203">
        <f t="shared" si="21"/>
        <v>243</v>
      </c>
      <c r="I15" s="203">
        <f t="shared" si="2"/>
        <v>5228.4193548387093</v>
      </c>
      <c r="J15" s="203">
        <f t="shared" si="22"/>
        <v>243</v>
      </c>
      <c r="K15" s="203">
        <f t="shared" si="3"/>
        <v>5228.4193548387093</v>
      </c>
      <c r="L15" s="203">
        <f t="shared" si="23"/>
        <v>243</v>
      </c>
      <c r="M15" s="203">
        <f t="shared" si="4"/>
        <v>5228.4193548387093</v>
      </c>
      <c r="N15" s="203">
        <f t="shared" si="24"/>
        <v>243</v>
      </c>
      <c r="O15" s="203">
        <f t="shared" si="5"/>
        <v>5228.4193548387093</v>
      </c>
      <c r="P15" s="203">
        <f t="shared" si="25"/>
        <v>243</v>
      </c>
      <c r="Q15" s="203">
        <f t="shared" si="6"/>
        <v>5228.4193548387093</v>
      </c>
      <c r="R15" s="203">
        <f t="shared" si="26"/>
        <v>243</v>
      </c>
      <c r="S15" s="203">
        <f t="shared" si="7"/>
        <v>5228.4193548387093</v>
      </c>
      <c r="T15" s="203">
        <f t="shared" si="27"/>
        <v>243</v>
      </c>
      <c r="U15" s="203">
        <f t="shared" si="8"/>
        <v>5228.4193548387093</v>
      </c>
      <c r="V15" s="203">
        <f t="shared" si="28"/>
        <v>243</v>
      </c>
      <c r="W15" s="203">
        <f t="shared" si="9"/>
        <v>5228.4193548387093</v>
      </c>
      <c r="X15" s="35">
        <f t="shared" si="10"/>
        <v>0.78387096774193554</v>
      </c>
      <c r="Y15" s="36">
        <f t="shared" si="29"/>
        <v>57512.61290322581</v>
      </c>
      <c r="Z15" s="203">
        <f>'B5'!C14</f>
        <v>250</v>
      </c>
      <c r="AA15" s="203">
        <f t="shared" si="30"/>
        <v>2500</v>
      </c>
      <c r="AB15" s="203">
        <f t="shared" si="31"/>
        <v>250</v>
      </c>
      <c r="AC15" s="203">
        <f t="shared" si="30"/>
        <v>2500</v>
      </c>
      <c r="AD15" s="203">
        <f t="shared" si="32"/>
        <v>250</v>
      </c>
      <c r="AE15" s="203">
        <f t="shared" si="11"/>
        <v>2500</v>
      </c>
      <c r="AF15" s="203">
        <f t="shared" si="33"/>
        <v>250</v>
      </c>
      <c r="AG15" s="203">
        <f t="shared" si="12"/>
        <v>2500</v>
      </c>
      <c r="AH15" s="203">
        <f t="shared" si="34"/>
        <v>250</v>
      </c>
      <c r="AI15" s="203">
        <f t="shared" si="13"/>
        <v>2500</v>
      </c>
      <c r="AJ15" s="203">
        <f t="shared" si="35"/>
        <v>250</v>
      </c>
      <c r="AK15" s="203">
        <f t="shared" si="14"/>
        <v>2500</v>
      </c>
      <c r="AL15" s="203">
        <f t="shared" si="36"/>
        <v>250</v>
      </c>
      <c r="AM15" s="203">
        <f t="shared" si="15"/>
        <v>2500</v>
      </c>
      <c r="AN15" s="35">
        <f t="shared" si="16"/>
        <v>0.8928571428571429</v>
      </c>
      <c r="AO15" s="36">
        <f t="shared" si="39"/>
        <v>17500</v>
      </c>
      <c r="AQ15" s="223">
        <f t="shared" si="40"/>
        <v>0.80684750890852763</v>
      </c>
      <c r="AR15" s="38">
        <f>Y15+AO15</f>
        <v>75012.612903225818</v>
      </c>
      <c r="AS15" s="197">
        <f t="shared" si="42"/>
        <v>-1113.1935483870911</v>
      </c>
      <c r="AT15" s="340">
        <v>5100</v>
      </c>
      <c r="AU15" s="548">
        <v>1.0089999999999999</v>
      </c>
      <c r="AV15" s="485">
        <f>IF(AT15&gt;0,AU15,AV14)</f>
        <v>1.0089999999999999</v>
      </c>
      <c r="AW15" s="279">
        <f>-SUM('B5'!AI14)</f>
        <v>-345</v>
      </c>
      <c r="AX15" s="279">
        <f t="shared" si="17"/>
        <v>-768.19354838709114</v>
      </c>
      <c r="AY15" s="37">
        <f t="shared" si="37"/>
        <v>-1113.1935483870911</v>
      </c>
      <c r="AZ15" s="100">
        <f>ELEC!A13</f>
        <v>0</v>
      </c>
      <c r="BA15" s="118">
        <f>'General information '!D14</f>
        <v>18.5</v>
      </c>
      <c r="BB15" s="378">
        <f>SUM('General information '!E14)</f>
        <v>0.81</v>
      </c>
      <c r="BC15" s="3">
        <f t="shared" si="44"/>
        <v>1</v>
      </c>
      <c r="BD15" s="102">
        <v>19222</v>
      </c>
      <c r="BE15" s="14">
        <f>(305/1185)*ELEC!Q14</f>
        <v>1596.8101265817393</v>
      </c>
      <c r="BF15" s="14"/>
      <c r="BG15" s="14" t="e">
        <f>#REF!-BE15</f>
        <v>#REF!</v>
      </c>
      <c r="BH15" s="11"/>
      <c r="BI15">
        <v>4</v>
      </c>
      <c r="BJ15">
        <f t="shared" si="38"/>
        <v>-192.04838709677279</v>
      </c>
      <c r="BK15" s="538">
        <f>GEN!AF12</f>
        <v>0.30650000000014188</v>
      </c>
    </row>
    <row r="16" spans="1:63">
      <c r="A16" s="425">
        <f>ELEC!C14</f>
        <v>44662</v>
      </c>
      <c r="B16">
        <f>'B5'!B15</f>
        <v>237</v>
      </c>
      <c r="C16" s="203">
        <f t="shared" si="18"/>
        <v>5099.322580645161</v>
      </c>
      <c r="D16">
        <f t="shared" si="19"/>
        <v>237</v>
      </c>
      <c r="E16" s="203">
        <f t="shared" si="18"/>
        <v>5099.322580645161</v>
      </c>
      <c r="F16">
        <f t="shared" si="20"/>
        <v>237</v>
      </c>
      <c r="G16" s="203">
        <f t="shared" si="1"/>
        <v>5099.322580645161</v>
      </c>
      <c r="H16" s="203">
        <f t="shared" si="21"/>
        <v>237</v>
      </c>
      <c r="I16" s="203">
        <f t="shared" si="2"/>
        <v>5099.322580645161</v>
      </c>
      <c r="J16" s="203">
        <f t="shared" si="22"/>
        <v>237</v>
      </c>
      <c r="K16" s="203">
        <f t="shared" si="3"/>
        <v>5099.322580645161</v>
      </c>
      <c r="L16" s="203">
        <f t="shared" si="23"/>
        <v>237</v>
      </c>
      <c r="M16" s="203">
        <f t="shared" si="4"/>
        <v>5099.322580645161</v>
      </c>
      <c r="N16" s="203">
        <f t="shared" si="24"/>
        <v>237</v>
      </c>
      <c r="O16" s="203">
        <f t="shared" si="5"/>
        <v>5099.322580645161</v>
      </c>
      <c r="P16" s="203">
        <f t="shared" si="25"/>
        <v>237</v>
      </c>
      <c r="Q16" s="203">
        <f t="shared" si="6"/>
        <v>5099.322580645161</v>
      </c>
      <c r="R16" s="203">
        <f t="shared" si="26"/>
        <v>237</v>
      </c>
      <c r="S16" s="203">
        <f t="shared" si="7"/>
        <v>5099.322580645161</v>
      </c>
      <c r="T16" s="203">
        <f t="shared" si="27"/>
        <v>237</v>
      </c>
      <c r="U16" s="203">
        <f t="shared" si="8"/>
        <v>5099.322580645161</v>
      </c>
      <c r="V16" s="203">
        <f t="shared" si="28"/>
        <v>237</v>
      </c>
      <c r="W16" s="203">
        <f t="shared" si="9"/>
        <v>5099.322580645161</v>
      </c>
      <c r="X16" s="35">
        <f t="shared" si="10"/>
        <v>0.76451612903225785</v>
      </c>
      <c r="Y16" s="36">
        <f t="shared" si="29"/>
        <v>56092.548387096758</v>
      </c>
      <c r="Z16" s="203">
        <f>'B5'!C15</f>
        <v>245</v>
      </c>
      <c r="AA16" s="203">
        <f t="shared" si="30"/>
        <v>2450</v>
      </c>
      <c r="AB16" s="203">
        <f t="shared" si="31"/>
        <v>245</v>
      </c>
      <c r="AC16" s="203">
        <f t="shared" si="30"/>
        <v>2450</v>
      </c>
      <c r="AD16" s="203">
        <f t="shared" si="32"/>
        <v>245</v>
      </c>
      <c r="AE16" s="203">
        <f t="shared" si="11"/>
        <v>2450</v>
      </c>
      <c r="AF16" s="203">
        <f t="shared" si="33"/>
        <v>245</v>
      </c>
      <c r="AG16" s="203">
        <f t="shared" si="12"/>
        <v>2450</v>
      </c>
      <c r="AH16" s="203">
        <f t="shared" si="34"/>
        <v>245</v>
      </c>
      <c r="AI16" s="203">
        <f t="shared" si="13"/>
        <v>2450</v>
      </c>
      <c r="AJ16" s="203">
        <f t="shared" si="35"/>
        <v>245</v>
      </c>
      <c r="AK16" s="203">
        <f t="shared" si="14"/>
        <v>2450</v>
      </c>
      <c r="AL16" s="203">
        <f t="shared" si="36"/>
        <v>245</v>
      </c>
      <c r="AM16" s="203">
        <f t="shared" si="15"/>
        <v>2450</v>
      </c>
      <c r="AN16" s="35">
        <f t="shared" si="16"/>
        <v>0.875</v>
      </c>
      <c r="AO16" s="36">
        <f t="shared" si="39"/>
        <v>17150</v>
      </c>
      <c r="AQ16" s="223">
        <f t="shared" si="40"/>
        <v>0.78780841547915192</v>
      </c>
      <c r="AR16" s="38">
        <f t="shared" si="41"/>
        <v>73242.548387096758</v>
      </c>
      <c r="AS16" s="197">
        <f t="shared" si="42"/>
        <v>-1770.0645161290595</v>
      </c>
      <c r="AT16" s="340"/>
      <c r="AU16" s="548"/>
      <c r="AV16" s="485">
        <f t="shared" ref="AV16:AV21" si="45">IF(AT16&gt;0,AU16,AV15)</f>
        <v>1.0089999999999999</v>
      </c>
      <c r="AW16" s="279">
        <f>-SUM('B5'!AI15)</f>
        <v>-386</v>
      </c>
      <c r="AX16" s="279">
        <f t="shared" si="17"/>
        <v>-1384.0645161290595</v>
      </c>
      <c r="AY16" s="37">
        <f t="shared" si="37"/>
        <v>-1770.0645161290595</v>
      </c>
      <c r="AZ16" s="100">
        <f>ELEC!A14</f>
        <v>0</v>
      </c>
      <c r="BA16" s="118">
        <f>'General information '!D15</f>
        <v>18.5</v>
      </c>
      <c r="BB16" s="378">
        <f>SUM('General information '!E15)</f>
        <v>0.82</v>
      </c>
      <c r="BC16" s="3">
        <f t="shared" si="44"/>
        <v>0</v>
      </c>
      <c r="BD16" s="102">
        <v>19222</v>
      </c>
      <c r="BE16" s="14">
        <f>(305/1185)*ELEC!Q15</f>
        <v>536.90295358632568</v>
      </c>
      <c r="BF16" s="14"/>
      <c r="BG16" s="14" t="e">
        <f>#REF!-BE16</f>
        <v>#REF!</v>
      </c>
      <c r="BH16" s="11"/>
      <c r="BI16">
        <v>3</v>
      </c>
      <c r="BJ16">
        <f t="shared" si="38"/>
        <v>-461.35483870968648</v>
      </c>
      <c r="BK16" s="538">
        <f>GEN!AF13</f>
        <v>0.25849999999991269</v>
      </c>
    </row>
    <row r="17" spans="1:64">
      <c r="A17" s="425">
        <f>ELEC!C15</f>
        <v>44663</v>
      </c>
      <c r="B17">
        <f>'B5'!B16</f>
        <v>230</v>
      </c>
      <c r="C17" s="203">
        <f t="shared" si="18"/>
        <v>4948.7096774193551</v>
      </c>
      <c r="D17">
        <f t="shared" si="19"/>
        <v>230</v>
      </c>
      <c r="E17" s="203">
        <f t="shared" si="18"/>
        <v>4948.7096774193551</v>
      </c>
      <c r="F17">
        <f t="shared" si="20"/>
        <v>230</v>
      </c>
      <c r="G17" s="203">
        <f t="shared" si="1"/>
        <v>4948.7096774193551</v>
      </c>
      <c r="H17" s="203">
        <f t="shared" si="21"/>
        <v>230</v>
      </c>
      <c r="I17" s="203">
        <f t="shared" si="2"/>
        <v>4948.7096774193551</v>
      </c>
      <c r="J17" s="203">
        <f t="shared" si="22"/>
        <v>230</v>
      </c>
      <c r="K17" s="203">
        <f t="shared" si="3"/>
        <v>4948.7096774193551</v>
      </c>
      <c r="L17" s="203">
        <f t="shared" si="23"/>
        <v>230</v>
      </c>
      <c r="M17" s="203">
        <f t="shared" si="4"/>
        <v>4948.7096774193551</v>
      </c>
      <c r="N17" s="203">
        <f t="shared" si="24"/>
        <v>230</v>
      </c>
      <c r="O17" s="203">
        <f t="shared" si="5"/>
        <v>4948.7096774193551</v>
      </c>
      <c r="P17" s="203">
        <f t="shared" si="25"/>
        <v>230</v>
      </c>
      <c r="Q17" s="203">
        <f t="shared" si="6"/>
        <v>4948.7096774193551</v>
      </c>
      <c r="R17" s="203">
        <f t="shared" si="26"/>
        <v>230</v>
      </c>
      <c r="S17" s="203">
        <f t="shared" si="7"/>
        <v>4948.7096774193551</v>
      </c>
      <c r="T17" s="203">
        <f t="shared" si="27"/>
        <v>230</v>
      </c>
      <c r="U17" s="203">
        <f t="shared" si="8"/>
        <v>4948.7096774193551</v>
      </c>
      <c r="V17" s="203">
        <f t="shared" si="28"/>
        <v>230</v>
      </c>
      <c r="W17" s="203">
        <f t="shared" si="9"/>
        <v>4948.7096774193551</v>
      </c>
      <c r="X17" s="35">
        <f t="shared" si="10"/>
        <v>0.74193548387096786</v>
      </c>
      <c r="Y17" s="36">
        <f t="shared" si="29"/>
        <v>54435.806451612909</v>
      </c>
      <c r="Z17" s="203">
        <f>'B5'!C16</f>
        <v>237</v>
      </c>
      <c r="AA17" s="203">
        <f t="shared" si="30"/>
        <v>2370</v>
      </c>
      <c r="AB17" s="203">
        <f t="shared" si="31"/>
        <v>237</v>
      </c>
      <c r="AC17" s="203">
        <f t="shared" si="30"/>
        <v>2370</v>
      </c>
      <c r="AD17" s="203">
        <f t="shared" si="32"/>
        <v>237</v>
      </c>
      <c r="AE17" s="203">
        <f t="shared" si="11"/>
        <v>2370</v>
      </c>
      <c r="AF17" s="203">
        <f t="shared" si="33"/>
        <v>237</v>
      </c>
      <c r="AG17" s="203">
        <f t="shared" si="12"/>
        <v>2370</v>
      </c>
      <c r="AH17" s="203">
        <f t="shared" si="34"/>
        <v>237</v>
      </c>
      <c r="AI17" s="203">
        <f t="shared" si="13"/>
        <v>2370</v>
      </c>
      <c r="AJ17" s="203">
        <f t="shared" si="35"/>
        <v>237</v>
      </c>
      <c r="AK17" s="203">
        <f t="shared" si="14"/>
        <v>2370</v>
      </c>
      <c r="AL17" s="203">
        <f t="shared" si="36"/>
        <v>237</v>
      </c>
      <c r="AM17" s="203">
        <f t="shared" si="15"/>
        <v>2370</v>
      </c>
      <c r="AN17" s="35">
        <f t="shared" si="16"/>
        <v>0.84642857142857142</v>
      </c>
      <c r="AO17" s="36">
        <f>SUM(AA17+AC17+AE17+AG17+AI17+AK17+AM17)</f>
        <v>16590</v>
      </c>
      <c r="AQ17" s="223">
        <f t="shared" si="40"/>
        <v>0.76396478919665389</v>
      </c>
      <c r="AR17" s="38">
        <f t="shared" si="41"/>
        <v>71025.806451612909</v>
      </c>
      <c r="AS17" s="197">
        <f t="shared" si="42"/>
        <v>-2216.7419354838494</v>
      </c>
      <c r="AU17" s="3"/>
      <c r="AV17" s="485">
        <f t="shared" si="45"/>
        <v>1.0089999999999999</v>
      </c>
      <c r="AW17" s="279">
        <f>-SUM('B5'!AI16)</f>
        <v>-296</v>
      </c>
      <c r="AX17" s="279">
        <f t="shared" si="17"/>
        <v>-1920.7419354838494</v>
      </c>
      <c r="AY17" s="37">
        <f t="shared" si="37"/>
        <v>-2216.7419354838494</v>
      </c>
      <c r="AZ17" s="100">
        <f>ELEC!A15</f>
        <v>0</v>
      </c>
      <c r="BA17" s="118">
        <f>'General information '!D16</f>
        <v>18</v>
      </c>
      <c r="BB17" s="378">
        <f>SUM('General information '!E16)</f>
        <v>0.57999999999999996</v>
      </c>
      <c r="BC17" s="3">
        <f t="shared" si="44"/>
        <v>0</v>
      </c>
      <c r="BD17" s="102">
        <v>19222</v>
      </c>
      <c r="BE17" s="14">
        <f>(305/1185)*ELEC!Q16</f>
        <v>1334.2784810129431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-480.18548387096234</v>
      </c>
      <c r="BK17" s="538">
        <f>GEN!AF14</f>
        <v>0.26074999999991633</v>
      </c>
    </row>
    <row r="18" spans="1:64">
      <c r="A18" s="425">
        <f>ELEC!C16</f>
        <v>44664</v>
      </c>
      <c r="B18">
        <f>'B5'!B17</f>
        <v>242</v>
      </c>
      <c r="C18" s="203">
        <f t="shared" si="18"/>
        <v>5206.9032258064517</v>
      </c>
      <c r="D18">
        <f t="shared" si="19"/>
        <v>242</v>
      </c>
      <c r="E18" s="203">
        <f t="shared" si="18"/>
        <v>5206.9032258064517</v>
      </c>
      <c r="F18">
        <f t="shared" si="20"/>
        <v>242</v>
      </c>
      <c r="G18" s="203">
        <f t="shared" si="1"/>
        <v>5206.9032258064517</v>
      </c>
      <c r="H18" s="203">
        <f t="shared" si="21"/>
        <v>242</v>
      </c>
      <c r="I18" s="203">
        <f t="shared" si="2"/>
        <v>5206.9032258064517</v>
      </c>
      <c r="J18" s="203">
        <f t="shared" si="22"/>
        <v>242</v>
      </c>
      <c r="K18" s="203">
        <f t="shared" si="3"/>
        <v>5206.9032258064517</v>
      </c>
      <c r="L18" s="203">
        <f t="shared" si="23"/>
        <v>242</v>
      </c>
      <c r="M18" s="203">
        <f t="shared" si="4"/>
        <v>5206.9032258064517</v>
      </c>
      <c r="N18" s="203">
        <f t="shared" si="24"/>
        <v>242</v>
      </c>
      <c r="O18" s="203">
        <f t="shared" si="5"/>
        <v>5206.9032258064517</v>
      </c>
      <c r="P18" s="203">
        <f t="shared" si="25"/>
        <v>242</v>
      </c>
      <c r="Q18" s="203">
        <f t="shared" si="6"/>
        <v>5206.9032258064517</v>
      </c>
      <c r="R18" s="203">
        <f t="shared" si="26"/>
        <v>242</v>
      </c>
      <c r="S18" s="203">
        <f t="shared" si="7"/>
        <v>5206.9032258064517</v>
      </c>
      <c r="T18" s="203">
        <f t="shared" si="27"/>
        <v>242</v>
      </c>
      <c r="U18" s="203">
        <f t="shared" si="8"/>
        <v>5206.9032258064517</v>
      </c>
      <c r="V18" s="203">
        <f t="shared" si="28"/>
        <v>242</v>
      </c>
      <c r="W18" s="203">
        <f t="shared" si="9"/>
        <v>5206.9032258064517</v>
      </c>
      <c r="X18" s="35">
        <f t="shared" si="10"/>
        <v>0.78064516129032269</v>
      </c>
      <c r="Y18" s="36">
        <f t="shared" si="29"/>
        <v>57275.935483870977</v>
      </c>
      <c r="Z18" s="203">
        <f>'B5'!C17</f>
        <v>249</v>
      </c>
      <c r="AA18" s="203">
        <f t="shared" si="30"/>
        <v>2490</v>
      </c>
      <c r="AB18" s="203">
        <f t="shared" si="31"/>
        <v>249</v>
      </c>
      <c r="AC18" s="203">
        <f t="shared" si="30"/>
        <v>2490</v>
      </c>
      <c r="AD18" s="203">
        <f t="shared" si="32"/>
        <v>249</v>
      </c>
      <c r="AE18" s="203">
        <f t="shared" si="11"/>
        <v>2490</v>
      </c>
      <c r="AF18" s="203">
        <f t="shared" si="33"/>
        <v>249</v>
      </c>
      <c r="AG18" s="203">
        <f t="shared" si="12"/>
        <v>2490</v>
      </c>
      <c r="AH18" s="203">
        <f t="shared" si="34"/>
        <v>249</v>
      </c>
      <c r="AI18" s="203">
        <f t="shared" si="13"/>
        <v>2490</v>
      </c>
      <c r="AJ18" s="203">
        <f t="shared" si="35"/>
        <v>249</v>
      </c>
      <c r="AK18" s="203">
        <f t="shared" si="14"/>
        <v>2490</v>
      </c>
      <c r="AL18" s="203">
        <f t="shared" si="36"/>
        <v>249</v>
      </c>
      <c r="AM18" s="203">
        <f t="shared" si="15"/>
        <v>2490</v>
      </c>
      <c r="AN18" s="35">
        <f t="shared" si="16"/>
        <v>0.88928571428571423</v>
      </c>
      <c r="AO18" s="36">
        <f t="shared" si="39"/>
        <v>17430</v>
      </c>
      <c r="AQ18" s="223">
        <f t="shared" si="40"/>
        <v>0.80354883816146039</v>
      </c>
      <c r="AR18" s="38">
        <f t="shared" si="41"/>
        <v>74705.93548387097</v>
      </c>
      <c r="AS18" s="197">
        <f>SUM(AR18-AR17-AT18)</f>
        <v>-1319.8709677419392</v>
      </c>
      <c r="AT18" s="340">
        <v>5000</v>
      </c>
      <c r="AU18" s="548">
        <v>1.0129999999999999</v>
      </c>
      <c r="AV18" s="485">
        <f t="shared" si="45"/>
        <v>1.0129999999999999</v>
      </c>
      <c r="AW18" s="279">
        <f>-SUM('B5'!AI17)</f>
        <v>-370</v>
      </c>
      <c r="AX18" s="279">
        <f t="shared" si="17"/>
        <v>-949.87096774193924</v>
      </c>
      <c r="AY18" s="37">
        <f t="shared" si="37"/>
        <v>-1319.8709677419392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1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-189.97419354838786</v>
      </c>
      <c r="BK18" s="538">
        <f>GEN!AF15</f>
        <v>0.29454545454551739</v>
      </c>
    </row>
    <row r="19" spans="1:64">
      <c r="A19" s="425">
        <f>ELEC!C17</f>
        <v>44665</v>
      </c>
      <c r="B19">
        <f>'B5'!B18</f>
        <v>242</v>
      </c>
      <c r="C19" s="203">
        <f t="shared" si="18"/>
        <v>5206.9032258064517</v>
      </c>
      <c r="D19">
        <f t="shared" si="19"/>
        <v>242</v>
      </c>
      <c r="E19" s="203">
        <f t="shared" si="18"/>
        <v>5206.9032258064517</v>
      </c>
      <c r="F19">
        <f t="shared" si="20"/>
        <v>242</v>
      </c>
      <c r="G19" s="203">
        <f t="shared" si="1"/>
        <v>5206.9032258064517</v>
      </c>
      <c r="H19" s="203">
        <f t="shared" si="21"/>
        <v>242</v>
      </c>
      <c r="I19" s="203">
        <f t="shared" si="2"/>
        <v>5206.9032258064517</v>
      </c>
      <c r="J19" s="203">
        <f t="shared" si="22"/>
        <v>242</v>
      </c>
      <c r="K19" s="203">
        <f t="shared" si="3"/>
        <v>5206.9032258064517</v>
      </c>
      <c r="L19" s="203">
        <f t="shared" si="23"/>
        <v>242</v>
      </c>
      <c r="M19" s="203">
        <f t="shared" si="4"/>
        <v>5206.9032258064517</v>
      </c>
      <c r="N19" s="203">
        <f t="shared" si="24"/>
        <v>242</v>
      </c>
      <c r="O19" s="203">
        <f t="shared" si="5"/>
        <v>5206.9032258064517</v>
      </c>
      <c r="P19" s="203">
        <f t="shared" si="25"/>
        <v>242</v>
      </c>
      <c r="Q19" s="203">
        <f t="shared" si="6"/>
        <v>5206.9032258064517</v>
      </c>
      <c r="R19" s="203">
        <f t="shared" si="26"/>
        <v>242</v>
      </c>
      <c r="S19" s="203">
        <f t="shared" si="7"/>
        <v>5206.9032258064517</v>
      </c>
      <c r="T19" s="203">
        <f t="shared" si="27"/>
        <v>242</v>
      </c>
      <c r="U19" s="203">
        <f t="shared" si="8"/>
        <v>5206.9032258064517</v>
      </c>
      <c r="V19" s="203">
        <f t="shared" si="28"/>
        <v>242</v>
      </c>
      <c r="W19" s="203">
        <f t="shared" si="9"/>
        <v>5206.9032258064517</v>
      </c>
      <c r="X19" s="35">
        <f t="shared" si="10"/>
        <v>0.78064516129032269</v>
      </c>
      <c r="Y19" s="36">
        <f t="shared" si="29"/>
        <v>57275.935483870977</v>
      </c>
      <c r="Z19" s="203">
        <f>'B5'!C18</f>
        <v>249</v>
      </c>
      <c r="AA19" s="203">
        <f t="shared" si="30"/>
        <v>2490</v>
      </c>
      <c r="AB19" s="203">
        <f t="shared" si="31"/>
        <v>249</v>
      </c>
      <c r="AC19" s="203">
        <f t="shared" si="30"/>
        <v>2490</v>
      </c>
      <c r="AD19" s="203">
        <f t="shared" si="32"/>
        <v>249</v>
      </c>
      <c r="AE19" s="203">
        <f t="shared" si="11"/>
        <v>2490</v>
      </c>
      <c r="AF19" s="203">
        <f t="shared" si="33"/>
        <v>249</v>
      </c>
      <c r="AG19" s="203">
        <f t="shared" si="12"/>
        <v>2490</v>
      </c>
      <c r="AH19" s="203">
        <f t="shared" si="34"/>
        <v>249</v>
      </c>
      <c r="AI19" s="203">
        <f t="shared" si="13"/>
        <v>2490</v>
      </c>
      <c r="AJ19" s="203">
        <f t="shared" si="35"/>
        <v>249</v>
      </c>
      <c r="AK19" s="203">
        <f t="shared" si="14"/>
        <v>2490</v>
      </c>
      <c r="AL19" s="203">
        <f t="shared" si="36"/>
        <v>249</v>
      </c>
      <c r="AM19" s="203">
        <f t="shared" si="15"/>
        <v>2490</v>
      </c>
      <c r="AN19" s="35">
        <f t="shared" si="16"/>
        <v>0.88928571428571423</v>
      </c>
      <c r="AO19" s="36">
        <f t="shared" si="39"/>
        <v>17430</v>
      </c>
      <c r="AQ19" s="223">
        <f t="shared" si="40"/>
        <v>0.80354883816146039</v>
      </c>
      <c r="AR19" s="38">
        <f t="shared" si="41"/>
        <v>74705.93548387097</v>
      </c>
      <c r="AS19" s="197">
        <f t="shared" ref="AS19:AS32" si="47">SUM(AR19-AR18-AT19)</f>
        <v>0</v>
      </c>
      <c r="AT19" s="340"/>
      <c r="AU19" s="548"/>
      <c r="AV19" s="485">
        <f t="shared" si="45"/>
        <v>1.0129999999999999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44666</v>
      </c>
      <c r="B20">
        <f>'B5'!B19</f>
        <v>242</v>
      </c>
      <c r="C20" s="203">
        <f t="shared" si="18"/>
        <v>5206.9032258064517</v>
      </c>
      <c r="D20">
        <f t="shared" si="19"/>
        <v>242</v>
      </c>
      <c r="E20" s="203">
        <f t="shared" si="18"/>
        <v>5206.9032258064517</v>
      </c>
      <c r="F20">
        <f t="shared" si="20"/>
        <v>242</v>
      </c>
      <c r="G20" s="203">
        <f t="shared" si="1"/>
        <v>5206.9032258064517</v>
      </c>
      <c r="H20" s="203">
        <f t="shared" si="21"/>
        <v>242</v>
      </c>
      <c r="I20" s="203">
        <f t="shared" si="2"/>
        <v>5206.9032258064517</v>
      </c>
      <c r="J20" s="203">
        <f t="shared" si="22"/>
        <v>242</v>
      </c>
      <c r="K20" s="203">
        <f t="shared" si="3"/>
        <v>5206.9032258064517</v>
      </c>
      <c r="L20" s="203">
        <f t="shared" si="23"/>
        <v>242</v>
      </c>
      <c r="M20" s="203">
        <f t="shared" si="4"/>
        <v>5206.9032258064517</v>
      </c>
      <c r="N20" s="203">
        <f t="shared" si="24"/>
        <v>242</v>
      </c>
      <c r="O20" s="203">
        <f t="shared" si="5"/>
        <v>5206.9032258064517</v>
      </c>
      <c r="P20" s="203">
        <f t="shared" si="25"/>
        <v>242</v>
      </c>
      <c r="Q20" s="203">
        <f t="shared" si="6"/>
        <v>5206.9032258064517</v>
      </c>
      <c r="R20" s="203">
        <f t="shared" si="26"/>
        <v>242</v>
      </c>
      <c r="S20" s="203">
        <f t="shared" si="7"/>
        <v>5206.9032258064517</v>
      </c>
      <c r="T20" s="203">
        <f t="shared" si="27"/>
        <v>242</v>
      </c>
      <c r="U20" s="203">
        <f t="shared" si="8"/>
        <v>5206.9032258064517</v>
      </c>
      <c r="V20" s="203">
        <f t="shared" si="28"/>
        <v>242</v>
      </c>
      <c r="W20" s="203">
        <f t="shared" si="9"/>
        <v>5206.9032258064517</v>
      </c>
      <c r="X20" s="35">
        <f t="shared" si="10"/>
        <v>0.78064516129032269</v>
      </c>
      <c r="Y20" s="36">
        <f t="shared" si="29"/>
        <v>57275.935483870977</v>
      </c>
      <c r="Z20" s="203">
        <f>'B5'!C19</f>
        <v>249</v>
      </c>
      <c r="AA20" s="203">
        <f t="shared" si="30"/>
        <v>2490</v>
      </c>
      <c r="AB20" s="203">
        <f t="shared" si="31"/>
        <v>249</v>
      </c>
      <c r="AC20" s="203">
        <f t="shared" si="30"/>
        <v>2490</v>
      </c>
      <c r="AD20" s="203">
        <f t="shared" si="32"/>
        <v>249</v>
      </c>
      <c r="AE20" s="203">
        <f t="shared" si="11"/>
        <v>2490</v>
      </c>
      <c r="AF20" s="203">
        <f t="shared" si="33"/>
        <v>249</v>
      </c>
      <c r="AG20" s="203">
        <f t="shared" si="12"/>
        <v>2490</v>
      </c>
      <c r="AH20" s="203">
        <f t="shared" si="34"/>
        <v>249</v>
      </c>
      <c r="AI20" s="203">
        <f t="shared" si="13"/>
        <v>2490</v>
      </c>
      <c r="AJ20" s="203">
        <f t="shared" si="35"/>
        <v>249</v>
      </c>
      <c r="AK20" s="203">
        <f t="shared" si="14"/>
        <v>2490</v>
      </c>
      <c r="AL20" s="203">
        <f t="shared" si="36"/>
        <v>249</v>
      </c>
      <c r="AM20" s="203">
        <f t="shared" si="15"/>
        <v>2490</v>
      </c>
      <c r="AN20" s="35">
        <f t="shared" si="16"/>
        <v>0.88928571428571423</v>
      </c>
      <c r="AO20" s="36">
        <f t="shared" si="39"/>
        <v>17430</v>
      </c>
      <c r="AQ20" s="223">
        <f t="shared" si="40"/>
        <v>0.80354883816146039</v>
      </c>
      <c r="AR20" s="38">
        <f t="shared" si="41"/>
        <v>74705.93548387097</v>
      </c>
      <c r="AS20" s="197">
        <f>SUM(AR20-AR19-AT20)</f>
        <v>0</v>
      </c>
      <c r="AT20" s="340"/>
      <c r="AU20" s="548"/>
      <c r="AV20" s="485">
        <f t="shared" si="45"/>
        <v>1.0129999999999999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44667</v>
      </c>
      <c r="B21">
        <f>'B5'!B20</f>
        <v>242</v>
      </c>
      <c r="C21" s="203">
        <f t="shared" si="18"/>
        <v>5206.9032258064517</v>
      </c>
      <c r="D21">
        <f t="shared" si="19"/>
        <v>242</v>
      </c>
      <c r="E21" s="203">
        <f t="shared" si="18"/>
        <v>5206.9032258064517</v>
      </c>
      <c r="F21">
        <f t="shared" si="20"/>
        <v>242</v>
      </c>
      <c r="G21" s="203">
        <f t="shared" si="1"/>
        <v>5206.9032258064517</v>
      </c>
      <c r="H21" s="203">
        <f t="shared" si="21"/>
        <v>242</v>
      </c>
      <c r="I21" s="203">
        <f t="shared" si="2"/>
        <v>5206.9032258064517</v>
      </c>
      <c r="J21" s="203">
        <f t="shared" si="22"/>
        <v>242</v>
      </c>
      <c r="K21" s="203">
        <f t="shared" si="3"/>
        <v>5206.9032258064517</v>
      </c>
      <c r="L21" s="203">
        <f t="shared" si="23"/>
        <v>242</v>
      </c>
      <c r="M21" s="203">
        <f t="shared" si="4"/>
        <v>5206.9032258064517</v>
      </c>
      <c r="N21" s="203">
        <f t="shared" si="24"/>
        <v>242</v>
      </c>
      <c r="O21" s="203">
        <f t="shared" si="5"/>
        <v>5206.9032258064517</v>
      </c>
      <c r="P21" s="203">
        <f t="shared" si="25"/>
        <v>242</v>
      </c>
      <c r="Q21" s="203">
        <f t="shared" si="6"/>
        <v>5206.9032258064517</v>
      </c>
      <c r="R21" s="203">
        <f t="shared" si="26"/>
        <v>242</v>
      </c>
      <c r="S21" s="203">
        <f t="shared" si="7"/>
        <v>5206.9032258064517</v>
      </c>
      <c r="T21" s="203">
        <f t="shared" si="27"/>
        <v>242</v>
      </c>
      <c r="U21" s="203">
        <f t="shared" si="8"/>
        <v>5206.9032258064517</v>
      </c>
      <c r="V21" s="203">
        <f t="shared" si="28"/>
        <v>242</v>
      </c>
      <c r="W21" s="203">
        <f t="shared" si="9"/>
        <v>5206.9032258064517</v>
      </c>
      <c r="X21" s="35">
        <f t="shared" si="10"/>
        <v>0.78064516129032269</v>
      </c>
      <c r="Y21" s="36">
        <f t="shared" si="29"/>
        <v>57275.935483870977</v>
      </c>
      <c r="Z21" s="203">
        <f>'B5'!C20</f>
        <v>249</v>
      </c>
      <c r="AA21" s="203">
        <f t="shared" si="30"/>
        <v>2490</v>
      </c>
      <c r="AB21" s="203">
        <f t="shared" si="31"/>
        <v>249</v>
      </c>
      <c r="AC21" s="203">
        <f t="shared" si="30"/>
        <v>2490</v>
      </c>
      <c r="AD21" s="203">
        <f t="shared" si="32"/>
        <v>249</v>
      </c>
      <c r="AE21" s="203">
        <f t="shared" si="11"/>
        <v>2490</v>
      </c>
      <c r="AF21" s="203">
        <f t="shared" si="33"/>
        <v>249</v>
      </c>
      <c r="AG21" s="203">
        <f t="shared" si="12"/>
        <v>2490</v>
      </c>
      <c r="AH21" s="203">
        <f t="shared" si="34"/>
        <v>249</v>
      </c>
      <c r="AI21" s="203">
        <f t="shared" si="13"/>
        <v>2490</v>
      </c>
      <c r="AJ21" s="203">
        <f t="shared" si="35"/>
        <v>249</v>
      </c>
      <c r="AK21" s="203">
        <f t="shared" si="14"/>
        <v>2490</v>
      </c>
      <c r="AL21" s="203">
        <f t="shared" si="36"/>
        <v>249</v>
      </c>
      <c r="AM21" s="203">
        <f t="shared" si="15"/>
        <v>2490</v>
      </c>
      <c r="AN21" s="35">
        <f t="shared" si="16"/>
        <v>0.88928571428571423</v>
      </c>
      <c r="AO21" s="36">
        <f t="shared" si="39"/>
        <v>17430</v>
      </c>
      <c r="AQ21" s="223">
        <f t="shared" si="40"/>
        <v>0.80354883816146039</v>
      </c>
      <c r="AR21" s="38">
        <f t="shared" si="41"/>
        <v>74705.93548387097</v>
      </c>
      <c r="AS21" s="197">
        <f>SUM(AR21-AR20-AT21)</f>
        <v>0</v>
      </c>
      <c r="AT21" s="340"/>
      <c r="AU21" s="548"/>
      <c r="AV21" s="485">
        <f t="shared" si="45"/>
        <v>1.0129999999999999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44668</v>
      </c>
      <c r="B22">
        <f>'B5'!B21</f>
        <v>242</v>
      </c>
      <c r="C22" s="203">
        <f t="shared" si="18"/>
        <v>5206.9032258064517</v>
      </c>
      <c r="D22">
        <f t="shared" si="19"/>
        <v>242</v>
      </c>
      <c r="E22" s="203">
        <f t="shared" si="18"/>
        <v>5206.9032258064517</v>
      </c>
      <c r="F22">
        <f t="shared" si="20"/>
        <v>242</v>
      </c>
      <c r="G22" s="203">
        <f t="shared" si="1"/>
        <v>5206.9032258064517</v>
      </c>
      <c r="H22" s="203">
        <f t="shared" si="21"/>
        <v>242</v>
      </c>
      <c r="I22" s="203">
        <f t="shared" si="2"/>
        <v>5206.9032258064517</v>
      </c>
      <c r="J22" s="203">
        <f t="shared" si="22"/>
        <v>242</v>
      </c>
      <c r="K22" s="203">
        <f t="shared" si="3"/>
        <v>5206.9032258064517</v>
      </c>
      <c r="L22" s="203">
        <f t="shared" si="23"/>
        <v>242</v>
      </c>
      <c r="M22" s="203">
        <f t="shared" si="4"/>
        <v>5206.9032258064517</v>
      </c>
      <c r="N22" s="203">
        <f t="shared" si="24"/>
        <v>242</v>
      </c>
      <c r="O22" s="203">
        <f t="shared" si="5"/>
        <v>5206.9032258064517</v>
      </c>
      <c r="P22" s="203">
        <f t="shared" si="25"/>
        <v>242</v>
      </c>
      <c r="Q22" s="203">
        <f t="shared" si="6"/>
        <v>5206.9032258064517</v>
      </c>
      <c r="R22" s="203">
        <f t="shared" si="26"/>
        <v>242</v>
      </c>
      <c r="S22" s="203">
        <f t="shared" si="7"/>
        <v>5206.9032258064517</v>
      </c>
      <c r="T22" s="203">
        <f t="shared" si="27"/>
        <v>242</v>
      </c>
      <c r="U22" s="203">
        <f t="shared" si="8"/>
        <v>5206.9032258064517</v>
      </c>
      <c r="V22" s="203">
        <f t="shared" si="28"/>
        <v>242</v>
      </c>
      <c r="W22" s="203">
        <f t="shared" si="9"/>
        <v>5206.9032258064517</v>
      </c>
      <c r="X22" s="35">
        <f t="shared" si="10"/>
        <v>0.78064516129032269</v>
      </c>
      <c r="Y22" s="36">
        <f t="shared" si="29"/>
        <v>57275.935483870977</v>
      </c>
      <c r="Z22" s="203">
        <f>'B5'!C21</f>
        <v>249</v>
      </c>
      <c r="AA22" s="203">
        <f t="shared" si="30"/>
        <v>2490</v>
      </c>
      <c r="AB22" s="203">
        <f t="shared" si="31"/>
        <v>249</v>
      </c>
      <c r="AC22" s="203">
        <f t="shared" si="30"/>
        <v>2490</v>
      </c>
      <c r="AD22" s="203">
        <f t="shared" si="32"/>
        <v>249</v>
      </c>
      <c r="AE22" s="203">
        <f t="shared" si="11"/>
        <v>2490</v>
      </c>
      <c r="AF22" s="203">
        <f t="shared" si="33"/>
        <v>249</v>
      </c>
      <c r="AG22" s="203">
        <f t="shared" si="12"/>
        <v>2490</v>
      </c>
      <c r="AH22" s="203">
        <f t="shared" si="34"/>
        <v>249</v>
      </c>
      <c r="AI22" s="203">
        <f t="shared" si="13"/>
        <v>2490</v>
      </c>
      <c r="AJ22" s="203">
        <f t="shared" si="35"/>
        <v>249</v>
      </c>
      <c r="AK22" s="203">
        <f t="shared" si="14"/>
        <v>2490</v>
      </c>
      <c r="AL22" s="203">
        <f t="shared" si="36"/>
        <v>249</v>
      </c>
      <c r="AM22" s="203">
        <f t="shared" si="15"/>
        <v>2490</v>
      </c>
      <c r="AN22" s="35">
        <f t="shared" si="16"/>
        <v>0.88928571428571423</v>
      </c>
      <c r="AO22" s="36">
        <f t="shared" si="39"/>
        <v>17430</v>
      </c>
      <c r="AQ22" s="223">
        <f t="shared" si="40"/>
        <v>0.80354883816146039</v>
      </c>
      <c r="AR22" s="38">
        <f t="shared" si="41"/>
        <v>74705.93548387097</v>
      </c>
      <c r="AS22" s="197">
        <f t="shared" si="47"/>
        <v>0</v>
      </c>
      <c r="AT22" s="340"/>
      <c r="AU22" s="548"/>
      <c r="AV22" s="485">
        <f t="shared" si="43"/>
        <v>1.0129999999999999</v>
      </c>
      <c r="AW22" s="279">
        <f>-SUM('B5'!AI21)</f>
        <v>0</v>
      </c>
      <c r="AX22" s="279">
        <f t="shared" si="17"/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44669</v>
      </c>
      <c r="B23">
        <f>'B5'!B22</f>
        <v>242</v>
      </c>
      <c r="C23" s="203">
        <f t="shared" si="18"/>
        <v>5206.9032258064517</v>
      </c>
      <c r="D23">
        <f t="shared" si="19"/>
        <v>242</v>
      </c>
      <c r="E23" s="203">
        <f t="shared" si="18"/>
        <v>5206.9032258064517</v>
      </c>
      <c r="F23">
        <f t="shared" si="20"/>
        <v>242</v>
      </c>
      <c r="G23" s="203">
        <f t="shared" si="1"/>
        <v>5206.9032258064517</v>
      </c>
      <c r="H23" s="203">
        <f t="shared" si="21"/>
        <v>242</v>
      </c>
      <c r="I23" s="203">
        <f t="shared" si="2"/>
        <v>5206.9032258064517</v>
      </c>
      <c r="J23" s="203">
        <f t="shared" si="22"/>
        <v>242</v>
      </c>
      <c r="K23" s="203">
        <f t="shared" si="3"/>
        <v>5206.9032258064517</v>
      </c>
      <c r="L23" s="203">
        <f t="shared" si="23"/>
        <v>242</v>
      </c>
      <c r="M23" s="203">
        <f t="shared" si="4"/>
        <v>5206.9032258064517</v>
      </c>
      <c r="N23" s="203">
        <f t="shared" si="24"/>
        <v>242</v>
      </c>
      <c r="O23" s="203">
        <f t="shared" si="5"/>
        <v>5206.9032258064517</v>
      </c>
      <c r="P23" s="203">
        <f t="shared" si="25"/>
        <v>242</v>
      </c>
      <c r="Q23" s="203">
        <f t="shared" si="6"/>
        <v>5206.9032258064517</v>
      </c>
      <c r="R23" s="203">
        <f t="shared" si="26"/>
        <v>242</v>
      </c>
      <c r="S23" s="203">
        <f t="shared" si="7"/>
        <v>5206.9032258064517</v>
      </c>
      <c r="T23" s="203">
        <f t="shared" si="27"/>
        <v>242</v>
      </c>
      <c r="U23" s="203">
        <f t="shared" si="8"/>
        <v>5206.9032258064517</v>
      </c>
      <c r="V23" s="203">
        <f t="shared" si="28"/>
        <v>242</v>
      </c>
      <c r="W23" s="203">
        <f t="shared" si="9"/>
        <v>5206.9032258064517</v>
      </c>
      <c r="X23" s="35">
        <f t="shared" si="10"/>
        <v>0.78064516129032269</v>
      </c>
      <c r="Y23" s="36">
        <f t="shared" si="29"/>
        <v>57275.935483870977</v>
      </c>
      <c r="Z23" s="203">
        <f>'B5'!C22</f>
        <v>249</v>
      </c>
      <c r="AA23" s="203">
        <f t="shared" si="30"/>
        <v>2490</v>
      </c>
      <c r="AB23" s="203">
        <f t="shared" si="31"/>
        <v>249</v>
      </c>
      <c r="AC23" s="203">
        <f t="shared" si="30"/>
        <v>2490</v>
      </c>
      <c r="AD23" s="203">
        <f t="shared" si="32"/>
        <v>249</v>
      </c>
      <c r="AE23" s="203">
        <f t="shared" si="11"/>
        <v>2490</v>
      </c>
      <c r="AF23" s="203">
        <f t="shared" si="33"/>
        <v>249</v>
      </c>
      <c r="AG23" s="203">
        <f t="shared" si="12"/>
        <v>2490</v>
      </c>
      <c r="AH23" s="203">
        <f t="shared" si="34"/>
        <v>249</v>
      </c>
      <c r="AI23" s="203">
        <f t="shared" si="13"/>
        <v>2490</v>
      </c>
      <c r="AJ23" s="203">
        <f t="shared" si="35"/>
        <v>249</v>
      </c>
      <c r="AK23" s="203">
        <f t="shared" si="14"/>
        <v>2490</v>
      </c>
      <c r="AL23" s="203">
        <f t="shared" si="36"/>
        <v>249</v>
      </c>
      <c r="AM23" s="203">
        <f t="shared" si="15"/>
        <v>2490</v>
      </c>
      <c r="AN23" s="35">
        <f t="shared" si="16"/>
        <v>0.88928571428571423</v>
      </c>
      <c r="AO23" s="36">
        <f t="shared" si="39"/>
        <v>17430</v>
      </c>
      <c r="AQ23" s="223">
        <f t="shared" si="40"/>
        <v>0.80354883816146039</v>
      </c>
      <c r="AR23" s="38">
        <f t="shared" si="41"/>
        <v>74705.93548387097</v>
      </c>
      <c r="AS23" s="197">
        <f t="shared" si="47"/>
        <v>0</v>
      </c>
      <c r="AT23" s="340"/>
      <c r="AU23" s="548"/>
      <c r="AV23" s="485">
        <f t="shared" si="43"/>
        <v>1.0129999999999999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44670</v>
      </c>
      <c r="B24">
        <f>'B5'!B23</f>
        <v>242</v>
      </c>
      <c r="C24" s="203">
        <f t="shared" si="18"/>
        <v>5206.9032258064517</v>
      </c>
      <c r="D24">
        <f t="shared" si="19"/>
        <v>242</v>
      </c>
      <c r="E24" s="203">
        <f t="shared" si="18"/>
        <v>5206.9032258064517</v>
      </c>
      <c r="F24">
        <f t="shared" si="20"/>
        <v>242</v>
      </c>
      <c r="G24" s="203">
        <f t="shared" si="1"/>
        <v>5206.9032258064517</v>
      </c>
      <c r="H24" s="203">
        <f t="shared" si="21"/>
        <v>242</v>
      </c>
      <c r="I24" s="203">
        <f t="shared" si="2"/>
        <v>5206.9032258064517</v>
      </c>
      <c r="J24" s="203">
        <f t="shared" si="22"/>
        <v>242</v>
      </c>
      <c r="K24" s="203">
        <f t="shared" si="3"/>
        <v>5206.9032258064517</v>
      </c>
      <c r="L24" s="203">
        <f t="shared" si="23"/>
        <v>242</v>
      </c>
      <c r="M24" s="203">
        <f t="shared" si="4"/>
        <v>5206.9032258064517</v>
      </c>
      <c r="N24" s="203">
        <f t="shared" si="24"/>
        <v>242</v>
      </c>
      <c r="O24" s="203">
        <f t="shared" si="5"/>
        <v>5206.9032258064517</v>
      </c>
      <c r="P24" s="203">
        <f t="shared" si="25"/>
        <v>242</v>
      </c>
      <c r="Q24" s="203">
        <f t="shared" si="6"/>
        <v>5206.9032258064517</v>
      </c>
      <c r="R24" s="203">
        <f t="shared" si="26"/>
        <v>242</v>
      </c>
      <c r="S24" s="203">
        <f t="shared" si="7"/>
        <v>5206.9032258064517</v>
      </c>
      <c r="T24" s="203">
        <f t="shared" si="27"/>
        <v>242</v>
      </c>
      <c r="U24" s="203">
        <f t="shared" si="8"/>
        <v>5206.9032258064517</v>
      </c>
      <c r="V24" s="203">
        <f t="shared" si="28"/>
        <v>242</v>
      </c>
      <c r="W24" s="203">
        <f t="shared" si="9"/>
        <v>5206.9032258064517</v>
      </c>
      <c r="X24" s="35">
        <f t="shared" si="10"/>
        <v>0.78064516129032269</v>
      </c>
      <c r="Y24" s="36">
        <f t="shared" si="29"/>
        <v>57275.935483870977</v>
      </c>
      <c r="Z24" s="203">
        <f>'B5'!C23</f>
        <v>249</v>
      </c>
      <c r="AA24" s="203">
        <f t="shared" si="30"/>
        <v>2490</v>
      </c>
      <c r="AB24" s="203">
        <f t="shared" si="31"/>
        <v>249</v>
      </c>
      <c r="AC24" s="203">
        <f t="shared" si="30"/>
        <v>2490</v>
      </c>
      <c r="AD24" s="203">
        <f t="shared" si="32"/>
        <v>249</v>
      </c>
      <c r="AE24" s="203">
        <f t="shared" si="11"/>
        <v>2490</v>
      </c>
      <c r="AF24" s="203">
        <f t="shared" si="33"/>
        <v>249</v>
      </c>
      <c r="AG24" s="203">
        <f t="shared" si="12"/>
        <v>2490</v>
      </c>
      <c r="AH24" s="203">
        <f t="shared" si="34"/>
        <v>249</v>
      </c>
      <c r="AI24" s="203">
        <f t="shared" si="13"/>
        <v>2490</v>
      </c>
      <c r="AJ24" s="203">
        <f t="shared" si="35"/>
        <v>249</v>
      </c>
      <c r="AK24" s="203">
        <f t="shared" si="14"/>
        <v>2490</v>
      </c>
      <c r="AL24" s="203">
        <f t="shared" si="36"/>
        <v>249</v>
      </c>
      <c r="AM24" s="203">
        <f t="shared" si="15"/>
        <v>2490</v>
      </c>
      <c r="AN24" s="35">
        <f t="shared" si="16"/>
        <v>0.88928571428571423</v>
      </c>
      <c r="AO24" s="36">
        <f t="shared" si="39"/>
        <v>17430</v>
      </c>
      <c r="AQ24" s="223">
        <f t="shared" si="40"/>
        <v>0.80354883816146039</v>
      </c>
      <c r="AR24" s="38">
        <f t="shared" si="41"/>
        <v>74705.93548387097</v>
      </c>
      <c r="AS24" s="197">
        <f t="shared" si="47"/>
        <v>0</v>
      </c>
      <c r="AT24" s="340"/>
      <c r="AU24" s="548"/>
      <c r="AV24" s="485">
        <f t="shared" si="43"/>
        <v>1.0129999999999999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44671</v>
      </c>
      <c r="B25">
        <f>'B5'!B24</f>
        <v>242</v>
      </c>
      <c r="C25" s="203">
        <f t="shared" si="18"/>
        <v>5206.9032258064517</v>
      </c>
      <c r="D25">
        <f t="shared" si="19"/>
        <v>242</v>
      </c>
      <c r="E25" s="203">
        <f t="shared" si="18"/>
        <v>5206.9032258064517</v>
      </c>
      <c r="F25">
        <f t="shared" si="20"/>
        <v>242</v>
      </c>
      <c r="G25" s="203">
        <f t="shared" si="1"/>
        <v>5206.9032258064517</v>
      </c>
      <c r="H25" s="203">
        <f t="shared" si="21"/>
        <v>242</v>
      </c>
      <c r="I25" s="203">
        <f t="shared" si="2"/>
        <v>5206.9032258064517</v>
      </c>
      <c r="J25" s="203">
        <f t="shared" si="22"/>
        <v>242</v>
      </c>
      <c r="K25" s="203">
        <f t="shared" si="3"/>
        <v>5206.9032258064517</v>
      </c>
      <c r="L25" s="203">
        <f t="shared" si="23"/>
        <v>242</v>
      </c>
      <c r="M25" s="203">
        <f t="shared" si="4"/>
        <v>5206.9032258064517</v>
      </c>
      <c r="N25" s="203">
        <f t="shared" si="24"/>
        <v>242</v>
      </c>
      <c r="O25" s="203">
        <f t="shared" si="5"/>
        <v>5206.9032258064517</v>
      </c>
      <c r="P25" s="203">
        <f t="shared" si="25"/>
        <v>242</v>
      </c>
      <c r="Q25" s="203">
        <f t="shared" si="6"/>
        <v>5206.9032258064517</v>
      </c>
      <c r="R25" s="203">
        <f t="shared" si="26"/>
        <v>242</v>
      </c>
      <c r="S25" s="203">
        <f t="shared" si="7"/>
        <v>5206.9032258064517</v>
      </c>
      <c r="T25" s="203">
        <f t="shared" si="27"/>
        <v>242</v>
      </c>
      <c r="U25" s="203">
        <f t="shared" si="8"/>
        <v>5206.9032258064517</v>
      </c>
      <c r="V25" s="203">
        <f t="shared" si="28"/>
        <v>242</v>
      </c>
      <c r="W25" s="203">
        <f t="shared" si="9"/>
        <v>5206.9032258064517</v>
      </c>
      <c r="X25" s="35">
        <f t="shared" si="10"/>
        <v>0.78064516129032269</v>
      </c>
      <c r="Y25" s="36">
        <f t="shared" si="29"/>
        <v>57275.935483870977</v>
      </c>
      <c r="Z25" s="203">
        <f>'B5'!C24</f>
        <v>249</v>
      </c>
      <c r="AA25" s="203">
        <f t="shared" si="30"/>
        <v>2490</v>
      </c>
      <c r="AB25" s="203">
        <f t="shared" si="31"/>
        <v>249</v>
      </c>
      <c r="AC25" s="203">
        <f t="shared" si="30"/>
        <v>2490</v>
      </c>
      <c r="AD25" s="203">
        <f t="shared" si="32"/>
        <v>249</v>
      </c>
      <c r="AE25" s="203">
        <f t="shared" si="11"/>
        <v>2490</v>
      </c>
      <c r="AF25" s="203">
        <f t="shared" si="33"/>
        <v>249</v>
      </c>
      <c r="AG25" s="203">
        <f t="shared" si="12"/>
        <v>2490</v>
      </c>
      <c r="AH25" s="203">
        <f t="shared" si="34"/>
        <v>249</v>
      </c>
      <c r="AI25" s="203">
        <f t="shared" si="13"/>
        <v>2490</v>
      </c>
      <c r="AJ25" s="203">
        <f t="shared" si="35"/>
        <v>249</v>
      </c>
      <c r="AK25" s="203">
        <f t="shared" si="14"/>
        <v>2490</v>
      </c>
      <c r="AL25" s="203">
        <f t="shared" si="36"/>
        <v>249</v>
      </c>
      <c r="AM25" s="203">
        <f t="shared" si="15"/>
        <v>2490</v>
      </c>
      <c r="AN25" s="35">
        <f t="shared" si="16"/>
        <v>0.88928571428571423</v>
      </c>
      <c r="AO25" s="36">
        <f t="shared" si="39"/>
        <v>17430</v>
      </c>
      <c r="AQ25" s="223">
        <f t="shared" si="40"/>
        <v>0.80354883816146039</v>
      </c>
      <c r="AR25" s="38">
        <f>Y25+AO25</f>
        <v>74705.93548387097</v>
      </c>
      <c r="AS25" s="197">
        <f t="shared" si="47"/>
        <v>0</v>
      </c>
      <c r="AT25" s="340"/>
      <c r="AU25" s="549"/>
      <c r="AV25" s="485">
        <f t="shared" si="43"/>
        <v>1.0129999999999999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44672</v>
      </c>
      <c r="B26">
        <f>'B5'!B25</f>
        <v>242</v>
      </c>
      <c r="C26" s="203">
        <f t="shared" si="18"/>
        <v>5206.9032258064517</v>
      </c>
      <c r="D26">
        <f t="shared" si="19"/>
        <v>242</v>
      </c>
      <c r="E26" s="203">
        <f t="shared" si="18"/>
        <v>5206.9032258064517</v>
      </c>
      <c r="F26">
        <f t="shared" si="20"/>
        <v>242</v>
      </c>
      <c r="G26" s="203">
        <f t="shared" si="1"/>
        <v>5206.9032258064517</v>
      </c>
      <c r="H26" s="203">
        <f t="shared" si="21"/>
        <v>242</v>
      </c>
      <c r="I26" s="203">
        <f t="shared" si="2"/>
        <v>5206.9032258064517</v>
      </c>
      <c r="J26" s="203">
        <f t="shared" si="22"/>
        <v>242</v>
      </c>
      <c r="K26" s="203">
        <f t="shared" si="3"/>
        <v>5206.9032258064517</v>
      </c>
      <c r="L26" s="203">
        <f t="shared" si="23"/>
        <v>242</v>
      </c>
      <c r="M26" s="203">
        <f t="shared" si="4"/>
        <v>5206.9032258064517</v>
      </c>
      <c r="N26" s="203">
        <f t="shared" si="24"/>
        <v>242</v>
      </c>
      <c r="O26" s="203">
        <f t="shared" si="5"/>
        <v>5206.9032258064517</v>
      </c>
      <c r="P26" s="203">
        <f t="shared" si="25"/>
        <v>242</v>
      </c>
      <c r="Q26" s="203">
        <f t="shared" si="6"/>
        <v>5206.9032258064517</v>
      </c>
      <c r="R26" s="203">
        <f t="shared" si="26"/>
        <v>242</v>
      </c>
      <c r="S26" s="203">
        <f t="shared" si="7"/>
        <v>5206.9032258064517</v>
      </c>
      <c r="T26" s="203">
        <f t="shared" si="27"/>
        <v>242</v>
      </c>
      <c r="U26" s="203">
        <f t="shared" si="8"/>
        <v>5206.9032258064517</v>
      </c>
      <c r="V26" s="203">
        <f t="shared" si="28"/>
        <v>242</v>
      </c>
      <c r="W26" s="203">
        <f t="shared" si="9"/>
        <v>5206.9032258064517</v>
      </c>
      <c r="X26" s="35">
        <f t="shared" si="10"/>
        <v>0.78064516129032269</v>
      </c>
      <c r="Y26" s="36">
        <f t="shared" si="29"/>
        <v>57275.935483870977</v>
      </c>
      <c r="Z26" s="203">
        <f>'B5'!C25</f>
        <v>249</v>
      </c>
      <c r="AA26" s="203">
        <f t="shared" si="30"/>
        <v>2490</v>
      </c>
      <c r="AB26" s="203">
        <f t="shared" si="31"/>
        <v>249</v>
      </c>
      <c r="AC26" s="203">
        <f t="shared" si="30"/>
        <v>2490</v>
      </c>
      <c r="AD26" s="203">
        <f t="shared" si="32"/>
        <v>249</v>
      </c>
      <c r="AE26" s="203">
        <f t="shared" si="11"/>
        <v>2490</v>
      </c>
      <c r="AF26" s="203">
        <f t="shared" si="33"/>
        <v>249</v>
      </c>
      <c r="AG26" s="203">
        <f t="shared" si="12"/>
        <v>2490</v>
      </c>
      <c r="AH26" s="203">
        <f t="shared" si="34"/>
        <v>249</v>
      </c>
      <c r="AI26" s="203">
        <f t="shared" si="13"/>
        <v>2490</v>
      </c>
      <c r="AJ26" s="203">
        <f t="shared" si="35"/>
        <v>249</v>
      </c>
      <c r="AK26" s="203">
        <f t="shared" si="14"/>
        <v>2490</v>
      </c>
      <c r="AL26" s="203">
        <f t="shared" si="36"/>
        <v>249</v>
      </c>
      <c r="AM26" s="203">
        <f t="shared" si="15"/>
        <v>2490</v>
      </c>
      <c r="AN26" s="35">
        <f t="shared" si="16"/>
        <v>0.88928571428571423</v>
      </c>
      <c r="AO26" s="36">
        <f t="shared" si="39"/>
        <v>17430</v>
      </c>
      <c r="AQ26" s="223">
        <f t="shared" si="40"/>
        <v>0.80354883816146039</v>
      </c>
      <c r="AR26" s="38">
        <f>Y26+AO26</f>
        <v>74705.93548387097</v>
      </c>
      <c r="AS26" s="197">
        <f t="shared" si="47"/>
        <v>0</v>
      </c>
      <c r="AT26" s="340"/>
      <c r="AU26" s="548"/>
      <c r="AV26" s="485">
        <f t="shared" si="43"/>
        <v>1.0129999999999999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44673</v>
      </c>
      <c r="B27">
        <f>'B5'!B26</f>
        <v>242</v>
      </c>
      <c r="C27" s="203">
        <f t="shared" si="18"/>
        <v>5206.9032258064517</v>
      </c>
      <c r="D27">
        <f t="shared" si="19"/>
        <v>242</v>
      </c>
      <c r="E27" s="203">
        <f t="shared" si="18"/>
        <v>5206.9032258064517</v>
      </c>
      <c r="F27">
        <f t="shared" si="20"/>
        <v>242</v>
      </c>
      <c r="G27" s="203">
        <f t="shared" si="1"/>
        <v>5206.9032258064517</v>
      </c>
      <c r="H27" s="203">
        <f t="shared" si="21"/>
        <v>242</v>
      </c>
      <c r="I27" s="203">
        <f t="shared" si="2"/>
        <v>5206.9032258064517</v>
      </c>
      <c r="J27" s="203">
        <f t="shared" si="22"/>
        <v>242</v>
      </c>
      <c r="K27" s="203">
        <f t="shared" si="3"/>
        <v>5206.9032258064517</v>
      </c>
      <c r="L27" s="203">
        <f t="shared" si="23"/>
        <v>242</v>
      </c>
      <c r="M27" s="203">
        <f t="shared" si="4"/>
        <v>5206.9032258064517</v>
      </c>
      <c r="N27" s="203">
        <f t="shared" si="24"/>
        <v>242</v>
      </c>
      <c r="O27" s="203">
        <f t="shared" si="5"/>
        <v>5206.9032258064517</v>
      </c>
      <c r="P27" s="203">
        <f t="shared" si="25"/>
        <v>242</v>
      </c>
      <c r="Q27" s="203">
        <f t="shared" si="6"/>
        <v>5206.9032258064517</v>
      </c>
      <c r="R27" s="203">
        <f t="shared" si="26"/>
        <v>242</v>
      </c>
      <c r="S27" s="203">
        <f t="shared" si="7"/>
        <v>5206.9032258064517</v>
      </c>
      <c r="T27" s="203">
        <f t="shared" si="27"/>
        <v>242</v>
      </c>
      <c r="U27" s="203">
        <f t="shared" si="8"/>
        <v>5206.9032258064517</v>
      </c>
      <c r="V27" s="203">
        <f t="shared" si="28"/>
        <v>242</v>
      </c>
      <c r="W27" s="203">
        <f t="shared" si="9"/>
        <v>5206.9032258064517</v>
      </c>
      <c r="X27" s="35">
        <f t="shared" si="10"/>
        <v>0.78064516129032269</v>
      </c>
      <c r="Y27" s="36">
        <f t="shared" si="29"/>
        <v>57275.935483870977</v>
      </c>
      <c r="Z27" s="203">
        <f>'B5'!C26</f>
        <v>249</v>
      </c>
      <c r="AA27" s="203">
        <f t="shared" si="30"/>
        <v>2490</v>
      </c>
      <c r="AB27" s="203">
        <f t="shared" si="31"/>
        <v>249</v>
      </c>
      <c r="AC27" s="203">
        <f t="shared" si="30"/>
        <v>2490</v>
      </c>
      <c r="AD27" s="203">
        <f t="shared" si="32"/>
        <v>249</v>
      </c>
      <c r="AE27" s="203">
        <f t="shared" si="11"/>
        <v>2490</v>
      </c>
      <c r="AF27" s="203">
        <f t="shared" si="33"/>
        <v>249</v>
      </c>
      <c r="AG27" s="203">
        <f t="shared" si="12"/>
        <v>2490</v>
      </c>
      <c r="AH27" s="203">
        <f t="shared" si="34"/>
        <v>249</v>
      </c>
      <c r="AI27" s="203">
        <f t="shared" si="13"/>
        <v>2490</v>
      </c>
      <c r="AJ27" s="203">
        <f t="shared" si="35"/>
        <v>249</v>
      </c>
      <c r="AK27" s="203">
        <f t="shared" si="14"/>
        <v>2490</v>
      </c>
      <c r="AL27" s="203">
        <f t="shared" si="36"/>
        <v>249</v>
      </c>
      <c r="AM27" s="203">
        <f t="shared" si="15"/>
        <v>2490</v>
      </c>
      <c r="AN27" s="35">
        <f t="shared" si="16"/>
        <v>0.88928571428571423</v>
      </c>
      <c r="AO27" s="36">
        <f t="shared" si="39"/>
        <v>17430</v>
      </c>
      <c r="AQ27" s="223">
        <f t="shared" si="40"/>
        <v>0.80354883816146039</v>
      </c>
      <c r="AR27" s="38">
        <f t="shared" si="41"/>
        <v>74705.93548387097</v>
      </c>
      <c r="AS27" s="197">
        <f t="shared" si="47"/>
        <v>0</v>
      </c>
      <c r="AT27" s="340"/>
      <c r="AU27" s="548"/>
      <c r="AV27" s="485">
        <f t="shared" si="43"/>
        <v>1.0129999999999999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44674</v>
      </c>
      <c r="B28">
        <f>'B5'!B27</f>
        <v>242</v>
      </c>
      <c r="C28" s="203">
        <f t="shared" si="18"/>
        <v>5206.9032258064517</v>
      </c>
      <c r="D28">
        <f t="shared" si="19"/>
        <v>242</v>
      </c>
      <c r="E28" s="203">
        <f t="shared" si="18"/>
        <v>5206.9032258064517</v>
      </c>
      <c r="F28">
        <f t="shared" si="20"/>
        <v>242</v>
      </c>
      <c r="G28" s="203">
        <f t="shared" si="1"/>
        <v>5206.9032258064517</v>
      </c>
      <c r="H28" s="203">
        <f t="shared" si="21"/>
        <v>242</v>
      </c>
      <c r="I28" s="203">
        <f t="shared" si="2"/>
        <v>5206.9032258064517</v>
      </c>
      <c r="J28" s="203">
        <f t="shared" si="22"/>
        <v>242</v>
      </c>
      <c r="K28" s="203">
        <f t="shared" si="3"/>
        <v>5206.9032258064517</v>
      </c>
      <c r="L28" s="203">
        <f t="shared" si="23"/>
        <v>242</v>
      </c>
      <c r="M28" s="203">
        <f t="shared" si="4"/>
        <v>5206.9032258064517</v>
      </c>
      <c r="N28" s="203">
        <f t="shared" si="24"/>
        <v>242</v>
      </c>
      <c r="O28" s="203">
        <f t="shared" si="5"/>
        <v>5206.9032258064517</v>
      </c>
      <c r="P28" s="203">
        <f t="shared" si="25"/>
        <v>242</v>
      </c>
      <c r="Q28" s="203">
        <f t="shared" si="6"/>
        <v>5206.9032258064517</v>
      </c>
      <c r="R28" s="203">
        <f t="shared" si="26"/>
        <v>242</v>
      </c>
      <c r="S28" s="203">
        <f t="shared" si="7"/>
        <v>5206.9032258064517</v>
      </c>
      <c r="T28" s="203">
        <f t="shared" si="27"/>
        <v>242</v>
      </c>
      <c r="U28" s="203">
        <f t="shared" si="8"/>
        <v>5206.9032258064517</v>
      </c>
      <c r="V28" s="203">
        <f t="shared" si="28"/>
        <v>242</v>
      </c>
      <c r="W28" s="203">
        <f t="shared" si="9"/>
        <v>5206.9032258064517</v>
      </c>
      <c r="X28" s="35">
        <f t="shared" si="10"/>
        <v>0.78064516129032269</v>
      </c>
      <c r="Y28" s="36">
        <f t="shared" si="29"/>
        <v>57275.935483870977</v>
      </c>
      <c r="Z28" s="203">
        <f>'B5'!C27</f>
        <v>249</v>
      </c>
      <c r="AA28" s="203">
        <f t="shared" si="30"/>
        <v>2490</v>
      </c>
      <c r="AB28" s="203">
        <f t="shared" si="31"/>
        <v>249</v>
      </c>
      <c r="AC28" s="203">
        <f t="shared" si="30"/>
        <v>2490</v>
      </c>
      <c r="AD28" s="203">
        <f t="shared" si="32"/>
        <v>249</v>
      </c>
      <c r="AE28" s="203">
        <f t="shared" si="11"/>
        <v>2490</v>
      </c>
      <c r="AF28" s="203">
        <f t="shared" si="33"/>
        <v>249</v>
      </c>
      <c r="AG28" s="203">
        <f t="shared" si="12"/>
        <v>2490</v>
      </c>
      <c r="AH28" s="203">
        <f t="shared" si="34"/>
        <v>249</v>
      </c>
      <c r="AI28" s="203">
        <f t="shared" si="13"/>
        <v>2490</v>
      </c>
      <c r="AJ28" s="203">
        <f t="shared" si="35"/>
        <v>249</v>
      </c>
      <c r="AK28" s="203">
        <f t="shared" si="14"/>
        <v>2490</v>
      </c>
      <c r="AL28" s="203">
        <f t="shared" si="36"/>
        <v>249</v>
      </c>
      <c r="AM28" s="203">
        <f t="shared" si="15"/>
        <v>2490</v>
      </c>
      <c r="AN28" s="35">
        <f t="shared" si="16"/>
        <v>0.88928571428571423</v>
      </c>
      <c r="AO28" s="36">
        <f t="shared" si="39"/>
        <v>17430</v>
      </c>
      <c r="AQ28" s="223">
        <f t="shared" si="40"/>
        <v>0.80354883816146039</v>
      </c>
      <c r="AR28" s="38">
        <f t="shared" si="41"/>
        <v>74705.93548387097</v>
      </c>
      <c r="AS28" s="197">
        <f t="shared" si="47"/>
        <v>0</v>
      </c>
      <c r="AT28" s="340"/>
      <c r="AU28" s="549"/>
      <c r="AV28" s="485">
        <f t="shared" si="43"/>
        <v>1.0129999999999999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44675</v>
      </c>
      <c r="B29">
        <f>'B5'!B28</f>
        <v>242</v>
      </c>
      <c r="C29" s="203">
        <f t="shared" si="18"/>
        <v>5206.9032258064517</v>
      </c>
      <c r="D29">
        <f t="shared" si="19"/>
        <v>242</v>
      </c>
      <c r="E29" s="203">
        <f t="shared" si="18"/>
        <v>5206.9032258064517</v>
      </c>
      <c r="F29">
        <f t="shared" si="20"/>
        <v>242</v>
      </c>
      <c r="G29" s="203">
        <f t="shared" si="1"/>
        <v>5206.9032258064517</v>
      </c>
      <c r="H29" s="203">
        <f t="shared" si="21"/>
        <v>242</v>
      </c>
      <c r="I29" s="203">
        <f t="shared" si="2"/>
        <v>5206.9032258064517</v>
      </c>
      <c r="J29" s="203">
        <f t="shared" si="22"/>
        <v>242</v>
      </c>
      <c r="K29" s="203">
        <f t="shared" si="3"/>
        <v>5206.9032258064517</v>
      </c>
      <c r="L29" s="203">
        <f t="shared" si="23"/>
        <v>242</v>
      </c>
      <c r="M29" s="203">
        <f t="shared" si="4"/>
        <v>5206.9032258064517</v>
      </c>
      <c r="N29" s="203">
        <f t="shared" si="24"/>
        <v>242</v>
      </c>
      <c r="O29" s="203">
        <f t="shared" si="5"/>
        <v>5206.9032258064517</v>
      </c>
      <c r="P29" s="203">
        <f t="shared" si="25"/>
        <v>242</v>
      </c>
      <c r="Q29" s="203">
        <f t="shared" si="6"/>
        <v>5206.9032258064517</v>
      </c>
      <c r="R29" s="203">
        <f t="shared" si="26"/>
        <v>242</v>
      </c>
      <c r="S29" s="203">
        <f t="shared" si="7"/>
        <v>5206.9032258064517</v>
      </c>
      <c r="T29" s="203">
        <f t="shared" si="27"/>
        <v>242</v>
      </c>
      <c r="U29" s="203">
        <f t="shared" si="8"/>
        <v>5206.9032258064517</v>
      </c>
      <c r="V29" s="203">
        <f t="shared" si="28"/>
        <v>242</v>
      </c>
      <c r="W29" s="203">
        <f t="shared" si="9"/>
        <v>5206.9032258064517</v>
      </c>
      <c r="X29" s="35">
        <f t="shared" si="10"/>
        <v>0.78064516129032269</v>
      </c>
      <c r="Y29" s="36">
        <f t="shared" si="29"/>
        <v>57275.935483870977</v>
      </c>
      <c r="Z29" s="203">
        <f>'B5'!C28</f>
        <v>249</v>
      </c>
      <c r="AA29" s="203">
        <f t="shared" si="30"/>
        <v>2490</v>
      </c>
      <c r="AB29" s="203">
        <f t="shared" si="31"/>
        <v>249</v>
      </c>
      <c r="AC29" s="203">
        <f t="shared" si="30"/>
        <v>2490</v>
      </c>
      <c r="AD29" s="203">
        <f t="shared" si="32"/>
        <v>249</v>
      </c>
      <c r="AE29" s="203">
        <f t="shared" si="11"/>
        <v>2490</v>
      </c>
      <c r="AF29" s="203">
        <f t="shared" si="33"/>
        <v>249</v>
      </c>
      <c r="AG29" s="203">
        <f t="shared" si="12"/>
        <v>2490</v>
      </c>
      <c r="AH29" s="203">
        <f t="shared" si="34"/>
        <v>249</v>
      </c>
      <c r="AI29" s="203">
        <f t="shared" si="13"/>
        <v>2490</v>
      </c>
      <c r="AJ29" s="203">
        <f t="shared" si="35"/>
        <v>249</v>
      </c>
      <c r="AK29" s="203">
        <f t="shared" si="14"/>
        <v>2490</v>
      </c>
      <c r="AL29" s="203">
        <f t="shared" si="36"/>
        <v>249</v>
      </c>
      <c r="AM29" s="203">
        <f t="shared" si="15"/>
        <v>2490</v>
      </c>
      <c r="AN29" s="35">
        <f t="shared" si="16"/>
        <v>0.88928571428571423</v>
      </c>
      <c r="AO29" s="36">
        <f t="shared" si="39"/>
        <v>17430</v>
      </c>
      <c r="AQ29" s="223">
        <f t="shared" si="40"/>
        <v>0.80354883816146039</v>
      </c>
      <c r="AR29" s="38">
        <f t="shared" si="41"/>
        <v>74705.93548387097</v>
      </c>
      <c r="AS29" s="197">
        <f>SUM(AR29-AR28-AT29)</f>
        <v>0</v>
      </c>
      <c r="AT29" s="340"/>
      <c r="AU29" s="549"/>
      <c r="AV29" s="485">
        <f t="shared" si="43"/>
        <v>1.0129999999999999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44676</v>
      </c>
      <c r="B30">
        <f>'B5'!B29</f>
        <v>242</v>
      </c>
      <c r="C30" s="203">
        <f t="shared" si="18"/>
        <v>5206.9032258064517</v>
      </c>
      <c r="D30">
        <f>SUM(B30)</f>
        <v>242</v>
      </c>
      <c r="E30" s="203">
        <f t="shared" si="18"/>
        <v>5206.9032258064517</v>
      </c>
      <c r="F30">
        <f>SUM(D30)</f>
        <v>242</v>
      </c>
      <c r="G30" s="203">
        <f t="shared" si="1"/>
        <v>5206.9032258064517</v>
      </c>
      <c r="H30" s="203">
        <f>SUM(F30)</f>
        <v>242</v>
      </c>
      <c r="I30" s="203">
        <f t="shared" si="2"/>
        <v>5206.9032258064517</v>
      </c>
      <c r="J30" s="203">
        <f>SUM(H30)</f>
        <v>242</v>
      </c>
      <c r="K30" s="203">
        <f t="shared" si="3"/>
        <v>5206.9032258064517</v>
      </c>
      <c r="L30" s="203">
        <f>SUM(J30)</f>
        <v>242</v>
      </c>
      <c r="M30" s="203">
        <f t="shared" si="4"/>
        <v>5206.9032258064517</v>
      </c>
      <c r="N30" s="203">
        <f>SUM(L30)</f>
        <v>242</v>
      </c>
      <c r="O30" s="203">
        <f t="shared" si="5"/>
        <v>5206.9032258064517</v>
      </c>
      <c r="P30" s="203">
        <f>SUM(N30)</f>
        <v>242</v>
      </c>
      <c r="Q30" s="203">
        <f t="shared" si="6"/>
        <v>5206.9032258064517</v>
      </c>
      <c r="R30" s="203">
        <f>SUM(P30)</f>
        <v>242</v>
      </c>
      <c r="S30" s="203">
        <f t="shared" si="7"/>
        <v>5206.9032258064517</v>
      </c>
      <c r="T30" s="203">
        <f>SUM(R30)</f>
        <v>242</v>
      </c>
      <c r="U30" s="203">
        <f t="shared" si="8"/>
        <v>5206.9032258064517</v>
      </c>
      <c r="V30" s="203">
        <f>SUM(T30)</f>
        <v>242</v>
      </c>
      <c r="W30" s="203">
        <f t="shared" si="9"/>
        <v>5206.9032258064517</v>
      </c>
      <c r="X30" s="35">
        <f>SUM(Y30/73370)</f>
        <v>0.78064516129032269</v>
      </c>
      <c r="Y30" s="36">
        <f>SUM(C30+E30+G30+I30+K30+M30+O30+Q30+S30+U30+W30)</f>
        <v>57275.935483870977</v>
      </c>
      <c r="Z30" s="203">
        <f>'B5'!C29</f>
        <v>249</v>
      </c>
      <c r="AA30" s="203">
        <f t="shared" si="30"/>
        <v>2490</v>
      </c>
      <c r="AB30" s="203">
        <f>SUM(Z30)</f>
        <v>249</v>
      </c>
      <c r="AC30" s="203">
        <f t="shared" si="30"/>
        <v>2490</v>
      </c>
      <c r="AD30" s="203">
        <f>SUM(AB30)</f>
        <v>249</v>
      </c>
      <c r="AE30" s="203">
        <f t="shared" si="11"/>
        <v>2490</v>
      </c>
      <c r="AF30" s="203">
        <f>SUM(AD30)</f>
        <v>249</v>
      </c>
      <c r="AG30" s="203">
        <f t="shared" si="12"/>
        <v>2490</v>
      </c>
      <c r="AH30" s="203">
        <f>SUM(AF30)</f>
        <v>249</v>
      </c>
      <c r="AI30" s="203">
        <f t="shared" si="13"/>
        <v>2490</v>
      </c>
      <c r="AJ30" s="203">
        <f>SUM(AH30)</f>
        <v>249</v>
      </c>
      <c r="AK30" s="203">
        <f t="shared" si="14"/>
        <v>2490</v>
      </c>
      <c r="AL30" s="203">
        <f>SUM(AJ30)</f>
        <v>249</v>
      </c>
      <c r="AM30" s="203">
        <f t="shared" si="15"/>
        <v>2490</v>
      </c>
      <c r="AN30" s="35">
        <f>SUM(AO30/19600)</f>
        <v>0.88928571428571423</v>
      </c>
      <c r="AO30" s="36">
        <f>SUM(AA30+AC30+AE30+AG30+AI30+AK30+AM30)</f>
        <v>17430</v>
      </c>
      <c r="AQ30" s="223">
        <f t="shared" si="40"/>
        <v>0.80354883816146039</v>
      </c>
      <c r="AR30" s="38">
        <f t="shared" si="41"/>
        <v>74705.93548387097</v>
      </c>
      <c r="AS30" s="197">
        <f>SUM(AR30-AR29-AT30)</f>
        <v>0</v>
      </c>
      <c r="AT30" s="340"/>
      <c r="AU30" s="549"/>
      <c r="AV30" s="485">
        <f t="shared" si="43"/>
        <v>1.0129999999999999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44677</v>
      </c>
      <c r="B31">
        <f>'B5'!B30</f>
        <v>242</v>
      </c>
      <c r="C31" s="203">
        <f t="shared" si="18"/>
        <v>5206.9032258064517</v>
      </c>
      <c r="D31">
        <f>SUM(B31)</f>
        <v>242</v>
      </c>
      <c r="E31" s="203">
        <f t="shared" si="18"/>
        <v>5206.9032258064517</v>
      </c>
      <c r="F31">
        <f>SUM(D31)</f>
        <v>242</v>
      </c>
      <c r="G31" s="203">
        <f t="shared" si="1"/>
        <v>5206.9032258064517</v>
      </c>
      <c r="H31" s="203">
        <f>SUM(F31)</f>
        <v>242</v>
      </c>
      <c r="I31" s="203">
        <f t="shared" si="2"/>
        <v>5206.9032258064517</v>
      </c>
      <c r="J31" s="203">
        <f>SUM(H31)</f>
        <v>242</v>
      </c>
      <c r="K31" s="203">
        <f t="shared" si="3"/>
        <v>5206.9032258064517</v>
      </c>
      <c r="L31" s="203">
        <f>SUM(J31)</f>
        <v>242</v>
      </c>
      <c r="M31" s="203">
        <f t="shared" si="4"/>
        <v>5206.9032258064517</v>
      </c>
      <c r="N31" s="203">
        <f>SUM(L31)</f>
        <v>242</v>
      </c>
      <c r="O31" s="203">
        <f t="shared" si="5"/>
        <v>5206.9032258064517</v>
      </c>
      <c r="P31" s="203">
        <f>SUM(N31)</f>
        <v>242</v>
      </c>
      <c r="Q31" s="203">
        <f t="shared" si="6"/>
        <v>5206.9032258064517</v>
      </c>
      <c r="R31" s="203">
        <f>SUM(P31)</f>
        <v>242</v>
      </c>
      <c r="S31" s="203">
        <f t="shared" si="7"/>
        <v>5206.9032258064517</v>
      </c>
      <c r="T31" s="203">
        <f>SUM(R31)</f>
        <v>242</v>
      </c>
      <c r="U31" s="203">
        <f t="shared" si="8"/>
        <v>5206.9032258064517</v>
      </c>
      <c r="V31" s="203">
        <f>SUM(T31)</f>
        <v>242</v>
      </c>
      <c r="W31" s="203">
        <f t="shared" si="9"/>
        <v>5206.9032258064517</v>
      </c>
      <c r="X31" s="35">
        <f>SUM(Y31/73370)</f>
        <v>0.78064516129032269</v>
      </c>
      <c r="Y31" s="36">
        <f>SUM(C31+E31+G31+I31+K31+M31+O31+Q31+S31+U31+W31)</f>
        <v>57275.935483870977</v>
      </c>
      <c r="Z31" s="203">
        <f>'B5'!C30</f>
        <v>249</v>
      </c>
      <c r="AA31" s="203">
        <f t="shared" si="30"/>
        <v>2490</v>
      </c>
      <c r="AB31" s="203">
        <f>SUM(Z31)</f>
        <v>249</v>
      </c>
      <c r="AC31" s="203">
        <f t="shared" si="30"/>
        <v>2490</v>
      </c>
      <c r="AD31" s="203">
        <f>SUM(AB31)</f>
        <v>249</v>
      </c>
      <c r="AE31" s="203">
        <f t="shared" si="11"/>
        <v>2490</v>
      </c>
      <c r="AF31" s="203">
        <f>SUM(AD31)</f>
        <v>249</v>
      </c>
      <c r="AG31" s="203">
        <f t="shared" si="12"/>
        <v>2490</v>
      </c>
      <c r="AH31" s="203">
        <f>SUM(AF31)</f>
        <v>249</v>
      </c>
      <c r="AI31" s="203">
        <f t="shared" si="13"/>
        <v>2490</v>
      </c>
      <c r="AJ31" s="203">
        <f>SUM(AH31)</f>
        <v>249</v>
      </c>
      <c r="AK31" s="203">
        <f t="shared" si="14"/>
        <v>2490</v>
      </c>
      <c r="AL31" s="203">
        <f>SUM(AJ31)</f>
        <v>249</v>
      </c>
      <c r="AM31" s="203">
        <f t="shared" si="15"/>
        <v>2490</v>
      </c>
      <c r="AN31" s="35">
        <f>SUM(AO31/19600)</f>
        <v>0.88928571428571423</v>
      </c>
      <c r="AO31" s="36">
        <f>SUM(AA31+AC31+AE31+AG31+AI31+AK31+AM31)</f>
        <v>17430</v>
      </c>
      <c r="AQ31" s="223">
        <f t="shared" si="40"/>
        <v>0.80354883816146039</v>
      </c>
      <c r="AR31" s="38">
        <f t="shared" si="41"/>
        <v>74705.93548387097</v>
      </c>
      <c r="AS31" s="197">
        <f t="shared" si="47"/>
        <v>0</v>
      </c>
      <c r="AT31" s="340"/>
      <c r="AU31" s="571"/>
      <c r="AV31" s="485">
        <f t="shared" si="43"/>
        <v>1.0129999999999999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44678</v>
      </c>
      <c r="B32">
        <f>'B5'!B31</f>
        <v>242</v>
      </c>
      <c r="C32" s="203">
        <f t="shared" si="18"/>
        <v>5206.9032258064517</v>
      </c>
      <c r="D32">
        <f>SUM(B32)</f>
        <v>242</v>
      </c>
      <c r="E32" s="203">
        <f t="shared" si="18"/>
        <v>5206.9032258064517</v>
      </c>
      <c r="F32">
        <f>SUM(D32)</f>
        <v>242</v>
      </c>
      <c r="G32" s="203">
        <f t="shared" si="1"/>
        <v>5206.9032258064517</v>
      </c>
      <c r="H32" s="203">
        <f>SUM(F32)</f>
        <v>242</v>
      </c>
      <c r="I32" s="203">
        <f t="shared" si="2"/>
        <v>5206.9032258064517</v>
      </c>
      <c r="J32" s="203">
        <f>SUM(H32)</f>
        <v>242</v>
      </c>
      <c r="K32" s="203">
        <f t="shared" si="3"/>
        <v>5206.9032258064517</v>
      </c>
      <c r="L32" s="203">
        <f>SUM(J32)</f>
        <v>242</v>
      </c>
      <c r="M32" s="203">
        <f t="shared" si="4"/>
        <v>5206.9032258064517</v>
      </c>
      <c r="N32" s="203">
        <f>SUM(L32)</f>
        <v>242</v>
      </c>
      <c r="O32" s="203">
        <f t="shared" si="5"/>
        <v>5206.9032258064517</v>
      </c>
      <c r="P32" s="203">
        <f>SUM(N32)</f>
        <v>242</v>
      </c>
      <c r="Q32" s="203">
        <f t="shared" si="6"/>
        <v>5206.9032258064517</v>
      </c>
      <c r="R32" s="203">
        <f>SUM(P32)</f>
        <v>242</v>
      </c>
      <c r="S32" s="203">
        <f t="shared" si="7"/>
        <v>5206.9032258064517</v>
      </c>
      <c r="T32" s="203">
        <f>SUM(R32)</f>
        <v>242</v>
      </c>
      <c r="U32" s="203">
        <f t="shared" si="8"/>
        <v>5206.9032258064517</v>
      </c>
      <c r="V32" s="203">
        <f>SUM(T32)</f>
        <v>242</v>
      </c>
      <c r="W32" s="203">
        <f t="shared" si="9"/>
        <v>5206.9032258064517</v>
      </c>
      <c r="X32" s="35">
        <f>SUM(Y32/73370)</f>
        <v>0.78064516129032269</v>
      </c>
      <c r="Y32" s="36">
        <f>SUM(C32+E32+G32+I32+K32+M32+O32+Q32+S32+U32+W32)</f>
        <v>57275.935483870977</v>
      </c>
      <c r="Z32" s="203">
        <f>'B5'!C31</f>
        <v>249</v>
      </c>
      <c r="AA32" s="203">
        <f t="shared" si="30"/>
        <v>2490</v>
      </c>
      <c r="AB32" s="203">
        <f>SUM(Z32)</f>
        <v>249</v>
      </c>
      <c r="AC32" s="203">
        <f t="shared" si="30"/>
        <v>2490</v>
      </c>
      <c r="AD32" s="203">
        <f>SUM(AB32)</f>
        <v>249</v>
      </c>
      <c r="AE32" s="203">
        <f t="shared" si="11"/>
        <v>2490</v>
      </c>
      <c r="AF32" s="203">
        <f>SUM(AD32)</f>
        <v>249</v>
      </c>
      <c r="AG32" s="203">
        <f t="shared" si="12"/>
        <v>2490</v>
      </c>
      <c r="AH32" s="203">
        <f>SUM(AF32)</f>
        <v>249</v>
      </c>
      <c r="AI32" s="203">
        <f t="shared" si="13"/>
        <v>2490</v>
      </c>
      <c r="AJ32" s="203">
        <f>SUM(AH32)</f>
        <v>249</v>
      </c>
      <c r="AK32" s="203">
        <f t="shared" si="14"/>
        <v>2490</v>
      </c>
      <c r="AL32" s="203">
        <f>SUM(AJ32)</f>
        <v>249</v>
      </c>
      <c r="AM32" s="203">
        <f t="shared" si="15"/>
        <v>2490</v>
      </c>
      <c r="AN32" s="35">
        <f>SUM(AO32/19600)</f>
        <v>0.88928571428571423</v>
      </c>
      <c r="AO32" s="36">
        <f>SUM(AA32+AC32+AE32+AG32+AI32+AK32+AM32)</f>
        <v>17430</v>
      </c>
      <c r="AQ32" s="223">
        <f t="shared" si="40"/>
        <v>0.80354883816146039</v>
      </c>
      <c r="AR32" s="38">
        <f t="shared" si="41"/>
        <v>74705.93548387097</v>
      </c>
      <c r="AS32" s="197">
        <f t="shared" si="47"/>
        <v>0</v>
      </c>
      <c r="AT32" s="340"/>
      <c r="AU32" s="548"/>
      <c r="AV32" s="485">
        <f>IF(AT32&gt;0,AU32,AV31)</f>
        <v>1.0129999999999999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44679</v>
      </c>
      <c r="B33">
        <f>'B5'!B32</f>
        <v>242</v>
      </c>
      <c r="C33" s="203">
        <f t="shared" si="18"/>
        <v>5206.9032258064517</v>
      </c>
      <c r="D33">
        <f>SUM(B33)</f>
        <v>242</v>
      </c>
      <c r="E33" s="203">
        <f t="shared" si="18"/>
        <v>5206.9032258064517</v>
      </c>
      <c r="F33">
        <f>SUM(D33)</f>
        <v>242</v>
      </c>
      <c r="G33" s="203">
        <f t="shared" si="1"/>
        <v>5206.9032258064517</v>
      </c>
      <c r="H33" s="203">
        <f>SUM(F33)</f>
        <v>242</v>
      </c>
      <c r="I33" s="203">
        <f t="shared" si="2"/>
        <v>5206.9032258064517</v>
      </c>
      <c r="J33" s="203">
        <f>SUM(H33)</f>
        <v>242</v>
      </c>
      <c r="K33" s="203">
        <f t="shared" si="3"/>
        <v>5206.9032258064517</v>
      </c>
      <c r="L33" s="203">
        <f>SUM(J33)</f>
        <v>242</v>
      </c>
      <c r="M33" s="203">
        <f t="shared" si="4"/>
        <v>5206.9032258064517</v>
      </c>
      <c r="N33" s="203">
        <f>SUM(L33)</f>
        <v>242</v>
      </c>
      <c r="O33" s="203">
        <f t="shared" si="5"/>
        <v>5206.9032258064517</v>
      </c>
      <c r="P33" s="203">
        <f>SUM(N33)</f>
        <v>242</v>
      </c>
      <c r="Q33" s="203">
        <f t="shared" si="6"/>
        <v>5206.9032258064517</v>
      </c>
      <c r="R33" s="203">
        <f>SUM(P33)</f>
        <v>242</v>
      </c>
      <c r="S33" s="203">
        <f t="shared" si="7"/>
        <v>5206.9032258064517</v>
      </c>
      <c r="T33" s="203">
        <f>SUM(R33)</f>
        <v>242</v>
      </c>
      <c r="U33" s="203">
        <f t="shared" si="8"/>
        <v>5206.9032258064517</v>
      </c>
      <c r="V33" s="203">
        <f>SUM(T33)</f>
        <v>242</v>
      </c>
      <c r="W33" s="203">
        <f t="shared" si="9"/>
        <v>5206.9032258064517</v>
      </c>
      <c r="X33" s="35">
        <f>SUM(Y33/73370)</f>
        <v>0.78064516129032269</v>
      </c>
      <c r="Y33" s="36">
        <f>SUM(C33+E33+G33+I33+K33+M33+O33+Q33+S33+U33+W33)</f>
        <v>57275.935483870977</v>
      </c>
      <c r="Z33" s="203">
        <f>'B5'!C32</f>
        <v>249</v>
      </c>
      <c r="AA33" s="203">
        <f t="shared" si="30"/>
        <v>2490</v>
      </c>
      <c r="AB33" s="203">
        <f>SUM(Z33)</f>
        <v>249</v>
      </c>
      <c r="AC33" s="203">
        <f t="shared" si="30"/>
        <v>2490</v>
      </c>
      <c r="AD33" s="203">
        <f>SUM(AB33)</f>
        <v>249</v>
      </c>
      <c r="AE33" s="203">
        <f t="shared" si="11"/>
        <v>2490</v>
      </c>
      <c r="AF33" s="203">
        <f>SUM(AD33)</f>
        <v>249</v>
      </c>
      <c r="AG33" s="203">
        <f t="shared" si="12"/>
        <v>2490</v>
      </c>
      <c r="AH33" s="203">
        <f>SUM(AF33)</f>
        <v>249</v>
      </c>
      <c r="AI33" s="203">
        <f t="shared" si="13"/>
        <v>2490</v>
      </c>
      <c r="AJ33" s="203">
        <f>SUM(AH33)</f>
        <v>249</v>
      </c>
      <c r="AK33" s="203">
        <f t="shared" si="14"/>
        <v>2490</v>
      </c>
      <c r="AL33" s="203">
        <f>SUM(AJ33)</f>
        <v>249</v>
      </c>
      <c r="AM33" s="203">
        <f t="shared" si="15"/>
        <v>2490</v>
      </c>
      <c r="AN33" s="35">
        <f>SUM(AO33/19600)</f>
        <v>0.88928571428571423</v>
      </c>
      <c r="AO33" s="36">
        <f>SUM(AA33+AC33+AE33+AG33+AI33+AK33+AM33)</f>
        <v>17430</v>
      </c>
      <c r="AQ33" s="223">
        <f t="shared" si="40"/>
        <v>0.80354883816146039</v>
      </c>
      <c r="AR33" s="38">
        <f t="shared" si="41"/>
        <v>74705.93548387097</v>
      </c>
      <c r="AS33" s="197">
        <f>SUM(AR33-AR32-AT33)</f>
        <v>0</v>
      </c>
      <c r="AT33" s="340"/>
      <c r="AU33" s="548"/>
      <c r="AV33" s="485">
        <f>IF(AT33&gt;0,AU33,AV32)</f>
        <v>1.0129999999999999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44680</v>
      </c>
      <c r="B34">
        <f>'B5'!B33</f>
        <v>242</v>
      </c>
      <c r="C34" s="203">
        <f t="shared" ref="C34:C36" si="48">B34*$B$4</f>
        <v>5206.9032258064517</v>
      </c>
      <c r="D34">
        <f t="shared" ref="D34:D36" si="49">SUM(B34)</f>
        <v>242</v>
      </c>
      <c r="E34" s="203">
        <f t="shared" ref="E34:E36" si="50">D34*$B$4</f>
        <v>5206.9032258064517</v>
      </c>
      <c r="F34">
        <f t="shared" ref="F34:F36" si="51">SUM(D34)</f>
        <v>242</v>
      </c>
      <c r="G34" s="203">
        <f t="shared" ref="G34:G36" si="52">F34*$B$4</f>
        <v>5206.9032258064517</v>
      </c>
      <c r="H34" s="203">
        <f t="shared" ref="H34:H36" si="53">SUM(F34)</f>
        <v>242</v>
      </c>
      <c r="I34" s="203">
        <f t="shared" ref="I34:I36" si="54">H34*$B$4</f>
        <v>5206.9032258064517</v>
      </c>
      <c r="J34" s="203">
        <f t="shared" ref="J34:J36" si="55">SUM(H34)</f>
        <v>242</v>
      </c>
      <c r="K34" s="203">
        <f t="shared" ref="K34:K36" si="56">J34*$B$4</f>
        <v>5206.9032258064517</v>
      </c>
      <c r="L34" s="203">
        <f t="shared" ref="L34:L36" si="57">SUM(J34)</f>
        <v>242</v>
      </c>
      <c r="M34" s="203">
        <f t="shared" ref="M34:M36" si="58">L34*$B$4</f>
        <v>5206.9032258064517</v>
      </c>
      <c r="N34" s="203">
        <f t="shared" ref="N34:N36" si="59">SUM(L34)</f>
        <v>242</v>
      </c>
      <c r="O34" s="203">
        <f t="shared" ref="O34:O36" si="60">N34*$B$4</f>
        <v>5206.9032258064517</v>
      </c>
      <c r="P34" s="203">
        <f t="shared" ref="P34:P36" si="61">SUM(N34)</f>
        <v>242</v>
      </c>
      <c r="Q34" s="203">
        <f t="shared" ref="Q34:Q36" si="62">P34*$B$4</f>
        <v>5206.9032258064517</v>
      </c>
      <c r="R34" s="203">
        <f t="shared" ref="R34:R36" si="63">SUM(P34)</f>
        <v>242</v>
      </c>
      <c r="S34" s="203">
        <f t="shared" ref="S34:S36" si="64">R34*$B$4</f>
        <v>5206.9032258064517</v>
      </c>
      <c r="T34" s="203">
        <f t="shared" ref="T34:T36" si="65">SUM(R34)</f>
        <v>242</v>
      </c>
      <c r="U34" s="203">
        <f t="shared" ref="U34:U36" si="66">T34*$B$4</f>
        <v>5206.9032258064517</v>
      </c>
      <c r="V34" s="203">
        <f t="shared" ref="V34:V36" si="67">SUM(T34)</f>
        <v>242</v>
      </c>
      <c r="W34" s="203">
        <f t="shared" ref="W34:W36" si="68">V34*$B$4</f>
        <v>5206.9032258064517</v>
      </c>
      <c r="X34" s="35">
        <f t="shared" ref="X34:X36" si="69">SUM(Y34/73370)</f>
        <v>0.78064516129032269</v>
      </c>
      <c r="Y34" s="36">
        <f t="shared" ref="Y34:Y36" si="70">SUM(C34+E34+G34+I34+K34+M34+O34+Q34+S34+U34+W34)</f>
        <v>57275.935483870977</v>
      </c>
      <c r="Z34" s="203">
        <f>'B5'!C33</f>
        <v>249</v>
      </c>
      <c r="AA34" s="203">
        <f t="shared" ref="AA34:AA36" si="71">SUM(Z34*$Z$4)</f>
        <v>2490</v>
      </c>
      <c r="AB34" s="203">
        <f t="shared" ref="AB34:AB36" si="72">SUM(Z34)</f>
        <v>249</v>
      </c>
      <c r="AC34" s="203">
        <f t="shared" ref="AC34:AC36" si="73">SUM(AB34*$Z$4)</f>
        <v>2490</v>
      </c>
      <c r="AD34" s="203">
        <f t="shared" ref="AD34:AD36" si="74">SUM(AB34)</f>
        <v>249</v>
      </c>
      <c r="AE34" s="203">
        <f t="shared" ref="AE34:AE36" si="75">SUM(AD34*$Z$4)</f>
        <v>2490</v>
      </c>
      <c r="AF34" s="203">
        <f t="shared" ref="AF34:AF36" si="76">SUM(AD34)</f>
        <v>249</v>
      </c>
      <c r="AG34" s="203">
        <f t="shared" ref="AG34:AG36" si="77">SUM(AF34*$Z$4)</f>
        <v>2490</v>
      </c>
      <c r="AH34" s="203">
        <f t="shared" ref="AH34:AH36" si="78">SUM(AF34)</f>
        <v>249</v>
      </c>
      <c r="AI34" s="203">
        <f t="shared" ref="AI34:AI36" si="79">SUM(AH34*$Z$4)</f>
        <v>2490</v>
      </c>
      <c r="AJ34" s="203">
        <f t="shared" ref="AJ34:AJ36" si="80">SUM(AH34)</f>
        <v>249</v>
      </c>
      <c r="AK34" s="203">
        <f t="shared" ref="AK34:AK36" si="81">SUM(AJ34*$Z$4)</f>
        <v>2490</v>
      </c>
      <c r="AL34" s="203">
        <f t="shared" ref="AL34:AL36" si="82">SUM(AJ34)</f>
        <v>249</v>
      </c>
      <c r="AM34" s="203">
        <f t="shared" ref="AM34:AM36" si="83">SUM(AL34*$Z$4)</f>
        <v>2490</v>
      </c>
      <c r="AN34" s="35">
        <f t="shared" ref="AN34:AN36" si="84">SUM(AO34/19600)</f>
        <v>0.88928571428571423</v>
      </c>
      <c r="AO34" s="36">
        <f t="shared" ref="AO34:AO36" si="85">SUM(AA34+AC34+AE34+AG34+AI34+AK34+AM34)</f>
        <v>17430</v>
      </c>
      <c r="AQ34" s="223">
        <f t="shared" ref="AQ34:AQ36" si="86">SUM(AR34/92970)</f>
        <v>0.80354883816146039</v>
      </c>
      <c r="AR34" s="38">
        <f t="shared" ref="AR34:AR36" si="87">Y34+AO34</f>
        <v>74705.93548387097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1.0129999999999999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44681</v>
      </c>
      <c r="B35">
        <f>'B5'!B34</f>
        <v>242</v>
      </c>
      <c r="C35" s="203">
        <f t="shared" si="48"/>
        <v>5206.9032258064517</v>
      </c>
      <c r="D35">
        <f t="shared" si="49"/>
        <v>242</v>
      </c>
      <c r="E35" s="203">
        <f t="shared" si="50"/>
        <v>5206.9032258064517</v>
      </c>
      <c r="F35">
        <f t="shared" si="51"/>
        <v>242</v>
      </c>
      <c r="G35" s="203">
        <f t="shared" si="52"/>
        <v>5206.9032258064517</v>
      </c>
      <c r="H35" s="203">
        <f t="shared" si="53"/>
        <v>242</v>
      </c>
      <c r="I35" s="203">
        <f t="shared" si="54"/>
        <v>5206.9032258064517</v>
      </c>
      <c r="J35" s="203">
        <f t="shared" si="55"/>
        <v>242</v>
      </c>
      <c r="K35" s="203">
        <f t="shared" si="56"/>
        <v>5206.9032258064517</v>
      </c>
      <c r="L35" s="203">
        <f t="shared" si="57"/>
        <v>242</v>
      </c>
      <c r="M35" s="203">
        <f t="shared" si="58"/>
        <v>5206.9032258064517</v>
      </c>
      <c r="N35" s="203">
        <f t="shared" si="59"/>
        <v>242</v>
      </c>
      <c r="O35" s="203">
        <f t="shared" si="60"/>
        <v>5206.9032258064517</v>
      </c>
      <c r="P35" s="203">
        <f t="shared" si="61"/>
        <v>242</v>
      </c>
      <c r="Q35" s="203">
        <f t="shared" si="62"/>
        <v>5206.9032258064517</v>
      </c>
      <c r="R35" s="203">
        <f t="shared" si="63"/>
        <v>242</v>
      </c>
      <c r="S35" s="203">
        <f t="shared" si="64"/>
        <v>5206.9032258064517</v>
      </c>
      <c r="T35" s="203">
        <f t="shared" si="65"/>
        <v>242</v>
      </c>
      <c r="U35" s="203">
        <f t="shared" si="66"/>
        <v>5206.9032258064517</v>
      </c>
      <c r="V35" s="203">
        <f t="shared" si="67"/>
        <v>242</v>
      </c>
      <c r="W35" s="203">
        <f t="shared" si="68"/>
        <v>5206.9032258064517</v>
      </c>
      <c r="X35" s="35">
        <f t="shared" si="69"/>
        <v>0.78064516129032269</v>
      </c>
      <c r="Y35" s="36">
        <f t="shared" si="70"/>
        <v>57275.935483870977</v>
      </c>
      <c r="Z35" s="203">
        <f>'B5'!C34</f>
        <v>249</v>
      </c>
      <c r="AA35" s="203">
        <f t="shared" si="71"/>
        <v>2490</v>
      </c>
      <c r="AB35" s="203">
        <f t="shared" si="72"/>
        <v>249</v>
      </c>
      <c r="AC35" s="203">
        <f t="shared" si="73"/>
        <v>2490</v>
      </c>
      <c r="AD35" s="203">
        <f t="shared" si="74"/>
        <v>249</v>
      </c>
      <c r="AE35" s="203">
        <f t="shared" si="75"/>
        <v>2490</v>
      </c>
      <c r="AF35" s="203">
        <f t="shared" si="76"/>
        <v>249</v>
      </c>
      <c r="AG35" s="203">
        <f t="shared" si="77"/>
        <v>2490</v>
      </c>
      <c r="AH35" s="203">
        <f t="shared" si="78"/>
        <v>249</v>
      </c>
      <c r="AI35" s="203">
        <f t="shared" si="79"/>
        <v>2490</v>
      </c>
      <c r="AJ35" s="203">
        <f t="shared" si="80"/>
        <v>249</v>
      </c>
      <c r="AK35" s="203">
        <f t="shared" si="81"/>
        <v>2490</v>
      </c>
      <c r="AL35" s="203">
        <f t="shared" si="82"/>
        <v>249</v>
      </c>
      <c r="AM35" s="203">
        <f t="shared" si="83"/>
        <v>2490</v>
      </c>
      <c r="AN35" s="35">
        <f t="shared" si="84"/>
        <v>0.88928571428571423</v>
      </c>
      <c r="AO35" s="36">
        <f t="shared" si="85"/>
        <v>17430</v>
      </c>
      <c r="AQ35" s="223">
        <f t="shared" si="86"/>
        <v>0.80354883816146039</v>
      </c>
      <c r="AR35" s="38">
        <f t="shared" si="87"/>
        <v>74705.93548387097</v>
      </c>
      <c r="AS35" s="197">
        <f t="shared" si="88"/>
        <v>0</v>
      </c>
      <c r="AT35" s="340"/>
      <c r="AU35" s="548"/>
      <c r="AV35" s="485">
        <f t="shared" si="89"/>
        <v>1.0129999999999999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44682</v>
      </c>
      <c r="B36">
        <f>'B5'!B35</f>
        <v>242</v>
      </c>
      <c r="C36" s="203">
        <f t="shared" si="48"/>
        <v>5206.9032258064517</v>
      </c>
      <c r="D36">
        <f t="shared" si="49"/>
        <v>242</v>
      </c>
      <c r="E36" s="203">
        <f t="shared" si="50"/>
        <v>5206.9032258064517</v>
      </c>
      <c r="F36">
        <f t="shared" si="51"/>
        <v>242</v>
      </c>
      <c r="G36" s="203">
        <f t="shared" si="52"/>
        <v>5206.9032258064517</v>
      </c>
      <c r="H36" s="203">
        <f t="shared" si="53"/>
        <v>242</v>
      </c>
      <c r="I36" s="203">
        <f t="shared" si="54"/>
        <v>5206.9032258064517</v>
      </c>
      <c r="J36" s="203">
        <f t="shared" si="55"/>
        <v>242</v>
      </c>
      <c r="K36" s="203">
        <f t="shared" si="56"/>
        <v>5206.9032258064517</v>
      </c>
      <c r="L36" s="203">
        <f t="shared" si="57"/>
        <v>242</v>
      </c>
      <c r="M36" s="203">
        <f t="shared" si="58"/>
        <v>5206.9032258064517</v>
      </c>
      <c r="N36" s="203">
        <f t="shared" si="59"/>
        <v>242</v>
      </c>
      <c r="O36" s="203">
        <f t="shared" si="60"/>
        <v>5206.9032258064517</v>
      </c>
      <c r="P36" s="203">
        <f t="shared" si="61"/>
        <v>242</v>
      </c>
      <c r="Q36" s="203">
        <f t="shared" si="62"/>
        <v>5206.9032258064517</v>
      </c>
      <c r="R36" s="203">
        <f t="shared" si="63"/>
        <v>242</v>
      </c>
      <c r="S36" s="203">
        <f t="shared" si="64"/>
        <v>5206.9032258064517</v>
      </c>
      <c r="T36" s="203">
        <f t="shared" si="65"/>
        <v>242</v>
      </c>
      <c r="U36" s="203">
        <f t="shared" si="66"/>
        <v>5206.9032258064517</v>
      </c>
      <c r="V36" s="203">
        <f t="shared" si="67"/>
        <v>242</v>
      </c>
      <c r="W36" s="203">
        <f t="shared" si="68"/>
        <v>5206.9032258064517</v>
      </c>
      <c r="X36" s="35">
        <f t="shared" si="69"/>
        <v>0.78064516129032269</v>
      </c>
      <c r="Y36" s="36">
        <f t="shared" si="70"/>
        <v>57275.935483870977</v>
      </c>
      <c r="Z36" s="203">
        <f>'B5'!C35</f>
        <v>249</v>
      </c>
      <c r="AA36" s="203">
        <f t="shared" si="71"/>
        <v>2490</v>
      </c>
      <c r="AB36" s="203">
        <f t="shared" si="72"/>
        <v>249</v>
      </c>
      <c r="AC36" s="203">
        <f t="shared" si="73"/>
        <v>2490</v>
      </c>
      <c r="AD36" s="203">
        <f t="shared" si="74"/>
        <v>249</v>
      </c>
      <c r="AE36" s="203">
        <f t="shared" si="75"/>
        <v>2490</v>
      </c>
      <c r="AF36" s="203">
        <f t="shared" si="76"/>
        <v>249</v>
      </c>
      <c r="AG36" s="203">
        <f t="shared" si="77"/>
        <v>2490</v>
      </c>
      <c r="AH36" s="203">
        <f t="shared" si="78"/>
        <v>249</v>
      </c>
      <c r="AI36" s="203">
        <f t="shared" si="79"/>
        <v>2490</v>
      </c>
      <c r="AJ36" s="203">
        <f t="shared" si="80"/>
        <v>249</v>
      </c>
      <c r="AK36" s="203">
        <f t="shared" si="81"/>
        <v>2490</v>
      </c>
      <c r="AL36" s="203">
        <f t="shared" si="82"/>
        <v>249</v>
      </c>
      <c r="AM36" s="203">
        <f t="shared" si="83"/>
        <v>2490</v>
      </c>
      <c r="AN36" s="35">
        <f t="shared" si="84"/>
        <v>0.88928571428571423</v>
      </c>
      <c r="AO36" s="36">
        <f t="shared" si="85"/>
        <v>17430</v>
      </c>
      <c r="AQ36" s="223">
        <f t="shared" si="86"/>
        <v>0.80354883816146039</v>
      </c>
      <c r="AR36" s="38">
        <f t="shared" si="87"/>
        <v>74705.93548387097</v>
      </c>
      <c r="AS36" s="197">
        <f t="shared" si="88"/>
        <v>0</v>
      </c>
      <c r="AT36" s="340"/>
      <c r="AU36" s="548"/>
      <c r="AV36" s="485">
        <f t="shared" si="89"/>
        <v>1.0129999999999999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3</v>
      </c>
      <c r="AT37" s="203">
        <f>SUM(AT6:AT36)</f>
        <v>15182</v>
      </c>
      <c r="AU37" s="544">
        <f>SUM(AU6:AU36)/AS37</f>
        <v>1.0103333333333333</v>
      </c>
      <c r="AX37" s="203">
        <f>SUM(AX6:AX36)</f>
        <v>-13142.354838709696</v>
      </c>
      <c r="AY37" s="203">
        <f>SUM(AY6:AY36)</f>
        <v>-15795.354838709696</v>
      </c>
    </row>
    <row r="38" spans="1:63">
      <c r="AS38" s="206"/>
      <c r="AT38" s="82">
        <f>+AT37*AU37</f>
        <v>15338.880666666666</v>
      </c>
    </row>
    <row r="40" spans="1:63">
      <c r="AS40" s="165">
        <f>SUM(AS6:AS36)/'EDl log'!A35</f>
        <v>-3159.0709677419391</v>
      </c>
      <c r="AT40" s="203"/>
    </row>
    <row r="41" spans="1:63">
      <c r="AX41">
        <v>43309</v>
      </c>
    </row>
    <row r="42" spans="1:63">
      <c r="AR42" s="203">
        <f>AR36-22000</f>
        <v>52705.93548387097</v>
      </c>
      <c r="AU42" s="203"/>
      <c r="AX42">
        <f>AX37/AX41</f>
        <v>-0.30345551360478645</v>
      </c>
    </row>
    <row r="43" spans="1:63">
      <c r="AR43">
        <f>AR42/5500</f>
        <v>9.5828973607038126</v>
      </c>
    </row>
    <row r="44" spans="1:63">
      <c r="AR44">
        <f>AR43*2</f>
        <v>19.165794721407625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D15" sqref="D1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44651</v>
      </c>
      <c r="B3" s="254">
        <f>'[2]EDl log'!B34</f>
        <v>1116233</v>
      </c>
      <c r="C3" s="254">
        <f>'[2]EDl log'!C34</f>
        <v>696</v>
      </c>
      <c r="D3" s="254">
        <f>'[2]EDl log'!D34</f>
        <v>695</v>
      </c>
      <c r="E3" s="254">
        <f>'[2]EDl log'!E34</f>
        <v>1116232</v>
      </c>
      <c r="F3" s="254">
        <f>'[2]EDl log'!F34</f>
        <v>161410</v>
      </c>
      <c r="G3" s="254">
        <f>'[2]EDl log'!G34</f>
        <v>116</v>
      </c>
      <c r="H3" s="254">
        <f>'[2]EDl log'!H34</f>
        <v>553475</v>
      </c>
      <c r="I3" s="254">
        <f>'[2]EDl log'!I34</f>
        <v>465</v>
      </c>
      <c r="J3" s="254">
        <f>'[2]EDl log'!J34</f>
        <v>401347</v>
      </c>
      <c r="K3" s="254">
        <f>'[2]EDl log'!K34</f>
        <v>114</v>
      </c>
      <c r="L3" s="254">
        <f>'[2]EDl log'!L34</f>
        <v>24.623548922056386</v>
      </c>
      <c r="M3" s="254">
        <f>'[2]EDl log'!M34</f>
        <v>34.547263681592042</v>
      </c>
      <c r="N3" s="254">
        <f>'[2]EDl log'!N34</f>
        <v>6.0497512437810945</v>
      </c>
      <c r="O3" s="254">
        <f>'[2]EDl log'!O34</f>
        <v>154.80303857058792</v>
      </c>
      <c r="P3" s="254">
        <f>'[2]EDl log'!P34</f>
        <v>220.02360241801745</v>
      </c>
      <c r="Q3" s="254">
        <f>'[2]EDl log'!Q34</f>
        <v>1207.8019254838662</v>
      </c>
      <c r="R3" s="254">
        <f>'[2]EDl log'!R34</f>
        <v>1427.8255279018836</v>
      </c>
      <c r="S3" s="254">
        <f>'[2]EDl log'!S34</f>
        <v>6322</v>
      </c>
      <c r="T3" s="254">
        <f>'[2]EDl log'!T34</f>
        <v>0.22585028913348365</v>
      </c>
      <c r="Z3" t="s">
        <v>213</v>
      </c>
      <c r="AA3">
        <v>0.1</v>
      </c>
    </row>
    <row r="4" spans="1:32" ht="20.100000000000001" customHeight="1">
      <c r="A4" s="163">
        <f>ELEC!C4</f>
        <v>44652</v>
      </c>
      <c r="B4" s="536">
        <f>B3</f>
        <v>1116233</v>
      </c>
      <c r="C4" s="254">
        <f t="shared" ref="C4:C30" si="0">SUM(B4-B3)</f>
        <v>0</v>
      </c>
      <c r="D4" s="295">
        <f>SUM(G4+I4+K4)</f>
        <v>0</v>
      </c>
      <c r="E4" s="295">
        <f>B3+D4</f>
        <v>1116233</v>
      </c>
      <c r="F4" s="539">
        <f>F3</f>
        <v>161410</v>
      </c>
      <c r="G4" s="160">
        <f t="shared" ref="G4:G30" si="1">F4-F3</f>
        <v>0</v>
      </c>
      <c r="H4" s="539">
        <f>H3</f>
        <v>553475</v>
      </c>
      <c r="I4" s="161">
        <f t="shared" ref="I4:I30" si="2">H4-H3</f>
        <v>0</v>
      </c>
      <c r="J4" s="586">
        <f>J3</f>
        <v>401347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159.96313985627418</v>
      </c>
      <c r="P4" s="285">
        <f>SUM(L4:O4)</f>
        <v>159.96313985627418</v>
      </c>
      <c r="Q4" s="285">
        <f>SUM(-tanks!AX6*tanks!$AU$37)</f>
        <v>0</v>
      </c>
      <c r="R4" s="285">
        <f>SUM(P4:Q4)</f>
        <v>159.96313985627418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v>44642</v>
      </c>
      <c r="X4" s="168"/>
      <c r="Y4" s="168"/>
      <c r="Z4" s="169" t="s">
        <v>201</v>
      </c>
      <c r="AA4" s="168"/>
      <c r="AB4" s="664"/>
      <c r="AC4" s="665"/>
    </row>
    <row r="5" spans="1:32" ht="20.100000000000001" customHeight="1">
      <c r="A5" s="163">
        <f>ELEC!C5</f>
        <v>44653</v>
      </c>
      <c r="B5" s="623">
        <f t="shared" ref="B5:B34" si="7">B4</f>
        <v>1116233</v>
      </c>
      <c r="C5" s="254">
        <f t="shared" si="0"/>
        <v>0</v>
      </c>
      <c r="D5" s="295">
        <f>SUM(G5+I5+K5)</f>
        <v>0</v>
      </c>
      <c r="E5" s="295">
        <f>B4+D5</f>
        <v>1116233</v>
      </c>
      <c r="F5" s="623">
        <f t="shared" ref="F5:F34" si="8">F4</f>
        <v>161410</v>
      </c>
      <c r="G5" s="160">
        <f t="shared" si="1"/>
        <v>0</v>
      </c>
      <c r="H5" s="623">
        <f t="shared" ref="H5:H34" si="9">H4</f>
        <v>553475</v>
      </c>
      <c r="I5" s="161">
        <f t="shared" si="2"/>
        <v>0</v>
      </c>
      <c r="J5" s="623">
        <f t="shared" ref="J5:J34" si="10">J4</f>
        <v>401347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159.96313985627418</v>
      </c>
      <c r="P5" s="285">
        <f t="shared" ref="P5:P30" si="12">SUM(L5:O5)</f>
        <v>159.96313985627418</v>
      </c>
      <c r="Q5" s="285">
        <f>SUM(-tanks!AX7*tanks!$AU$37)</f>
        <v>0</v>
      </c>
      <c r="R5" s="285">
        <f t="shared" ref="R5:R30" si="13">SUM(P5:Q5)</f>
        <v>159.96313985627418</v>
      </c>
      <c r="S5" s="287">
        <f>SUM(ELEC!N5)</f>
        <v>0</v>
      </c>
      <c r="T5" s="321">
        <f>IF(S5&gt;0,R5/S5,0)</f>
        <v>0</v>
      </c>
      <c r="U5" s="245"/>
      <c r="V5" s="658"/>
      <c r="W5" s="659"/>
      <c r="X5" s="659"/>
      <c r="Y5" s="660"/>
      <c r="Z5" s="26" t="s">
        <v>202</v>
      </c>
      <c r="AA5" s="26">
        <v>5000</v>
      </c>
      <c r="AB5" s="666"/>
      <c r="AC5" s="667"/>
    </row>
    <row r="6" spans="1:32" ht="20.100000000000001" customHeight="1">
      <c r="A6" s="163">
        <f>ELEC!C6</f>
        <v>44654</v>
      </c>
      <c r="B6" s="623">
        <f t="shared" si="7"/>
        <v>1116233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1116233</v>
      </c>
      <c r="F6" s="623">
        <f t="shared" si="8"/>
        <v>161410</v>
      </c>
      <c r="G6" s="160">
        <f t="shared" si="1"/>
        <v>0</v>
      </c>
      <c r="H6" s="623">
        <f t="shared" si="9"/>
        <v>553475</v>
      </c>
      <c r="I6" s="161">
        <f t="shared" si="2"/>
        <v>0</v>
      </c>
      <c r="J6" s="623">
        <f t="shared" si="10"/>
        <v>401347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159.96313985627418</v>
      </c>
      <c r="P6" s="285">
        <f t="shared" si="12"/>
        <v>159.96313985627418</v>
      </c>
      <c r="Q6" s="285">
        <f>SUM(-tanks!AX8*tanks!$AU$37)</f>
        <v>2128.1856881720746</v>
      </c>
      <c r="R6" s="285">
        <f t="shared" si="13"/>
        <v>2288.1488280283488</v>
      </c>
      <c r="S6" s="287">
        <f>SUM(ELEC!N6)</f>
        <v>6534</v>
      </c>
      <c r="T6" s="321">
        <f t="shared" ref="T6:T30" si="16">IF(S6&gt;0,R6/S6,0)</f>
        <v>0.35019112764437538</v>
      </c>
      <c r="V6" s="661"/>
      <c r="W6" s="662"/>
      <c r="X6" s="662"/>
      <c r="Y6" s="663"/>
      <c r="Z6" s="670"/>
      <c r="AA6" s="671"/>
      <c r="AB6" s="666"/>
      <c r="AC6" s="667"/>
    </row>
    <row r="7" spans="1:32" ht="20.100000000000001" customHeight="1">
      <c r="A7" s="163">
        <f>ELEC!C7</f>
        <v>44655</v>
      </c>
      <c r="B7" s="623">
        <v>1116751</v>
      </c>
      <c r="C7" s="254">
        <f t="shared" si="0"/>
        <v>518</v>
      </c>
      <c r="D7" s="295">
        <f t="shared" si="14"/>
        <v>518</v>
      </c>
      <c r="E7" s="295">
        <f t="shared" si="15"/>
        <v>1116751</v>
      </c>
      <c r="F7" s="623">
        <f t="shared" si="8"/>
        <v>161410</v>
      </c>
      <c r="G7" s="160">
        <f t="shared" si="1"/>
        <v>0</v>
      </c>
      <c r="H7" s="623">
        <v>553993</v>
      </c>
      <c r="I7" s="161">
        <f t="shared" si="2"/>
        <v>518</v>
      </c>
      <c r="J7" s="623">
        <f t="shared" si="10"/>
        <v>401347</v>
      </c>
      <c r="K7" s="162">
        <f t="shared" si="11"/>
        <v>0</v>
      </c>
      <c r="L7" s="284">
        <f t="shared" si="3"/>
        <v>0</v>
      </c>
      <c r="M7" s="284">
        <f t="shared" si="4"/>
        <v>38.484908789386402</v>
      </c>
      <c r="N7" s="284">
        <f t="shared" si="5"/>
        <v>0</v>
      </c>
      <c r="O7" s="284">
        <f t="shared" si="6"/>
        <v>159.96313985627418</v>
      </c>
      <c r="P7" s="285">
        <f t="shared" si="12"/>
        <v>198.44804864566058</v>
      </c>
      <c r="Q7" s="285">
        <f>SUM(-tanks!AX9*tanks!$AU$37)</f>
        <v>1773.8846021505158</v>
      </c>
      <c r="R7" s="285">
        <f t="shared" si="13"/>
        <v>1972.3326507961763</v>
      </c>
      <c r="S7" s="287">
        <f>SUM(ELEC!N7)</f>
        <v>4892</v>
      </c>
      <c r="T7" s="321">
        <f t="shared" si="16"/>
        <v>0.40317511259120531</v>
      </c>
      <c r="V7" s="653" t="s">
        <v>203</v>
      </c>
      <c r="W7" s="654"/>
      <c r="X7" s="655" t="s">
        <v>204</v>
      </c>
      <c r="Y7" s="656"/>
      <c r="Z7" s="657"/>
      <c r="AA7" s="170"/>
      <c r="AB7" s="668"/>
      <c r="AC7" s="669"/>
    </row>
    <row r="8" spans="1:32" ht="20.100000000000001" customHeight="1">
      <c r="A8" s="163">
        <f>ELEC!C8</f>
        <v>44656</v>
      </c>
      <c r="B8" s="623">
        <f t="shared" si="7"/>
        <v>1116751</v>
      </c>
      <c r="C8" s="254">
        <f t="shared" si="0"/>
        <v>0</v>
      </c>
      <c r="D8" s="295">
        <f t="shared" si="14"/>
        <v>0</v>
      </c>
      <c r="E8" s="295">
        <f t="shared" si="15"/>
        <v>1116751</v>
      </c>
      <c r="F8" s="623">
        <f t="shared" si="8"/>
        <v>161410</v>
      </c>
      <c r="G8" s="160">
        <f t="shared" si="1"/>
        <v>0</v>
      </c>
      <c r="H8" s="623">
        <f t="shared" si="9"/>
        <v>553993</v>
      </c>
      <c r="I8" s="161">
        <f t="shared" si="2"/>
        <v>0</v>
      </c>
      <c r="J8" s="623">
        <f t="shared" si="10"/>
        <v>401347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159.96313985627418</v>
      </c>
      <c r="P8" s="285">
        <f t="shared" si="12"/>
        <v>159.96313985627418</v>
      </c>
      <c r="Q8" s="285">
        <f>SUM(-tanks!AX10*tanks!$AU$37)</f>
        <v>1661.0531827957118</v>
      </c>
      <c r="R8" s="285">
        <f t="shared" si="13"/>
        <v>1821.016322651986</v>
      </c>
      <c r="S8" s="287">
        <f>SUM(ELEC!N8)</f>
        <v>5576</v>
      </c>
      <c r="T8" s="321">
        <f>IF(S8&gt;0,R8/S8,0)</f>
        <v>0.32658111955738628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44657</v>
      </c>
      <c r="B9" s="623">
        <v>1117038</v>
      </c>
      <c r="C9" s="254">
        <f t="shared" si="0"/>
        <v>287</v>
      </c>
      <c r="D9" s="295">
        <f t="shared" si="14"/>
        <v>288</v>
      </c>
      <c r="E9" s="295">
        <f t="shared" si="15"/>
        <v>1117039</v>
      </c>
      <c r="F9" s="623">
        <f t="shared" si="8"/>
        <v>161410</v>
      </c>
      <c r="G9" s="160">
        <f t="shared" si="1"/>
        <v>0</v>
      </c>
      <c r="H9" s="623">
        <v>554191</v>
      </c>
      <c r="I9" s="161">
        <f t="shared" si="2"/>
        <v>198</v>
      </c>
      <c r="J9" s="623">
        <v>401437</v>
      </c>
      <c r="K9" s="162">
        <f>J9-J8</f>
        <v>90</v>
      </c>
      <c r="L9" s="284">
        <f t="shared" si="3"/>
        <v>0</v>
      </c>
      <c r="M9" s="284">
        <f t="shared" si="4"/>
        <v>14.710447761194029</v>
      </c>
      <c r="N9" s="284">
        <f t="shared" si="5"/>
        <v>4.7761194029850742</v>
      </c>
      <c r="O9" s="284">
        <f t="shared" si="6"/>
        <v>159.96313985627418</v>
      </c>
      <c r="P9" s="285">
        <f t="shared" si="12"/>
        <v>179.44970702045327</v>
      </c>
      <c r="Q9" s="285">
        <f>SUM(-tanks!AX11*tanks!$AU$37)</f>
        <v>1763.0968494623637</v>
      </c>
      <c r="R9" s="285">
        <f>SUM(P9:Q9)</f>
        <v>1942.5465564828169</v>
      </c>
      <c r="S9" s="287">
        <f>SUM(ELEC!N9)</f>
        <v>4455</v>
      </c>
      <c r="T9" s="321">
        <f t="shared" si="16"/>
        <v>0.43603738641589607</v>
      </c>
      <c r="V9" s="246">
        <f>'[2]EDl log'!V26</f>
        <v>400976</v>
      </c>
      <c r="W9" s="246">
        <f>'[2]EDl log'!W26</f>
        <v>401347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371</v>
      </c>
      <c r="AB9" s="624">
        <f>'[2]EDl log'!AB26</f>
        <v>29680</v>
      </c>
      <c r="AC9" s="624">
        <f>'[2]EDl log'!AC26</f>
        <v>1033333</v>
      </c>
      <c r="AD9" s="608">
        <f>'[2]EDl log'!AD26</f>
        <v>8.7873045949786843E-2</v>
      </c>
      <c r="AE9" s="624">
        <f>'[2]EDl log'!AE26</f>
        <v>0</v>
      </c>
      <c r="AF9" s="624">
        <f>'[2]EDl log'!AF26</f>
        <v>0</v>
      </c>
    </row>
    <row r="10" spans="1:32" ht="20.100000000000001" customHeight="1">
      <c r="A10" s="163">
        <f>ELEC!C10</f>
        <v>44658</v>
      </c>
      <c r="B10" s="623">
        <f t="shared" si="7"/>
        <v>1117038</v>
      </c>
      <c r="C10" s="254">
        <f t="shared" si="0"/>
        <v>0</v>
      </c>
      <c r="D10" s="295">
        <f t="shared" si="14"/>
        <v>0</v>
      </c>
      <c r="E10" s="295">
        <f t="shared" si="15"/>
        <v>1117038</v>
      </c>
      <c r="F10" s="623">
        <f t="shared" si="8"/>
        <v>161410</v>
      </c>
      <c r="G10" s="160">
        <f t="shared" si="1"/>
        <v>0</v>
      </c>
      <c r="H10" s="623">
        <f t="shared" si="9"/>
        <v>554191</v>
      </c>
      <c r="I10" s="161">
        <f t="shared" si="2"/>
        <v>0</v>
      </c>
      <c r="J10" s="623">
        <f t="shared" si="10"/>
        <v>401437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159.96313985627418</v>
      </c>
      <c r="P10" s="285">
        <f t="shared" si="12"/>
        <v>159.96313985627418</v>
      </c>
      <c r="Q10" s="285">
        <f>SUM(-tanks!AX12*tanks!$AU$37)</f>
        <v>877.16488172042443</v>
      </c>
      <c r="R10" s="285">
        <f t="shared" si="13"/>
        <v>1037.1280215766985</v>
      </c>
      <c r="S10" s="287">
        <f>SUM(ELEC!N10)</f>
        <v>4790</v>
      </c>
      <c r="T10" s="321">
        <f t="shared" si="16"/>
        <v>0.21651941995338173</v>
      </c>
      <c r="V10" s="246">
        <f>'[2]EDl log'!V27</f>
        <v>550000</v>
      </c>
      <c r="W10" s="246">
        <f>'[2]EDl log'!W27</f>
        <v>553475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3475</v>
      </c>
      <c r="AB10" s="624">
        <f>'[2]EDl log'!AB27</f>
        <v>389200</v>
      </c>
      <c r="AC10" s="624">
        <f>'[2]EDl log'!AC27</f>
        <v>6200000</v>
      </c>
      <c r="AD10" s="608">
        <f>'[2]EDl log'!AD27</f>
        <v>0.82306963524396026</v>
      </c>
      <c r="AE10" s="624">
        <f>'[2]EDl log'!AE27</f>
        <v>0</v>
      </c>
      <c r="AF10" s="624">
        <f>'[2]EDl log'!AF27</f>
        <v>0</v>
      </c>
    </row>
    <row r="11" spans="1:32" ht="20.100000000000001" customHeight="1">
      <c r="A11" s="163">
        <f>ELEC!C11</f>
        <v>44659</v>
      </c>
      <c r="B11" s="623">
        <f t="shared" si="7"/>
        <v>1117038</v>
      </c>
      <c r="C11" s="254">
        <f t="shared" si="0"/>
        <v>0</v>
      </c>
      <c r="D11" s="295">
        <f t="shared" si="14"/>
        <v>0</v>
      </c>
      <c r="E11" s="295">
        <f t="shared" si="15"/>
        <v>1117038</v>
      </c>
      <c r="F11" s="623">
        <f t="shared" si="8"/>
        <v>161410</v>
      </c>
      <c r="G11" s="160">
        <f t="shared" si="1"/>
        <v>0</v>
      </c>
      <c r="H11" s="623">
        <f t="shared" si="9"/>
        <v>554191</v>
      </c>
      <c r="I11" s="161">
        <f t="shared" si="2"/>
        <v>0</v>
      </c>
      <c r="J11" s="623">
        <f t="shared" si="10"/>
        <v>401437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159.96313985627418</v>
      </c>
      <c r="P11" s="285">
        <f t="shared" si="12"/>
        <v>159.96313985627418</v>
      </c>
      <c r="Q11" s="285">
        <f>SUM(-tanks!AX13*tanks!$AU$37)</f>
        <v>0</v>
      </c>
      <c r="R11" s="285">
        <f t="shared" si="13"/>
        <v>159.96313985627418</v>
      </c>
      <c r="S11" s="287">
        <f>SUM(ELEC!N11)</f>
        <v>0</v>
      </c>
      <c r="T11" s="321">
        <f t="shared" si="16"/>
        <v>0</v>
      </c>
      <c r="V11" s="246">
        <f>'[2]EDl log'!V28</f>
        <v>161035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375</v>
      </c>
      <c r="AB11" s="624">
        <f>'[2]EDl log'!AB28</f>
        <v>120000</v>
      </c>
      <c r="AC11" s="624">
        <f>'[2]EDl log'!AC28</f>
        <v>1000</v>
      </c>
      <c r="AD11" s="608">
        <f>'[2]EDl log'!AD28</f>
        <v>8.8820464234959734E-2</v>
      </c>
      <c r="AE11" s="624">
        <f>'[2]EDl log'!AE28</f>
        <v>6000</v>
      </c>
      <c r="AF11" s="624">
        <f>'[2]EDl log'!AF28</f>
        <v>26571.428571428569</v>
      </c>
    </row>
    <row r="12" spans="1:32" ht="20.100000000000001" customHeight="1">
      <c r="A12" s="163">
        <f>ELEC!C12</f>
        <v>44660</v>
      </c>
      <c r="B12" s="623">
        <f t="shared" si="7"/>
        <v>1117038</v>
      </c>
      <c r="C12" s="254">
        <f t="shared" si="0"/>
        <v>0</v>
      </c>
      <c r="D12" s="295">
        <f t="shared" si="14"/>
        <v>0</v>
      </c>
      <c r="E12" s="295">
        <f t="shared" si="15"/>
        <v>1117038</v>
      </c>
      <c r="F12" s="623">
        <f t="shared" si="8"/>
        <v>161410</v>
      </c>
      <c r="G12" s="160">
        <f t="shared" si="1"/>
        <v>0</v>
      </c>
      <c r="H12" s="623">
        <f t="shared" si="9"/>
        <v>554191</v>
      </c>
      <c r="I12" s="161">
        <f t="shared" si="2"/>
        <v>0</v>
      </c>
      <c r="J12" s="623">
        <f t="shared" si="10"/>
        <v>401437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246">
        <f>'[2]EDl log'!AA29</f>
        <v>4221</v>
      </c>
      <c r="AB12" s="624">
        <f>'[2]EDl log'!AB29</f>
        <v>538880</v>
      </c>
      <c r="AC12" s="624">
        <f>'[2]EDl log'!AC29</f>
        <v>7234333</v>
      </c>
    </row>
    <row r="13" spans="1:32" ht="20.100000000000001" customHeight="1">
      <c r="A13" s="163">
        <f>ELEC!C13</f>
        <v>44661</v>
      </c>
      <c r="B13" s="623">
        <v>1117309</v>
      </c>
      <c r="C13" s="254">
        <f t="shared" si="0"/>
        <v>271</v>
      </c>
      <c r="D13" s="295">
        <f t="shared" si="14"/>
        <v>271</v>
      </c>
      <c r="E13" s="295">
        <f t="shared" si="15"/>
        <v>1117309</v>
      </c>
      <c r="F13" s="623">
        <f t="shared" si="8"/>
        <v>161410</v>
      </c>
      <c r="G13" s="160">
        <f t="shared" si="1"/>
        <v>0</v>
      </c>
      <c r="H13" s="623">
        <v>554462</v>
      </c>
      <c r="I13" s="161">
        <f t="shared" si="2"/>
        <v>271</v>
      </c>
      <c r="J13" s="623">
        <f t="shared" si="10"/>
        <v>401437</v>
      </c>
      <c r="K13" s="162">
        <f t="shared" si="11"/>
        <v>0</v>
      </c>
      <c r="L13" s="284">
        <f t="shared" si="3"/>
        <v>0</v>
      </c>
      <c r="M13" s="284">
        <f t="shared" si="4"/>
        <v>20.133996683250416</v>
      </c>
      <c r="N13" s="284">
        <f t="shared" si="5"/>
        <v>0</v>
      </c>
      <c r="O13" s="284">
        <f t="shared" si="6"/>
        <v>159.96313985627418</v>
      </c>
      <c r="P13" s="285">
        <f t="shared" si="12"/>
        <v>180.0971365395246</v>
      </c>
      <c r="Q13" s="285">
        <f>SUM(-tanks!AX15*tanks!$AU$37)</f>
        <v>776.13154838709102</v>
      </c>
      <c r="R13" s="285">
        <f t="shared" si="13"/>
        <v>956.22868492661564</v>
      </c>
      <c r="S13" s="287">
        <f>SUM(ELEC!N13)</f>
        <v>5071</v>
      </c>
      <c r="T13" s="321">
        <f>IF(S13&gt;0,R13/S13,0)</f>
        <v>0.18856807038584414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>
        <f>'[2]EDl log'!AA30</f>
        <v>0</v>
      </c>
      <c r="AB13" s="624">
        <f>'[2]EDl log'!AB30</f>
        <v>7773213</v>
      </c>
      <c r="AC13" s="624">
        <f>'[2]EDl log'!AC30</f>
        <v>0</v>
      </c>
    </row>
    <row r="14" spans="1:32" ht="20.100000000000001" customHeight="1">
      <c r="A14" s="163">
        <f>ELEC!C14</f>
        <v>44662</v>
      </c>
      <c r="B14" s="623">
        <v>1117466</v>
      </c>
      <c r="C14" s="254">
        <f t="shared" si="0"/>
        <v>157</v>
      </c>
      <c r="D14" s="295">
        <f t="shared" si="14"/>
        <v>158</v>
      </c>
      <c r="E14" s="295">
        <f t="shared" si="15"/>
        <v>1117467</v>
      </c>
      <c r="F14" s="623">
        <f t="shared" si="8"/>
        <v>161410</v>
      </c>
      <c r="G14" s="160">
        <f t="shared" si="1"/>
        <v>0</v>
      </c>
      <c r="H14" s="623">
        <v>554620</v>
      </c>
      <c r="I14" s="161">
        <f t="shared" si="2"/>
        <v>158</v>
      </c>
      <c r="J14" s="623">
        <f t="shared" si="10"/>
        <v>401437</v>
      </c>
      <c r="K14" s="162">
        <f>J14-J13</f>
        <v>0</v>
      </c>
      <c r="L14" s="284">
        <f>SUM(G14*$Y$28)/1507.5</f>
        <v>0</v>
      </c>
      <c r="M14" s="284">
        <f>SUM(I14*$Y$27)/1507.5</f>
        <v>11.738640132669984</v>
      </c>
      <c r="N14" s="284">
        <f>SUM(K14*$Y$26)/1507.5</f>
        <v>0</v>
      </c>
      <c r="O14" s="284">
        <f t="shared" si="6"/>
        <v>159.96313985627418</v>
      </c>
      <c r="P14" s="285">
        <f>SUM(L14:O14)</f>
        <v>171.70177998894417</v>
      </c>
      <c r="Q14" s="285">
        <f>SUM(-tanks!AX16*tanks!$AU$37)</f>
        <v>1398.3665161290596</v>
      </c>
      <c r="R14" s="285">
        <f>SUM(P14:Q14)</f>
        <v>1570.0682961180037</v>
      </c>
      <c r="S14" s="287">
        <f>SUM(ELEC!N14)</f>
        <v>6481</v>
      </c>
      <c r="T14" s="321">
        <f>IF(S14&gt;0,R14/S14,0)</f>
        <v>0.24225710478599038</v>
      </c>
      <c r="V14" s="216"/>
      <c r="W14" s="514"/>
      <c r="X14" s="217"/>
      <c r="Y14" s="218"/>
      <c r="Z14" s="3"/>
      <c r="AA14" s="246">
        <f>'[2]EDl log'!AA31</f>
        <v>0</v>
      </c>
      <c r="AB14" s="624">
        <f>'[2]EDl log'!AB31</f>
        <v>0</v>
      </c>
      <c r="AC14" s="624">
        <f>'[2]EDl log'!AC31</f>
        <v>0</v>
      </c>
    </row>
    <row r="15" spans="1:32" ht="20.100000000000001" customHeight="1">
      <c r="A15" s="163">
        <f>ELEC!C15</f>
        <v>44663</v>
      </c>
      <c r="B15" s="623">
        <v>1117553</v>
      </c>
      <c r="C15" s="254">
        <f t="shared" si="0"/>
        <v>87</v>
      </c>
      <c r="D15" s="295">
        <f t="shared" si="14"/>
        <v>86</v>
      </c>
      <c r="E15" s="295">
        <f t="shared" si="15"/>
        <v>1117552</v>
      </c>
      <c r="F15" s="623">
        <v>161410</v>
      </c>
      <c r="G15" s="160">
        <f t="shared" si="1"/>
        <v>0</v>
      </c>
      <c r="H15" s="625">
        <v>554706</v>
      </c>
      <c r="I15" s="161">
        <f t="shared" si="2"/>
        <v>86</v>
      </c>
      <c r="J15" s="623">
        <v>401437</v>
      </c>
      <c r="K15" s="162">
        <f>J15-J14</f>
        <v>0</v>
      </c>
      <c r="L15" s="284">
        <f>SUM(G15*$Y$28)/1507.5</f>
        <v>0</v>
      </c>
      <c r="M15" s="284">
        <f>SUM(I15*$Y$27)/1507.5</f>
        <v>6.3893864013266999</v>
      </c>
      <c r="N15" s="284">
        <f>SUM(K15*$Y$26)/1507.5</f>
        <v>0</v>
      </c>
      <c r="O15" s="284">
        <f t="shared" si="6"/>
        <v>159.96313985627418</v>
      </c>
      <c r="P15" s="285">
        <f>SUM(L15:O15)</f>
        <v>166.35252625760089</v>
      </c>
      <c r="Q15" s="285">
        <f>SUM(-tanks!AX17*tanks!$AU$37)</f>
        <v>1940.5896021505157</v>
      </c>
      <c r="R15" s="285">
        <f>SUM(P15:Q15)</f>
        <v>2106.9421284081168</v>
      </c>
      <c r="S15" s="287">
        <f>SUM(ELEC!N15)</f>
        <v>2164</v>
      </c>
      <c r="T15" s="321">
        <f>IF(S15&gt;0,R15/S15,0)</f>
        <v>0.97363314621447172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>
        <f>'[2]EDl log'!AA32</f>
        <v>0</v>
      </c>
      <c r="AB15" s="624">
        <f>'[2]EDl log'!AB32</f>
        <v>0</v>
      </c>
      <c r="AC15" s="624">
        <f>'[2]EDl log'!AC32</f>
        <v>0</v>
      </c>
    </row>
    <row r="16" spans="1:32" ht="20.100000000000001" customHeight="1">
      <c r="A16" s="163">
        <f>ELEC!C16</f>
        <v>44664</v>
      </c>
      <c r="B16" s="623">
        <f t="shared" si="7"/>
        <v>1117553</v>
      </c>
      <c r="C16" s="254">
        <f t="shared" si="0"/>
        <v>0</v>
      </c>
      <c r="D16" s="295">
        <f t="shared" si="14"/>
        <v>0</v>
      </c>
      <c r="E16" s="295">
        <f t="shared" si="15"/>
        <v>1117553</v>
      </c>
      <c r="F16" s="623">
        <f t="shared" si="8"/>
        <v>161410</v>
      </c>
      <c r="G16" s="160">
        <f t="shared" si="1"/>
        <v>0</v>
      </c>
      <c r="H16" s="623">
        <f t="shared" si="9"/>
        <v>554706</v>
      </c>
      <c r="I16" s="161">
        <f t="shared" si="2"/>
        <v>0</v>
      </c>
      <c r="J16" s="623">
        <f t="shared" si="10"/>
        <v>401437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159.96313985627418</v>
      </c>
      <c r="P16" s="285">
        <f>SUM(L16:O16)</f>
        <v>159.96313985627418</v>
      </c>
      <c r="Q16" s="285">
        <f>SUM(-tanks!AX18*tanks!$AU$37)</f>
        <v>959.68630107527258</v>
      </c>
      <c r="R16" s="285">
        <f>SUM(P16:Q16)</f>
        <v>1119.6494409315467</v>
      </c>
      <c r="S16" s="287">
        <f>SUM(ELEC!N16)</f>
        <v>5387</v>
      </c>
      <c r="T16" s="321">
        <f>IF(S16&gt;0,R16/S16,0)</f>
        <v>0.20784285148163109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24">
        <f>'[2]EDl log'!AB33</f>
        <v>855053.43</v>
      </c>
      <c r="AC16" s="624">
        <f>'[2]EDl log'!AC33</f>
        <v>7234333</v>
      </c>
    </row>
    <row r="17" spans="1:32" ht="20.100000000000001" customHeight="1">
      <c r="A17" s="163">
        <f>ELEC!C17</f>
        <v>44665</v>
      </c>
      <c r="B17" s="623">
        <f t="shared" si="7"/>
        <v>1117553</v>
      </c>
      <c r="C17" s="254">
        <f t="shared" si="0"/>
        <v>0</v>
      </c>
      <c r="D17" s="295">
        <f t="shared" si="14"/>
        <v>0</v>
      </c>
      <c r="E17" s="295">
        <f t="shared" si="15"/>
        <v>1117553</v>
      </c>
      <c r="F17" s="623">
        <f t="shared" si="8"/>
        <v>161410</v>
      </c>
      <c r="G17" s="160">
        <f>F17-F16</f>
        <v>0</v>
      </c>
      <c r="H17" s="623">
        <f t="shared" si="9"/>
        <v>554706</v>
      </c>
      <c r="I17" s="161">
        <f t="shared" si="2"/>
        <v>0</v>
      </c>
      <c r="J17" s="623">
        <f t="shared" si="10"/>
        <v>401437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159.96313985627418</v>
      </c>
      <c r="P17" s="285">
        <f>SUM(L17:O17)</f>
        <v>159.96313985627418</v>
      </c>
      <c r="Q17" s="285">
        <f>SUM(-tanks!AX19*tanks!$AU$37)</f>
        <v>0</v>
      </c>
      <c r="R17" s="285">
        <f>SUM(P17:Q17)</f>
        <v>159.96313985627418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246">
        <f>'[2]EDl log'!AA34</f>
        <v>0</v>
      </c>
      <c r="AB17" s="624">
        <f>'[2]EDl log'!AB34</f>
        <v>8628266.4299999997</v>
      </c>
      <c r="AC17" s="624">
        <f>'[2]EDl log'!AC34</f>
        <v>0</v>
      </c>
    </row>
    <row r="18" spans="1:32" ht="20.100000000000001" customHeight="1" thickBot="1">
      <c r="A18" s="163">
        <f>ELEC!C18</f>
        <v>44666</v>
      </c>
      <c r="B18" s="623">
        <f t="shared" si="7"/>
        <v>1117553</v>
      </c>
      <c r="C18" s="254">
        <f>SUM(B18-B17)</f>
        <v>0</v>
      </c>
      <c r="D18" s="295">
        <f>SUM(G18+I18+K18)</f>
        <v>0</v>
      </c>
      <c r="E18" s="295">
        <f t="shared" si="15"/>
        <v>1117553</v>
      </c>
      <c r="F18" s="623">
        <f t="shared" si="8"/>
        <v>161410</v>
      </c>
      <c r="G18" s="160">
        <f t="shared" si="1"/>
        <v>0</v>
      </c>
      <c r="H18" s="623">
        <f t="shared" si="9"/>
        <v>554706</v>
      </c>
      <c r="I18" s="161">
        <f t="shared" si="2"/>
        <v>0</v>
      </c>
      <c r="J18" s="623">
        <f t="shared" si="10"/>
        <v>401437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159.96313985627418</v>
      </c>
      <c r="P18" s="285">
        <f t="shared" si="12"/>
        <v>159.96313985627418</v>
      </c>
      <c r="Q18" s="285">
        <f>SUM(-tanks!AX20*tanks!$AU$37)</f>
        <v>0</v>
      </c>
      <c r="R18" s="285">
        <f t="shared" si="13"/>
        <v>159.96313985627418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24">
        <f>'[2]EDl log'!AB35</f>
        <v>0</v>
      </c>
      <c r="AC18" s="624">
        <f>'[2]EDl log'!AC35</f>
        <v>0</v>
      </c>
    </row>
    <row r="19" spans="1:32" ht="20.100000000000001" customHeight="1" thickBot="1">
      <c r="A19" s="163">
        <f>ELEC!C19</f>
        <v>44667</v>
      </c>
      <c r="B19" s="623">
        <f t="shared" si="7"/>
        <v>1117553</v>
      </c>
      <c r="C19" s="254">
        <f t="shared" si="0"/>
        <v>0</v>
      </c>
      <c r="D19" s="295">
        <f t="shared" si="14"/>
        <v>0</v>
      </c>
      <c r="E19" s="295">
        <f t="shared" si="15"/>
        <v>1117553</v>
      </c>
      <c r="F19" s="623">
        <f t="shared" si="8"/>
        <v>161410</v>
      </c>
      <c r="G19" s="160">
        <f t="shared" si="1"/>
        <v>0</v>
      </c>
      <c r="H19" s="623">
        <f t="shared" si="9"/>
        <v>554706</v>
      </c>
      <c r="I19" s="161">
        <f t="shared" si="2"/>
        <v>0</v>
      </c>
      <c r="J19" s="623">
        <f t="shared" si="10"/>
        <v>401437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24">
        <f>'[2]EDl log'!AB36</f>
        <v>5156.3601990049747</v>
      </c>
      <c r="AC19" s="624">
        <f>'[2]EDl log'!AC36</f>
        <v>0</v>
      </c>
    </row>
    <row r="20" spans="1:32" ht="20.100000000000001" customHeight="1" thickBot="1">
      <c r="A20" s="163">
        <f>ELEC!C20</f>
        <v>44668</v>
      </c>
      <c r="B20" s="623">
        <f t="shared" si="7"/>
        <v>1117553</v>
      </c>
      <c r="C20" s="254">
        <f t="shared" si="0"/>
        <v>0</v>
      </c>
      <c r="D20" s="295">
        <f t="shared" si="14"/>
        <v>0</v>
      </c>
      <c r="E20" s="295">
        <v>160188</v>
      </c>
      <c r="F20" s="623">
        <f t="shared" si="8"/>
        <v>161410</v>
      </c>
      <c r="G20" s="160">
        <f t="shared" si="1"/>
        <v>0</v>
      </c>
      <c r="H20" s="623">
        <f t="shared" si="9"/>
        <v>554706</v>
      </c>
      <c r="I20" s="161">
        <f t="shared" si="2"/>
        <v>0</v>
      </c>
      <c r="J20" s="623">
        <f t="shared" si="10"/>
        <v>401437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44669</v>
      </c>
      <c r="B21" s="623">
        <f t="shared" si="7"/>
        <v>1117553</v>
      </c>
      <c r="C21" s="254">
        <f t="shared" si="0"/>
        <v>0</v>
      </c>
      <c r="D21" s="295">
        <f t="shared" si="14"/>
        <v>0</v>
      </c>
      <c r="E21" s="295">
        <f t="shared" si="15"/>
        <v>1117553</v>
      </c>
      <c r="F21" s="623">
        <f t="shared" si="8"/>
        <v>161410</v>
      </c>
      <c r="G21" s="160">
        <f t="shared" si="1"/>
        <v>0</v>
      </c>
      <c r="H21" s="623">
        <f t="shared" si="9"/>
        <v>554706</v>
      </c>
      <c r="I21" s="161">
        <f t="shared" si="2"/>
        <v>0</v>
      </c>
      <c r="J21" s="623">
        <f t="shared" si="10"/>
        <v>401437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159.96313985627418</v>
      </c>
      <c r="P21" s="285">
        <f t="shared" si="12"/>
        <v>159.96313985627418</v>
      </c>
      <c r="Q21" s="285">
        <f>SUM(-tanks!AX23*tanks!$AU$37)</f>
        <v>0</v>
      </c>
      <c r="R21" s="285">
        <f t="shared" si="13"/>
        <v>159.96313985627418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44673</v>
      </c>
      <c r="X21" s="168"/>
      <c r="Y21" s="168"/>
      <c r="Z21" s="169" t="s">
        <v>201</v>
      </c>
      <c r="AA21" s="168"/>
      <c r="AB21" s="664"/>
      <c r="AC21" s="665"/>
    </row>
    <row r="22" spans="1:32" ht="20.100000000000001" customHeight="1">
      <c r="A22" s="163">
        <f>ELEC!C22</f>
        <v>44670</v>
      </c>
      <c r="B22" s="623">
        <f t="shared" si="7"/>
        <v>1117553</v>
      </c>
      <c r="C22" s="254">
        <f t="shared" si="0"/>
        <v>0</v>
      </c>
      <c r="D22" s="295">
        <f t="shared" si="14"/>
        <v>0</v>
      </c>
      <c r="E22" s="295">
        <f t="shared" si="15"/>
        <v>1117553</v>
      </c>
      <c r="F22" s="623">
        <f t="shared" si="8"/>
        <v>161410</v>
      </c>
      <c r="G22" s="160">
        <f t="shared" si="1"/>
        <v>0</v>
      </c>
      <c r="H22" s="623">
        <f t="shared" si="9"/>
        <v>554706</v>
      </c>
      <c r="I22" s="161">
        <f t="shared" si="2"/>
        <v>0</v>
      </c>
      <c r="J22" s="623">
        <f t="shared" si="10"/>
        <v>401437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159.96313985627418</v>
      </c>
      <c r="P22" s="285">
        <f t="shared" si="12"/>
        <v>159.96313985627418</v>
      </c>
      <c r="Q22" s="285">
        <f>SUM(-tanks!AX24*tanks!$AU$37)</f>
        <v>0</v>
      </c>
      <c r="R22" s="285">
        <f t="shared" si="13"/>
        <v>159.96313985627418</v>
      </c>
      <c r="S22" s="287">
        <f>SUM(ELEC!N22)</f>
        <v>0</v>
      </c>
      <c r="T22" s="321">
        <f t="shared" si="16"/>
        <v>0</v>
      </c>
      <c r="V22" s="658"/>
      <c r="W22" s="659"/>
      <c r="X22" s="659"/>
      <c r="Y22" s="660"/>
      <c r="Z22" s="26" t="s">
        <v>202</v>
      </c>
      <c r="AA22" s="26">
        <v>5000</v>
      </c>
      <c r="AB22" s="666"/>
      <c r="AC22" s="667"/>
    </row>
    <row r="23" spans="1:32" ht="20.100000000000001" customHeight="1">
      <c r="A23" s="163">
        <f>ELEC!C23</f>
        <v>44671</v>
      </c>
      <c r="B23" s="623">
        <f t="shared" si="7"/>
        <v>1117553</v>
      </c>
      <c r="C23" s="254">
        <f t="shared" si="0"/>
        <v>0</v>
      </c>
      <c r="D23" s="295">
        <f t="shared" si="14"/>
        <v>0</v>
      </c>
      <c r="E23" s="295">
        <f t="shared" si="15"/>
        <v>1117553</v>
      </c>
      <c r="F23" s="623">
        <f t="shared" si="8"/>
        <v>161410</v>
      </c>
      <c r="G23" s="160">
        <f t="shared" si="1"/>
        <v>0</v>
      </c>
      <c r="H23" s="623">
        <f t="shared" si="9"/>
        <v>554706</v>
      </c>
      <c r="I23" s="161">
        <f t="shared" si="2"/>
        <v>0</v>
      </c>
      <c r="J23" s="623">
        <f t="shared" si="10"/>
        <v>401437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159.96313985627418</v>
      </c>
      <c r="P23" s="285">
        <f t="shared" si="12"/>
        <v>159.96313985627418</v>
      </c>
      <c r="Q23" s="285">
        <f>SUM(-tanks!AX25*tanks!$AU$37)</f>
        <v>0</v>
      </c>
      <c r="R23" s="285">
        <f t="shared" si="13"/>
        <v>159.96313985627418</v>
      </c>
      <c r="S23" s="287">
        <f>SUM(ELEC!N23)</f>
        <v>0</v>
      </c>
      <c r="T23" s="321">
        <f t="shared" si="16"/>
        <v>0</v>
      </c>
      <c r="V23" s="661"/>
      <c r="W23" s="662"/>
      <c r="X23" s="662"/>
      <c r="Y23" s="663"/>
      <c r="Z23" s="670"/>
      <c r="AA23" s="671"/>
      <c r="AB23" s="666"/>
      <c r="AC23" s="667"/>
    </row>
    <row r="24" spans="1:32" ht="20.100000000000001" customHeight="1">
      <c r="A24" s="163">
        <f>ELEC!C24</f>
        <v>44672</v>
      </c>
      <c r="B24" s="623">
        <f t="shared" si="7"/>
        <v>1117553</v>
      </c>
      <c r="C24" s="254">
        <f t="shared" si="0"/>
        <v>0</v>
      </c>
      <c r="D24" s="295">
        <f t="shared" si="14"/>
        <v>0</v>
      </c>
      <c r="E24" s="295">
        <f t="shared" si="15"/>
        <v>1117553</v>
      </c>
      <c r="F24" s="623">
        <f t="shared" si="8"/>
        <v>161410</v>
      </c>
      <c r="G24" s="160">
        <f t="shared" si="1"/>
        <v>0</v>
      </c>
      <c r="H24" s="623">
        <f t="shared" si="9"/>
        <v>554706</v>
      </c>
      <c r="I24" s="161">
        <f t="shared" si="2"/>
        <v>0</v>
      </c>
      <c r="J24" s="623">
        <f t="shared" si="10"/>
        <v>401437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53" t="s">
        <v>203</v>
      </c>
      <c r="W24" s="654"/>
      <c r="X24" s="655" t="s">
        <v>204</v>
      </c>
      <c r="Y24" s="656"/>
      <c r="Z24" s="657"/>
      <c r="AA24" s="170"/>
      <c r="AB24" s="668"/>
      <c r="AC24" s="669"/>
    </row>
    <row r="25" spans="1:32" ht="20.100000000000001" customHeight="1">
      <c r="A25" s="163">
        <f>ELEC!C25</f>
        <v>44673</v>
      </c>
      <c r="B25" s="623">
        <f t="shared" si="7"/>
        <v>1117553</v>
      </c>
      <c r="C25" s="254">
        <f t="shared" si="0"/>
        <v>0</v>
      </c>
      <c r="D25" s="295">
        <f t="shared" si="14"/>
        <v>0</v>
      </c>
      <c r="E25" s="295">
        <f t="shared" si="15"/>
        <v>1117553</v>
      </c>
      <c r="F25" s="623">
        <f t="shared" si="8"/>
        <v>161410</v>
      </c>
      <c r="G25" s="160">
        <f t="shared" si="1"/>
        <v>0</v>
      </c>
      <c r="H25" s="623">
        <f t="shared" si="9"/>
        <v>554706</v>
      </c>
      <c r="I25" s="161">
        <f t="shared" si="2"/>
        <v>0</v>
      </c>
      <c r="J25" s="623">
        <f t="shared" si="10"/>
        <v>401437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44674</v>
      </c>
      <c r="B26" s="623">
        <f t="shared" si="7"/>
        <v>1117553</v>
      </c>
      <c r="C26" s="254">
        <f t="shared" si="0"/>
        <v>0</v>
      </c>
      <c r="D26" s="295">
        <f t="shared" si="14"/>
        <v>0</v>
      </c>
      <c r="E26" s="295">
        <f t="shared" si="15"/>
        <v>1117553</v>
      </c>
      <c r="F26" s="623">
        <f t="shared" si="8"/>
        <v>161410</v>
      </c>
      <c r="G26" s="160">
        <f t="shared" si="1"/>
        <v>0</v>
      </c>
      <c r="H26" s="623">
        <f t="shared" si="9"/>
        <v>554706</v>
      </c>
      <c r="I26" s="161">
        <f t="shared" si="2"/>
        <v>0</v>
      </c>
      <c r="J26" s="623">
        <f t="shared" si="10"/>
        <v>401437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401347</v>
      </c>
      <c r="W26" s="170">
        <f>J34</f>
        <v>401437</v>
      </c>
      <c r="X26" s="172" t="s">
        <v>199</v>
      </c>
      <c r="Y26" s="172">
        <v>80</v>
      </c>
      <c r="Z26" s="172">
        <v>1</v>
      </c>
      <c r="AA26" s="323">
        <f>(W26-V26)*Z26</f>
        <v>90</v>
      </c>
      <c r="AB26" s="323">
        <f>AA26*Y26</f>
        <v>7200</v>
      </c>
      <c r="AC26" s="244">
        <f>AC9</f>
        <v>1033333</v>
      </c>
      <c r="AD26" s="476">
        <f>SUM(K36)</f>
        <v>6.8181818181818177E-2</v>
      </c>
    </row>
    <row r="27" spans="1:32" ht="20.100000000000001" customHeight="1">
      <c r="A27" s="163">
        <f>ELEC!C27</f>
        <v>44675</v>
      </c>
      <c r="B27" s="623">
        <f t="shared" si="7"/>
        <v>1117553</v>
      </c>
      <c r="C27" s="254">
        <f t="shared" si="0"/>
        <v>0</v>
      </c>
      <c r="D27" s="295">
        <f t="shared" si="14"/>
        <v>0</v>
      </c>
      <c r="E27" s="295">
        <f t="shared" si="15"/>
        <v>1117553</v>
      </c>
      <c r="F27" s="623">
        <f t="shared" si="8"/>
        <v>161410</v>
      </c>
      <c r="G27" s="160">
        <f t="shared" si="1"/>
        <v>0</v>
      </c>
      <c r="H27" s="623">
        <f t="shared" si="9"/>
        <v>554706</v>
      </c>
      <c r="I27" s="161">
        <f t="shared" si="2"/>
        <v>0</v>
      </c>
      <c r="J27" s="623">
        <f t="shared" si="10"/>
        <v>401437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553475</v>
      </c>
      <c r="W27" s="170">
        <f>H34</f>
        <v>554706</v>
      </c>
      <c r="X27" s="172" t="s">
        <v>212</v>
      </c>
      <c r="Y27" s="172">
        <v>112</v>
      </c>
      <c r="Z27" s="172">
        <v>1</v>
      </c>
      <c r="AA27" s="323">
        <f>(W27-V27)*Z27</f>
        <v>1231</v>
      </c>
      <c r="AB27" s="323">
        <f>SUM(AA27*Y27)</f>
        <v>137872</v>
      </c>
      <c r="AC27" s="244">
        <f>AC10</f>
        <v>6200000</v>
      </c>
      <c r="AD27" s="476">
        <f>SUM(I36)</f>
        <v>0.9325757575757575</v>
      </c>
    </row>
    <row r="28" spans="1:32" ht="20.100000000000001" customHeight="1">
      <c r="A28" s="163">
        <f>ELEC!C28</f>
        <v>44676</v>
      </c>
      <c r="B28" s="623">
        <f t="shared" si="7"/>
        <v>1117553</v>
      </c>
      <c r="C28" s="254">
        <f t="shared" si="0"/>
        <v>0</v>
      </c>
      <c r="D28" s="295">
        <f t="shared" si="14"/>
        <v>0</v>
      </c>
      <c r="E28" s="295">
        <f>B27+D28</f>
        <v>1117553</v>
      </c>
      <c r="F28" s="623">
        <f t="shared" si="8"/>
        <v>161410</v>
      </c>
      <c r="G28" s="160">
        <f t="shared" si="1"/>
        <v>0</v>
      </c>
      <c r="H28" s="623">
        <f t="shared" si="9"/>
        <v>554706</v>
      </c>
      <c r="I28" s="161">
        <f t="shared" si="2"/>
        <v>0</v>
      </c>
      <c r="J28" s="623">
        <f t="shared" si="10"/>
        <v>401437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159.96313985627418</v>
      </c>
      <c r="P28" s="285">
        <f t="shared" si="12"/>
        <v>159.96313985627418</v>
      </c>
      <c r="Q28" s="285">
        <f>SUM(-tanks!AX30*tanks!$AU$37)</f>
        <v>0</v>
      </c>
      <c r="R28" s="285">
        <f t="shared" si="13"/>
        <v>159.96313985627418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44677</v>
      </c>
      <c r="B29" s="623">
        <f t="shared" si="7"/>
        <v>1117553</v>
      </c>
      <c r="C29" s="254">
        <f t="shared" si="0"/>
        <v>0</v>
      </c>
      <c r="D29" s="295">
        <f t="shared" si="14"/>
        <v>0</v>
      </c>
      <c r="E29" s="295">
        <f>B28+D29</f>
        <v>1117553</v>
      </c>
      <c r="F29" s="623">
        <f t="shared" si="8"/>
        <v>161410</v>
      </c>
      <c r="G29" s="160">
        <f t="shared" si="1"/>
        <v>0</v>
      </c>
      <c r="H29" s="623">
        <f t="shared" si="9"/>
        <v>554706</v>
      </c>
      <c r="I29" s="161">
        <f t="shared" si="2"/>
        <v>0</v>
      </c>
      <c r="J29" s="623">
        <f t="shared" si="10"/>
        <v>401437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1321</v>
      </c>
      <c r="AB29" s="323">
        <f>SUM(AB26:AB28)</f>
        <v>145072</v>
      </c>
      <c r="AC29" s="244">
        <f>SUM(AC26:AC28)</f>
        <v>7234333</v>
      </c>
    </row>
    <row r="30" spans="1:32" ht="20.100000000000001" customHeight="1">
      <c r="A30" s="163">
        <f>ELEC!C30</f>
        <v>44678</v>
      </c>
      <c r="B30" s="623">
        <f t="shared" si="7"/>
        <v>1117553</v>
      </c>
      <c r="C30" s="254">
        <f t="shared" si="0"/>
        <v>0</v>
      </c>
      <c r="D30" s="295">
        <f t="shared" si="14"/>
        <v>0</v>
      </c>
      <c r="E30" s="295">
        <f t="shared" si="15"/>
        <v>1117553</v>
      </c>
      <c r="F30" s="623">
        <f t="shared" si="8"/>
        <v>161410</v>
      </c>
      <c r="G30" s="160">
        <f t="shared" si="1"/>
        <v>0</v>
      </c>
      <c r="H30" s="623">
        <f t="shared" si="9"/>
        <v>554706</v>
      </c>
      <c r="I30" s="161">
        <f t="shared" si="2"/>
        <v>0</v>
      </c>
      <c r="J30" s="623">
        <f t="shared" si="10"/>
        <v>401437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7379405</v>
      </c>
      <c r="AC30" s="244"/>
    </row>
    <row r="31" spans="1:32" ht="20.100000000000001" customHeight="1">
      <c r="A31" s="163">
        <f>ELEC!C31</f>
        <v>44679</v>
      </c>
      <c r="B31" s="623">
        <f t="shared" si="7"/>
        <v>1117553</v>
      </c>
      <c r="C31" s="254">
        <f>SUM(B31-B30)</f>
        <v>0</v>
      </c>
      <c r="D31" s="295">
        <f t="shared" si="14"/>
        <v>0</v>
      </c>
      <c r="E31" s="295">
        <f>B30+D31</f>
        <v>1117553</v>
      </c>
      <c r="F31" s="623">
        <f t="shared" si="8"/>
        <v>161410</v>
      </c>
      <c r="G31" s="160">
        <f>F31-F30</f>
        <v>0</v>
      </c>
      <c r="H31" s="623">
        <f t="shared" si="9"/>
        <v>554706</v>
      </c>
      <c r="I31" s="161">
        <f>H31-H30</f>
        <v>0</v>
      </c>
      <c r="J31" s="623">
        <f t="shared" si="10"/>
        <v>401437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44680</v>
      </c>
      <c r="B32" s="623">
        <f t="shared" si="7"/>
        <v>1117553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1117553</v>
      </c>
      <c r="F32" s="623">
        <f t="shared" si="8"/>
        <v>161410</v>
      </c>
      <c r="G32" s="160">
        <f t="shared" ref="G32:G34" si="23">F32-F31</f>
        <v>0</v>
      </c>
      <c r="H32" s="623">
        <f t="shared" si="9"/>
        <v>554706</v>
      </c>
      <c r="I32" s="161">
        <f t="shared" ref="I32:I34" si="24">H32-H31</f>
        <v>0</v>
      </c>
      <c r="J32" s="623">
        <f t="shared" si="10"/>
        <v>401437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159.96313985627418</v>
      </c>
      <c r="P32" s="285">
        <f t="shared" ref="P32:P34" si="29">SUM(L32:O32)</f>
        <v>159.96313985627418</v>
      </c>
      <c r="Q32" s="285">
        <f>SUM(-tanks!AX34*tanks!$AU$37)</f>
        <v>0</v>
      </c>
      <c r="R32" s="285">
        <f t="shared" ref="R32:R34" si="30">SUM(P32:Q32)</f>
        <v>159.96313985627418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97</v>
      </c>
      <c r="X32" s="222">
        <f>SUM(W32/A35)</f>
        <v>19.399999999999999</v>
      </c>
      <c r="Y32" s="250">
        <f>SUM(X32/1)</f>
        <v>19.399999999999999</v>
      </c>
      <c r="Z32" s="3"/>
      <c r="AA32" s="323"/>
      <c r="AB32" s="323"/>
      <c r="AC32" s="244"/>
    </row>
    <row r="33" spans="1:32" ht="20.100000000000001" customHeight="1">
      <c r="A33" s="163">
        <f>ELEC!C33</f>
        <v>44681</v>
      </c>
      <c r="B33" s="623">
        <f t="shared" si="7"/>
        <v>1117553</v>
      </c>
      <c r="C33" s="254">
        <f t="shared" si="20"/>
        <v>0</v>
      </c>
      <c r="D33" s="295">
        <f t="shared" si="21"/>
        <v>0</v>
      </c>
      <c r="E33" s="295">
        <f t="shared" si="22"/>
        <v>1117553</v>
      </c>
      <c r="F33" s="623">
        <f t="shared" si="8"/>
        <v>161410</v>
      </c>
      <c r="G33" s="160">
        <f t="shared" si="23"/>
        <v>0</v>
      </c>
      <c r="H33" s="623">
        <f t="shared" si="9"/>
        <v>554706</v>
      </c>
      <c r="I33" s="161">
        <f t="shared" si="24"/>
        <v>0</v>
      </c>
      <c r="J33" s="623">
        <f t="shared" si="10"/>
        <v>401437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159.96313985627418</v>
      </c>
      <c r="P33" s="285">
        <f t="shared" si="29"/>
        <v>159.96313985627418</v>
      </c>
      <c r="Q33" s="285">
        <f>SUM(-tanks!AX35*tanks!$AU$37)</f>
        <v>0</v>
      </c>
      <c r="R33" s="285">
        <f t="shared" si="30"/>
        <v>159.96313985627418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811734.55</v>
      </c>
      <c r="AC33" s="244">
        <f>SUM(AC29)</f>
        <v>7234333</v>
      </c>
    </row>
    <row r="34" spans="1:32" ht="20.100000000000001" customHeight="1">
      <c r="A34" s="163">
        <f>ELEC!C34</f>
        <v>44682</v>
      </c>
      <c r="B34" s="623">
        <f t="shared" si="7"/>
        <v>1117553</v>
      </c>
      <c r="C34" s="254">
        <f t="shared" si="20"/>
        <v>0</v>
      </c>
      <c r="D34" s="295">
        <f t="shared" si="21"/>
        <v>0</v>
      </c>
      <c r="E34" s="295">
        <f t="shared" si="22"/>
        <v>1117553</v>
      </c>
      <c r="F34" s="623">
        <f t="shared" si="8"/>
        <v>161410</v>
      </c>
      <c r="G34" s="160">
        <f t="shared" si="23"/>
        <v>0</v>
      </c>
      <c r="H34" s="623">
        <f t="shared" si="9"/>
        <v>554706</v>
      </c>
      <c r="I34" s="161">
        <f t="shared" si="24"/>
        <v>0</v>
      </c>
      <c r="J34" s="623">
        <f t="shared" si="10"/>
        <v>401437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159.96313985627418</v>
      </c>
      <c r="P34" s="285">
        <f t="shared" si="29"/>
        <v>159.96313985627418</v>
      </c>
      <c r="Q34" s="285">
        <f>SUM(-tanks!AX36*tanks!$AU$37)</f>
        <v>0</v>
      </c>
      <c r="R34" s="285">
        <f t="shared" si="30"/>
        <v>159.96313985627418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8191139.5499999998</v>
      </c>
      <c r="AC34" s="244">
        <f>SUM(AC30)</f>
        <v>0</v>
      </c>
    </row>
    <row r="35" spans="1:32" ht="15.75" thickBot="1">
      <c r="A35" s="501">
        <f>A37-COUNTIF(C4:C33,0)</f>
        <v>5</v>
      </c>
      <c r="C35" s="173">
        <f>SUM(C4:C34)/A35</f>
        <v>264</v>
      </c>
      <c r="D35" s="173"/>
      <c r="E35" s="173"/>
      <c r="F35" s="564"/>
      <c r="G35" s="564">
        <f>SUM(G4:G34)/A35</f>
        <v>0</v>
      </c>
      <c r="H35" s="173"/>
      <c r="I35" s="173">
        <f>SUM(I4:I34)/A35</f>
        <v>246.2</v>
      </c>
      <c r="K35" s="173">
        <f>SUM(K4:K34)/A35</f>
        <v>18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1.0007575757575757</v>
      </c>
      <c r="G36" s="225">
        <f>IF(C35&gt;0,G35/C35,0)</f>
        <v>0</v>
      </c>
      <c r="H36" s="212"/>
      <c r="I36" s="225">
        <f>SUM(I35/C35)</f>
        <v>0.9325757575757575</v>
      </c>
      <c r="J36" s="212"/>
      <c r="K36" s="225">
        <f>SUM(K35/C35)</f>
        <v>6.8181818181818177E-2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4895.1276948590385</v>
      </c>
      <c r="AC36" s="533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4895.1276948590385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0"/>
      <c r="AC45" s="650"/>
      <c r="AD45" s="542"/>
      <c r="AE45" s="17"/>
      <c r="AF45" s="17"/>
    </row>
    <row r="46" spans="1:32">
      <c r="V46" s="650"/>
      <c r="W46" s="650"/>
      <c r="X46" s="650"/>
      <c r="Y46" s="650"/>
      <c r="Z46" s="508"/>
      <c r="AA46" s="508"/>
      <c r="AB46" s="650"/>
      <c r="AC46" s="650"/>
      <c r="AD46" s="542"/>
      <c r="AE46" s="17"/>
      <c r="AF46" s="17"/>
    </row>
    <row r="47" spans="1:32">
      <c r="V47" s="650"/>
      <c r="W47" s="650"/>
      <c r="X47" s="650"/>
      <c r="Y47" s="650"/>
      <c r="Z47" s="650"/>
      <c r="AA47" s="650"/>
      <c r="AB47" s="650"/>
      <c r="AC47" s="650"/>
      <c r="AD47" s="542"/>
      <c r="AE47" s="17"/>
      <c r="AF47" s="17"/>
    </row>
    <row r="48" spans="1:32">
      <c r="V48" s="651"/>
      <c r="W48" s="651"/>
      <c r="X48" s="652"/>
      <c r="Y48" s="652"/>
      <c r="Z48" s="652"/>
      <c r="AA48" s="509"/>
      <c r="AB48" s="650"/>
      <c r="AC48" s="650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16" sqref="F16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2" t="s">
        <v>193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5" ht="15.75" customHeight="1" thickBot="1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7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44652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44653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44654</v>
      </c>
      <c r="B7" s="37">
        <v>24</v>
      </c>
      <c r="C7" s="37">
        <v>17</v>
      </c>
      <c r="D7" s="26">
        <f t="shared" si="0"/>
        <v>20.5</v>
      </c>
      <c r="E7" s="378">
        <v>0.54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44655</v>
      </c>
      <c r="B8" s="37">
        <v>24</v>
      </c>
      <c r="C8" s="37">
        <v>16</v>
      </c>
      <c r="D8" s="26">
        <f>(C8+B8)/2</f>
        <v>20</v>
      </c>
      <c r="E8" s="378">
        <v>0.59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44656</v>
      </c>
      <c r="B9" s="37">
        <v>30</v>
      </c>
      <c r="C9" s="37">
        <v>16</v>
      </c>
      <c r="D9" s="26">
        <f t="shared" si="0"/>
        <v>23</v>
      </c>
      <c r="E9" s="339">
        <v>0.38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44657</v>
      </c>
      <c r="B10" s="37">
        <v>34</v>
      </c>
      <c r="C10" s="37">
        <v>18</v>
      </c>
      <c r="D10" s="26">
        <f t="shared" si="0"/>
        <v>26</v>
      </c>
      <c r="E10" s="378">
        <v>0.45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44658</v>
      </c>
      <c r="B11" s="37">
        <v>21</v>
      </c>
      <c r="C11" s="37">
        <v>16</v>
      </c>
      <c r="D11" s="26">
        <f t="shared" si="0"/>
        <v>18.5</v>
      </c>
      <c r="E11" s="378">
        <v>0.75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44659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44660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44661</v>
      </c>
      <c r="B14" s="37">
        <v>22</v>
      </c>
      <c r="C14" s="37">
        <v>15</v>
      </c>
      <c r="D14" s="26">
        <f t="shared" si="3"/>
        <v>18.5</v>
      </c>
      <c r="E14" s="325">
        <v>0.81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44662</v>
      </c>
      <c r="B15" s="37">
        <v>21</v>
      </c>
      <c r="C15" s="37">
        <v>16</v>
      </c>
      <c r="D15" s="26">
        <f>(C15+B15)/2</f>
        <v>18.5</v>
      </c>
      <c r="E15" s="378">
        <v>0.82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44663</v>
      </c>
      <c r="B16" s="37">
        <v>20</v>
      </c>
      <c r="C16" s="37">
        <v>16</v>
      </c>
      <c r="D16" s="26">
        <f t="shared" si="3"/>
        <v>18</v>
      </c>
      <c r="E16" s="325">
        <v>0.57999999999999996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44664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44665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44666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44667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44668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44669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44670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44671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44672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44673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44674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44675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44676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44677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44678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44679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44680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44681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44682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32.6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15</v>
      </c>
      <c r="G2" s="3">
        <f>WATER!C5+WATER!H5</f>
        <v>0</v>
      </c>
      <c r="H2" s="3">
        <f>WATER!L5</f>
        <v>0</v>
      </c>
      <c r="I2" s="15">
        <f>WATER!BC5+WATER!BD5+WATER!BE6-Sheet1!G2</f>
        <v>-9.8000000000000398</v>
      </c>
      <c r="J2" s="9">
        <f>'B5'!A4</f>
        <v>44651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44652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6534</v>
      </c>
      <c r="D4" s="3">
        <f t="shared" si="0"/>
        <v>485.99999999749707</v>
      </c>
      <c r="E4" s="3">
        <f>ELEC!Q6</f>
        <v>6048.0000000025029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44653</v>
      </c>
    </row>
    <row r="5" spans="1:10">
      <c r="A5" s="3">
        <f>ELEC!T7+ELEC!X7+ELEC!AB7</f>
        <v>0</v>
      </c>
      <c r="B5" s="3">
        <f>ELEC!AF7</f>
        <v>0</v>
      </c>
      <c r="C5" s="3">
        <f>ELEC!N7</f>
        <v>4892</v>
      </c>
      <c r="D5" s="3">
        <f t="shared" si="0"/>
        <v>210.99999999950523</v>
      </c>
      <c r="E5" s="3">
        <f>ELEC!Q7</f>
        <v>4681.0000000004948</v>
      </c>
      <c r="F5" s="3">
        <f>GEN!Z5</f>
        <v>14</v>
      </c>
      <c r="G5" s="3">
        <f>WATER!C8+WATER!H8</f>
        <v>0</v>
      </c>
      <c r="H5" s="3">
        <f>WATER!L8</f>
        <v>3</v>
      </c>
      <c r="I5" s="15">
        <f>WATER!BC8+WATER!BD8+WATER!BE9-Sheet1!G5</f>
        <v>-10.899999999999977</v>
      </c>
      <c r="J5" s="9">
        <f>'B5'!A7</f>
        <v>44654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5576</v>
      </c>
      <c r="D6" s="3">
        <f t="shared" si="0"/>
        <v>5576</v>
      </c>
      <c r="E6" s="3">
        <f>ELEC!Q25</f>
        <v>0</v>
      </c>
      <c r="F6" s="3">
        <f>GEN!Z6</f>
        <v>10</v>
      </c>
      <c r="G6" s="3">
        <f>WATER!C9+WATER!H9</f>
        <v>0</v>
      </c>
      <c r="H6" s="3">
        <f>WATER!L9</f>
        <v>1</v>
      </c>
      <c r="I6" s="15">
        <f>WATER!BC9+WATER!BD9+WATER!BE10-Sheet1!G6</f>
        <v>-20.899999999999977</v>
      </c>
      <c r="J6" s="9">
        <f>'B5'!A8</f>
        <v>44655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4455</v>
      </c>
      <c r="D7" s="3">
        <f t="shared" si="0"/>
        <v>320.00000000160071</v>
      </c>
      <c r="E7" s="3">
        <f>ELEC!Q9</f>
        <v>4134.9999999983993</v>
      </c>
      <c r="F7" s="3">
        <f>GEN!Z7</f>
        <v>12</v>
      </c>
      <c r="G7" s="3">
        <f>WATER!C10+WATER!H10</f>
        <v>95</v>
      </c>
      <c r="H7" s="3">
        <f>WATER!L10</f>
        <v>2</v>
      </c>
      <c r="I7" s="15">
        <f>WATER!BC10+WATER!BD10+WATER!BE11-Sheet1!G7</f>
        <v>-109.89999999999998</v>
      </c>
      <c r="J7" s="9">
        <f>'B5'!A9</f>
        <v>44656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4790</v>
      </c>
      <c r="D8" s="3">
        <f t="shared" si="0"/>
        <v>161.99999999938882</v>
      </c>
      <c r="E8" s="3">
        <f>ELEC!Q10</f>
        <v>4628.0000000006112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-15.599999999999994</v>
      </c>
      <c r="J8" s="9">
        <f>'B5'!A10</f>
        <v>44657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10</v>
      </c>
      <c r="G9" s="3">
        <f>WATER!C12+WATER!H12</f>
        <v>0</v>
      </c>
      <c r="H9" s="3">
        <f>WATER!L12</f>
        <v>0</v>
      </c>
      <c r="I9" s="15">
        <f>WATER!BC12+WATER!BD12+WATER!BE13-Sheet1!G9</f>
        <v>-11.600000000000023</v>
      </c>
      <c r="J9" s="9">
        <f>'B5'!A11</f>
        <v>44658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44659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5071</v>
      </c>
      <c r="D11" s="3">
        <f t="shared" si="0"/>
        <v>166.9999999977299</v>
      </c>
      <c r="E11" s="3">
        <f>ELEC!Q13</f>
        <v>4904.0000000022701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-22.899999999999977</v>
      </c>
      <c r="J11" s="9">
        <f>'B5'!A13</f>
        <v>44660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6481</v>
      </c>
      <c r="D12" s="3">
        <f t="shared" si="0"/>
        <v>277.00000000209548</v>
      </c>
      <c r="E12" s="3">
        <f>ELEC!Q14</f>
        <v>6203.9999999979045</v>
      </c>
      <c r="F12" s="3">
        <f>GEN!Z12</f>
        <v>10</v>
      </c>
      <c r="G12" s="3">
        <f>WATER!C15+WATER!H15</f>
        <v>0</v>
      </c>
      <c r="H12" s="3">
        <f>WATER!L15</f>
        <v>10</v>
      </c>
      <c r="I12" s="15">
        <f>WATER!BC15+WATER!BD15+WATER!BE16-Sheet1!G12</f>
        <v>-26.399999999999977</v>
      </c>
      <c r="J12" s="9">
        <f>'B5'!A14</f>
        <v>44661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2164</v>
      </c>
      <c r="D13" s="3">
        <f t="shared" si="0"/>
        <v>78.000000000669388</v>
      </c>
      <c r="E13" s="3">
        <f>ELEC!Q15</f>
        <v>2085.9999999993306</v>
      </c>
      <c r="F13" s="3">
        <f>GEN!Z13</f>
        <v>15</v>
      </c>
      <c r="G13" s="3">
        <f>WATER!C16+WATER!H16</f>
        <v>0</v>
      </c>
      <c r="H13" s="3">
        <f>WATER!L16</f>
        <v>0</v>
      </c>
      <c r="I13" s="15">
        <f>WATER!BC16+WATER!BD16+WATER!BE17-Sheet1!G13</f>
        <v>-38.700000000000003</v>
      </c>
      <c r="J13" s="9">
        <f>'B5'!A15</f>
        <v>44662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5387</v>
      </c>
      <c r="D14" s="3">
        <f t="shared" si="0"/>
        <v>202.99999999889405</v>
      </c>
      <c r="E14" s="3">
        <f>ELEC!Q16</f>
        <v>5184.0000000011059</v>
      </c>
      <c r="F14" s="3">
        <f>GEN!Z14</f>
        <v>5</v>
      </c>
      <c r="G14" s="3">
        <f>WATER!C17+WATER!H17</f>
        <v>0</v>
      </c>
      <c r="H14" s="3">
        <f>WATER!L17</f>
        <v>0</v>
      </c>
      <c r="I14" s="15">
        <f>WATER!BC17+WATER!BD17+WATER!BE18-Sheet1!G14</f>
        <v>-17.800000000000011</v>
      </c>
      <c r="J14" s="9">
        <f>'B5'!A16</f>
        <v>44663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11</v>
      </c>
      <c r="G15" s="3">
        <f>WATER!C18+WATER!H18</f>
        <v>0</v>
      </c>
      <c r="H15" s="3">
        <f>WATER!L18</f>
        <v>0</v>
      </c>
      <c r="I15" s="15">
        <f>WATER!BC18+WATER!BD18+WATER!BE19-Sheet1!G15</f>
        <v>-6.9000000000000199</v>
      </c>
      <c r="J15" s="9">
        <f>'B5'!A17</f>
        <v>44664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44665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44666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44667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44668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44669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44670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44671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44672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44673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44674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44675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44676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44677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44678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44679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1"/>
      <c r="B1" s="678" t="s">
        <v>119</v>
      </c>
      <c r="C1" s="678" t="s">
        <v>118</v>
      </c>
      <c r="D1" s="683" t="s">
        <v>113</v>
      </c>
      <c r="E1" s="683" t="s">
        <v>114</v>
      </c>
      <c r="F1" s="684" t="s">
        <v>120</v>
      </c>
      <c r="G1" s="685" t="s">
        <v>75</v>
      </c>
      <c r="H1" s="686" t="s">
        <v>115</v>
      </c>
      <c r="I1" s="687" t="s">
        <v>116</v>
      </c>
      <c r="J1" s="686" t="s">
        <v>117</v>
      </c>
      <c r="K1" s="680" t="s">
        <v>121</v>
      </c>
      <c r="L1" s="680" t="s">
        <v>122</v>
      </c>
      <c r="M1" s="680" t="s">
        <v>123</v>
      </c>
      <c r="N1" s="680" t="s">
        <v>124</v>
      </c>
    </row>
    <row r="2" spans="1:14">
      <c r="A2" s="682"/>
      <c r="B2" s="679"/>
      <c r="C2" s="679"/>
      <c r="D2" s="683"/>
      <c r="E2" s="683"/>
      <c r="F2" s="684"/>
      <c r="G2" s="685"/>
      <c r="H2" s="686"/>
      <c r="I2" s="688"/>
      <c r="J2" s="686"/>
      <c r="K2" s="680"/>
      <c r="L2" s="680"/>
      <c r="M2" s="680"/>
      <c r="N2" s="68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44652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-9.8000000000000398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44653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44654</v>
      </c>
      <c r="B7" s="76">
        <f>'B5'!V7</f>
        <v>347</v>
      </c>
      <c r="C7" s="76">
        <f>'B5'!AH7</f>
        <v>0</v>
      </c>
      <c r="D7" s="76">
        <f>GEN!AI5</f>
        <v>1556.6582278487456</v>
      </c>
      <c r="E7" s="239">
        <f t="shared" si="0"/>
        <v>1903.6582278487456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6048.0000000025029</v>
      </c>
      <c r="J7" s="79">
        <f>ELEC!R6</f>
        <v>485.99999999749707</v>
      </c>
      <c r="K7" s="3"/>
      <c r="L7" s="3"/>
      <c r="M7" s="3"/>
      <c r="N7" s="3"/>
    </row>
    <row r="8" spans="1:14">
      <c r="A8" s="63">
        <f>'B5'!A8</f>
        <v>44655</v>
      </c>
      <c r="B8" s="76">
        <f>'B5'!V8</f>
        <v>391</v>
      </c>
      <c r="C8" s="76">
        <f>'B5'!AH8</f>
        <v>0</v>
      </c>
      <c r="D8" s="76">
        <f>GEN!AI6</f>
        <v>1204.8143459916887</v>
      </c>
      <c r="E8" s="239">
        <f t="shared" si="0"/>
        <v>1595.8143459916887</v>
      </c>
      <c r="F8" s="75">
        <f>WATER!L8</f>
        <v>3</v>
      </c>
      <c r="G8" s="78">
        <f>WATER!BG8</f>
        <v>0</v>
      </c>
      <c r="H8" s="79">
        <f>ELEC!AF7</f>
        <v>0</v>
      </c>
      <c r="I8" s="79">
        <f>ELEC!Q7</f>
        <v>4681.0000000004948</v>
      </c>
      <c r="J8" s="79">
        <f>ELEC!R7</f>
        <v>210.99999999950523</v>
      </c>
      <c r="K8" s="3"/>
      <c r="L8" s="3"/>
      <c r="M8" s="3"/>
      <c r="N8" s="3"/>
    </row>
    <row r="9" spans="1:14">
      <c r="A9" s="63">
        <f>'B5'!A9</f>
        <v>44656</v>
      </c>
      <c r="B9" s="76">
        <f>'B5'!V9</f>
        <v>163</v>
      </c>
      <c r="C9" s="76">
        <f>'B5'!AH9</f>
        <v>33</v>
      </c>
      <c r="D9" s="76">
        <f>GEN!AI7</f>
        <v>1386.2700421937334</v>
      </c>
      <c r="E9" s="239">
        <f t="shared" si="0"/>
        <v>1582.2700421937334</v>
      </c>
      <c r="F9" s="75">
        <f>WATER!L9</f>
        <v>1</v>
      </c>
      <c r="G9" s="78">
        <f>WATER!BG9</f>
        <v>-10.899999999999977</v>
      </c>
      <c r="H9" s="79">
        <f>ELEC!AF8</f>
        <v>0</v>
      </c>
      <c r="I9" s="79">
        <f>ELEC!Q8</f>
        <v>5385.999999998603</v>
      </c>
      <c r="J9" s="79">
        <f>ELEC!R8</f>
        <v>190.00000000139698</v>
      </c>
      <c r="K9" s="3"/>
      <c r="L9" s="3"/>
      <c r="M9" s="3"/>
      <c r="N9" s="3"/>
    </row>
    <row r="10" spans="1:14">
      <c r="A10" s="63">
        <f>'B5'!A10</f>
        <v>44657</v>
      </c>
      <c r="B10" s="76">
        <f>'B5'!V10</f>
        <v>165</v>
      </c>
      <c r="C10" s="76">
        <f>'B5'!AH10</f>
        <v>0</v>
      </c>
      <c r="D10" s="76">
        <f>GEN!AI8</f>
        <v>1064.2827004215289</v>
      </c>
      <c r="E10" s="239">
        <f t="shared" si="0"/>
        <v>1229.2827004215289</v>
      </c>
      <c r="F10" s="75">
        <f>WATER!L10</f>
        <v>2</v>
      </c>
      <c r="G10" s="78">
        <f>WATER!BG10</f>
        <v>-10</v>
      </c>
      <c r="H10" s="79">
        <f>ELEC!AF9</f>
        <v>0</v>
      </c>
      <c r="I10" s="79">
        <f>ELEC!Q9</f>
        <v>4134.9999999983993</v>
      </c>
      <c r="J10" s="79">
        <f>ELEC!R9</f>
        <v>320.00000000160071</v>
      </c>
      <c r="K10" s="3"/>
      <c r="L10" s="3"/>
      <c r="M10" s="3"/>
      <c r="N10" s="3"/>
    </row>
    <row r="11" spans="1:14">
      <c r="A11" s="63">
        <f>'B5'!A11</f>
        <v>44658</v>
      </c>
      <c r="B11" s="76">
        <f>'B5'!V11</f>
        <v>157</v>
      </c>
      <c r="C11" s="76">
        <f>'B5'!AH11</f>
        <v>0</v>
      </c>
      <c r="D11" s="76">
        <f>GEN!AI9</f>
        <v>1191.1729957807481</v>
      </c>
      <c r="E11" s="239">
        <f t="shared" si="0"/>
        <v>1348.1729957807481</v>
      </c>
      <c r="F11" s="75">
        <f>WATER!L11</f>
        <v>0</v>
      </c>
      <c r="G11" s="78">
        <f>WATER!BG11</f>
        <v>-3.9999999999999716</v>
      </c>
      <c r="H11" s="79">
        <f>ELEC!AF10</f>
        <v>0</v>
      </c>
      <c r="I11" s="79">
        <f>ELEC!Q10</f>
        <v>4628.0000000006112</v>
      </c>
      <c r="J11" s="79">
        <f>ELEC!R10</f>
        <v>161.99999999938882</v>
      </c>
      <c r="K11" s="3"/>
      <c r="L11" s="3"/>
      <c r="M11" s="3"/>
      <c r="N11" s="3"/>
    </row>
    <row r="12" spans="1:14">
      <c r="A12" s="63">
        <f>'B5'!A12</f>
        <v>44659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-11.600000000000023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44660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44661</v>
      </c>
      <c r="B14" s="76">
        <f>'B5'!V14</f>
        <v>345</v>
      </c>
      <c r="C14" s="76">
        <f>'B5'!AH14</f>
        <v>0</v>
      </c>
      <c r="D14" s="76">
        <f>GEN!AI12</f>
        <v>1262.2109704647194</v>
      </c>
      <c r="E14" s="239">
        <f t="shared" si="0"/>
        <v>1607.2109704647194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4904.0000000022701</v>
      </c>
      <c r="J14" s="79">
        <f>ELEC!R13</f>
        <v>166.9999999977299</v>
      </c>
      <c r="K14" s="3"/>
      <c r="L14" s="3"/>
      <c r="M14" s="3"/>
      <c r="N14" s="3"/>
    </row>
    <row r="15" spans="1:14">
      <c r="A15" s="63">
        <f>'B5'!A15</f>
        <v>44662</v>
      </c>
      <c r="B15" s="76">
        <f>'B5'!V15</f>
        <v>327</v>
      </c>
      <c r="C15" s="76">
        <f>'B5'!AH15</f>
        <v>59</v>
      </c>
      <c r="D15" s="76">
        <f>GEN!AI13</f>
        <v>1596.8101265817393</v>
      </c>
      <c r="E15" s="239">
        <f t="shared" si="0"/>
        <v>1982.8101265817393</v>
      </c>
      <c r="F15" s="75">
        <f>WATER!L15</f>
        <v>10</v>
      </c>
      <c r="G15" s="78">
        <f>WATER!BG15</f>
        <v>-22.899999999999977</v>
      </c>
      <c r="H15" s="79">
        <f>ELEC!AF14</f>
        <v>0</v>
      </c>
      <c r="I15" s="79">
        <f>ELEC!Q14</f>
        <v>6203.9999999979045</v>
      </c>
      <c r="J15" s="79">
        <f>ELEC!R14</f>
        <v>277.00000000209548</v>
      </c>
      <c r="K15" s="3"/>
      <c r="L15" s="3"/>
      <c r="M15" s="3"/>
      <c r="N15" s="3"/>
    </row>
    <row r="16" spans="1:14">
      <c r="A16" s="63">
        <f>'B5'!A16</f>
        <v>44663</v>
      </c>
      <c r="B16" s="76">
        <f>'B5'!V16</f>
        <v>260</v>
      </c>
      <c r="C16" s="76">
        <f>'B5'!AH16</f>
        <v>36</v>
      </c>
      <c r="D16" s="76">
        <f>GEN!AI14</f>
        <v>536.90295358632568</v>
      </c>
      <c r="E16" s="239">
        <f t="shared" si="0"/>
        <v>832.90295358632568</v>
      </c>
      <c r="F16" s="75">
        <f>WATER!L16</f>
        <v>0</v>
      </c>
      <c r="G16" s="78">
        <f>WATER!BG16</f>
        <v>-3.5</v>
      </c>
      <c r="H16" s="79">
        <f>ELEC!AF15</f>
        <v>0</v>
      </c>
      <c r="I16" s="79">
        <f>ELEC!Q15</f>
        <v>2085.9999999993306</v>
      </c>
      <c r="J16" s="79">
        <f>ELEC!R15</f>
        <v>78.000000000669388</v>
      </c>
      <c r="K16" s="3"/>
      <c r="L16" s="3"/>
      <c r="M16" s="3"/>
      <c r="N16" s="3"/>
    </row>
    <row r="17" spans="1:14">
      <c r="A17" s="63">
        <f>'B5'!A17</f>
        <v>44664</v>
      </c>
      <c r="B17" s="76">
        <f>'B5'!V17</f>
        <v>370</v>
      </c>
      <c r="C17" s="76">
        <f>'B5'!AH17</f>
        <v>0</v>
      </c>
      <c r="D17" s="76">
        <f>GEN!AI15</f>
        <v>1334.2784810129431</v>
      </c>
      <c r="E17" s="239">
        <f t="shared" si="0"/>
        <v>1704.2784810129431</v>
      </c>
      <c r="F17" s="75">
        <f>WATER!L17</f>
        <v>0</v>
      </c>
      <c r="G17" s="78">
        <f>WATER!BG17</f>
        <v>-30.700000000000003</v>
      </c>
      <c r="H17" s="79">
        <f>ELEC!AF16</f>
        <v>0</v>
      </c>
      <c r="I17" s="79">
        <f>ELEC!Q16</f>
        <v>5184.0000000011059</v>
      </c>
      <c r="J17" s="79">
        <f>ELEC!R16</f>
        <v>202.99999999889405</v>
      </c>
      <c r="K17" s="3"/>
      <c r="L17" s="3"/>
      <c r="M17" s="3"/>
      <c r="N17" s="3"/>
    </row>
    <row r="18" spans="1:14">
      <c r="A18" s="63">
        <f>'B5'!A18</f>
        <v>44665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-6.9000000000000199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44666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44667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44668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44669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44670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44671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44672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44673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44674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44675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44676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44677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44678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44679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9" t="s">
        <v>151</v>
      </c>
      <c r="U3" s="68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2</v>
      </c>
      <c r="G5">
        <f t="shared" ref="G5:G37" si="1">F5*107</f>
        <v>214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6</v>
      </c>
      <c r="E15">
        <f t="shared" si="0"/>
        <v>540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1</v>
      </c>
      <c r="G17">
        <f t="shared" si="1"/>
        <v>107</v>
      </c>
    </row>
    <row r="18" spans="3:7">
      <c r="C18" s="99">
        <v>42442</v>
      </c>
      <c r="D18">
        <f>'B5'!AL17</f>
        <v>5</v>
      </c>
      <c r="E18">
        <f t="shared" si="0"/>
        <v>450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J25" sqref="J25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316</v>
      </c>
      <c r="C1" s="703"/>
      <c r="D1" s="705"/>
      <c r="E1" s="702" t="s">
        <v>317</v>
      </c>
      <c r="F1" s="703"/>
      <c r="G1" s="704"/>
      <c r="H1" s="699" t="s">
        <v>321</v>
      </c>
      <c r="I1" s="696" t="s">
        <v>322</v>
      </c>
      <c r="J1" s="693" t="s">
        <v>43</v>
      </c>
    </row>
    <row r="2" spans="1:18" ht="38.25" thickBot="1">
      <c r="A2" s="69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0"/>
      <c r="I2" s="697"/>
      <c r="J2" s="694"/>
    </row>
    <row r="3" spans="1:18" ht="24" customHeight="1" thickBot="1">
      <c r="A3" s="69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1"/>
      <c r="I3" s="698"/>
      <c r="J3" s="695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0">
        <f>'[2]Swimming Pool quality check '!$A$36</f>
        <v>44651</v>
      </c>
      <c r="B5" s="621">
        <f>'[2]Swimming Pool quality check '!B36</f>
        <v>0</v>
      </c>
      <c r="C5" s="621">
        <f>'[2]Swimming Pool quality check '!C36</f>
        <v>0</v>
      </c>
      <c r="D5" s="621">
        <f>'[2]Swimming Pool quality check '!D36</f>
        <v>0</v>
      </c>
      <c r="E5" s="621">
        <f>'[2]Swimming Pool quality check '!E36</f>
        <v>0</v>
      </c>
      <c r="F5" s="621">
        <f>'[2]Swimming Pool quality check '!F36</f>
        <v>0</v>
      </c>
      <c r="G5" s="621">
        <f>'[2]Swimming Pool quality check '!G36</f>
        <v>0</v>
      </c>
      <c r="H5" s="621">
        <f>'[2]Swimming Pool quality check '!H36</f>
        <v>7046</v>
      </c>
      <c r="I5" s="622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44651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2">
        <f>ELEC!C4</f>
        <v>44652</v>
      </c>
      <c r="B6" s="610"/>
      <c r="C6" s="461"/>
      <c r="D6" s="611">
        <v>0</v>
      </c>
      <c r="E6" s="611">
        <v>0</v>
      </c>
      <c r="F6" s="611">
        <v>0</v>
      </c>
      <c r="G6" s="606">
        <v>0</v>
      </c>
      <c r="H6" s="610">
        <f>H5</f>
        <v>7046</v>
      </c>
      <c r="I6" s="619">
        <f>H6-H5</f>
        <v>0</v>
      </c>
      <c r="J6" s="597">
        <v>0.29166666666666669</v>
      </c>
      <c r="L6" s="99">
        <f t="shared" ref="L6:L33" si="0">A6</f>
        <v>44652</v>
      </c>
      <c r="M6" s="3">
        <f>M5</f>
        <v>6541</v>
      </c>
      <c r="N6" s="477"/>
      <c r="O6" s="477">
        <f>M6+N6</f>
        <v>6541</v>
      </c>
    </row>
    <row r="7" spans="1:18">
      <c r="A7" s="613">
        <f>ELEC!C5</f>
        <v>44653</v>
      </c>
      <c r="B7" s="246"/>
      <c r="C7" s="604"/>
      <c r="D7" s="170">
        <v>0</v>
      </c>
      <c r="E7" s="170">
        <v>0</v>
      </c>
      <c r="F7" s="170">
        <v>0</v>
      </c>
      <c r="G7" s="607">
        <v>0</v>
      </c>
      <c r="H7" s="610">
        <f t="shared" ref="H7:H36" si="1">H6</f>
        <v>7046</v>
      </c>
      <c r="I7" s="477">
        <f>H7-H6</f>
        <v>0</v>
      </c>
      <c r="J7" s="462">
        <v>0.29166666666666669</v>
      </c>
      <c r="L7" s="99">
        <f t="shared" si="0"/>
        <v>44653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3">
        <f>ELEC!C6</f>
        <v>44654</v>
      </c>
      <c r="B8" s="609">
        <v>1</v>
      </c>
      <c r="C8" s="461">
        <v>8</v>
      </c>
      <c r="D8" s="461">
        <v>0</v>
      </c>
      <c r="E8" s="461">
        <v>0</v>
      </c>
      <c r="F8" s="461">
        <v>0</v>
      </c>
      <c r="G8" s="615">
        <v>0</v>
      </c>
      <c r="H8" s="610">
        <v>7049</v>
      </c>
      <c r="I8" s="477">
        <f t="shared" ref="I8:I33" si="4">H8-H7</f>
        <v>3</v>
      </c>
      <c r="J8" s="462">
        <v>0.29166666666666669</v>
      </c>
      <c r="L8" s="99">
        <f t="shared" si="0"/>
        <v>44654</v>
      </c>
      <c r="M8" s="3">
        <f t="shared" si="2"/>
        <v>6541</v>
      </c>
      <c r="N8" s="477"/>
      <c r="O8" s="477">
        <f t="shared" si="3"/>
        <v>6541</v>
      </c>
    </row>
    <row r="9" spans="1:18">
      <c r="A9" s="613">
        <f>ELEC!C7</f>
        <v>44655</v>
      </c>
      <c r="B9" s="593">
        <v>3</v>
      </c>
      <c r="C9" s="604">
        <v>7.9</v>
      </c>
      <c r="D9" s="604">
        <v>0</v>
      </c>
      <c r="E9" s="604">
        <v>0</v>
      </c>
      <c r="F9" s="604">
        <v>0</v>
      </c>
      <c r="G9" s="605">
        <v>0</v>
      </c>
      <c r="H9" s="610">
        <v>7050</v>
      </c>
      <c r="I9" s="477">
        <f t="shared" si="4"/>
        <v>1</v>
      </c>
      <c r="J9" s="462">
        <v>0.25</v>
      </c>
      <c r="L9" s="99">
        <f t="shared" si="0"/>
        <v>44655</v>
      </c>
      <c r="M9" s="3">
        <f t="shared" si="2"/>
        <v>6541</v>
      </c>
      <c r="N9" s="477"/>
      <c r="O9" s="477">
        <f t="shared" si="3"/>
        <v>6541</v>
      </c>
    </row>
    <row r="10" spans="1:18">
      <c r="A10" s="613">
        <f>ELEC!C8</f>
        <v>44656</v>
      </c>
      <c r="B10" s="593">
        <v>3</v>
      </c>
      <c r="C10" s="604">
        <v>7.8</v>
      </c>
      <c r="D10" s="604">
        <v>0</v>
      </c>
      <c r="E10" s="604">
        <v>0</v>
      </c>
      <c r="F10" s="604">
        <v>0</v>
      </c>
      <c r="G10" s="605">
        <v>0</v>
      </c>
      <c r="H10" s="610">
        <v>7052</v>
      </c>
      <c r="I10" s="477">
        <f t="shared" si="4"/>
        <v>2</v>
      </c>
      <c r="J10" s="462">
        <v>0.29166666666666669</v>
      </c>
      <c r="L10" s="99">
        <f t="shared" si="0"/>
        <v>44656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3">
        <f>ELEC!C9</f>
        <v>44657</v>
      </c>
      <c r="B11" s="593"/>
      <c r="C11" s="604"/>
      <c r="D11" s="604">
        <v>0</v>
      </c>
      <c r="E11" s="604">
        <v>0</v>
      </c>
      <c r="F11" s="604">
        <v>0</v>
      </c>
      <c r="G11" s="605">
        <v>0</v>
      </c>
      <c r="H11" s="610">
        <f t="shared" si="1"/>
        <v>7052</v>
      </c>
      <c r="I11" s="477">
        <f t="shared" si="4"/>
        <v>0</v>
      </c>
      <c r="J11" s="462">
        <v>0.29166666666666669</v>
      </c>
      <c r="L11" s="99">
        <f t="shared" si="0"/>
        <v>44657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3">
        <f>ELEC!C10</f>
        <v>44658</v>
      </c>
      <c r="B12" s="593"/>
      <c r="C12" s="604"/>
      <c r="D12" s="604">
        <v>0</v>
      </c>
      <c r="E12" s="604">
        <v>0</v>
      </c>
      <c r="F12" s="604">
        <v>0</v>
      </c>
      <c r="G12" s="605">
        <v>0</v>
      </c>
      <c r="H12" s="610">
        <f t="shared" si="1"/>
        <v>7052</v>
      </c>
      <c r="I12" s="477">
        <f t="shared" si="4"/>
        <v>0</v>
      </c>
      <c r="J12" s="462">
        <v>0.29166666666666669</v>
      </c>
      <c r="L12" s="99">
        <f t="shared" si="0"/>
        <v>44658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3">
        <f>ELEC!C11</f>
        <v>44659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610">
        <f t="shared" si="1"/>
        <v>7052</v>
      </c>
      <c r="I13" s="477">
        <f t="shared" si="4"/>
        <v>0</v>
      </c>
      <c r="J13" s="462">
        <v>0.29166666666666669</v>
      </c>
      <c r="L13" s="99">
        <f t="shared" si="0"/>
        <v>44659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3">
        <f>ELEC!C12</f>
        <v>44660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610">
        <f t="shared" si="1"/>
        <v>7052</v>
      </c>
      <c r="I14" s="477">
        <f t="shared" si="4"/>
        <v>0</v>
      </c>
      <c r="J14" s="462">
        <v>0.29166666666666669</v>
      </c>
      <c r="L14" s="99">
        <f t="shared" si="0"/>
        <v>44660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3">
        <f>ELEC!C13</f>
        <v>44661</v>
      </c>
      <c r="B15" s="593">
        <v>1.5</v>
      </c>
      <c r="C15" s="604">
        <v>8</v>
      </c>
      <c r="D15" s="604">
        <v>0</v>
      </c>
      <c r="E15" s="604">
        <v>0</v>
      </c>
      <c r="F15" s="604">
        <v>0</v>
      </c>
      <c r="G15" s="605">
        <v>0</v>
      </c>
      <c r="H15" s="610">
        <v>7062</v>
      </c>
      <c r="I15" s="477">
        <f t="shared" si="4"/>
        <v>10</v>
      </c>
      <c r="J15" s="462">
        <v>0.29166666666666669</v>
      </c>
      <c r="L15" s="99">
        <f t="shared" si="0"/>
        <v>44661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3">
        <f>ELEC!C14</f>
        <v>44662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610">
        <f t="shared" si="1"/>
        <v>7062</v>
      </c>
      <c r="I16" s="477">
        <f t="shared" si="4"/>
        <v>0</v>
      </c>
      <c r="J16" s="462">
        <v>0.29166666666666669</v>
      </c>
      <c r="L16" s="99">
        <f t="shared" si="0"/>
        <v>44662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3">
        <f>ELEC!C15</f>
        <v>44663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610">
        <f t="shared" si="1"/>
        <v>7062</v>
      </c>
      <c r="I17" s="477">
        <f t="shared" si="4"/>
        <v>0</v>
      </c>
      <c r="J17" s="462">
        <v>0.29166666666666669</v>
      </c>
      <c r="L17" s="99">
        <f t="shared" si="0"/>
        <v>44663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3">
        <f>ELEC!C16</f>
        <v>44664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610">
        <f t="shared" si="1"/>
        <v>7062</v>
      </c>
      <c r="I18" s="477">
        <f t="shared" si="4"/>
        <v>0</v>
      </c>
      <c r="J18" s="462">
        <v>0.29166666666666669</v>
      </c>
      <c r="L18" s="99">
        <f t="shared" si="0"/>
        <v>44664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3">
        <f>ELEC!C17</f>
        <v>44665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610">
        <f t="shared" si="1"/>
        <v>7062</v>
      </c>
      <c r="I19" s="477">
        <f t="shared" si="4"/>
        <v>0</v>
      </c>
      <c r="J19" s="462">
        <v>0.29166666666666669</v>
      </c>
      <c r="L19" s="99">
        <f t="shared" si="0"/>
        <v>44665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3">
        <f>ELEC!C18</f>
        <v>44666</v>
      </c>
      <c r="B20" s="593"/>
      <c r="C20" s="604"/>
      <c r="D20" s="604">
        <v>0</v>
      </c>
      <c r="E20" s="604">
        <v>0</v>
      </c>
      <c r="F20" s="604">
        <v>0</v>
      </c>
      <c r="G20" s="605">
        <v>0</v>
      </c>
      <c r="H20" s="610">
        <f t="shared" si="1"/>
        <v>7062</v>
      </c>
      <c r="I20" s="477">
        <f t="shared" si="4"/>
        <v>0</v>
      </c>
      <c r="J20" s="462">
        <v>0.29166666666666669</v>
      </c>
      <c r="L20" s="99">
        <f t="shared" si="0"/>
        <v>44666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3">
        <f>ELEC!C19</f>
        <v>44667</v>
      </c>
      <c r="B21" s="593"/>
      <c r="C21" s="604"/>
      <c r="D21" s="604">
        <v>0</v>
      </c>
      <c r="E21" s="604">
        <v>0</v>
      </c>
      <c r="F21" s="604">
        <v>0</v>
      </c>
      <c r="G21" s="605">
        <v>0</v>
      </c>
      <c r="H21" s="610">
        <f t="shared" si="1"/>
        <v>7062</v>
      </c>
      <c r="I21" s="477">
        <f t="shared" si="4"/>
        <v>0</v>
      </c>
      <c r="J21" s="535" t="s">
        <v>409</v>
      </c>
      <c r="L21" s="99">
        <f t="shared" si="0"/>
        <v>44667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3">
        <f>ELEC!C20</f>
        <v>44668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610">
        <f t="shared" si="1"/>
        <v>7062</v>
      </c>
      <c r="I22" s="477">
        <f t="shared" si="4"/>
        <v>0</v>
      </c>
      <c r="J22" s="462">
        <v>0.29166666666666669</v>
      </c>
      <c r="L22" s="99">
        <f t="shared" si="0"/>
        <v>44668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3">
        <f>ELEC!C21</f>
        <v>44669</v>
      </c>
      <c r="B23" s="593"/>
      <c r="C23" s="604"/>
      <c r="D23" s="604">
        <v>0</v>
      </c>
      <c r="E23" s="604">
        <v>0</v>
      </c>
      <c r="F23" s="604">
        <v>0</v>
      </c>
      <c r="G23" s="605">
        <v>0</v>
      </c>
      <c r="H23" s="610">
        <f t="shared" si="1"/>
        <v>7062</v>
      </c>
      <c r="I23" s="477">
        <f t="shared" si="4"/>
        <v>0</v>
      </c>
      <c r="J23" s="462">
        <v>0.29166666666666669</v>
      </c>
      <c r="L23" s="99">
        <f t="shared" si="0"/>
        <v>44669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3">
        <f>ELEC!C22</f>
        <v>44670</v>
      </c>
      <c r="B24" s="593"/>
      <c r="C24" s="604"/>
      <c r="D24" s="604">
        <v>0</v>
      </c>
      <c r="E24" s="604">
        <v>0</v>
      </c>
      <c r="F24" s="604">
        <v>0</v>
      </c>
      <c r="G24" s="605">
        <v>0</v>
      </c>
      <c r="H24" s="610">
        <f t="shared" si="1"/>
        <v>7062</v>
      </c>
      <c r="I24" s="477">
        <f t="shared" si="4"/>
        <v>0</v>
      </c>
      <c r="J24" s="462">
        <v>0.29166666666666702</v>
      </c>
      <c r="L24" s="99">
        <f t="shared" si="0"/>
        <v>44670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3">
        <f>ELEC!C23</f>
        <v>44671</v>
      </c>
      <c r="B25" s="593"/>
      <c r="C25" s="604"/>
      <c r="D25" s="604">
        <v>0</v>
      </c>
      <c r="E25" s="604">
        <v>0</v>
      </c>
      <c r="F25" s="604">
        <v>0</v>
      </c>
      <c r="G25" s="605">
        <v>0</v>
      </c>
      <c r="H25" s="610">
        <f t="shared" si="1"/>
        <v>7062</v>
      </c>
      <c r="I25" s="477">
        <f t="shared" si="4"/>
        <v>0</v>
      </c>
      <c r="J25" s="462">
        <v>0.29166666666666702</v>
      </c>
      <c r="L25" s="99">
        <f t="shared" si="0"/>
        <v>44671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3">
        <f>ELEC!C24</f>
        <v>44672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610">
        <f t="shared" si="1"/>
        <v>7062</v>
      </c>
      <c r="I26" s="477">
        <f t="shared" si="4"/>
        <v>0</v>
      </c>
      <c r="J26" s="462">
        <v>0.29166666666666702</v>
      </c>
      <c r="L26" s="99">
        <f t="shared" si="0"/>
        <v>44672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3">
        <f>ELEC!C25</f>
        <v>44673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610">
        <f t="shared" si="1"/>
        <v>7062</v>
      </c>
      <c r="I27" s="477">
        <f t="shared" si="4"/>
        <v>0</v>
      </c>
      <c r="J27" s="462">
        <v>0.29166666666666702</v>
      </c>
      <c r="L27" s="99">
        <f t="shared" si="0"/>
        <v>44673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3">
        <f>ELEC!C26</f>
        <v>44674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610">
        <f t="shared" si="1"/>
        <v>7062</v>
      </c>
      <c r="I28" s="477">
        <f t="shared" si="4"/>
        <v>0</v>
      </c>
      <c r="J28" s="463">
        <v>0.29166666666666702</v>
      </c>
      <c r="L28" s="99">
        <f t="shared" si="0"/>
        <v>44674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3">
        <f>ELEC!C27</f>
        <v>44675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610">
        <f t="shared" si="1"/>
        <v>7062</v>
      </c>
      <c r="I29" s="477">
        <f t="shared" si="4"/>
        <v>0</v>
      </c>
      <c r="J29" s="462">
        <v>0.29166666666666702</v>
      </c>
      <c r="L29" s="99">
        <f t="shared" si="0"/>
        <v>44675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3">
        <f>ELEC!C28</f>
        <v>44676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610">
        <f t="shared" si="1"/>
        <v>7062</v>
      </c>
      <c r="I30" s="477">
        <f t="shared" si="4"/>
        <v>0</v>
      </c>
      <c r="J30" s="462">
        <v>0.29166666666666702</v>
      </c>
      <c r="L30" s="99">
        <f t="shared" si="0"/>
        <v>44676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3">
        <f>ELEC!C29</f>
        <v>44677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610">
        <f t="shared" si="1"/>
        <v>7062</v>
      </c>
      <c r="I31" s="477">
        <f t="shared" si="4"/>
        <v>0</v>
      </c>
      <c r="J31" s="462">
        <v>0.29166666666666702</v>
      </c>
      <c r="L31" s="99">
        <f t="shared" si="0"/>
        <v>44677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3">
        <f>ELEC!C30</f>
        <v>44678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610">
        <f t="shared" si="1"/>
        <v>7062</v>
      </c>
      <c r="I32" s="477">
        <f t="shared" si="4"/>
        <v>0</v>
      </c>
      <c r="J32" s="462">
        <v>0.29166666666666702</v>
      </c>
      <c r="L32" s="99">
        <f t="shared" si="0"/>
        <v>44678</v>
      </c>
      <c r="M32" s="3">
        <f t="shared" si="2"/>
        <v>6541</v>
      </c>
      <c r="N32" s="477"/>
      <c r="O32" s="477">
        <v>6879</v>
      </c>
    </row>
    <row r="33" spans="1:15">
      <c r="A33" s="613">
        <f>ELEC!C31</f>
        <v>44679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610">
        <f t="shared" si="1"/>
        <v>7062</v>
      </c>
      <c r="I33" s="477">
        <f t="shared" si="4"/>
        <v>0</v>
      </c>
      <c r="J33" s="462">
        <v>0.29166666666666702</v>
      </c>
      <c r="L33" s="99">
        <f t="shared" si="0"/>
        <v>44679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3">
        <f>ELEC!C32</f>
        <v>44680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610">
        <f t="shared" si="1"/>
        <v>7062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44680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3">
        <f>ELEC!C33</f>
        <v>44681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610">
        <f t="shared" si="1"/>
        <v>7062</v>
      </c>
      <c r="I35" s="477">
        <f t="shared" si="5"/>
        <v>0</v>
      </c>
      <c r="J35" s="462">
        <v>0.375</v>
      </c>
      <c r="L35" s="99">
        <f t="shared" si="6"/>
        <v>44681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4">
        <f>ELEC!C34</f>
        <v>44682</v>
      </c>
      <c r="B36" s="595"/>
      <c r="C36" s="596"/>
      <c r="D36" s="596">
        <v>0</v>
      </c>
      <c r="E36" s="596">
        <v>0</v>
      </c>
      <c r="F36" s="596">
        <v>0</v>
      </c>
      <c r="G36" s="616">
        <v>0</v>
      </c>
      <c r="H36" s="610">
        <f t="shared" si="1"/>
        <v>7062</v>
      </c>
      <c r="I36" s="617">
        <f t="shared" si="5"/>
        <v>0</v>
      </c>
      <c r="J36" s="618">
        <v>0.41666666666666702</v>
      </c>
      <c r="L36" s="99">
        <f t="shared" si="6"/>
        <v>44682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R25" sqref="R25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6" t="s">
        <v>161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  <c r="R1" s="706"/>
      <c r="S1" s="706"/>
      <c r="T1" s="706"/>
      <c r="U1" s="706"/>
      <c r="V1" s="706"/>
      <c r="W1" s="706"/>
      <c r="X1" s="706"/>
    </row>
    <row r="2" spans="1:28" ht="19.5">
      <c r="A2" s="707"/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  <c r="U2" s="707"/>
      <c r="V2" s="707"/>
      <c r="W2" s="707"/>
      <c r="X2" s="707"/>
    </row>
    <row r="3" spans="1:28" ht="19.5">
      <c r="A3" s="707" t="s">
        <v>162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707"/>
      <c r="R3" s="707"/>
      <c r="S3" s="707"/>
      <c r="T3" s="707"/>
      <c r="U3" s="707"/>
      <c r="V3" s="707"/>
      <c r="W3" s="707"/>
      <c r="X3" s="70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7" t="s">
        <v>404</v>
      </c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707"/>
      <c r="P5" s="707"/>
      <c r="Q5" s="707"/>
      <c r="R5" s="707"/>
      <c r="S5" s="707"/>
      <c r="T5" s="707"/>
      <c r="U5" s="707"/>
      <c r="V5" s="707"/>
      <c r="W5" s="707"/>
      <c r="X5" s="707"/>
    </row>
    <row r="6" spans="1:28" ht="15.75" thickBot="1">
      <c r="A6" s="708"/>
      <c r="B6" s="708"/>
      <c r="C6" s="708"/>
      <c r="D6" s="708"/>
      <c r="E6" s="708"/>
      <c r="F6" s="708"/>
      <c r="G6" s="708"/>
      <c r="H6" s="708"/>
      <c r="I6" s="708"/>
      <c r="J6" s="708"/>
      <c r="K6" s="708"/>
      <c r="L6" s="708"/>
      <c r="M6" s="708"/>
      <c r="N6" s="708"/>
      <c r="O6" s="708"/>
      <c r="P6" s="708"/>
      <c r="Q6" s="708"/>
      <c r="R6" s="708"/>
      <c r="S6" s="708"/>
      <c r="T6" s="708"/>
      <c r="U6" s="708"/>
      <c r="V6" s="708"/>
      <c r="W6" s="708"/>
      <c r="X6" s="708"/>
    </row>
    <row r="7" spans="1:28" ht="15.75" thickBot="1">
      <c r="A7" s="710" t="s">
        <v>163</v>
      </c>
      <c r="B7" s="711"/>
      <c r="C7" s="712" t="s">
        <v>164</v>
      </c>
      <c r="D7" s="713"/>
      <c r="E7" s="713"/>
      <c r="F7" s="713"/>
      <c r="G7" s="713"/>
      <c r="H7" s="713"/>
      <c r="I7" s="713"/>
      <c r="J7" s="713"/>
      <c r="K7" s="71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'[2]Degree Days 2022'!J10</f>
        <v>17</v>
      </c>
      <c r="K10" s="261">
        <f>'[2]Degree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'General information '!B5</f>
        <v>0</v>
      </c>
      <c r="O10" s="261">
        <f>'General information '!C5</f>
        <v>0</v>
      </c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'[2]Degree Days 2022'!J11</f>
        <v>24</v>
      </c>
      <c r="K11" s="261">
        <f>'[2]Degree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'General information '!B6</f>
        <v>0</v>
      </c>
      <c r="O11" s="261">
        <f>'General information '!C6</f>
        <v>0</v>
      </c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17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'[2]Degree Days 2022'!J12</f>
        <v>20</v>
      </c>
      <c r="K12" s="261">
        <f>'[2]Degree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'General information '!B7</f>
        <v>24</v>
      </c>
      <c r="O12" s="261">
        <f>'General information '!C7</f>
        <v>17</v>
      </c>
      <c r="P12" s="261">
        <f t="shared" si="0"/>
        <v>2.1999999999999993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16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'[2]Degree Days 2022'!J13</f>
        <v>0</v>
      </c>
      <c r="K13" s="261">
        <f>'[2]Degree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'General information '!B8</f>
        <v>24</v>
      </c>
      <c r="O13" s="261">
        <f>'General information '!C8</f>
        <v>16</v>
      </c>
      <c r="P13" s="261">
        <f t="shared" si="0"/>
        <v>1.6999999999999993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-366.30000000000013</v>
      </c>
      <c r="AB13" s="261">
        <f>O43</f>
        <v>16.899999999999995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16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'[2]Degree Days 2022'!J14</f>
        <v>0</v>
      </c>
      <c r="K14" s="261">
        <f>'[2]Degree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'General information '!B9</f>
        <v>30</v>
      </c>
      <c r="O14" s="261">
        <f>'General information '!C9</f>
        <v>16</v>
      </c>
      <c r="P14" s="261">
        <f t="shared" si="0"/>
        <v>4.6999999999999993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18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'[2]Degree Days 2022'!J15</f>
        <v>22</v>
      </c>
      <c r="K15" s="261">
        <f>'[2]Degree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'General information '!B10</f>
        <v>34</v>
      </c>
      <c r="O15" s="261">
        <f>'General information '!C10</f>
        <v>18</v>
      </c>
      <c r="P15" s="261">
        <f t="shared" si="0"/>
        <v>7.6999999999999993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16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'[2]Degree Days 2022'!J16</f>
        <v>17</v>
      </c>
      <c r="K16" s="261">
        <f>'[2]Degree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'General information '!B11</f>
        <v>21</v>
      </c>
      <c r="O16" s="261">
        <f>'General information '!C11</f>
        <v>16</v>
      </c>
      <c r="P16" s="261">
        <f t="shared" si="0"/>
        <v>0.19999999999999929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0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'[2]Degree Days 2022'!J17</f>
        <v>8</v>
      </c>
      <c r="K17" s="261">
        <f>'[2]Degree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'General information '!B12</f>
        <v>0</v>
      </c>
      <c r="O17" s="261">
        <f>'General information '!C12</f>
        <v>0</v>
      </c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'[2]Degree Days 2022'!J18</f>
        <v>16</v>
      </c>
      <c r="K18" s="261">
        <f>'[2]Degree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'General information '!B13</f>
        <v>0</v>
      </c>
      <c r="O18" s="261">
        <f>'General information '!C13</f>
        <v>0</v>
      </c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15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'[2]Degree Days 2022'!J19</f>
        <v>14</v>
      </c>
      <c r="K19" s="261">
        <f>'[2]Degree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'General information '!B14</f>
        <v>22</v>
      </c>
      <c r="O19" s="261">
        <f>'General information '!C14</f>
        <v>15</v>
      </c>
      <c r="P19" s="261">
        <f t="shared" si="0"/>
        <v>0.19999999999999929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16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'[2]Degree Days 2022'!J20</f>
        <v>14</v>
      </c>
      <c r="K20" s="261">
        <f>'[2]Degree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'General information '!B15</f>
        <v>21</v>
      </c>
      <c r="O20" s="261">
        <f>'General information '!C15</f>
        <v>16</v>
      </c>
      <c r="P20" s="261">
        <f t="shared" si="0"/>
        <v>0.19999999999999929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16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'[2]Degree Days 2022'!J21</f>
        <v>0</v>
      </c>
      <c r="K21" s="261">
        <f>'[2]Degree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'General information '!B16</f>
        <v>20</v>
      </c>
      <c r="O21" s="261">
        <f>'General information '!C16</f>
        <v>16</v>
      </c>
      <c r="P21" s="261">
        <f t="shared" si="0"/>
        <v>-0.30000000000000071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'[2]Degree Days 2022'!J22</f>
        <v>13</v>
      </c>
      <c r="K22" s="261">
        <f>'[2]Degree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'General information '!B17</f>
        <v>0</v>
      </c>
      <c r="O22" s="261">
        <f>'General information '!C17</f>
        <v>0</v>
      </c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'[2]Degree Days 2022'!J23</f>
        <v>12</v>
      </c>
      <c r="K23" s="261">
        <f>'[2]Degree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'General information '!B18</f>
        <v>0</v>
      </c>
      <c r="O23" s="261">
        <f>'General information '!C18</f>
        <v>0</v>
      </c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-1104.1000000000004</v>
      </c>
      <c r="AB23" s="134">
        <f>SUM(AB10:AB22)</f>
        <v>37.699999999999982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'[2]Degree Days 2022'!J24</f>
        <v>10</v>
      </c>
      <c r="K24" s="261">
        <f>'[2]Degree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'General information '!B19</f>
        <v>0</v>
      </c>
      <c r="O24" s="261">
        <f>'General information '!C19</f>
        <v>0</v>
      </c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'[2]Degree Days 2022'!J25</f>
        <v>0</v>
      </c>
      <c r="K25" s="261">
        <f>'[2]Degree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'General information '!B20</f>
        <v>0</v>
      </c>
      <c r="O25" s="261">
        <f>'General information '!C20</f>
        <v>0</v>
      </c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'[2]Degree Days 2022'!J26</f>
        <v>16</v>
      </c>
      <c r="K26" s="261">
        <f>'[2]Degree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'General information '!B21</f>
        <v>0</v>
      </c>
      <c r="O26" s="261">
        <f>'General information '!C21</f>
        <v>0</v>
      </c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'[2]Degree Days 2022'!J27</f>
        <v>0</v>
      </c>
      <c r="K27" s="261">
        <f>'[2]Degree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'General information '!B22</f>
        <v>0</v>
      </c>
      <c r="O27" s="261">
        <f>'General information '!C22</f>
        <v>0</v>
      </c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'[2]Degree Days 2022'!J28</f>
        <v>0</v>
      </c>
      <c r="K28" s="261">
        <f>'[2]Degree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'General information '!B23</f>
        <v>0</v>
      </c>
      <c r="O28" s="261">
        <f>'General information '!C23</f>
        <v>0</v>
      </c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'[2]Degree Days 2022'!J29</f>
        <v>11</v>
      </c>
      <c r="K29" s="261">
        <f>'[2]Degree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'General information '!B24</f>
        <v>0</v>
      </c>
      <c r="O29" s="261">
        <f>'General information '!C24</f>
        <v>0</v>
      </c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'[2]Degree Days 2022'!J30</f>
        <v>14</v>
      </c>
      <c r="K30" s="261">
        <f>'[2]Degree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'General information '!B25</f>
        <v>0</v>
      </c>
      <c r="O30" s="261">
        <f>'General information '!C25</f>
        <v>0</v>
      </c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'[2]Degree Days 2022'!J31</f>
        <v>15</v>
      </c>
      <c r="K31" s="261">
        <f>'[2]Degree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'General information '!B26</f>
        <v>0</v>
      </c>
      <c r="O31" s="261">
        <f>'General information '!C26</f>
        <v>0</v>
      </c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'[2]Degree Days 2022'!J32</f>
        <v>15</v>
      </c>
      <c r="K32" s="261">
        <f>'[2]Degree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'General information '!B27</f>
        <v>0</v>
      </c>
      <c r="O32" s="261">
        <f>'General information '!C27</f>
        <v>0</v>
      </c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'[2]Degree Days 2022'!J33</f>
        <v>13</v>
      </c>
      <c r="K33" s="261">
        <f>'[2]Degree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'General information '!B28</f>
        <v>0</v>
      </c>
      <c r="O33" s="261">
        <f>'General information '!C28</f>
        <v>0</v>
      </c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'[2]Degree Days 2022'!J34</f>
        <v>0</v>
      </c>
      <c r="K34" s="261">
        <f>'[2]Degree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'General information '!B29</f>
        <v>0</v>
      </c>
      <c r="O34" s="261">
        <f>'General information '!C29</f>
        <v>0</v>
      </c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'[2]Degree Days 2022'!J35</f>
        <v>0</v>
      </c>
      <c r="K35" s="261">
        <f>'[2]Degree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'General information '!B30</f>
        <v>0</v>
      </c>
      <c r="O35" s="261">
        <f>'General information '!C30</f>
        <v>0</v>
      </c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'[2]Degree Days 2022'!J36</f>
        <v>18</v>
      </c>
      <c r="K36" s="261">
        <f>'[2]Degree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'General information '!B31</f>
        <v>0</v>
      </c>
      <c r="O36" s="261">
        <f>'General information '!C31</f>
        <v>0</v>
      </c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'[2]Degree Days 2022'!J37</f>
        <v>18</v>
      </c>
      <c r="K37" s="261">
        <f>'[2]Degree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'General information '!B32</f>
        <v>0</v>
      </c>
      <c r="O37" s="261">
        <f>'General information '!C32</f>
        <v>0</v>
      </c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'[2]Degree Days 2022'!J38</f>
        <v>22</v>
      </c>
      <c r="K38" s="261">
        <f>'[2]Degree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'General information '!B33</f>
        <v>0</v>
      </c>
      <c r="O38" s="261">
        <f>'General information '!C33</f>
        <v>0</v>
      </c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'[2]Degree Days 2022'!J39</f>
        <v>19</v>
      </c>
      <c r="K39" s="261">
        <f>'[2]Degree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'General information '!B34</f>
        <v>0</v>
      </c>
      <c r="O39" s="261">
        <f>'General information '!C34</f>
        <v>0</v>
      </c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'[2]Degree Days 2022'!J40</f>
        <v>21</v>
      </c>
      <c r="K40" s="261">
        <f>'[2]Degree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-366.30000000000013</v>
      </c>
      <c r="O43" s="119">
        <f>SUMIF(P10:P37,"&gt;0")</f>
        <v>16.899999999999995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5" t="s">
        <v>174</v>
      </c>
      <c r="O84" s="715" t="s">
        <v>175</v>
      </c>
      <c r="P84" s="134"/>
      <c r="T84" s="134"/>
      <c r="X84" s="134"/>
    </row>
    <row r="85" spans="1:24" ht="20.25" thickBot="1">
      <c r="D85" s="134"/>
      <c r="I85" s="717" t="s">
        <v>182</v>
      </c>
      <c r="J85" s="718"/>
      <c r="K85" s="718"/>
      <c r="L85" s="718"/>
      <c r="N85" s="716"/>
      <c r="O85" s="716"/>
      <c r="P85" s="134"/>
      <c r="R85" s="17"/>
      <c r="S85" s="17"/>
      <c r="T85" s="140"/>
      <c r="U85" s="141"/>
      <c r="X85" s="134"/>
    </row>
    <row r="86" spans="1:24" ht="18.75" thickBot="1">
      <c r="D86" s="134"/>
      <c r="I86" s="719" t="s">
        <v>183</v>
      </c>
      <c r="J86" s="719"/>
      <c r="K86" s="719"/>
      <c r="L86" s="719"/>
      <c r="N86" s="142">
        <f>B43+F43+J43+N43+R43+V43+B81+F81+J81+N81+R81+V81</f>
        <v>-4968.1000000000013</v>
      </c>
      <c r="O86" s="142">
        <f>C43+G43+K43+O43+S43+W43+C81+G81+K81+O81+S81+W81</f>
        <v>37.499999999999986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  <c r="M88" s="709"/>
      <c r="N88" s="709"/>
      <c r="O88" s="709"/>
      <c r="P88" s="709"/>
      <c r="Q88" s="709"/>
      <c r="R88" s="709"/>
      <c r="S88" s="709"/>
      <c r="T88" s="709"/>
      <c r="U88" s="709"/>
      <c r="V88" s="709"/>
      <c r="W88" s="70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H15" sqref="H15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214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44673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12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95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15182</v>
      </c>
      <c r="C8" s="466">
        <f>SUM(tanks!AU37)</f>
        <v>1.0103333333333333</v>
      </c>
      <c r="D8" s="191">
        <f>SUM(B8*C8)*D4</f>
        <v>23123362.605</v>
      </c>
      <c r="E8" s="192">
        <f>SUM(D8/D4/F4)</f>
        <v>511.29602222222223</v>
      </c>
      <c r="F8" s="192">
        <f>SUM(E8*F4)</f>
        <v>15338.880666666668</v>
      </c>
      <c r="G8" s="570">
        <f>E8*$G$4</f>
        <v>6135.5522666666666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1321</v>
      </c>
      <c r="C10" s="181"/>
      <c r="D10" s="183">
        <f>'EDl log'!AB30</f>
        <v>7379405</v>
      </c>
      <c r="E10" s="182">
        <f>SUM(D10/D4/F4)</f>
        <v>163.17092316196795</v>
      </c>
      <c r="F10" s="182">
        <f>SUM(E10*F4)</f>
        <v>4895.1276948590385</v>
      </c>
      <c r="G10" s="478">
        <f>E10*$G$4</f>
        <v>1958.0510779436154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947.8002787175235</v>
      </c>
      <c r="F12" s="180">
        <f>SUM(F6:F10)</f>
        <v>28434.008361525706</v>
      </c>
      <c r="G12" s="179">
        <f>SUM(G6:G10)</f>
        <v>16293.603344610281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'!$B$14</f>
        <v>-30.300000000000008</v>
      </c>
      <c r="D14" s="170"/>
      <c r="E14" s="416">
        <f>B14-C14</f>
        <v>30.300000000000008</v>
      </c>
      <c r="F14" s="477">
        <v>0</v>
      </c>
      <c r="G14" s="405"/>
      <c r="H14" s="406">
        <f>SUM(G12-H12)</f>
        <v>-63835.296655389713</v>
      </c>
      <c r="I14" s="406">
        <f>SUM(G12-I12)</f>
        <v>-34950.316375819828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'!$B$15</f>
        <v>45.40000000000002</v>
      </c>
      <c r="D15" s="170"/>
      <c r="E15" s="416">
        <f>B15-C15</f>
        <v>-594.40000000000009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32.6</v>
      </c>
      <c r="C16" s="415">
        <f>'[14]Utility Cost '!$B$16</f>
        <v>17.583333333333332</v>
      </c>
      <c r="D16" s="415"/>
      <c r="E16" s="576">
        <f>B16-C16</f>
        <v>15.016666666666669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'[14]Utility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97</v>
      </c>
      <c r="C18" s="416">
        <f>'[14]Utility Cost '!$B$18</f>
        <v>240</v>
      </c>
      <c r="D18" s="413">
        <f>'[15]Other Fuel Calculation 2021'!$G$116</f>
        <v>202.66666666666666</v>
      </c>
      <c r="E18" s="492">
        <f>B18-C18</f>
        <v>-143</v>
      </c>
      <c r="F18" s="495">
        <f>B18-D18</f>
        <v>-105.66666666666666</v>
      </c>
    </row>
    <row r="19" spans="1:10">
      <c r="A19" s="489" t="s">
        <v>412</v>
      </c>
      <c r="B19" s="493">
        <f>GEN!AL34</f>
        <v>9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10.777777777777779</v>
      </c>
      <c r="C20" s="603">
        <f>'[14]Utility Cost '!$B$19</f>
        <v>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2022-04-14T06:36:24Z</dcterms:modified>
</cp:coreProperties>
</file>