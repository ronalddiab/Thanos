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/>
  <c r="AB36" i="7"/>
  <c r="AQ36" i="7" s="1"/>
  <c r="AA36" i="7"/>
  <c r="O31" i="9"/>
  <c r="Z36" i="7"/>
  <c r="N31" i="9" s="1"/>
  <c r="Y36" i="7"/>
  <c r="M31" i="9"/>
  <c r="X36" i="7"/>
  <c r="W36" i="7"/>
  <c r="K31" i="9"/>
  <c r="AL36" i="7"/>
  <c r="V36" i="7"/>
  <c r="AK36" i="7" s="1"/>
  <c r="U36" i="7"/>
  <c r="I31" i="9"/>
  <c r="T36" i="7"/>
  <c r="S36" i="7"/>
  <c r="AH36" i="7"/>
  <c r="R36" i="7"/>
  <c r="AG36" i="7" s="1"/>
  <c r="Q36" i="7"/>
  <c r="AF36" i="7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K23" i="9"/>
  <c r="X28" i="7"/>
  <c r="L23" i="9" s="1"/>
  <c r="Y28" i="7"/>
  <c r="AN28" i="7"/>
  <c r="Z28" i="7"/>
  <c r="AO28" i="7"/>
  <c r="AA28" i="7"/>
  <c r="AB28" i="7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/>
  <c r="T34" i="7"/>
  <c r="H29" i="9" s="1"/>
  <c r="AI34" i="7"/>
  <c r="U34" i="7"/>
  <c r="AJ34" i="7"/>
  <c r="V34" i="7"/>
  <c r="AK34" i="7" s="1"/>
  <c r="W34" i="7"/>
  <c r="AL34" i="7" s="1"/>
  <c r="X34" i="7"/>
  <c r="AM34" i="7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/>
  <c r="S35" i="7"/>
  <c r="G30" i="9" s="1"/>
  <c r="T35" i="7"/>
  <c r="H30" i="9"/>
  <c r="U35" i="7"/>
  <c r="I30" i="9" s="1"/>
  <c r="V35" i="7"/>
  <c r="J30" i="9"/>
  <c r="W35" i="7"/>
  <c r="K30" i="9"/>
  <c r="X35" i="7"/>
  <c r="AM35" i="7"/>
  <c r="Y35" i="7"/>
  <c r="AN35" i="7"/>
  <c r="Z35" i="7"/>
  <c r="N30" i="9"/>
  <c r="AA35" i="7"/>
  <c r="O30" i="9"/>
  <c r="AB35" i="7"/>
  <c r="P30" i="9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E29" i="9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/>
  <c r="AK20" i="7"/>
  <c r="AH22" i="7"/>
  <c r="AI25" i="7"/>
  <c r="R28" i="9"/>
  <c r="G28" i="5" s="1"/>
  <c r="F20" i="9"/>
  <c r="N23" i="9"/>
  <c r="N28" i="9"/>
  <c r="AO36" i="7"/>
  <c r="T20" i="7"/>
  <c r="T21" i="7"/>
  <c r="AI21" i="7" s="1"/>
  <c r="F22" i="9"/>
  <c r="AP27" i="7"/>
  <c r="AW17" i="7"/>
  <c r="G18" i="9"/>
  <c r="AR22" i="7"/>
  <c r="F25" i="9"/>
  <c r="AG21" i="7"/>
  <c r="AN20" i="7"/>
  <c r="L4" i="9"/>
  <c r="K21" i="9"/>
  <c r="AG19" i="7"/>
  <c r="I27" i="9"/>
  <c r="Q30" i="9"/>
  <c r="O6" i="9"/>
  <c r="AP20" i="7"/>
  <c r="AW25" i="7"/>
  <c r="AJ35" i="7"/>
  <c r="AO31" i="7"/>
  <c r="AH21" i="7"/>
  <c r="AO11" i="7"/>
  <c r="AL10" i="7"/>
  <c r="AI31" i="7"/>
  <c r="N19" i="9"/>
  <c r="AO24" i="7"/>
  <c r="AL21" i="7"/>
  <c r="M23" i="9"/>
  <c r="AQ24" i="7"/>
  <c r="R19" i="9"/>
  <c r="G19" i="5" s="1"/>
  <c r="K26" i="9"/>
  <c r="AJ30" i="7"/>
  <c r="I15" i="9"/>
  <c r="K7" i="9"/>
  <c r="AN27" i="7"/>
  <c r="AM7" i="7"/>
  <c r="R22" i="9"/>
  <c r="G22" i="5" s="1"/>
  <c r="R29" i="9"/>
  <c r="G29" i="5"/>
  <c r="L29" i="9"/>
  <c r="AG15" i="7"/>
  <c r="AL19" i="7"/>
  <c r="F14" i="9"/>
  <c r="AM22" i="7"/>
  <c r="F19" i="9"/>
  <c r="AN9" i="7"/>
  <c r="AN36" i="7"/>
  <c r="AN25" i="7"/>
  <c r="F31" i="9"/>
  <c r="I29" i="9"/>
  <c r="AO29" i="7"/>
  <c r="AN21" i="7"/>
  <c r="AI14" i="7"/>
  <c r="L5" i="9"/>
  <c r="AP10" i="7"/>
  <c r="AR12" i="7"/>
  <c r="AN14" i="7"/>
  <c r="H9" i="9"/>
  <c r="N12" i="9"/>
  <c r="K12" i="9"/>
  <c r="AK17" i="7"/>
  <c r="P17" i="9"/>
  <c r="R10" i="9"/>
  <c r="G10" i="5" s="1"/>
  <c r="AW15" i="7"/>
  <c r="J22" i="9"/>
  <c r="K20" i="9"/>
  <c r="K11" i="9"/>
  <c r="AL16" i="7"/>
  <c r="AP13" i="7"/>
  <c r="H21" i="9"/>
  <c r="AP36" i="7"/>
  <c r="AH15" i="7"/>
  <c r="AN11" i="7"/>
  <c r="AP35" i="7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P18" i="9"/>
  <c r="H18" i="9"/>
  <c r="F17" i="9"/>
  <c r="AN23" i="7"/>
  <c r="Q20" i="9"/>
  <c r="Q19" i="9"/>
  <c r="AP24" i="7"/>
  <c r="AK24" i="7"/>
  <c r="AJ24" i="7"/>
  <c r="G19" i="9"/>
  <c r="Q21" i="9"/>
  <c r="AI26" i="7"/>
  <c r="P21" i="9"/>
  <c r="AM28" i="7"/>
  <c r="Q24" i="9"/>
  <c r="O23" i="9"/>
  <c r="AP28" i="7"/>
  <c r="H24" i="9"/>
  <c r="AH29" i="7"/>
  <c r="N24" i="9"/>
  <c r="H25" i="9"/>
  <c r="F24" i="9"/>
  <c r="AR31" i="7"/>
  <c r="N27" i="9"/>
  <c r="AM30" i="7"/>
  <c r="J26" i="9"/>
  <c r="G26" i="9"/>
  <c r="Q28" i="9"/>
  <c r="AL32" i="7"/>
  <c r="AL33" i="7"/>
  <c r="AG33" i="7"/>
  <c r="F27" i="9"/>
  <c r="M28" i="9"/>
  <c r="AJ33" i="7"/>
  <c r="AO35" i="7"/>
  <c r="N29" i="9"/>
  <c r="L30" i="9"/>
  <c r="AH35" i="7"/>
  <c r="G29" i="9"/>
  <c r="F30" i="9"/>
  <c r="R30" i="9"/>
  <c r="G30" i="5" s="1"/>
  <c r="AR36" i="7"/>
  <c r="M30" i="9"/>
  <c r="AL35" i="7"/>
  <c r="AK35" i="7"/>
  <c r="J31" i="9"/>
  <c r="E31" i="9"/>
  <c r="P31" i="9"/>
  <c r="G31" i="9"/>
  <c r="AW10" i="7"/>
  <c r="R21" i="9"/>
  <c r="G21" i="5" s="1"/>
  <c r="AO18" i="7"/>
  <c r="AJ36" i="7"/>
  <c r="AQ35" i="7"/>
  <c r="P26" i="9"/>
  <c r="AN34" i="7"/>
  <c r="K25" i="9"/>
  <c r="AG10" i="7"/>
  <c r="G5" i="9"/>
  <c r="P22" i="9"/>
  <c r="AQ28" i="7"/>
  <c r="P23" i="9"/>
  <c r="AI35" i="7"/>
  <c r="AF34" i="7"/>
  <c r="AN8" i="7"/>
  <c r="P25" i="9"/>
  <c r="M10" i="9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Q29" i="9" l="1"/>
  <c r="AQ34" i="7"/>
  <c r="AP34" i="7"/>
  <c r="K29" i="9"/>
  <c r="J29" i="9"/>
  <c r="AD34" i="7"/>
  <c r="AG34" i="7"/>
  <c r="AS34" i="7"/>
  <c r="E29" i="5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E27" i="5" s="1"/>
  <c r="AH32" i="7"/>
  <c r="AG31" i="7"/>
  <c r="N25" i="9"/>
  <c r="M25" i="9"/>
  <c r="AM31" i="7"/>
  <c r="AH30" i="7"/>
  <c r="AF31" i="7"/>
  <c r="AF30" i="7"/>
  <c r="AS30" i="7" s="1"/>
  <c r="O24" i="9"/>
  <c r="K24" i="9"/>
  <c r="AJ29" i="7"/>
  <c r="E24" i="9"/>
  <c r="AD30" i="7"/>
  <c r="AW29" i="7"/>
  <c r="AQ29" i="7"/>
  <c r="AN29" i="7"/>
  <c r="AS29" i="7" s="1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F7" i="9"/>
  <c r="AS13" i="7"/>
  <c r="E8" i="9"/>
  <c r="E8" i="5" s="1"/>
  <c r="AD13" i="7"/>
  <c r="E2" i="5"/>
  <c r="AS26" i="7"/>
  <c r="AS14" i="7"/>
  <c r="AJ31" i="7"/>
  <c r="I26" i="9"/>
  <c r="AM25" i="7"/>
  <c r="L20" i="9"/>
  <c r="H10" i="9"/>
  <c r="AI15" i="7"/>
  <c r="H31" i="9"/>
  <c r="AI36" i="7"/>
  <c r="AS36" i="7" s="1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E30" i="5" s="1"/>
  <c r="AD35" i="7"/>
  <c r="O26" i="9"/>
  <c r="AP31" i="7"/>
  <c r="AO22" i="7"/>
  <c r="AS22" i="7" s="1"/>
  <c r="N17" i="9"/>
  <c r="K13" i="9"/>
  <c r="E13" i="5" s="1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S33" i="7" l="1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<sst xmlns="http://schemas.openxmlformats.org/spreadsheetml/2006/main" count="127" uniqueCount="49">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</sst>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78540</v>
      </c>
      <c r="F17" s="11">
        <v>5.0000000000000001E-3</v>
      </c>
      <c r="G17" s="12">
        <f>Submetering!R17</f>
        <v>945.97395900000004</v>
      </c>
      <c r="H17" s="11">
        <v>0.52800000000000002</v>
      </c>
      <c r="I17" s="12">
        <f>Hotel!B22</f>
        <v>190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79000</v>
      </c>
      <c r="F18" s="11">
        <v>5.0000000000000001E-3</v>
      </c>
      <c r="G18" s="12">
        <f>Submetering!R18</f>
        <v>973.98599300000001</v>
      </c>
      <c r="H18" s="11">
        <v>0.52800000000000002</v>
      </c>
      <c r="I18" s="12">
        <f>Hotel!B23</f>
        <v>216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77580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77060</v>
      </c>
      <c r="F20" s="11">
        <v>5.0000000000000001E-3</v>
      </c>
      <c r="G20" s="12">
        <f>Submetering!R20</f>
        <v>800.23567400000002</v>
      </c>
      <c r="H20" s="11">
        <v>0.52800000000000002</v>
      </c>
      <c r="I20" s="12">
        <f>Hotel!B25</f>
        <v>83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869.88721800000008</v>
      </c>
      <c r="H21" s="11">
        <v>0.52800000000000002</v>
      </c>
      <c r="I21" s="12">
        <f>Hotel!B26</f>
        <v>100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76130</v>
      </c>
      <c r="F22" s="11">
        <v>5.0000000000000001E-3</v>
      </c>
      <c r="G22" s="12">
        <f>Submetering!R22</f>
        <v>916.82630199999994</v>
      </c>
      <c r="H22" s="11">
        <v>0.52800000000000002</v>
      </c>
      <c r="I22" s="12">
        <f>Hotel!B27</f>
        <v>115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78370</v>
      </c>
      <c r="F23" s="11">
        <v>5.0000000000000001E-3</v>
      </c>
      <c r="G23" s="12">
        <f>Submetering!R23</f>
        <v>761.24595099999999</v>
      </c>
      <c r="H23" s="11">
        <v>0.52800000000000002</v>
      </c>
      <c r="I23" s="12">
        <f>Hotel!B28</f>
        <v>178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78670</v>
      </c>
      <c r="F24" s="11">
        <v>5.0000000000000001E-3</v>
      </c>
      <c r="G24" s="12">
        <f>Submetering!R24</f>
        <v>863.8305620000001</v>
      </c>
      <c r="H24" s="11">
        <v>0.52800000000000002</v>
      </c>
      <c r="I24" s="12">
        <f>Hotel!B29</f>
        <v>188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78490</v>
      </c>
      <c r="F25" s="11">
        <v>5.0000000000000001E-3</v>
      </c>
      <c r="G25" s="12">
        <f>Submetering!R25</f>
        <v>970.57912399999998</v>
      </c>
      <c r="H25" s="11">
        <v>0.52800000000000002</v>
      </c>
      <c r="I25" s="12">
        <f>Hotel!B30</f>
        <v>280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79990</v>
      </c>
      <c r="F26" s="11">
        <v>5.0000000000000001E-3</v>
      </c>
      <c r="G26" s="12">
        <f>Submetering!R26</f>
        <v>692.73002999999994</v>
      </c>
      <c r="H26" s="11">
        <v>0.52800000000000002</v>
      </c>
      <c r="I26" s="12">
        <f>Hotel!B31</f>
        <v>246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79090</v>
      </c>
      <c r="F27" s="11">
        <v>5.0000000000000001E-3</v>
      </c>
      <c r="G27" s="12">
        <f>Submetering!R27</f>
        <v>917.58338399999991</v>
      </c>
      <c r="H27" s="11">
        <v>0.52800000000000002</v>
      </c>
      <c r="I27" s="12">
        <f>Hotel!B32</f>
        <v>124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77010</v>
      </c>
      <c r="F28" s="11">
        <v>5.0000000000000001E-3</v>
      </c>
      <c r="G28" s="12">
        <f>Submetering!R28</f>
        <v>735.126622</v>
      </c>
      <c r="H28" s="11">
        <v>0.52800000000000002</v>
      </c>
      <c r="I28" s="12">
        <f>Hotel!B33</f>
        <v>127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10380</v>
      </c>
      <c r="F17" s="4">
        <f>Hotel!R22</f>
        <v>14870</v>
      </c>
      <c r="G17" s="4">
        <f>Hotel!S22</f>
        <v>190</v>
      </c>
      <c r="H17" s="4">
        <f>Hotel!T22</f>
        <v>1700</v>
      </c>
      <c r="I17" s="4">
        <f>Hotel!U22</f>
        <v>5420</v>
      </c>
      <c r="J17" s="4">
        <f>Hotel!V22</f>
        <v>4410</v>
      </c>
      <c r="K17" s="4">
        <f>Hotel!W22</f>
        <v>4010</v>
      </c>
      <c r="L17" s="4">
        <f>Hotel!X22</f>
        <v>5240</v>
      </c>
      <c r="M17" s="4">
        <f>Hotel!Y22</f>
        <v>6530</v>
      </c>
      <c r="N17" s="4">
        <f>Hotel!Z22</f>
        <v>2910</v>
      </c>
      <c r="O17" s="4">
        <f>Hotel!AA22</f>
        <v>3500</v>
      </c>
      <c r="P17" s="4">
        <f>Hotel!AB22</f>
        <v>7480</v>
      </c>
      <c r="Q17" s="4">
        <f>Hotel!AC22</f>
        <v>11900</v>
      </c>
      <c r="R17" s="4">
        <f>Hotel!AV22*0.00378541*100</f>
        <v>945.97395900000004</v>
      </c>
      <c r="S17" s="4">
        <f>Hotel!B22</f>
        <v>190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10260</v>
      </c>
      <c r="F18" s="4">
        <f>Hotel!R23</f>
        <v>14800</v>
      </c>
      <c r="G18" s="4">
        <f>Hotel!S23</f>
        <v>170</v>
      </c>
      <c r="H18" s="4">
        <f>Hotel!T23</f>
        <v>1720</v>
      </c>
      <c r="I18" s="4">
        <f>Hotel!U23</f>
        <v>5470</v>
      </c>
      <c r="J18" s="4">
        <f>Hotel!V23</f>
        <v>4370</v>
      </c>
      <c r="K18" s="4">
        <f>Hotel!W23</f>
        <v>4050</v>
      </c>
      <c r="L18" s="4">
        <f>Hotel!X23</f>
        <v>5230</v>
      </c>
      <c r="M18" s="4">
        <f>Hotel!Y23</f>
        <v>6500</v>
      </c>
      <c r="N18" s="4">
        <f>Hotel!Z23</f>
        <v>2990</v>
      </c>
      <c r="O18" s="4">
        <f>Hotel!AA23</f>
        <v>3690</v>
      </c>
      <c r="P18" s="4">
        <f>Hotel!AB23</f>
        <v>7610</v>
      </c>
      <c r="Q18" s="4">
        <f>Hotel!AC23</f>
        <v>12140</v>
      </c>
      <c r="R18" s="4">
        <f>Hotel!AV23*0.00378541*100</f>
        <v>973.98599300000001</v>
      </c>
      <c r="S18" s="4">
        <f>Hotel!B23</f>
        <v>216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9980</v>
      </c>
      <c r="F19" s="4">
        <f>Hotel!R24</f>
        <v>14440</v>
      </c>
      <c r="G19" s="4">
        <f>Hotel!S24</f>
        <v>170</v>
      </c>
      <c r="H19" s="4">
        <f>Hotel!T24</f>
        <v>1690</v>
      </c>
      <c r="I19" s="4">
        <f>Hotel!U24</f>
        <v>5550</v>
      </c>
      <c r="J19" s="4">
        <f>Hotel!V24</f>
        <v>4240</v>
      </c>
      <c r="K19" s="4">
        <f>Hotel!W24</f>
        <v>3270</v>
      </c>
      <c r="L19" s="4">
        <f>Hotel!X24</f>
        <v>5140</v>
      </c>
      <c r="M19" s="4">
        <f>Hotel!Y24</f>
        <v>6370</v>
      </c>
      <c r="N19" s="4">
        <f>Hotel!Z24</f>
        <v>2880</v>
      </c>
      <c r="O19" s="4">
        <f>Hotel!AA24</f>
        <v>3480</v>
      </c>
      <c r="P19" s="4">
        <f>Hotel!AB24</f>
        <v>7400</v>
      </c>
      <c r="Q19" s="4">
        <f>Hotel!AC24</f>
        <v>12970</v>
      </c>
      <c r="R19" s="4">
        <f>Hotel!AV24*0.00378541*100</f>
        <v>758.217623</v>
      </c>
      <c r="S19" s="4">
        <f>Hotel!B24</f>
        <v>179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10250</v>
      </c>
      <c r="F20" s="4">
        <f>Hotel!R25</f>
        <v>14720</v>
      </c>
      <c r="G20" s="4">
        <f>Hotel!S25</f>
        <v>180</v>
      </c>
      <c r="H20" s="4">
        <f>Hotel!T25</f>
        <v>1690</v>
      </c>
      <c r="I20" s="4">
        <f>Hotel!U25</f>
        <v>5360</v>
      </c>
      <c r="J20" s="4">
        <f>Hotel!V25</f>
        <v>4340</v>
      </c>
      <c r="K20" s="4">
        <f>Hotel!W25</f>
        <v>3400</v>
      </c>
      <c r="L20" s="4">
        <f>Hotel!X25</f>
        <v>4970</v>
      </c>
      <c r="M20" s="4">
        <f>Hotel!Y25</f>
        <v>6430</v>
      </c>
      <c r="N20" s="4">
        <f>Hotel!Z25</f>
        <v>2800</v>
      </c>
      <c r="O20" s="4">
        <f>Hotel!AA25</f>
        <v>3260</v>
      </c>
      <c r="P20" s="4">
        <f>Hotel!AB25</f>
        <v>7460</v>
      </c>
      <c r="Q20" s="4">
        <f>Hotel!AC25</f>
        <v>12200</v>
      </c>
      <c r="R20" s="4">
        <f>Hotel!AV25*0.00378541*100</f>
        <v>800.23567400000002</v>
      </c>
      <c r="S20" s="4">
        <f>Hotel!B25</f>
        <v>83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10060</v>
      </c>
      <c r="F21" s="4">
        <f>Hotel!R26</f>
        <v>14440</v>
      </c>
      <c r="G21" s="4">
        <f>Hotel!S26</f>
        <v>180</v>
      </c>
      <c r="H21" s="4">
        <f>Hotel!T26</f>
        <v>1660</v>
      </c>
      <c r="I21" s="4">
        <f>Hotel!U26</f>
        <v>4940</v>
      </c>
      <c r="J21" s="4">
        <f>Hotel!V26</f>
        <v>4190</v>
      </c>
      <c r="K21" s="4">
        <f>Hotel!W26</f>
        <v>3070</v>
      </c>
      <c r="L21" s="4">
        <f>Hotel!X26</f>
        <v>4840</v>
      </c>
      <c r="M21" s="4">
        <f>Hotel!Y26</f>
        <v>6080</v>
      </c>
      <c r="N21" s="4">
        <f>Hotel!Z26</f>
        <v>2590</v>
      </c>
      <c r="O21" s="4">
        <f>Hotel!AA26</f>
        <v>3190</v>
      </c>
      <c r="P21" s="4">
        <f>Hotel!AB26</f>
        <v>7310</v>
      </c>
      <c r="Q21" s="4">
        <f>Hotel!AC26</f>
        <v>12530</v>
      </c>
      <c r="R21" s="4">
        <f>Hotel!AV26*0.00378541*100</f>
        <v>869.88721800000008</v>
      </c>
      <c r="S21" s="4">
        <f>Hotel!B26</f>
        <v>100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10640</v>
      </c>
      <c r="F22" s="4">
        <f>Hotel!R27</f>
        <v>15010</v>
      </c>
      <c r="G22" s="4">
        <f>Hotel!S27</f>
        <v>250</v>
      </c>
      <c r="H22" s="4">
        <f>Hotel!T27</f>
        <v>1650</v>
      </c>
      <c r="I22" s="4">
        <f>Hotel!U27</f>
        <v>4900</v>
      </c>
      <c r="J22" s="4">
        <f>Hotel!V27</f>
        <v>4220</v>
      </c>
      <c r="K22" s="4">
        <f>Hotel!W27</f>
        <v>3060</v>
      </c>
      <c r="L22" s="4">
        <f>Hotel!X27</f>
        <v>4870</v>
      </c>
      <c r="M22" s="4">
        <f>Hotel!Y27</f>
        <v>6270</v>
      </c>
      <c r="N22" s="4">
        <f>Hotel!Z27</f>
        <v>2530</v>
      </c>
      <c r="O22" s="4">
        <f>Hotel!AA27</f>
        <v>2990</v>
      </c>
      <c r="P22" s="4">
        <f>Hotel!AB27</f>
        <v>7430</v>
      </c>
      <c r="Q22" s="4">
        <f>Hotel!AC27</f>
        <v>12310</v>
      </c>
      <c r="R22" s="4">
        <f>Hotel!AV27*0.00378541*100</f>
        <v>916.82630199999994</v>
      </c>
      <c r="S22" s="4">
        <f>Hotel!B27</f>
        <v>115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10500</v>
      </c>
      <c r="F23" s="4">
        <f>Hotel!R28</f>
        <v>14950</v>
      </c>
      <c r="G23" s="4">
        <f>Hotel!S28</f>
        <v>240</v>
      </c>
      <c r="H23" s="4">
        <f>Hotel!T28</f>
        <v>1670</v>
      </c>
      <c r="I23" s="4">
        <f>Hotel!U28</f>
        <v>4980</v>
      </c>
      <c r="J23" s="4">
        <f>Hotel!V28</f>
        <v>4280</v>
      </c>
      <c r="K23" s="4">
        <f>Hotel!W28</f>
        <v>3170</v>
      </c>
      <c r="L23" s="4">
        <f>Hotel!X28</f>
        <v>5040</v>
      </c>
      <c r="M23" s="4">
        <f>Hotel!Y28</f>
        <v>6340</v>
      </c>
      <c r="N23" s="4">
        <f>Hotel!Z28</f>
        <v>2780</v>
      </c>
      <c r="O23" s="4">
        <f>Hotel!AA28</f>
        <v>3270</v>
      </c>
      <c r="P23" s="4">
        <f>Hotel!AB28</f>
        <v>7790</v>
      </c>
      <c r="Q23" s="4">
        <f>Hotel!AC28</f>
        <v>13360</v>
      </c>
      <c r="R23" s="4">
        <f>Hotel!AV28*0.00378541*100</f>
        <v>761.24595099999999</v>
      </c>
      <c r="S23" s="4">
        <f>Hotel!B28</f>
        <v>178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10800</v>
      </c>
      <c r="F24" s="4">
        <f>Hotel!R29</f>
        <v>15230</v>
      </c>
      <c r="G24" s="4">
        <f>Hotel!S29</f>
        <v>240</v>
      </c>
      <c r="H24" s="4">
        <f>Hotel!T29</f>
        <v>1670</v>
      </c>
      <c r="I24" s="4">
        <f>Hotel!U29</f>
        <v>5340</v>
      </c>
      <c r="J24" s="4">
        <f>Hotel!V29</f>
        <v>4340</v>
      </c>
      <c r="K24" s="4">
        <f>Hotel!W29</f>
        <v>3220</v>
      </c>
      <c r="L24" s="4">
        <f>Hotel!X29</f>
        <v>5010</v>
      </c>
      <c r="M24" s="4">
        <f>Hotel!Y29</f>
        <v>6390</v>
      </c>
      <c r="N24" s="4">
        <f>Hotel!Z29</f>
        <v>2920</v>
      </c>
      <c r="O24" s="4">
        <f>Hotel!AA29</f>
        <v>3220</v>
      </c>
      <c r="P24" s="4">
        <f>Hotel!AB29</f>
        <v>8130</v>
      </c>
      <c r="Q24" s="4">
        <f>Hotel!AC29</f>
        <v>12160</v>
      </c>
      <c r="R24" s="4">
        <f>Hotel!AV29*0.00378541*100</f>
        <v>863.8305620000001</v>
      </c>
      <c r="S24" s="4">
        <f>Hotel!B29</f>
        <v>188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10690</v>
      </c>
      <c r="F25" s="4">
        <f>Hotel!R30</f>
        <v>15060</v>
      </c>
      <c r="G25" s="4">
        <f>Hotel!S30</f>
        <v>250</v>
      </c>
      <c r="H25" s="4">
        <f>Hotel!T30</f>
        <v>1620</v>
      </c>
      <c r="I25" s="4">
        <f>Hotel!U30</f>
        <v>5440</v>
      </c>
      <c r="J25" s="4">
        <f>Hotel!V30</f>
        <v>4380</v>
      </c>
      <c r="K25" s="4">
        <f>Hotel!W30</f>
        <v>3280</v>
      </c>
      <c r="L25" s="4">
        <f>Hotel!X30</f>
        <v>4960</v>
      </c>
      <c r="M25" s="4">
        <f>Hotel!Y30</f>
        <v>6500</v>
      </c>
      <c r="N25" s="4">
        <f>Hotel!Z30</f>
        <v>3100</v>
      </c>
      <c r="O25" s="4">
        <f>Hotel!AA30</f>
        <v>3470</v>
      </c>
      <c r="P25" s="4">
        <f>Hotel!AB30</f>
        <v>7760</v>
      </c>
      <c r="Q25" s="4">
        <f>Hotel!AC30</f>
        <v>11980</v>
      </c>
      <c r="R25" s="4">
        <f>Hotel!AV30*0.00378541*100</f>
        <v>970.57912399999998</v>
      </c>
      <c r="S25" s="4">
        <f>Hotel!B30</f>
        <v>280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10520</v>
      </c>
      <c r="F26" s="4">
        <f>Hotel!R31</f>
        <v>14940</v>
      </c>
      <c r="G26" s="4">
        <f>Hotel!S31</f>
        <v>210</v>
      </c>
      <c r="H26" s="4">
        <f>Hotel!T31</f>
        <v>1650</v>
      </c>
      <c r="I26" s="4">
        <f>Hotel!U31</f>
        <v>5640</v>
      </c>
      <c r="J26" s="4">
        <f>Hotel!V31</f>
        <v>4440</v>
      </c>
      <c r="K26" s="4">
        <f>Hotel!W31</f>
        <v>3210</v>
      </c>
      <c r="L26" s="4">
        <f>Hotel!X31</f>
        <v>5100</v>
      </c>
      <c r="M26" s="4">
        <f>Hotel!Y31</f>
        <v>6530</v>
      </c>
      <c r="N26" s="4">
        <f>Hotel!Z31</f>
        <v>3050</v>
      </c>
      <c r="O26" s="4">
        <f>Hotel!AA31</f>
        <v>3590</v>
      </c>
      <c r="P26" s="4">
        <f>Hotel!AB31</f>
        <v>7590</v>
      </c>
      <c r="Q26" s="4">
        <f>Hotel!AC31</f>
        <v>13520</v>
      </c>
      <c r="R26" s="4">
        <f>Hotel!AV31*0.00378541*100</f>
        <v>692.73002999999994</v>
      </c>
      <c r="S26" s="4">
        <f>Hotel!B31</f>
        <v>246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9980</v>
      </c>
      <c r="F27" s="4">
        <f>Hotel!R32</f>
        <v>14420</v>
      </c>
      <c r="G27" s="4">
        <f>Hotel!S32</f>
        <v>160</v>
      </c>
      <c r="H27" s="4">
        <f>Hotel!T32</f>
        <v>1610</v>
      </c>
      <c r="I27" s="4">
        <f>Hotel!U32</f>
        <v>5960</v>
      </c>
      <c r="J27" s="4">
        <f>Hotel!V32</f>
        <v>4440</v>
      </c>
      <c r="K27" s="4">
        <f>Hotel!W32</f>
        <v>3310</v>
      </c>
      <c r="L27" s="4">
        <f>Hotel!X32</f>
        <v>5150</v>
      </c>
      <c r="M27" s="4">
        <f>Hotel!Y32</f>
        <v>6600</v>
      </c>
      <c r="N27" s="4">
        <f>Hotel!Z32</f>
        <v>2970</v>
      </c>
      <c r="O27" s="4">
        <f>Hotel!AA32</f>
        <v>3500</v>
      </c>
      <c r="P27" s="4">
        <f>Hotel!AB32</f>
        <v>7840</v>
      </c>
      <c r="Q27" s="4">
        <f>Hotel!AC32</f>
        <v>13150</v>
      </c>
      <c r="R27" s="4">
        <f>Hotel!AV32*0.00378541*100</f>
        <v>917.58338399999991</v>
      </c>
      <c r="S27" s="4">
        <f>Hotel!B32</f>
        <v>124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9640</v>
      </c>
      <c r="F28" s="4">
        <f>Hotel!R33</f>
        <v>14030</v>
      </c>
      <c r="G28" s="4">
        <f>Hotel!S33</f>
        <v>170</v>
      </c>
      <c r="H28" s="4">
        <f>Hotel!T33</f>
        <v>1560</v>
      </c>
      <c r="I28" s="4">
        <f>Hotel!U33</f>
        <v>5350</v>
      </c>
      <c r="J28" s="4">
        <f>Hotel!V33</f>
        <v>4300</v>
      </c>
      <c r="K28" s="4">
        <f>Hotel!W33</f>
        <v>3270</v>
      </c>
      <c r="L28" s="4">
        <f>Hotel!X33</f>
        <v>4940</v>
      </c>
      <c r="M28" s="4">
        <f>Hotel!Y33</f>
        <v>6140</v>
      </c>
      <c r="N28" s="4">
        <f>Hotel!Z33</f>
        <v>2900</v>
      </c>
      <c r="O28" s="4">
        <f>Hotel!AA33</f>
        <v>3450</v>
      </c>
      <c r="P28" s="4">
        <f>Hotel!AB33</f>
        <v>7610</v>
      </c>
      <c r="Q28" s="4">
        <f>Hotel!AC33</f>
        <v>13650</v>
      </c>
      <c r="R28" s="4">
        <f>Hotel!AV33*0.00378541*100</f>
        <v>735.126622</v>
      </c>
      <c r="S28" s="4">
        <f>Hotel!B33</f>
        <v>127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 t="str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H25" sqref="H25:H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>
        <v>190</v>
      </c>
      <c r="C22" s="24">
        <v>5615830</v>
      </c>
      <c r="D22" s="24">
        <v>11646110</v>
      </c>
      <c r="E22" s="24">
        <v>1412620</v>
      </c>
      <c r="F22" s="24">
        <v>2527630</v>
      </c>
      <c r="G22" s="24">
        <v>7632290</v>
      </c>
      <c r="H22" s="24">
        <v>3534430</v>
      </c>
      <c r="I22" s="24">
        <v>3575290</v>
      </c>
      <c r="J22" s="44">
        <v>3995100</v>
      </c>
      <c r="K22" s="24">
        <v>6567160</v>
      </c>
      <c r="L22" s="24">
        <v>2298400</v>
      </c>
      <c r="M22" s="24">
        <v>6147690</v>
      </c>
      <c r="N22" s="24">
        <v>8262220</v>
      </c>
      <c r="O22" s="44">
        <v>10629760</v>
      </c>
      <c r="Q22" s="37">
        <f t="shared" si="16"/>
        <v>10380</v>
      </c>
      <c r="R22" s="37">
        <f t="shared" si="17"/>
        <v>14870</v>
      </c>
      <c r="S22" s="37">
        <f t="shared" si="15"/>
        <v>190</v>
      </c>
      <c r="T22" s="37">
        <f t="shared" si="18"/>
        <v>1700</v>
      </c>
      <c r="U22" s="37">
        <f t="shared" si="19"/>
        <v>5420</v>
      </c>
      <c r="V22" s="37">
        <f t="shared" si="20"/>
        <v>4410</v>
      </c>
      <c r="W22" s="37">
        <f t="shared" si="21"/>
        <v>4010</v>
      </c>
      <c r="X22" s="37">
        <f t="shared" si="22"/>
        <v>5240</v>
      </c>
      <c r="Y22" s="37">
        <f t="shared" si="23"/>
        <v>6530</v>
      </c>
      <c r="Z22" s="37">
        <f t="shared" si="24"/>
        <v>2910</v>
      </c>
      <c r="AA22" s="37">
        <f t="shared" si="25"/>
        <v>3500</v>
      </c>
      <c r="AB22" s="37">
        <f t="shared" si="26"/>
        <v>7480</v>
      </c>
      <c r="AC22" s="37">
        <f t="shared" si="27"/>
        <v>11900</v>
      </c>
      <c r="AD22" s="35">
        <f t="shared" si="28"/>
        <v>78540</v>
      </c>
      <c r="AF22" s="20">
        <f t="shared" si="1"/>
        <v>51.9</v>
      </c>
      <c r="AG22" s="20">
        <f t="shared" si="2"/>
        <v>74.350000000000009</v>
      </c>
      <c r="AH22" s="20">
        <f t="shared" si="3"/>
        <v>0.95000000000000007</v>
      </c>
      <c r="AI22" s="20">
        <f t="shared" si="4"/>
        <v>8.5</v>
      </c>
      <c r="AJ22" s="20">
        <f t="shared" si="5"/>
        <v>27.1</v>
      </c>
      <c r="AK22" s="20">
        <f t="shared" si="6"/>
        <v>22.05</v>
      </c>
      <c r="AL22" s="20">
        <f t="shared" si="7"/>
        <v>20.05</v>
      </c>
      <c r="AM22" s="20">
        <f t="shared" si="8"/>
        <v>26.2</v>
      </c>
      <c r="AN22" s="20">
        <f t="shared" si="9"/>
        <v>32.65</v>
      </c>
      <c r="AO22" s="20">
        <f t="shared" si="10"/>
        <v>14.55</v>
      </c>
      <c r="AP22" s="20">
        <f t="shared" si="11"/>
        <v>17.5</v>
      </c>
      <c r="AQ22" s="20">
        <f t="shared" si="12"/>
        <v>37.4</v>
      </c>
      <c r="AR22" s="20">
        <f t="shared" si="13"/>
        <v>59.5</v>
      </c>
      <c r="AS22" s="35">
        <f t="shared" si="29"/>
        <v>392.7</v>
      </c>
      <c r="AU22" s="47">
        <v>575164</v>
      </c>
      <c r="AV22" s="37">
        <f t="shared" si="31"/>
        <v>2499</v>
      </c>
      <c r="AW22" s="35">
        <f t="shared" si="30"/>
        <v>4.9980000000000002</v>
      </c>
    </row>
    <row r="23" spans="1:49" x14ac:dyDescent="0.25">
      <c r="A23" s="23">
        <v>43755</v>
      </c>
      <c r="B23" s="40">
        <v>216</v>
      </c>
      <c r="C23" s="24">
        <v>5626090</v>
      </c>
      <c r="D23" s="24">
        <v>11660910</v>
      </c>
      <c r="E23" s="24">
        <v>1412790</v>
      </c>
      <c r="F23" s="24">
        <v>2529350</v>
      </c>
      <c r="G23" s="24">
        <v>7637760</v>
      </c>
      <c r="H23" s="24">
        <v>3538800</v>
      </c>
      <c r="I23" s="24">
        <v>3579340</v>
      </c>
      <c r="J23" s="24">
        <v>4000330</v>
      </c>
      <c r="K23" s="24">
        <v>6573660</v>
      </c>
      <c r="L23" s="24">
        <v>2301390</v>
      </c>
      <c r="M23" s="24">
        <v>6151380</v>
      </c>
      <c r="N23" s="24">
        <v>8269830</v>
      </c>
      <c r="O23" s="24">
        <v>10641900</v>
      </c>
      <c r="Q23" s="37">
        <f t="shared" si="16"/>
        <v>10260</v>
      </c>
      <c r="R23" s="37">
        <f t="shared" si="17"/>
        <v>14800</v>
      </c>
      <c r="S23" s="37">
        <f t="shared" si="15"/>
        <v>170</v>
      </c>
      <c r="T23" s="37">
        <f t="shared" si="18"/>
        <v>1720</v>
      </c>
      <c r="U23" s="37">
        <f t="shared" si="19"/>
        <v>5470</v>
      </c>
      <c r="V23" s="37">
        <f t="shared" si="20"/>
        <v>4370</v>
      </c>
      <c r="W23" s="37">
        <f t="shared" si="21"/>
        <v>4050</v>
      </c>
      <c r="X23" s="37">
        <f t="shared" si="22"/>
        <v>5230</v>
      </c>
      <c r="Y23" s="37">
        <f t="shared" si="23"/>
        <v>6500</v>
      </c>
      <c r="Z23" s="37">
        <f t="shared" si="24"/>
        <v>2990</v>
      </c>
      <c r="AA23" s="37">
        <f t="shared" si="25"/>
        <v>3690</v>
      </c>
      <c r="AB23" s="37">
        <f t="shared" si="26"/>
        <v>7610</v>
      </c>
      <c r="AC23" s="37">
        <f t="shared" si="27"/>
        <v>12140</v>
      </c>
      <c r="AD23" s="35">
        <f t="shared" si="28"/>
        <v>79000</v>
      </c>
      <c r="AF23" s="20">
        <f t="shared" si="1"/>
        <v>51.300000000000004</v>
      </c>
      <c r="AG23" s="20">
        <f t="shared" si="2"/>
        <v>74</v>
      </c>
      <c r="AH23" s="20">
        <f t="shared" si="3"/>
        <v>0.85</v>
      </c>
      <c r="AI23" s="20">
        <f t="shared" si="4"/>
        <v>8.6</v>
      </c>
      <c r="AJ23" s="20">
        <f t="shared" si="5"/>
        <v>27.35</v>
      </c>
      <c r="AK23" s="20">
        <f t="shared" si="6"/>
        <v>21.85</v>
      </c>
      <c r="AL23" s="20">
        <f t="shared" si="7"/>
        <v>20.25</v>
      </c>
      <c r="AM23" s="20">
        <f t="shared" si="8"/>
        <v>26.150000000000002</v>
      </c>
      <c r="AN23" s="20">
        <f t="shared" si="9"/>
        <v>32.5</v>
      </c>
      <c r="AO23" s="20">
        <f t="shared" si="10"/>
        <v>14.950000000000001</v>
      </c>
      <c r="AP23" s="20">
        <f t="shared" si="11"/>
        <v>18.45</v>
      </c>
      <c r="AQ23" s="20">
        <f t="shared" si="12"/>
        <v>38.050000000000004</v>
      </c>
      <c r="AR23" s="20">
        <f t="shared" si="13"/>
        <v>60.7</v>
      </c>
      <c r="AS23" s="35">
        <f t="shared" si="29"/>
        <v>395</v>
      </c>
      <c r="AU23" s="47">
        <v>577737</v>
      </c>
      <c r="AV23" s="37">
        <f t="shared" si="31"/>
        <v>2573</v>
      </c>
      <c r="AW23" s="35">
        <f t="shared" si="30"/>
        <v>5.1459999999999999</v>
      </c>
    </row>
    <row r="24" spans="1:49" x14ac:dyDescent="0.25">
      <c r="A24" s="23">
        <v>43756</v>
      </c>
      <c r="B24" s="40">
        <v>179</v>
      </c>
      <c r="C24" s="24">
        <v>5636070</v>
      </c>
      <c r="D24" s="24">
        <v>11675350</v>
      </c>
      <c r="E24" s="24">
        <v>1412960</v>
      </c>
      <c r="F24" s="24">
        <v>2531040</v>
      </c>
      <c r="G24" s="24">
        <v>7643310</v>
      </c>
      <c r="H24" s="24">
        <v>3543040</v>
      </c>
      <c r="I24" s="24">
        <v>3582610</v>
      </c>
      <c r="J24" s="24">
        <v>4005470</v>
      </c>
      <c r="K24" s="24">
        <v>6580030</v>
      </c>
      <c r="L24" s="24">
        <v>2304270</v>
      </c>
      <c r="M24" s="24">
        <v>6154860</v>
      </c>
      <c r="N24" s="24">
        <v>8277230</v>
      </c>
      <c r="O24" s="24">
        <v>10654870</v>
      </c>
      <c r="Q24" s="37">
        <f t="shared" si="16"/>
        <v>9980</v>
      </c>
      <c r="R24" s="37">
        <f t="shared" si="17"/>
        <v>14440</v>
      </c>
      <c r="S24" s="37">
        <f t="shared" si="15"/>
        <v>170</v>
      </c>
      <c r="T24" s="37">
        <f t="shared" si="18"/>
        <v>1690</v>
      </c>
      <c r="U24" s="37">
        <f t="shared" si="19"/>
        <v>5550</v>
      </c>
      <c r="V24" s="37">
        <f t="shared" si="20"/>
        <v>4240</v>
      </c>
      <c r="W24" s="37">
        <f t="shared" si="21"/>
        <v>3270</v>
      </c>
      <c r="X24" s="37">
        <f t="shared" si="22"/>
        <v>5140</v>
      </c>
      <c r="Y24" s="37">
        <f t="shared" si="23"/>
        <v>6370</v>
      </c>
      <c r="Z24" s="37">
        <f t="shared" si="24"/>
        <v>2880</v>
      </c>
      <c r="AA24" s="37">
        <f t="shared" si="25"/>
        <v>3480</v>
      </c>
      <c r="AB24" s="37">
        <f t="shared" si="26"/>
        <v>7400</v>
      </c>
      <c r="AC24" s="37">
        <f t="shared" si="27"/>
        <v>12970</v>
      </c>
      <c r="AD24" s="35">
        <f t="shared" si="28"/>
        <v>77580</v>
      </c>
      <c r="AF24" s="20">
        <f t="shared" si="1"/>
        <v>49.9</v>
      </c>
      <c r="AG24" s="20">
        <f t="shared" si="2"/>
        <v>72.2</v>
      </c>
      <c r="AH24" s="20">
        <f t="shared" si="3"/>
        <v>0.85</v>
      </c>
      <c r="AI24" s="20">
        <f t="shared" si="4"/>
        <v>8.4499999999999993</v>
      </c>
      <c r="AJ24" s="20">
        <f t="shared" si="5"/>
        <v>27.75</v>
      </c>
      <c r="AK24" s="20">
        <f t="shared" si="6"/>
        <v>21.2</v>
      </c>
      <c r="AL24" s="20">
        <f t="shared" si="7"/>
        <v>16.350000000000001</v>
      </c>
      <c r="AM24" s="20">
        <f t="shared" si="8"/>
        <v>25.7</v>
      </c>
      <c r="AN24" s="20">
        <f t="shared" si="9"/>
        <v>31.85</v>
      </c>
      <c r="AO24" s="20">
        <f t="shared" si="10"/>
        <v>14.4</v>
      </c>
      <c r="AP24" s="20">
        <f t="shared" si="11"/>
        <v>17.400000000000002</v>
      </c>
      <c r="AQ24" s="20">
        <f t="shared" si="12"/>
        <v>37</v>
      </c>
      <c r="AR24" s="20">
        <f t="shared" si="13"/>
        <v>64.849999999999994</v>
      </c>
      <c r="AS24" s="35">
        <f t="shared" si="29"/>
        <v>387.89999999999986</v>
      </c>
      <c r="AU24" s="47">
        <v>579740</v>
      </c>
      <c r="AV24" s="37">
        <f t="shared" si="31"/>
        <v>2003</v>
      </c>
      <c r="AW24" s="35">
        <f t="shared" si="30"/>
        <v>4.0060000000000002</v>
      </c>
    </row>
    <row r="25" spans="1:49" x14ac:dyDescent="0.25">
      <c r="A25" s="23">
        <v>43757</v>
      </c>
      <c r="B25" s="40">
        <v>83</v>
      </c>
      <c r="C25" s="24">
        <v>5646320</v>
      </c>
      <c r="D25" s="24">
        <v>11690070</v>
      </c>
      <c r="E25" s="24">
        <v>1413140</v>
      </c>
      <c r="F25" s="24">
        <v>2532730</v>
      </c>
      <c r="G25" s="24">
        <v>7648670</v>
      </c>
      <c r="H25" s="24">
        <v>3547380</v>
      </c>
      <c r="I25" s="24">
        <v>3586010</v>
      </c>
      <c r="J25" s="24">
        <v>4010440</v>
      </c>
      <c r="K25" s="24">
        <v>6586460</v>
      </c>
      <c r="L25" s="24">
        <v>2307070</v>
      </c>
      <c r="M25" s="24">
        <v>6158120</v>
      </c>
      <c r="N25" s="24">
        <v>8284690</v>
      </c>
      <c r="O25" s="24">
        <v>10667070</v>
      </c>
      <c r="Q25" s="37">
        <f t="shared" ref="Q25:AC27" si="32">IF((C25-C24&lt;0), "0",C25-C24)</f>
        <v>10250</v>
      </c>
      <c r="R25" s="37">
        <f t="shared" si="32"/>
        <v>14720</v>
      </c>
      <c r="S25" s="37">
        <f t="shared" si="32"/>
        <v>180</v>
      </c>
      <c r="T25" s="37">
        <f t="shared" si="32"/>
        <v>1690</v>
      </c>
      <c r="U25" s="37">
        <f t="shared" si="32"/>
        <v>5360</v>
      </c>
      <c r="V25" s="37">
        <f t="shared" si="32"/>
        <v>4340</v>
      </c>
      <c r="W25" s="37">
        <f t="shared" si="32"/>
        <v>3400</v>
      </c>
      <c r="X25" s="37">
        <f t="shared" si="32"/>
        <v>4970</v>
      </c>
      <c r="Y25" s="37">
        <f t="shared" si="32"/>
        <v>6430</v>
      </c>
      <c r="Z25" s="37">
        <f t="shared" si="32"/>
        <v>2800</v>
      </c>
      <c r="AA25" s="37">
        <f t="shared" si="32"/>
        <v>3260</v>
      </c>
      <c r="AB25" s="37">
        <f t="shared" si="32"/>
        <v>7460</v>
      </c>
      <c r="AC25" s="37">
        <f t="shared" si="32"/>
        <v>12200</v>
      </c>
      <c r="AD25" s="35">
        <f t="shared" si="28"/>
        <v>77060</v>
      </c>
      <c r="AF25" s="20">
        <f t="shared" si="1"/>
        <v>51.25</v>
      </c>
      <c r="AG25" s="20">
        <f t="shared" si="2"/>
        <v>73.600000000000009</v>
      </c>
      <c r="AH25" s="20">
        <f t="shared" si="3"/>
        <v>0.9</v>
      </c>
      <c r="AI25" s="20">
        <f t="shared" si="4"/>
        <v>8.4499999999999993</v>
      </c>
      <c r="AJ25" s="20">
        <f t="shared" si="5"/>
        <v>26.8</v>
      </c>
      <c r="AK25" s="20">
        <f t="shared" si="6"/>
        <v>21.7</v>
      </c>
      <c r="AL25" s="20">
        <f t="shared" si="7"/>
        <v>17</v>
      </c>
      <c r="AM25" s="20">
        <f t="shared" si="8"/>
        <v>24.85</v>
      </c>
      <c r="AN25" s="20">
        <f t="shared" si="9"/>
        <v>32.15</v>
      </c>
      <c r="AO25" s="20">
        <f t="shared" si="10"/>
        <v>14</v>
      </c>
      <c r="AP25" s="20">
        <f t="shared" si="11"/>
        <v>16.3</v>
      </c>
      <c r="AQ25" s="20">
        <f t="shared" si="12"/>
        <v>37.300000000000004</v>
      </c>
      <c r="AR25" s="20">
        <f t="shared" si="13"/>
        <v>61</v>
      </c>
      <c r="AS25" s="35">
        <f t="shared" si="29"/>
        <v>385.3</v>
      </c>
      <c r="AU25" s="47">
        <v>581854</v>
      </c>
      <c r="AV25" s="37">
        <f t="shared" si="31"/>
        <v>2114</v>
      </c>
      <c r="AW25" s="35">
        <f t="shared" si="30"/>
        <v>4.2279999999999998</v>
      </c>
    </row>
    <row r="26" spans="1:49" x14ac:dyDescent="0.25">
      <c r="A26" s="23">
        <v>43758</v>
      </c>
      <c r="B26" s="40">
        <v>100</v>
      </c>
      <c r="C26" s="24">
        <v>5656380</v>
      </c>
      <c r="D26" s="24">
        <v>11704510</v>
      </c>
      <c r="E26" s="24">
        <v>1413320</v>
      </c>
      <c r="F26" s="24">
        <v>2534390</v>
      </c>
      <c r="G26" s="24">
        <v>7653610</v>
      </c>
      <c r="H26" s="24">
        <v>3551570</v>
      </c>
      <c r="I26" s="24">
        <v>3589080</v>
      </c>
      <c r="J26" s="24">
        <v>4015280</v>
      </c>
      <c r="K26" s="24">
        <v>6592540</v>
      </c>
      <c r="L26" s="24">
        <v>2309660</v>
      </c>
      <c r="M26" s="24">
        <v>6161310</v>
      </c>
      <c r="N26" s="24">
        <v>8292000</v>
      </c>
      <c r="O26" s="24">
        <v>10679600</v>
      </c>
      <c r="Q26" s="37">
        <f t="shared" si="32"/>
        <v>10060</v>
      </c>
      <c r="R26" s="37">
        <f t="shared" si="32"/>
        <v>14440</v>
      </c>
      <c r="S26" s="37">
        <f t="shared" si="32"/>
        <v>180</v>
      </c>
      <c r="T26" s="37">
        <f t="shared" si="32"/>
        <v>1660</v>
      </c>
      <c r="U26" s="37">
        <f t="shared" si="32"/>
        <v>4940</v>
      </c>
      <c r="V26" s="37">
        <f t="shared" si="32"/>
        <v>4190</v>
      </c>
      <c r="W26" s="37">
        <f t="shared" si="32"/>
        <v>3070</v>
      </c>
      <c r="X26" s="37">
        <f t="shared" si="32"/>
        <v>4840</v>
      </c>
      <c r="Y26" s="37">
        <f t="shared" si="32"/>
        <v>6080</v>
      </c>
      <c r="Z26" s="37">
        <f t="shared" si="32"/>
        <v>2590</v>
      </c>
      <c r="AA26" s="37">
        <f t="shared" si="32"/>
        <v>3190</v>
      </c>
      <c r="AB26" s="37">
        <f t="shared" si="32"/>
        <v>7310</v>
      </c>
      <c r="AC26" s="37">
        <f t="shared" si="32"/>
        <v>12530</v>
      </c>
      <c r="AD26" s="35">
        <f t="shared" si="28"/>
        <v>75080</v>
      </c>
      <c r="AF26" s="20">
        <f t="shared" si="1"/>
        <v>50.300000000000004</v>
      </c>
      <c r="AG26" s="20">
        <f t="shared" si="2"/>
        <v>72.2</v>
      </c>
      <c r="AH26" s="20">
        <f t="shared" si="3"/>
        <v>0.9</v>
      </c>
      <c r="AI26" s="20">
        <f t="shared" si="4"/>
        <v>8.3000000000000007</v>
      </c>
      <c r="AJ26" s="20">
        <f t="shared" si="5"/>
        <v>24.7</v>
      </c>
      <c r="AK26" s="20">
        <f t="shared" si="6"/>
        <v>20.95</v>
      </c>
      <c r="AL26" s="20">
        <f t="shared" si="7"/>
        <v>15.35</v>
      </c>
      <c r="AM26" s="20">
        <f t="shared" si="8"/>
        <v>24.2</v>
      </c>
      <c r="AN26" s="20">
        <f t="shared" si="9"/>
        <v>30.400000000000002</v>
      </c>
      <c r="AO26" s="20">
        <f t="shared" si="10"/>
        <v>12.950000000000001</v>
      </c>
      <c r="AP26" s="20">
        <f t="shared" si="11"/>
        <v>15.950000000000001</v>
      </c>
      <c r="AQ26" s="20">
        <f t="shared" si="12"/>
        <v>36.550000000000004</v>
      </c>
      <c r="AR26" s="20">
        <f t="shared" si="13"/>
        <v>62.65</v>
      </c>
      <c r="AS26" s="35">
        <f t="shared" si="29"/>
        <v>375.4</v>
      </c>
      <c r="AU26" s="47">
        <v>584152</v>
      </c>
      <c r="AV26" s="37">
        <f t="shared" si="31"/>
        <v>2298</v>
      </c>
      <c r="AW26" s="35">
        <f t="shared" si="30"/>
        <v>4.5960000000000001</v>
      </c>
    </row>
    <row r="27" spans="1:49" x14ac:dyDescent="0.25">
      <c r="A27" s="23">
        <v>43759</v>
      </c>
      <c r="B27" s="40">
        <v>115</v>
      </c>
      <c r="C27" s="24">
        <v>5667020</v>
      </c>
      <c r="D27" s="24">
        <v>11719520</v>
      </c>
      <c r="E27" s="24">
        <v>1413570</v>
      </c>
      <c r="F27" s="24">
        <v>2536040</v>
      </c>
      <c r="G27" s="24">
        <v>7658510</v>
      </c>
      <c r="H27" s="24">
        <v>3555790</v>
      </c>
      <c r="I27" s="24">
        <v>3592140</v>
      </c>
      <c r="J27" s="24">
        <v>4020150</v>
      </c>
      <c r="K27" s="24">
        <v>6598810</v>
      </c>
      <c r="L27" s="24">
        <v>2312190</v>
      </c>
      <c r="M27" s="24">
        <v>6164300</v>
      </c>
      <c r="N27" s="24">
        <v>8299430</v>
      </c>
      <c r="O27" s="24">
        <v>10691910</v>
      </c>
      <c r="Q27" s="37">
        <f t="shared" si="32"/>
        <v>10640</v>
      </c>
      <c r="R27" s="37">
        <f t="shared" si="32"/>
        <v>15010</v>
      </c>
      <c r="S27" s="37">
        <f t="shared" si="32"/>
        <v>250</v>
      </c>
      <c r="T27" s="37">
        <f t="shared" si="32"/>
        <v>1650</v>
      </c>
      <c r="U27" s="37">
        <f t="shared" si="32"/>
        <v>4900</v>
      </c>
      <c r="V27" s="37">
        <f t="shared" si="32"/>
        <v>4220</v>
      </c>
      <c r="W27" s="37">
        <f t="shared" si="32"/>
        <v>3060</v>
      </c>
      <c r="X27" s="37">
        <f t="shared" si="32"/>
        <v>4870</v>
      </c>
      <c r="Y27" s="37">
        <f t="shared" si="32"/>
        <v>6270</v>
      </c>
      <c r="Z27" s="37">
        <f t="shared" si="32"/>
        <v>2530</v>
      </c>
      <c r="AA27" s="37">
        <f t="shared" si="32"/>
        <v>2990</v>
      </c>
      <c r="AB27" s="37">
        <f t="shared" si="32"/>
        <v>7430</v>
      </c>
      <c r="AC27" s="37">
        <f t="shared" si="32"/>
        <v>12310</v>
      </c>
      <c r="AD27" s="35">
        <f t="shared" si="28"/>
        <v>76130</v>
      </c>
      <c r="AF27" s="20">
        <f t="shared" si="1"/>
        <v>53.2</v>
      </c>
      <c r="AG27" s="20">
        <f t="shared" si="2"/>
        <v>75.05</v>
      </c>
      <c r="AH27" s="20">
        <f t="shared" si="3"/>
        <v>1.25</v>
      </c>
      <c r="AI27" s="20">
        <f t="shared" si="4"/>
        <v>8.25</v>
      </c>
      <c r="AJ27" s="20">
        <f t="shared" si="5"/>
        <v>24.5</v>
      </c>
      <c r="AK27" s="20">
        <f t="shared" si="6"/>
        <v>21.1</v>
      </c>
      <c r="AL27" s="20">
        <f t="shared" si="7"/>
        <v>15.3</v>
      </c>
      <c r="AM27" s="20">
        <f t="shared" si="8"/>
        <v>24.35</v>
      </c>
      <c r="AN27" s="20">
        <f t="shared" si="9"/>
        <v>31.35</v>
      </c>
      <c r="AO27" s="20">
        <f t="shared" si="10"/>
        <v>12.65</v>
      </c>
      <c r="AP27" s="20">
        <f t="shared" si="11"/>
        <v>14.950000000000001</v>
      </c>
      <c r="AQ27" s="20">
        <f t="shared" si="12"/>
        <v>37.15</v>
      </c>
      <c r="AR27" s="20">
        <f t="shared" si="13"/>
        <v>61.550000000000004</v>
      </c>
      <c r="AS27" s="35">
        <f t="shared" si="29"/>
        <v>380.65</v>
      </c>
      <c r="AU27" s="47">
        <v>586574</v>
      </c>
      <c r="AV27" s="37">
        <f>IF((AU27-AU26&lt;0),"0",AU27-AU26)</f>
        <v>2422</v>
      </c>
      <c r="AW27" s="35">
        <f t="shared" si="30"/>
        <v>4.8440000000000003</v>
      </c>
    </row>
    <row r="28" spans="1:49" x14ac:dyDescent="0.25">
      <c r="A28" s="23">
        <v>43760</v>
      </c>
      <c r="B28" s="40">
        <v>178</v>
      </c>
      <c r="C28" s="24">
        <v>5677520</v>
      </c>
      <c r="D28" s="24">
        <v>11734470</v>
      </c>
      <c r="E28" s="24">
        <v>1413810</v>
      </c>
      <c r="F28" s="24">
        <v>2537710</v>
      </c>
      <c r="G28" s="24">
        <v>7663490</v>
      </c>
      <c r="H28" s="24">
        <v>3560070</v>
      </c>
      <c r="I28" s="24">
        <v>3595310</v>
      </c>
      <c r="J28" s="24">
        <v>4025190</v>
      </c>
      <c r="K28" s="24">
        <v>6605150</v>
      </c>
      <c r="L28" s="24">
        <v>2314970</v>
      </c>
      <c r="M28" s="24">
        <v>6167570</v>
      </c>
      <c r="N28" s="24">
        <v>8307220</v>
      </c>
      <c r="O28" s="24">
        <v>10705270</v>
      </c>
      <c r="Q28" s="37">
        <f t="shared" si="16"/>
        <v>10500</v>
      </c>
      <c r="R28" s="37">
        <f t="shared" si="17"/>
        <v>14950</v>
      </c>
      <c r="S28" s="37">
        <f t="shared" si="15"/>
        <v>240</v>
      </c>
      <c r="T28" s="37">
        <f t="shared" si="18"/>
        <v>1670</v>
      </c>
      <c r="U28" s="37">
        <f t="shared" si="19"/>
        <v>4980</v>
      </c>
      <c r="V28" s="37">
        <f t="shared" si="20"/>
        <v>4280</v>
      </c>
      <c r="W28" s="37">
        <f t="shared" si="21"/>
        <v>3170</v>
      </c>
      <c r="X28" s="37">
        <f t="shared" si="22"/>
        <v>5040</v>
      </c>
      <c r="Y28" s="37">
        <f t="shared" si="23"/>
        <v>6340</v>
      </c>
      <c r="Z28" s="37">
        <f t="shared" si="24"/>
        <v>2780</v>
      </c>
      <c r="AA28" s="37">
        <f t="shared" si="25"/>
        <v>3270</v>
      </c>
      <c r="AB28" s="37">
        <f t="shared" si="26"/>
        <v>7790</v>
      </c>
      <c r="AC28" s="37">
        <f t="shared" si="27"/>
        <v>13360</v>
      </c>
      <c r="AD28" s="35">
        <f t="shared" si="28"/>
        <v>78370</v>
      </c>
      <c r="AF28" s="20">
        <f t="shared" si="1"/>
        <v>52.5</v>
      </c>
      <c r="AG28" s="20">
        <f t="shared" si="2"/>
        <v>74.75</v>
      </c>
      <c r="AH28" s="20">
        <f t="shared" si="3"/>
        <v>1.2</v>
      </c>
      <c r="AI28" s="20">
        <f t="shared" si="4"/>
        <v>8.35</v>
      </c>
      <c r="AJ28" s="20">
        <f t="shared" si="5"/>
        <v>24.900000000000002</v>
      </c>
      <c r="AK28" s="20">
        <f t="shared" si="6"/>
        <v>21.400000000000002</v>
      </c>
      <c r="AL28" s="20">
        <f t="shared" si="7"/>
        <v>15.85</v>
      </c>
      <c r="AM28" s="20">
        <f t="shared" si="8"/>
        <v>25.2</v>
      </c>
      <c r="AN28" s="20">
        <f t="shared" si="9"/>
        <v>31.7</v>
      </c>
      <c r="AO28" s="20">
        <f t="shared" si="10"/>
        <v>13.9</v>
      </c>
      <c r="AP28" s="20">
        <f t="shared" si="11"/>
        <v>16.350000000000001</v>
      </c>
      <c r="AQ28" s="20">
        <f t="shared" si="12"/>
        <v>38.950000000000003</v>
      </c>
      <c r="AR28" s="20">
        <f t="shared" si="13"/>
        <v>66.8</v>
      </c>
      <c r="AS28" s="35">
        <f t="shared" si="29"/>
        <v>391.84999999999997</v>
      </c>
      <c r="AU28" s="47">
        <v>588585</v>
      </c>
      <c r="AV28" s="37">
        <f>IF((AU28-AU27&lt;0),"0",AU28-AU27)</f>
        <v>2011</v>
      </c>
      <c r="AW28" s="35">
        <f t="shared" si="30"/>
        <v>4.0220000000000002</v>
      </c>
    </row>
    <row r="29" spans="1:49" x14ac:dyDescent="0.25">
      <c r="A29" s="23">
        <v>43761</v>
      </c>
      <c r="B29" s="40">
        <v>188</v>
      </c>
      <c r="C29" s="24">
        <v>5688320</v>
      </c>
      <c r="D29" s="24">
        <v>11749700</v>
      </c>
      <c r="E29" s="24">
        <v>1414050</v>
      </c>
      <c r="F29" s="24">
        <v>2539380</v>
      </c>
      <c r="G29" s="24">
        <v>7668830</v>
      </c>
      <c r="H29" s="24">
        <v>3564410</v>
      </c>
      <c r="I29" s="24">
        <v>3598530</v>
      </c>
      <c r="J29" s="24">
        <v>4030200</v>
      </c>
      <c r="K29" s="24">
        <v>6611540</v>
      </c>
      <c r="L29" s="24">
        <v>2317890</v>
      </c>
      <c r="M29" s="24">
        <v>6170790</v>
      </c>
      <c r="N29" s="24">
        <v>8315350</v>
      </c>
      <c r="O29" s="24">
        <v>10717430</v>
      </c>
      <c r="Q29" s="37">
        <f t="shared" si="16"/>
        <v>10800</v>
      </c>
      <c r="R29" s="37">
        <f t="shared" si="17"/>
        <v>15230</v>
      </c>
      <c r="S29" s="37">
        <f t="shared" si="15"/>
        <v>240</v>
      </c>
      <c r="T29" s="37">
        <f t="shared" si="18"/>
        <v>1670</v>
      </c>
      <c r="U29" s="37">
        <f t="shared" si="19"/>
        <v>5340</v>
      </c>
      <c r="V29" s="37">
        <f t="shared" si="20"/>
        <v>4340</v>
      </c>
      <c r="W29" s="37">
        <f t="shared" si="21"/>
        <v>3220</v>
      </c>
      <c r="X29" s="37">
        <f t="shared" si="22"/>
        <v>5010</v>
      </c>
      <c r="Y29" s="37">
        <f t="shared" si="23"/>
        <v>6390</v>
      </c>
      <c r="Z29" s="37">
        <f t="shared" si="24"/>
        <v>2920</v>
      </c>
      <c r="AA29" s="37">
        <f t="shared" si="25"/>
        <v>3220</v>
      </c>
      <c r="AB29" s="37">
        <f t="shared" si="26"/>
        <v>8130</v>
      </c>
      <c r="AC29" s="37">
        <f t="shared" si="27"/>
        <v>12160</v>
      </c>
      <c r="AD29" s="35">
        <f t="shared" si="28"/>
        <v>78670</v>
      </c>
      <c r="AF29" s="20">
        <f t="shared" si="1"/>
        <v>54</v>
      </c>
      <c r="AG29" s="20">
        <f t="shared" si="2"/>
        <v>76.150000000000006</v>
      </c>
      <c r="AH29" s="20">
        <f t="shared" si="3"/>
        <v>1.2</v>
      </c>
      <c r="AI29" s="20">
        <f t="shared" si="4"/>
        <v>8.35</v>
      </c>
      <c r="AJ29" s="20">
        <f t="shared" si="5"/>
        <v>26.7</v>
      </c>
      <c r="AK29" s="20">
        <f t="shared" si="6"/>
        <v>21.7</v>
      </c>
      <c r="AL29" s="20">
        <f t="shared" si="7"/>
        <v>16.100000000000001</v>
      </c>
      <c r="AM29" s="20">
        <f t="shared" si="8"/>
        <v>25.05</v>
      </c>
      <c r="AN29" s="20">
        <f t="shared" si="9"/>
        <v>31.95</v>
      </c>
      <c r="AO29" s="20">
        <f t="shared" si="10"/>
        <v>14.6</v>
      </c>
      <c r="AP29" s="20">
        <f t="shared" si="11"/>
        <v>16.100000000000001</v>
      </c>
      <c r="AQ29" s="20">
        <f t="shared" si="12"/>
        <v>40.65</v>
      </c>
      <c r="AR29" s="20">
        <f t="shared" si="13"/>
        <v>60.800000000000004</v>
      </c>
      <c r="AS29" s="35">
        <f t="shared" si="29"/>
        <v>393.35</v>
      </c>
      <c r="AU29" s="47">
        <v>590867</v>
      </c>
      <c r="AV29" s="37">
        <f t="shared" ref="AV29:AV36" si="33">IF((AU29-AU28&lt;0),"0",AU29-AU28)</f>
        <v>2282</v>
      </c>
      <c r="AW29" s="35">
        <f t="shared" si="30"/>
        <v>4.5640000000000001</v>
      </c>
    </row>
    <row r="30" spans="1:49" x14ac:dyDescent="0.25">
      <c r="A30" s="23">
        <v>43762</v>
      </c>
      <c r="B30" s="40">
        <v>280</v>
      </c>
      <c r="C30" s="24">
        <v>5699010</v>
      </c>
      <c r="D30" s="24">
        <v>11764760</v>
      </c>
      <c r="E30" s="24">
        <v>1414300</v>
      </c>
      <c r="F30" s="24">
        <v>2541000</v>
      </c>
      <c r="G30" s="24">
        <v>7674270</v>
      </c>
      <c r="H30" s="24">
        <v>3568790</v>
      </c>
      <c r="I30" s="24">
        <v>3601810</v>
      </c>
      <c r="J30" s="24">
        <v>4035160</v>
      </c>
      <c r="K30" s="24">
        <v>6618040</v>
      </c>
      <c r="L30" s="24">
        <v>2320990</v>
      </c>
      <c r="M30" s="24">
        <v>6174260</v>
      </c>
      <c r="N30" s="24">
        <v>8323110</v>
      </c>
      <c r="O30" s="24">
        <v>10729410</v>
      </c>
      <c r="Q30" s="37">
        <f t="shared" si="16"/>
        <v>10690</v>
      </c>
      <c r="R30" s="37">
        <f t="shared" si="17"/>
        <v>15060</v>
      </c>
      <c r="S30" s="37">
        <f t="shared" si="15"/>
        <v>250</v>
      </c>
      <c r="T30" s="37">
        <f t="shared" si="18"/>
        <v>1620</v>
      </c>
      <c r="U30" s="37">
        <f t="shared" si="19"/>
        <v>5440</v>
      </c>
      <c r="V30" s="37">
        <f t="shared" si="20"/>
        <v>4380</v>
      </c>
      <c r="W30" s="37">
        <f t="shared" si="21"/>
        <v>3280</v>
      </c>
      <c r="X30" s="37">
        <f t="shared" si="22"/>
        <v>4960</v>
      </c>
      <c r="Y30" s="37">
        <f t="shared" si="23"/>
        <v>6500</v>
      </c>
      <c r="Z30" s="37">
        <f t="shared" si="24"/>
        <v>3100</v>
      </c>
      <c r="AA30" s="37">
        <f t="shared" si="25"/>
        <v>3470</v>
      </c>
      <c r="AB30" s="37">
        <f t="shared" si="26"/>
        <v>7760</v>
      </c>
      <c r="AC30" s="37">
        <f t="shared" si="27"/>
        <v>11980</v>
      </c>
      <c r="AD30" s="35">
        <f t="shared" si="28"/>
        <v>78490</v>
      </c>
      <c r="AF30" s="20">
        <f t="shared" si="1"/>
        <v>53.45</v>
      </c>
      <c r="AG30" s="20">
        <f t="shared" si="2"/>
        <v>75.3</v>
      </c>
      <c r="AH30" s="20">
        <f t="shared" si="3"/>
        <v>1.25</v>
      </c>
      <c r="AI30" s="20">
        <f t="shared" si="4"/>
        <v>8.1</v>
      </c>
      <c r="AJ30" s="20">
        <f t="shared" si="5"/>
        <v>27.2</v>
      </c>
      <c r="AK30" s="20">
        <f t="shared" si="6"/>
        <v>21.900000000000002</v>
      </c>
      <c r="AL30" s="20">
        <f t="shared" si="7"/>
        <v>16.399999999999999</v>
      </c>
      <c r="AM30" s="20">
        <f t="shared" si="8"/>
        <v>24.8</v>
      </c>
      <c r="AN30" s="20">
        <f t="shared" si="9"/>
        <v>32.5</v>
      </c>
      <c r="AO30" s="20">
        <f t="shared" si="10"/>
        <v>15.5</v>
      </c>
      <c r="AP30" s="20">
        <f t="shared" si="11"/>
        <v>17.350000000000001</v>
      </c>
      <c r="AQ30" s="20">
        <f t="shared" si="12"/>
        <v>38.800000000000004</v>
      </c>
      <c r="AR30" s="20">
        <f t="shared" si="13"/>
        <v>59.9</v>
      </c>
      <c r="AS30" s="35">
        <f t="shared" si="29"/>
        <v>392.45</v>
      </c>
      <c r="AU30" s="47">
        <v>593431</v>
      </c>
      <c r="AV30" s="37">
        <f t="shared" si="33"/>
        <v>2564</v>
      </c>
      <c r="AW30" s="35">
        <f t="shared" si="30"/>
        <v>5.1280000000000001</v>
      </c>
    </row>
    <row r="31" spans="1:49" x14ac:dyDescent="0.25">
      <c r="A31" s="23">
        <v>43763</v>
      </c>
      <c r="B31" s="40">
        <v>246</v>
      </c>
      <c r="C31" s="24">
        <v>5709530</v>
      </c>
      <c r="D31" s="24">
        <v>11779700</v>
      </c>
      <c r="E31" s="24">
        <v>1414510</v>
      </c>
      <c r="F31" s="24">
        <v>2542650</v>
      </c>
      <c r="G31" s="24">
        <v>7679910</v>
      </c>
      <c r="H31" s="24">
        <v>3573230</v>
      </c>
      <c r="I31" s="24">
        <v>3605020</v>
      </c>
      <c r="J31" s="24">
        <v>4040260</v>
      </c>
      <c r="K31" s="24">
        <v>6624570</v>
      </c>
      <c r="L31" s="24">
        <v>2324040</v>
      </c>
      <c r="M31" s="24">
        <v>6177850</v>
      </c>
      <c r="N31" s="24">
        <v>8330700</v>
      </c>
      <c r="O31" s="24">
        <v>10742930</v>
      </c>
      <c r="Q31" s="37">
        <f t="shared" si="16"/>
        <v>10520</v>
      </c>
      <c r="R31" s="37">
        <f t="shared" si="17"/>
        <v>14940</v>
      </c>
      <c r="S31" s="37">
        <f t="shared" si="15"/>
        <v>210</v>
      </c>
      <c r="T31" s="37">
        <f t="shared" si="18"/>
        <v>1650</v>
      </c>
      <c r="U31" s="37">
        <f t="shared" si="19"/>
        <v>5640</v>
      </c>
      <c r="V31" s="37">
        <f t="shared" si="20"/>
        <v>4440</v>
      </c>
      <c r="W31" s="37">
        <f t="shared" si="21"/>
        <v>3210</v>
      </c>
      <c r="X31" s="37">
        <f t="shared" si="22"/>
        <v>5100</v>
      </c>
      <c r="Y31" s="37">
        <f t="shared" si="23"/>
        <v>6530</v>
      </c>
      <c r="Z31" s="37">
        <f t="shared" si="24"/>
        <v>3050</v>
      </c>
      <c r="AA31" s="37">
        <f t="shared" si="25"/>
        <v>3590</v>
      </c>
      <c r="AB31" s="37">
        <f t="shared" si="26"/>
        <v>7590</v>
      </c>
      <c r="AC31" s="37">
        <f t="shared" si="27"/>
        <v>13520</v>
      </c>
      <c r="AD31" s="35">
        <f t="shared" si="28"/>
        <v>79990</v>
      </c>
      <c r="AF31" s="20">
        <f t="shared" si="1"/>
        <v>52.6</v>
      </c>
      <c r="AG31" s="20">
        <f t="shared" si="2"/>
        <v>74.7</v>
      </c>
      <c r="AH31" s="20">
        <f t="shared" si="3"/>
        <v>1.05</v>
      </c>
      <c r="AI31" s="20">
        <f t="shared" si="4"/>
        <v>8.25</v>
      </c>
      <c r="AJ31" s="20">
        <f t="shared" si="5"/>
        <v>28.2</v>
      </c>
      <c r="AK31" s="20">
        <f t="shared" si="6"/>
        <v>22.2</v>
      </c>
      <c r="AL31" s="20">
        <f t="shared" si="7"/>
        <v>16.05</v>
      </c>
      <c r="AM31" s="20">
        <f t="shared" si="8"/>
        <v>25.5</v>
      </c>
      <c r="AN31" s="20">
        <f t="shared" si="9"/>
        <v>32.65</v>
      </c>
      <c r="AO31" s="20">
        <f t="shared" si="10"/>
        <v>15.25</v>
      </c>
      <c r="AP31" s="20">
        <f t="shared" si="11"/>
        <v>17.95</v>
      </c>
      <c r="AQ31" s="20">
        <f t="shared" si="12"/>
        <v>37.950000000000003</v>
      </c>
      <c r="AR31" s="20">
        <f t="shared" si="13"/>
        <v>67.599999999999994</v>
      </c>
      <c r="AS31" s="35">
        <f t="shared" si="29"/>
        <v>399.94999999999993</v>
      </c>
      <c r="AU31" s="47">
        <v>595261</v>
      </c>
      <c r="AV31" s="37">
        <f t="shared" si="33"/>
        <v>1830</v>
      </c>
      <c r="AW31" s="35">
        <f t="shared" si="30"/>
        <v>3.66</v>
      </c>
    </row>
    <row r="32" spans="1:49" x14ac:dyDescent="0.25">
      <c r="A32" s="23">
        <v>43764</v>
      </c>
      <c r="B32" s="40">
        <v>124</v>
      </c>
      <c r="C32" s="24">
        <v>5719510</v>
      </c>
      <c r="D32" s="24">
        <v>11794120</v>
      </c>
      <c r="E32" s="24">
        <v>1414670</v>
      </c>
      <c r="F32" s="24">
        <v>2544260</v>
      </c>
      <c r="G32" s="24">
        <v>7685870</v>
      </c>
      <c r="H32" s="24">
        <v>3577670</v>
      </c>
      <c r="I32" s="24">
        <v>3608330</v>
      </c>
      <c r="J32" s="24">
        <v>4045410</v>
      </c>
      <c r="K32" s="24">
        <v>6631170</v>
      </c>
      <c r="L32" s="24">
        <v>2327010</v>
      </c>
      <c r="M32" s="24">
        <v>6181350</v>
      </c>
      <c r="N32" s="24">
        <v>8338540</v>
      </c>
      <c r="O32" s="24">
        <v>10756080</v>
      </c>
      <c r="Q32" s="37">
        <f t="shared" si="16"/>
        <v>9980</v>
      </c>
      <c r="R32" s="37">
        <f t="shared" si="17"/>
        <v>14420</v>
      </c>
      <c r="S32" s="37">
        <f t="shared" si="15"/>
        <v>160</v>
      </c>
      <c r="T32" s="37">
        <f t="shared" si="18"/>
        <v>1610</v>
      </c>
      <c r="U32" s="37">
        <f t="shared" si="19"/>
        <v>5960</v>
      </c>
      <c r="V32" s="37">
        <f t="shared" si="20"/>
        <v>4440</v>
      </c>
      <c r="W32" s="37">
        <f t="shared" si="21"/>
        <v>3310</v>
      </c>
      <c r="X32" s="37">
        <f t="shared" si="22"/>
        <v>5150</v>
      </c>
      <c r="Y32" s="37">
        <f t="shared" si="23"/>
        <v>6600</v>
      </c>
      <c r="Z32" s="37">
        <f t="shared" si="24"/>
        <v>2970</v>
      </c>
      <c r="AA32" s="37">
        <f t="shared" si="25"/>
        <v>3500</v>
      </c>
      <c r="AB32" s="37">
        <f t="shared" si="26"/>
        <v>7840</v>
      </c>
      <c r="AC32" s="37">
        <f t="shared" si="27"/>
        <v>13150</v>
      </c>
      <c r="AD32" s="35">
        <f t="shared" si="28"/>
        <v>79090</v>
      </c>
      <c r="AF32" s="20">
        <f t="shared" si="1"/>
        <v>49.9</v>
      </c>
      <c r="AG32" s="20">
        <f t="shared" si="2"/>
        <v>72.100000000000009</v>
      </c>
      <c r="AH32" s="20">
        <f t="shared" si="3"/>
        <v>0.8</v>
      </c>
      <c r="AI32" s="20">
        <f t="shared" si="4"/>
        <v>8.0500000000000007</v>
      </c>
      <c r="AJ32" s="20">
        <f t="shared" si="5"/>
        <v>29.8</v>
      </c>
      <c r="AK32" s="20">
        <f t="shared" si="6"/>
        <v>22.2</v>
      </c>
      <c r="AL32" s="20">
        <f t="shared" si="7"/>
        <v>16.55</v>
      </c>
      <c r="AM32" s="20">
        <f t="shared" si="8"/>
        <v>25.75</v>
      </c>
      <c r="AN32" s="20">
        <f t="shared" si="9"/>
        <v>33</v>
      </c>
      <c r="AO32" s="20">
        <f t="shared" si="10"/>
        <v>14.85</v>
      </c>
      <c r="AP32" s="20">
        <f t="shared" si="11"/>
        <v>17.5</v>
      </c>
      <c r="AQ32" s="20">
        <f t="shared" si="12"/>
        <v>39.200000000000003</v>
      </c>
      <c r="AR32" s="20">
        <f t="shared" si="13"/>
        <v>65.75</v>
      </c>
      <c r="AS32" s="35">
        <f t="shared" si="29"/>
        <v>395.45</v>
      </c>
      <c r="AU32" s="47">
        <v>597685</v>
      </c>
      <c r="AV32" s="37">
        <f t="shared" si="33"/>
        <v>2424</v>
      </c>
      <c r="AW32" s="35">
        <f t="shared" si="30"/>
        <v>4.8479999999999999</v>
      </c>
    </row>
    <row r="33" spans="1:49" x14ac:dyDescent="0.25">
      <c r="A33" s="23">
        <v>43765</v>
      </c>
      <c r="B33" s="40">
        <v>127</v>
      </c>
      <c r="C33" s="24">
        <v>5729150</v>
      </c>
      <c r="D33" s="24">
        <v>11808150</v>
      </c>
      <c r="E33" s="24">
        <v>1414840</v>
      </c>
      <c r="F33" s="24">
        <v>2545820</v>
      </c>
      <c r="G33" s="24">
        <v>7691220</v>
      </c>
      <c r="H33" s="24">
        <v>3581970</v>
      </c>
      <c r="I33" s="24">
        <v>3611600</v>
      </c>
      <c r="J33" s="24">
        <v>4050350</v>
      </c>
      <c r="K33" s="24">
        <v>6637310</v>
      </c>
      <c r="L33" s="24">
        <v>2329910</v>
      </c>
      <c r="M33" s="24">
        <v>6184800</v>
      </c>
      <c r="N33" s="24">
        <v>8346150</v>
      </c>
      <c r="O33" s="24">
        <v>10769730</v>
      </c>
      <c r="Q33" s="37">
        <f t="shared" si="16"/>
        <v>9640</v>
      </c>
      <c r="R33" s="37">
        <f t="shared" si="17"/>
        <v>14030</v>
      </c>
      <c r="S33" s="37">
        <f t="shared" si="15"/>
        <v>170</v>
      </c>
      <c r="T33" s="37">
        <f t="shared" si="18"/>
        <v>1560</v>
      </c>
      <c r="U33" s="37">
        <f t="shared" si="19"/>
        <v>5350</v>
      </c>
      <c r="V33" s="37">
        <f t="shared" si="20"/>
        <v>4300</v>
      </c>
      <c r="W33" s="37">
        <f t="shared" si="21"/>
        <v>3270</v>
      </c>
      <c r="X33" s="37">
        <f t="shared" si="22"/>
        <v>4940</v>
      </c>
      <c r="Y33" s="37">
        <f t="shared" si="23"/>
        <v>6140</v>
      </c>
      <c r="Z33" s="37">
        <f t="shared" si="24"/>
        <v>2900</v>
      </c>
      <c r="AA33" s="37">
        <f t="shared" si="25"/>
        <v>3450</v>
      </c>
      <c r="AB33" s="37">
        <f t="shared" si="26"/>
        <v>7610</v>
      </c>
      <c r="AC33" s="37">
        <f t="shared" si="27"/>
        <v>13650</v>
      </c>
      <c r="AD33" s="35">
        <f t="shared" si="28"/>
        <v>77010</v>
      </c>
      <c r="AF33" s="20">
        <f t="shared" si="1"/>
        <v>48.2</v>
      </c>
      <c r="AG33" s="20">
        <f t="shared" si="2"/>
        <v>70.150000000000006</v>
      </c>
      <c r="AH33" s="20">
        <f t="shared" si="3"/>
        <v>0.85</v>
      </c>
      <c r="AI33" s="20">
        <f t="shared" si="4"/>
        <v>7.8</v>
      </c>
      <c r="AJ33" s="20">
        <f t="shared" si="5"/>
        <v>26.75</v>
      </c>
      <c r="AK33" s="20">
        <f t="shared" si="6"/>
        <v>21.5</v>
      </c>
      <c r="AL33" s="20">
        <f t="shared" si="7"/>
        <v>16.350000000000001</v>
      </c>
      <c r="AM33" s="20">
        <f t="shared" si="8"/>
        <v>24.7</v>
      </c>
      <c r="AN33" s="20">
        <f t="shared" si="9"/>
        <v>30.7</v>
      </c>
      <c r="AO33" s="20">
        <f t="shared" si="10"/>
        <v>14.5</v>
      </c>
      <c r="AP33" s="20">
        <f t="shared" si="11"/>
        <v>17.25</v>
      </c>
      <c r="AQ33" s="20">
        <f t="shared" si="12"/>
        <v>38.050000000000004</v>
      </c>
      <c r="AR33" s="20">
        <f t="shared" si="13"/>
        <v>68.25</v>
      </c>
      <c r="AS33" s="35">
        <f t="shared" si="29"/>
        <v>385.05</v>
      </c>
      <c r="AU33" s="47">
        <v>599627</v>
      </c>
      <c r="AV33" s="37">
        <f t="shared" si="33"/>
        <v>1942</v>
      </c>
      <c r="AW33" s="35">
        <f t="shared" si="30"/>
        <v>3.8839999999999999</v>
      </c>
    </row>
    <row r="34" spans="1:49" x14ac:dyDescent="0.25">
      <c r="A34" s="23">
        <v>43766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 t="shared" si="16"/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 t="str">
        <f t="shared" si="26"/>
        <v>0</v>
      </c>
      <c r="AC34" s="37" t="str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 t="str">
        <f t="shared" si="33"/>
        <v>0</v>
      </c>
      <c r="AW34" s="35">
        <f t="shared" si="30"/>
        <v>0</v>
      </c>
    </row>
    <row r="35" spans="1:49" x14ac:dyDescent="0.25">
      <c r="A35" s="23">
        <v>43767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287620</v>
      </c>
      <c r="R38" s="30">
        <f t="shared" si="35"/>
        <v>402540</v>
      </c>
      <c r="S38" s="30">
        <f t="shared" si="35"/>
        <v>22850</v>
      </c>
      <c r="T38" s="30">
        <f t="shared" si="35"/>
        <v>94630</v>
      </c>
      <c r="U38" s="30">
        <f t="shared" si="35"/>
        <v>142820</v>
      </c>
      <c r="V38" s="30">
        <f t="shared" si="35"/>
        <v>116860</v>
      </c>
      <c r="W38" s="30">
        <f t="shared" si="35"/>
        <v>91540</v>
      </c>
      <c r="X38" s="30">
        <f t="shared" si="35"/>
        <v>134500</v>
      </c>
      <c r="Y38" s="30">
        <f t="shared" si="35"/>
        <v>169060</v>
      </c>
      <c r="Z38" s="30">
        <f t="shared" si="35"/>
        <v>78320</v>
      </c>
      <c r="AA38" s="30">
        <f t="shared" si="35"/>
        <v>91400</v>
      </c>
      <c r="AB38" s="30">
        <f t="shared" si="35"/>
        <v>204040</v>
      </c>
      <c r="AC38" s="30">
        <f t="shared" si="35"/>
        <v>335570</v>
      </c>
      <c r="AD38" s="35">
        <f t="shared" si="35"/>
        <v>2171750</v>
      </c>
      <c r="AF38" s="35">
        <f t="shared" ref="AF38:AS38" si="36">SUM(AF7:AF34)</f>
        <v>1438.1</v>
      </c>
      <c r="AG38" s="35">
        <f t="shared" si="36"/>
        <v>2012.7</v>
      </c>
      <c r="AH38" s="35">
        <f t="shared" si="36"/>
        <v>114.24999999999999</v>
      </c>
      <c r="AI38" s="35">
        <f t="shared" si="36"/>
        <v>473.15000000000009</v>
      </c>
      <c r="AJ38" s="35">
        <f t="shared" si="36"/>
        <v>714.10000000000014</v>
      </c>
      <c r="AK38" s="35">
        <f t="shared" si="36"/>
        <v>584.30000000000007</v>
      </c>
      <c r="AL38" s="35">
        <f t="shared" si="36"/>
        <v>457.70000000000016</v>
      </c>
      <c r="AM38" s="35">
        <f t="shared" si="36"/>
        <v>672.49999999999989</v>
      </c>
      <c r="AN38" s="35">
        <f t="shared" si="36"/>
        <v>845.30000000000007</v>
      </c>
      <c r="AO38" s="35">
        <f t="shared" si="36"/>
        <v>391.6</v>
      </c>
      <c r="AP38" s="35">
        <f t="shared" si="36"/>
        <v>457.00000000000006</v>
      </c>
      <c r="AQ38" s="35">
        <f t="shared" si="36"/>
        <v>1020.1999999999998</v>
      </c>
      <c r="AR38" s="35">
        <f t="shared" si="36"/>
        <v>1677.85</v>
      </c>
      <c r="AS38" s="35">
        <f t="shared" si="36"/>
        <v>10858.750000000002</v>
      </c>
      <c r="AU38" s="48"/>
      <c r="AV38" s="35">
        <f>SUM(AV7:AV34)</f>
        <v>65687</v>
      </c>
      <c r="AW38" s="35">
        <f>SUM(AW7:AW34)</f>
        <v>120.44199999999999</v>
      </c>
    </row>
    <row r="39" spans="1:49" x14ac:dyDescent="0.25">
      <c r="D39">
        <v>5.0000000000000001E-3</v>
      </c>
      <c r="AV39" s="36">
        <f>AV38*0.00378541*1000</f>
        <v>248652.22667</v>
      </c>
    </row>
    <row r="40" spans="1:49" x14ac:dyDescent="0.25">
      <c r="D40">
        <v>2E-3</v>
      </c>
      <c r="AV40">
        <f>AV39/31</f>
        <v>8021.0395699999999</v>
      </c>
    </row>
    <row r="41" spans="1:49" x14ac:dyDescent="0.25">
      <c r="AV41">
        <f>AV38*0.00378541</f>
        <v>248.65222667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2019-10-28T11:32:44Z</dcterms:modified>
</cp:coreProperties>
</file>