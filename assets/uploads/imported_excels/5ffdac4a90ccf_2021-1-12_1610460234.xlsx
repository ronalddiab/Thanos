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2" i="1"/>
  <c r="G2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K2" i="2"/>
  <c r="J2" i="2"/>
  <c r="I2" i="2"/>
  <c r="H2" i="2"/>
  <c r="G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AY15" i="4" l="1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B39" i="3" l="1"/>
  <c r="H9" i="3" l="1"/>
  <c r="H10" i="3"/>
  <c r="H11" i="3"/>
  <c r="B32" i="1" l="1"/>
  <c r="B31" i="2"/>
  <c r="B32" i="2"/>
  <c r="Y40" i="3" l="1"/>
  <c r="U39" i="3"/>
  <c r="P39" i="3"/>
  <c r="N39" i="3"/>
  <c r="H39" i="3"/>
  <c r="F39" i="3"/>
  <c r="D39" i="3"/>
  <c r="V39" i="3" l="1"/>
  <c r="R39" i="3"/>
  <c r="I39" i="3"/>
  <c r="K39" i="3" s="1"/>
  <c r="Q39" i="3"/>
  <c r="X39" i="3" l="1"/>
  <c r="Z39" i="3" s="1"/>
  <c r="U38" i="3"/>
  <c r="P38" i="3"/>
  <c r="N38" i="3"/>
  <c r="H38" i="3"/>
  <c r="F38" i="3"/>
  <c r="D38" i="3"/>
  <c r="U37" i="3"/>
  <c r="P37" i="3"/>
  <c r="N37" i="3"/>
  <c r="H37" i="3"/>
  <c r="F37" i="3"/>
  <c r="D37" i="3"/>
  <c r="U36" i="3"/>
  <c r="P36" i="3"/>
  <c r="N36" i="3"/>
  <c r="H36" i="3"/>
  <c r="F36" i="3"/>
  <c r="D36" i="3"/>
  <c r="U35" i="3"/>
  <c r="P35" i="3"/>
  <c r="N35" i="3"/>
  <c r="H35" i="3"/>
  <c r="F35" i="3"/>
  <c r="D35" i="3"/>
  <c r="U34" i="3"/>
  <c r="P34" i="3"/>
  <c r="N34" i="3"/>
  <c r="H34" i="3"/>
  <c r="F34" i="3"/>
  <c r="D34" i="3"/>
  <c r="U33" i="3"/>
  <c r="P33" i="3"/>
  <c r="N33" i="3"/>
  <c r="H33" i="3"/>
  <c r="F33" i="3"/>
  <c r="D33" i="3"/>
  <c r="U32" i="3"/>
  <c r="P32" i="3"/>
  <c r="N32" i="3"/>
  <c r="H32" i="3"/>
  <c r="F32" i="3"/>
  <c r="D32" i="3"/>
  <c r="U31" i="3"/>
  <c r="P31" i="3"/>
  <c r="N31" i="3"/>
  <c r="H31" i="3"/>
  <c r="F31" i="3"/>
  <c r="D31" i="3"/>
  <c r="U30" i="3"/>
  <c r="P30" i="3"/>
  <c r="N30" i="3"/>
  <c r="H30" i="3"/>
  <c r="F30" i="3"/>
  <c r="D30" i="3"/>
  <c r="U29" i="3"/>
  <c r="P29" i="3"/>
  <c r="N29" i="3"/>
  <c r="H29" i="3"/>
  <c r="F29" i="3"/>
  <c r="D29" i="3"/>
  <c r="U28" i="3"/>
  <c r="P28" i="3"/>
  <c r="N28" i="3"/>
  <c r="H28" i="3"/>
  <c r="F28" i="3"/>
  <c r="D28" i="3"/>
  <c r="U27" i="3"/>
  <c r="P27" i="3"/>
  <c r="N27" i="3"/>
  <c r="H27" i="3"/>
  <c r="F27" i="3"/>
  <c r="D27" i="3"/>
  <c r="U26" i="3"/>
  <c r="P26" i="3"/>
  <c r="N26" i="3"/>
  <c r="H26" i="3"/>
  <c r="F26" i="3"/>
  <c r="D26" i="3"/>
  <c r="U25" i="3"/>
  <c r="P25" i="3"/>
  <c r="N25" i="3"/>
  <c r="H25" i="3"/>
  <c r="F25" i="3"/>
  <c r="D25" i="3"/>
  <c r="U24" i="3"/>
  <c r="P24" i="3"/>
  <c r="N24" i="3"/>
  <c r="H24" i="3"/>
  <c r="F24" i="3"/>
  <c r="D24" i="3"/>
  <c r="U23" i="3"/>
  <c r="P23" i="3"/>
  <c r="N23" i="3"/>
  <c r="H23" i="3"/>
  <c r="F23" i="3"/>
  <c r="D23" i="3"/>
  <c r="U22" i="3"/>
  <c r="P22" i="3"/>
  <c r="N22" i="3"/>
  <c r="H22" i="3"/>
  <c r="F22" i="3"/>
  <c r="D22" i="3"/>
  <c r="U21" i="3"/>
  <c r="P21" i="3"/>
  <c r="N21" i="3"/>
  <c r="H21" i="3"/>
  <c r="F21" i="3"/>
  <c r="D21" i="3"/>
  <c r="U20" i="3"/>
  <c r="P20" i="3"/>
  <c r="N20" i="3"/>
  <c r="H20" i="3"/>
  <c r="F20" i="3"/>
  <c r="D20" i="3"/>
  <c r="U19" i="3"/>
  <c r="P19" i="3"/>
  <c r="N19" i="3"/>
  <c r="H19" i="3"/>
  <c r="F19" i="3"/>
  <c r="D19" i="3"/>
  <c r="U18" i="3"/>
  <c r="P18" i="3"/>
  <c r="N18" i="3"/>
  <c r="H18" i="3"/>
  <c r="F18" i="3"/>
  <c r="D18" i="3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N17" i="3"/>
  <c r="H17" i="3"/>
  <c r="F17" i="3"/>
  <c r="D17" i="3"/>
  <c r="U16" i="3"/>
  <c r="P16" i="3"/>
  <c r="N16" i="3"/>
  <c r="H16" i="3"/>
  <c r="F16" i="3"/>
  <c r="D16" i="3"/>
  <c r="U15" i="3"/>
  <c r="P15" i="3"/>
  <c r="N15" i="3"/>
  <c r="H15" i="3"/>
  <c r="F15" i="3"/>
  <c r="D15" i="3"/>
  <c r="U14" i="3"/>
  <c r="P14" i="3"/>
  <c r="N14" i="3"/>
  <c r="H14" i="3"/>
  <c r="F14" i="3"/>
  <c r="D14" i="3"/>
  <c r="U13" i="3"/>
  <c r="P13" i="3"/>
  <c r="N13" i="3"/>
  <c r="H13" i="3"/>
  <c r="F13" i="3"/>
  <c r="D13" i="3"/>
  <c r="U12" i="3"/>
  <c r="P12" i="3"/>
  <c r="N12" i="3"/>
  <c r="H12" i="3"/>
  <c r="F12" i="3"/>
  <c r="D12" i="3"/>
  <c r="U11" i="3"/>
  <c r="P11" i="3"/>
  <c r="N11" i="3"/>
  <c r="F11" i="3"/>
  <c r="D11" i="3"/>
  <c r="U10" i="3"/>
  <c r="P10" i="3"/>
  <c r="N10" i="3"/>
  <c r="F10" i="3"/>
  <c r="D10" i="3"/>
  <c r="B10" i="3"/>
  <c r="B11" i="3" s="1"/>
  <c r="B12" i="3" s="1"/>
  <c r="B13" i="3" s="1"/>
  <c r="B14" i="3" s="1"/>
  <c r="B15" i="3" s="1"/>
  <c r="B16" i="3" s="1"/>
  <c r="U9" i="3"/>
  <c r="P9" i="3"/>
  <c r="N9" i="3"/>
  <c r="F9" i="3"/>
  <c r="D9" i="3"/>
  <c r="U6" i="3"/>
  <c r="V6" i="3" s="1"/>
  <c r="P6" i="3"/>
  <c r="N6" i="3"/>
  <c r="B6" i="3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V21" i="3" l="1"/>
  <c r="V27" i="3"/>
  <c r="V32" i="3"/>
  <c r="V34" i="3"/>
  <c r="V38" i="3"/>
  <c r="V29" i="3"/>
  <c r="V31" i="3"/>
  <c r="C40" i="3"/>
  <c r="Q6" i="3"/>
  <c r="R6" i="3" s="1"/>
  <c r="V11" i="3"/>
  <c r="V13" i="3"/>
  <c r="V17" i="3"/>
  <c r="V15" i="3"/>
  <c r="V10" i="3"/>
  <c r="V12" i="3"/>
  <c r="V14" i="3"/>
  <c r="V16" i="3"/>
  <c r="V18" i="3"/>
  <c r="R10" i="3"/>
  <c r="R14" i="3"/>
  <c r="Q16" i="3"/>
  <c r="R13" i="3"/>
  <c r="I10" i="3"/>
  <c r="K10" i="3" s="1"/>
  <c r="V37" i="3"/>
  <c r="V35" i="3"/>
  <c r="V30" i="3"/>
  <c r="V33" i="3"/>
  <c r="V36" i="3"/>
  <c r="R31" i="3"/>
  <c r="Q34" i="3"/>
  <c r="R35" i="3"/>
  <c r="Q30" i="3"/>
  <c r="Q33" i="3"/>
  <c r="Q35" i="3"/>
  <c r="Q38" i="3"/>
  <c r="R30" i="3"/>
  <c r="R32" i="3"/>
  <c r="Q37" i="3"/>
  <c r="I35" i="3"/>
  <c r="K35" i="3" s="1"/>
  <c r="I34" i="3"/>
  <c r="K34" i="3" s="1"/>
  <c r="V26" i="3"/>
  <c r="V20" i="3"/>
  <c r="V23" i="3"/>
  <c r="V28" i="3"/>
  <c r="V22" i="3"/>
  <c r="V25" i="3"/>
  <c r="V19" i="3"/>
  <c r="V24" i="3"/>
  <c r="R23" i="3"/>
  <c r="Q26" i="3"/>
  <c r="R27" i="3"/>
  <c r="R24" i="3"/>
  <c r="R26" i="3"/>
  <c r="R28" i="3"/>
  <c r="I27" i="3"/>
  <c r="K27" i="3" s="1"/>
  <c r="Q10" i="3"/>
  <c r="Q12" i="3"/>
  <c r="Q14" i="3"/>
  <c r="R19" i="3"/>
  <c r="I11" i="3"/>
  <c r="K11" i="3" s="1"/>
  <c r="I15" i="3"/>
  <c r="K15" i="3" s="1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J6" i="3"/>
  <c r="M40" i="3"/>
  <c r="Q9" i="3"/>
  <c r="Q17" i="3"/>
  <c r="I20" i="3"/>
  <c r="K20" i="3" s="1"/>
  <c r="Q23" i="3"/>
  <c r="I40" i="3" l="1"/>
  <c r="X6" i="3"/>
  <c r="Z6" i="3" s="1"/>
  <c r="X36" i="3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<sst xmlns="http://schemas.openxmlformats.org/spreadsheetml/2006/main" count="310" uniqueCount="123">
  <si>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</si>
  <si>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</si>
  <si>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</si>
  <si>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</si>
  <si>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</si>
  <si>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</si>
  <si>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</si>
  <si>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</si>
  <si>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</si>
  <si>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</si>
  <si>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</si>
  <si>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</si>
  <si>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</si>
  <si>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</si>
  <si>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</si>
  <si>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</si>
  <si>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</si>
  <si>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</si>
  <si>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</si>
  <si>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</si>
  <si>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</si>
  <si>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</si>
  <si>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</si>
  <si>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</si>
  <si>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</si>
  <si>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</si>
  <si>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</si>
  <si>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</si>
  <si>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</si>
  <si>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</si>
  <si>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</si>
  <si>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</si>
  <si>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</si>
  <si>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</si>
  <si>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</si>
  <si>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</si>
  <si>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</si>
  <si>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</si>
  <si>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</si>
  <si>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</si>
  <si>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</si>
  <si>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</si>
  <si>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</si>
  <si>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</si>
  <si>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</si>
  <si>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</si>
  <si>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</si>
  <si>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</si>
  <si>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</si>
  <si>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</si>
  <si>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</si>
  <si>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</si>
  <si>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</si>
  <si>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</si>
  <si>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</si>
  <si>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</si>
  <si>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</si>
  <si>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</si>
  <si>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</si>
  <si>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</si>
  <si>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</si>
  <si>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</si>
  <si>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</si>
  <si>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</si>
  <si>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</si>
  <si>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</si>
  <si>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</si>
  <si>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</si>
  <si>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</si>
  <si>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</si>
  <si>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</si>
  <si>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</si>
  <si>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</si>
  <si>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</si>
  <si>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</si>
  <si>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</si>
  <si>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</si>
  <si>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</si>
  <si>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</si>
  <si>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</si>
  <si>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</si>
  <si>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</si>
  <si>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</si>
  <si>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</si>
  <si>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</si>
  <si>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</si>
  <si>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</si>
  <si>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</si>
  <si>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</si>
  <si>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</si>
  <si>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</si>
  <si>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</si>
  <si>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</si>
  <si>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</si>
  <si>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</si>
  <si>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</si>
  <si>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</si>
  <si>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</si>
  <si>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</si>
  <si>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</si>
  <si>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</si>
  <si>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</si>
  <si>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</si>
  <si>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</si>
  <si>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</si>
  <si>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</si>
  <si>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</si>
  <si>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</si>
  <si>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</si>
  <si>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</si>
  <si>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</si>
  <si>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</si>
  <si>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</si>
  <si>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</si>
  <si>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</si>
  <si>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</si>
  <si>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</si>
  <si>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</si>
  <si>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</si>
  <si>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</si>
  <si>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</si>
  <si>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</si>
  <si>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Janvier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</si>
</sst>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2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3" fontId="28" fillId="0" borderId="22" xfId="0" applyNumberFormat="1" applyFont="1" applyBorder="1" applyAlignment="1">
      <alignment vertical="center"/>
    </xf>
    <xf numFmtId="3" fontId="28" fillId="0" borderId="32" xfId="0" applyNumberFormat="1" applyFont="1" applyBorder="1" applyAlignment="1">
      <alignment vertical="center"/>
    </xf>
    <xf numFmtId="165" fontId="19" fillId="12" borderId="0" xfId="0" applyNumberFormat="1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K2" sqref="K2:K32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1</v>
      </c>
      <c r="D2" s="7">
        <v>2021</v>
      </c>
      <c r="E2" s="9">
        <f>submetering!E2+submetering!F2+submetering!G2</f>
        <v>12978</v>
      </c>
      <c r="F2" s="7">
        <v>0.251</v>
      </c>
      <c r="G2" s="9">
        <f>submetering!H2</f>
        <v>164</v>
      </c>
      <c r="H2" s="7">
        <v>0.57181599999999999</v>
      </c>
      <c r="I2" s="9">
        <f>submetering!J2</f>
        <v>233491</v>
      </c>
      <c r="J2" s="7">
        <v>2.855</v>
      </c>
      <c r="K2" s="9">
        <f>HOTEL!Y9</f>
        <v>152</v>
      </c>
    </row>
    <row r="3" spans="1:11" s="12" customFormat="1" x14ac:dyDescent="0.25">
      <c r="A3" s="7" t="s">
        <v>11</v>
      </c>
      <c r="B3" s="11">
        <f>B2+1</f>
        <v>2</v>
      </c>
      <c r="C3" s="8">
        <v>1</v>
      </c>
      <c r="D3" s="7">
        <v>2021</v>
      </c>
      <c r="E3" s="9">
        <f>submetering!E3+submetering!F3+submetering!G3</f>
        <v>7041</v>
      </c>
      <c r="F3" s="7">
        <v>0.251</v>
      </c>
      <c r="G3" s="9">
        <f>submetering!H3</f>
        <v>173</v>
      </c>
      <c r="H3" s="7">
        <v>0.57181599999999999</v>
      </c>
      <c r="I3" s="9">
        <f>submetering!J3</f>
        <v>233680</v>
      </c>
      <c r="J3" s="7">
        <v>2.855</v>
      </c>
      <c r="K3" s="9">
        <f>HOTEL!Y10</f>
        <v>57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1</v>
      </c>
      <c r="D4" s="7">
        <v>2021</v>
      </c>
      <c r="E4" s="9">
        <f>submetering!E4+submetering!F4+submetering!G4</f>
        <v>6964</v>
      </c>
      <c r="F4" s="7">
        <v>0.251</v>
      </c>
      <c r="G4" s="9">
        <f>submetering!H4</f>
        <v>160</v>
      </c>
      <c r="H4" s="7">
        <v>0.57181599999999999</v>
      </c>
      <c r="I4" s="9">
        <f>submetering!J4</f>
        <v>233926</v>
      </c>
      <c r="J4" s="7">
        <v>2.855</v>
      </c>
      <c r="K4" s="9">
        <f>HOTEL!Y11</f>
        <v>53</v>
      </c>
    </row>
    <row r="5" spans="1:11" s="12" customFormat="1" x14ac:dyDescent="0.25">
      <c r="A5" s="7" t="s">
        <v>11</v>
      </c>
      <c r="B5" s="11">
        <f t="shared" si="0"/>
        <v>4</v>
      </c>
      <c r="C5" s="8">
        <v>1</v>
      </c>
      <c r="D5" s="7">
        <v>2021</v>
      </c>
      <c r="E5" s="9">
        <f>submetering!E5+submetering!F5+submetering!G5</f>
        <v>6768</v>
      </c>
      <c r="F5" s="7">
        <v>0.251</v>
      </c>
      <c r="G5" s="9">
        <f>submetering!H5</f>
        <v>126</v>
      </c>
      <c r="H5" s="7">
        <v>0.57181599999999999</v>
      </c>
      <c r="I5" s="9">
        <f>submetering!J5</f>
        <v>234170</v>
      </c>
      <c r="J5" s="7">
        <v>2.855</v>
      </c>
      <c r="K5" s="9">
        <f>HOTEL!Y12</f>
        <v>36</v>
      </c>
    </row>
    <row r="6" spans="1:11" s="12" customFormat="1" x14ac:dyDescent="0.25">
      <c r="A6" s="7" t="s">
        <v>11</v>
      </c>
      <c r="B6" s="11">
        <f t="shared" si="0"/>
        <v>5</v>
      </c>
      <c r="C6" s="8">
        <v>1</v>
      </c>
      <c r="D6" s="7">
        <v>2021</v>
      </c>
      <c r="E6" s="9">
        <f>submetering!E6+submetering!F6+submetering!G6</f>
        <v>6506</v>
      </c>
      <c r="F6" s="7">
        <v>0.251</v>
      </c>
      <c r="G6" s="9">
        <f>submetering!H6</f>
        <v>138</v>
      </c>
      <c r="H6" s="7">
        <v>0.57181599999999999</v>
      </c>
      <c r="I6" s="9">
        <f>submetering!J6</f>
        <v>234408</v>
      </c>
      <c r="J6" s="7">
        <v>2.855</v>
      </c>
      <c r="K6" s="9">
        <f>HOTEL!Y13</f>
        <v>28</v>
      </c>
    </row>
    <row r="7" spans="1:11" s="12" customFormat="1" x14ac:dyDescent="0.25">
      <c r="A7" s="7" t="s">
        <v>11</v>
      </c>
      <c r="B7" s="11">
        <f t="shared" si="0"/>
        <v>6</v>
      </c>
      <c r="C7" s="8">
        <v>1</v>
      </c>
      <c r="D7" s="7">
        <v>2021</v>
      </c>
      <c r="E7" s="9">
        <f>submetering!E7+submetering!F7+submetering!G7</f>
        <v>6454</v>
      </c>
      <c r="F7" s="7">
        <v>0.251</v>
      </c>
      <c r="G7" s="9">
        <f>submetering!H7</f>
        <v>121</v>
      </c>
      <c r="H7" s="7">
        <v>0.57181599999999999</v>
      </c>
      <c r="I7" s="9">
        <f>submetering!J7</f>
        <v>234603</v>
      </c>
      <c r="J7" s="7">
        <v>2.855</v>
      </c>
      <c r="K7" s="9">
        <f>HOTEL!Y14</f>
        <v>51</v>
      </c>
    </row>
    <row r="8" spans="1:11" s="12" customFormat="1" x14ac:dyDescent="0.25">
      <c r="A8" s="7" t="s">
        <v>11</v>
      </c>
      <c r="B8" s="11">
        <f t="shared" si="0"/>
        <v>7</v>
      </c>
      <c r="C8" s="8">
        <v>1</v>
      </c>
      <c r="D8" s="7">
        <v>2021</v>
      </c>
      <c r="E8" s="9">
        <f>submetering!E8+submetering!F8+submetering!G8</f>
        <v>6363</v>
      </c>
      <c r="F8" s="7">
        <v>0.251</v>
      </c>
      <c r="G8" s="9">
        <f>submetering!H8</f>
        <v>122</v>
      </c>
      <c r="H8" s="7">
        <v>0.57181599999999999</v>
      </c>
      <c r="I8" s="9">
        <f>submetering!J8</f>
        <v>234801</v>
      </c>
      <c r="J8" s="7">
        <v>2.855</v>
      </c>
      <c r="K8" s="9">
        <f>HOTEL!Y15</f>
        <v>22</v>
      </c>
    </row>
    <row r="9" spans="1:11" s="12" customFormat="1" x14ac:dyDescent="0.25">
      <c r="A9" s="7" t="s">
        <v>11</v>
      </c>
      <c r="B9" s="11">
        <f t="shared" si="0"/>
        <v>8</v>
      </c>
      <c r="C9" s="8">
        <v>1</v>
      </c>
      <c r="D9" s="7">
        <v>2021</v>
      </c>
      <c r="E9" s="9">
        <f>submetering!E9+submetering!F9+submetering!G9</f>
        <v>6440</v>
      </c>
      <c r="F9" s="7">
        <v>0.251</v>
      </c>
      <c r="G9" s="9">
        <f>submetering!H9</f>
        <v>133</v>
      </c>
      <c r="H9" s="7">
        <v>0.57181599999999999</v>
      </c>
      <c r="I9" s="9">
        <f>submetering!J9</f>
        <v>234998</v>
      </c>
      <c r="J9" s="7">
        <v>2.855</v>
      </c>
      <c r="K9" s="9">
        <f>HOTEL!Y16</f>
        <v>31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1</v>
      </c>
      <c r="D10" s="7">
        <v>2021</v>
      </c>
      <c r="E10" s="9">
        <f>submetering!E10+submetering!F10+submetering!G10</f>
        <v>6318</v>
      </c>
      <c r="F10" s="7">
        <v>0.251</v>
      </c>
      <c r="G10" s="9">
        <f>submetering!H10</f>
        <v>129</v>
      </c>
      <c r="H10" s="7">
        <v>0.57181599999999999</v>
      </c>
      <c r="I10" s="9">
        <f>submetering!J10</f>
        <v>235255</v>
      </c>
      <c r="J10" s="7">
        <v>2.855</v>
      </c>
      <c r="K10" s="9">
        <f>HOTEL!Y17</f>
        <v>46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1</v>
      </c>
      <c r="D11" s="7">
        <v>2021</v>
      </c>
      <c r="E11" s="9">
        <f>submetering!E11+submetering!F11+submetering!G11</f>
        <v>6232</v>
      </c>
      <c r="F11" s="7">
        <v>0.251</v>
      </c>
      <c r="G11" s="9">
        <f>submetering!H11</f>
        <v>138</v>
      </c>
      <c r="H11" s="7">
        <v>0.57181599999999999</v>
      </c>
      <c r="I11" s="9">
        <f>submetering!J11</f>
        <v>235415</v>
      </c>
      <c r="J11" s="7">
        <v>2.855</v>
      </c>
      <c r="K11" s="9">
        <f>HOTEL!Y18</f>
        <v>37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1</v>
      </c>
      <c r="D12" s="7">
        <v>2021</v>
      </c>
      <c r="E12" s="9">
        <f>submetering!E12+submetering!F12+submetering!G12</f>
        <v>0</v>
      </c>
      <c r="F12" s="7">
        <v>0.251</v>
      </c>
      <c r="G12" s="9" t="str">
        <f>submetering!H12</f>
        <v>0</v>
      </c>
      <c r="H12" s="7">
        <v>0.57181599999999999</v>
      </c>
      <c r="I12" s="9">
        <f>submetering!J12</f>
        <v>0</v>
      </c>
      <c r="J12" s="7">
        <v>2.855</v>
      </c>
      <c r="K12" s="9">
        <f>HOTEL!Y19</f>
        <v>0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1</v>
      </c>
      <c r="D13" s="7">
        <v>2021</v>
      </c>
      <c r="E13" s="9">
        <f>submetering!E13+submetering!F13+submetering!G13</f>
        <v>0</v>
      </c>
      <c r="F13" s="7">
        <v>0.251</v>
      </c>
      <c r="G13" s="9">
        <f>submetering!H13</f>
        <v>0</v>
      </c>
      <c r="H13" s="7">
        <v>0.57181599999999999</v>
      </c>
      <c r="I13" s="9">
        <f>submetering!J13</f>
        <v>0</v>
      </c>
      <c r="J13" s="7">
        <v>2.855</v>
      </c>
      <c r="K13" s="9">
        <f>HOTEL!Y20</f>
        <v>0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1</v>
      </c>
      <c r="D14" s="7">
        <v>2021</v>
      </c>
      <c r="E14" s="9">
        <f>submetering!E14+submetering!F14+submetering!G14</f>
        <v>0</v>
      </c>
      <c r="F14" s="7">
        <v>0.251</v>
      </c>
      <c r="G14" s="9">
        <f>submetering!H14</f>
        <v>0</v>
      </c>
      <c r="H14" s="7">
        <v>0.57181599999999999</v>
      </c>
      <c r="I14" s="9">
        <f>submetering!J14</f>
        <v>0</v>
      </c>
      <c r="J14" s="7">
        <v>2.855</v>
      </c>
      <c r="K14" s="9">
        <f>HOTEL!Y21</f>
        <v>0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1</v>
      </c>
      <c r="D15" s="7">
        <v>2021</v>
      </c>
      <c r="E15" s="9">
        <f>submetering!E15+submetering!F15+submetering!G15</f>
        <v>0</v>
      </c>
      <c r="F15" s="7">
        <v>0.251</v>
      </c>
      <c r="G15" s="9">
        <f>submetering!H15</f>
        <v>0</v>
      </c>
      <c r="H15" s="7">
        <v>0.57181599999999999</v>
      </c>
      <c r="I15" s="9">
        <f>submetering!J15</f>
        <v>0</v>
      </c>
      <c r="J15" s="7">
        <v>2.855</v>
      </c>
      <c r="K15" s="9">
        <f>HOTEL!Y22</f>
        <v>0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1</v>
      </c>
      <c r="D16" s="7">
        <v>2021</v>
      </c>
      <c r="E16" s="9">
        <f>submetering!E16+submetering!F16+submetering!G16</f>
        <v>0</v>
      </c>
      <c r="F16" s="7">
        <v>0.251</v>
      </c>
      <c r="G16" s="9">
        <f>submetering!H16</f>
        <v>0</v>
      </c>
      <c r="H16" s="7">
        <v>0.57181599999999999</v>
      </c>
      <c r="I16" s="9">
        <f>submetering!J16</f>
        <v>0</v>
      </c>
      <c r="J16" s="7">
        <v>2.855</v>
      </c>
      <c r="K16" s="9">
        <f>HOTEL!Y23</f>
        <v>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1</v>
      </c>
      <c r="D17" s="7">
        <v>2021</v>
      </c>
      <c r="E17" s="9">
        <f>submetering!E17+submetering!F17+submetering!G17</f>
        <v>0</v>
      </c>
      <c r="F17" s="7">
        <v>0.251</v>
      </c>
      <c r="G17" s="9">
        <f>submetering!H17</f>
        <v>0</v>
      </c>
      <c r="H17" s="7">
        <v>0.57181599999999999</v>
      </c>
      <c r="I17" s="9">
        <f>submetering!J17</f>
        <v>0</v>
      </c>
      <c r="J17" s="7">
        <v>2.855</v>
      </c>
      <c r="K17" s="9">
        <f>HOTEL!Y24</f>
        <v>0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1</v>
      </c>
      <c r="D18" s="7">
        <v>2021</v>
      </c>
      <c r="E18" s="9">
        <f>submetering!E18+submetering!F18+submetering!G18</f>
        <v>0</v>
      </c>
      <c r="F18" s="7">
        <v>0.251</v>
      </c>
      <c r="G18" s="9">
        <f>submetering!H18</f>
        <v>0</v>
      </c>
      <c r="H18" s="7">
        <v>0.57181599999999999</v>
      </c>
      <c r="I18" s="9">
        <f>submetering!J18</f>
        <v>0</v>
      </c>
      <c r="J18" s="7">
        <v>2.855</v>
      </c>
      <c r="K18" s="9">
        <f>HOTEL!Y25</f>
        <v>0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1</v>
      </c>
      <c r="D19" s="7">
        <v>2021</v>
      </c>
      <c r="E19" s="9">
        <f>submetering!E19+submetering!F19+submetering!G19</f>
        <v>0</v>
      </c>
      <c r="F19" s="7">
        <v>0.251</v>
      </c>
      <c r="G19" s="9">
        <f>submetering!H19</f>
        <v>0</v>
      </c>
      <c r="H19" s="7">
        <v>0.57181599999999999</v>
      </c>
      <c r="I19" s="9">
        <f>submetering!J19</f>
        <v>0</v>
      </c>
      <c r="J19" s="7">
        <v>2.855</v>
      </c>
      <c r="K19" s="9">
        <f>HOTEL!Y26</f>
        <v>0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1</v>
      </c>
      <c r="D20" s="7">
        <v>2021</v>
      </c>
      <c r="E20" s="9">
        <f>submetering!E20+submetering!F20+submetering!G20</f>
        <v>0</v>
      </c>
      <c r="F20" s="7">
        <v>0.251</v>
      </c>
      <c r="G20" s="9">
        <f>submetering!H20</f>
        <v>0</v>
      </c>
      <c r="H20" s="7">
        <v>0.57181599999999999</v>
      </c>
      <c r="I20" s="9">
        <f>submetering!J20</f>
        <v>0</v>
      </c>
      <c r="J20" s="7">
        <v>2.855</v>
      </c>
      <c r="K20" s="9">
        <f>HOTEL!Y27</f>
        <v>0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1</v>
      </c>
      <c r="D21" s="7">
        <v>2021</v>
      </c>
      <c r="E21" s="9">
        <f>submetering!E21+submetering!F21+submetering!G21</f>
        <v>0</v>
      </c>
      <c r="F21" s="7">
        <v>0.251</v>
      </c>
      <c r="G21" s="9">
        <f>submetering!H21</f>
        <v>0</v>
      </c>
      <c r="H21" s="7">
        <v>0.57181599999999999</v>
      </c>
      <c r="I21" s="9">
        <f>submetering!J21</f>
        <v>0</v>
      </c>
      <c r="J21" s="7">
        <v>2.855</v>
      </c>
      <c r="K21" s="9">
        <f>HOTEL!Y28</f>
        <v>0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1</v>
      </c>
      <c r="D22" s="7">
        <v>2021</v>
      </c>
      <c r="E22" s="9">
        <f>submetering!E22+submetering!F22+submetering!G22</f>
        <v>0</v>
      </c>
      <c r="F22" s="7">
        <v>0.251</v>
      </c>
      <c r="G22" s="9">
        <f>submetering!H22</f>
        <v>0</v>
      </c>
      <c r="H22" s="7">
        <v>0.57181599999999999</v>
      </c>
      <c r="I22" s="9">
        <f>submetering!J22</f>
        <v>0</v>
      </c>
      <c r="J22" s="7">
        <v>2.855</v>
      </c>
      <c r="K22" s="9">
        <f>HOTEL!Y29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1</v>
      </c>
      <c r="D23" s="7">
        <v>2021</v>
      </c>
      <c r="E23" s="9">
        <f>submetering!E23+submetering!F23+submetering!G23</f>
        <v>0</v>
      </c>
      <c r="F23" s="7">
        <v>0.251</v>
      </c>
      <c r="G23" s="9">
        <f>submetering!H23</f>
        <v>0</v>
      </c>
      <c r="H23" s="7">
        <v>0.57181599999999999</v>
      </c>
      <c r="I23" s="9">
        <f>submetering!J23</f>
        <v>0</v>
      </c>
      <c r="J23" s="7">
        <v>2.855</v>
      </c>
      <c r="K23" s="9">
        <f>HOTEL!Y30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1</v>
      </c>
      <c r="D24" s="7">
        <v>2021</v>
      </c>
      <c r="E24" s="9">
        <f>submetering!E24+submetering!F24+submetering!G24</f>
        <v>0</v>
      </c>
      <c r="F24" s="7">
        <v>0.251</v>
      </c>
      <c r="G24" s="9">
        <f>submetering!H24</f>
        <v>0</v>
      </c>
      <c r="H24" s="7">
        <v>0.57181599999999999</v>
      </c>
      <c r="I24" s="9">
        <f>submetering!J24</f>
        <v>0</v>
      </c>
      <c r="J24" s="7">
        <v>2.855</v>
      </c>
      <c r="K24" s="9">
        <f>HOTEL!Y31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1</v>
      </c>
      <c r="D25" s="7">
        <v>2021</v>
      </c>
      <c r="E25" s="9">
        <f>submetering!E25+submetering!F25+submetering!G25</f>
        <v>0</v>
      </c>
      <c r="F25" s="7">
        <v>0.251</v>
      </c>
      <c r="G25" s="9">
        <f>submetering!H25</f>
        <v>0</v>
      </c>
      <c r="H25" s="7">
        <v>0.57181599999999999</v>
      </c>
      <c r="I25" s="9">
        <f>submetering!J25</f>
        <v>0</v>
      </c>
      <c r="J25" s="7">
        <v>2.855</v>
      </c>
      <c r="K25" s="9">
        <f>HOTEL!Y32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1</v>
      </c>
      <c r="D26" s="7">
        <v>2021</v>
      </c>
      <c r="E26" s="9">
        <f>submetering!E26+submetering!F26+submetering!G26</f>
        <v>0</v>
      </c>
      <c r="F26" s="7">
        <v>0.251</v>
      </c>
      <c r="G26" s="9">
        <f>submetering!H26</f>
        <v>0</v>
      </c>
      <c r="H26" s="7">
        <v>0.57181599999999999</v>
      </c>
      <c r="I26" s="9">
        <f>submetering!J26</f>
        <v>0</v>
      </c>
      <c r="J26" s="7">
        <v>2.855</v>
      </c>
      <c r="K26" s="9">
        <f>HOTEL!Y33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1</v>
      </c>
      <c r="D27" s="7">
        <v>2021</v>
      </c>
      <c r="E27" s="9">
        <f>submetering!E27+submetering!F27+submetering!G27</f>
        <v>0</v>
      </c>
      <c r="F27" s="7">
        <v>0.251</v>
      </c>
      <c r="G27" s="9">
        <f>submetering!H27</f>
        <v>0</v>
      </c>
      <c r="H27" s="7">
        <v>0.57181599999999999</v>
      </c>
      <c r="I27" s="9">
        <f>submetering!J27</f>
        <v>0</v>
      </c>
      <c r="J27" s="7">
        <v>2.855</v>
      </c>
      <c r="K27" s="9">
        <f>HOTEL!Y34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1</v>
      </c>
      <c r="D28" s="7">
        <v>2021</v>
      </c>
      <c r="E28" s="9">
        <f>submetering!E28+submetering!F28+submetering!G28</f>
        <v>0</v>
      </c>
      <c r="F28" s="7">
        <v>0.251</v>
      </c>
      <c r="G28" s="9">
        <f>submetering!H28</f>
        <v>0</v>
      </c>
      <c r="H28" s="7">
        <v>0.57181599999999999</v>
      </c>
      <c r="I28" s="9">
        <f>submetering!J28</f>
        <v>0</v>
      </c>
      <c r="J28" s="7">
        <v>2.855</v>
      </c>
      <c r="K28" s="9">
        <f>HOTEL!Y35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1</v>
      </c>
      <c r="D29" s="7">
        <v>2021</v>
      </c>
      <c r="E29" s="9">
        <f>submetering!E29+submetering!F29+submetering!G29</f>
        <v>0</v>
      </c>
      <c r="F29" s="7">
        <v>0.251</v>
      </c>
      <c r="G29" s="9">
        <f>submetering!H29</f>
        <v>0</v>
      </c>
      <c r="H29" s="7">
        <v>0.57181599999999999</v>
      </c>
      <c r="I29" s="9">
        <f>submetering!J29</f>
        <v>0</v>
      </c>
      <c r="J29" s="7">
        <v>2.855</v>
      </c>
      <c r="K29" s="9">
        <f>HOTEL!Y36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1</v>
      </c>
      <c r="D30" s="7">
        <v>2021</v>
      </c>
      <c r="E30" s="9">
        <f>submetering!E30+submetering!F30+submetering!G30</f>
        <v>0</v>
      </c>
      <c r="F30" s="7">
        <v>0.251</v>
      </c>
      <c r="G30" s="9">
        <f>submetering!H30</f>
        <v>0</v>
      </c>
      <c r="H30" s="7">
        <v>0.57181599999999999</v>
      </c>
      <c r="I30" s="9">
        <f>submetering!J30</f>
        <v>0</v>
      </c>
      <c r="J30" s="7">
        <v>2.855</v>
      </c>
      <c r="K30" s="9">
        <f>HOTEL!Y37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1</v>
      </c>
      <c r="D31" s="7">
        <v>2021</v>
      </c>
      <c r="E31" s="9">
        <f>submetering!E31+submetering!F31+submetering!G31</f>
        <v>0</v>
      </c>
      <c r="F31" s="7">
        <v>0.251</v>
      </c>
      <c r="G31" s="9">
        <f>submetering!H31</f>
        <v>0</v>
      </c>
      <c r="H31" s="7">
        <v>0.57181599999999999</v>
      </c>
      <c r="I31" s="9">
        <f>submetering!J31</f>
        <v>0</v>
      </c>
      <c r="J31" s="7">
        <v>2.855</v>
      </c>
      <c r="K31" s="9">
        <f>HOTEL!Y38</f>
        <v>0</v>
      </c>
    </row>
    <row r="32" spans="1:11" x14ac:dyDescent="0.25">
      <c r="A32" s="7" t="s">
        <v>11</v>
      </c>
      <c r="B32" s="11">
        <f t="shared" si="0"/>
        <v>31</v>
      </c>
      <c r="C32" s="8">
        <v>1</v>
      </c>
      <c r="D32" s="7">
        <v>2021</v>
      </c>
      <c r="E32" s="9">
        <f>submetering!E32+submetering!F32+submetering!G32</f>
        <v>0</v>
      </c>
      <c r="F32" s="7">
        <v>0.251</v>
      </c>
      <c r="G32" s="9">
        <f>submetering!H32</f>
        <v>0</v>
      </c>
      <c r="H32" s="7">
        <v>0.57181599999999999</v>
      </c>
      <c r="I32" s="9">
        <f>submetering!J32</f>
        <v>0</v>
      </c>
      <c r="J32" s="7">
        <v>2.855</v>
      </c>
      <c r="K32" s="9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8"/>
  <sheetViews>
    <sheetView workbookViewId="0">
      <selection activeCell="K2" sqref="K2:K32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1</v>
      </c>
      <c r="D2" s="13">
        <v>2021</v>
      </c>
      <c r="E2" s="16">
        <f>HOTEL!D9</f>
        <v>4492</v>
      </c>
      <c r="F2" s="16">
        <f>HOTEL!F9</f>
        <v>4332</v>
      </c>
      <c r="G2" s="16">
        <f>HOTEL!H9</f>
        <v>4154</v>
      </c>
      <c r="H2" s="16">
        <f>HOTEL!N9</f>
        <v>164</v>
      </c>
      <c r="I2" s="16">
        <f>HOTEL!P9</f>
        <v>4105</v>
      </c>
      <c r="J2" s="16">
        <f>HOTEL!T9</f>
        <v>233491</v>
      </c>
      <c r="K2" s="16">
        <f>HOTEL!Y9</f>
        <v>152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1</v>
      </c>
      <c r="D3" s="13">
        <v>2021</v>
      </c>
      <c r="E3" s="16">
        <f>HOTEL!D10</f>
        <v>2278</v>
      </c>
      <c r="F3" s="16">
        <f>HOTEL!F10</f>
        <v>2442</v>
      </c>
      <c r="G3" s="16">
        <f>HOTEL!H10</f>
        <v>2321</v>
      </c>
      <c r="H3" s="16">
        <f>HOTEL!N10</f>
        <v>173</v>
      </c>
      <c r="I3" s="16">
        <f>HOTEL!P10</f>
        <v>1973</v>
      </c>
      <c r="J3" s="16">
        <f>HOTEL!T10</f>
        <v>233680</v>
      </c>
      <c r="K3" s="16">
        <f>HOTEL!Y10</f>
        <v>57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1</v>
      </c>
      <c r="D4" s="13">
        <v>2021</v>
      </c>
      <c r="E4" s="16">
        <f>HOTEL!D11</f>
        <v>2371</v>
      </c>
      <c r="F4" s="16">
        <f>HOTEL!F11</f>
        <v>2365</v>
      </c>
      <c r="G4" s="16">
        <f>HOTEL!H11</f>
        <v>2228</v>
      </c>
      <c r="H4" s="16">
        <f>HOTEL!N11</f>
        <v>160</v>
      </c>
      <c r="I4" s="16">
        <f>HOTEL!P11</f>
        <v>2724</v>
      </c>
      <c r="J4" s="16">
        <f>HOTEL!T11</f>
        <v>233926</v>
      </c>
      <c r="K4" s="16">
        <f>HOTEL!Y11</f>
        <v>53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1</v>
      </c>
      <c r="D5" s="13">
        <v>2021</v>
      </c>
      <c r="E5" s="16">
        <f>HOTEL!D12</f>
        <v>2301</v>
      </c>
      <c r="F5" s="16">
        <f>HOTEL!F12</f>
        <v>2303</v>
      </c>
      <c r="G5" s="16">
        <f>HOTEL!H12</f>
        <v>2164</v>
      </c>
      <c r="H5" s="16">
        <f>HOTEL!N12</f>
        <v>126</v>
      </c>
      <c r="I5" s="16">
        <f>HOTEL!P12</f>
        <v>2791</v>
      </c>
      <c r="J5" s="16">
        <f>HOTEL!T12</f>
        <v>234170</v>
      </c>
      <c r="K5" s="16">
        <f>HOTEL!Y12</f>
        <v>36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1</v>
      </c>
      <c r="D6" s="13">
        <v>2021</v>
      </c>
      <c r="E6" s="16">
        <f>HOTEL!D13</f>
        <v>2215</v>
      </c>
      <c r="F6" s="16">
        <f>HOTEL!F13</f>
        <v>2226</v>
      </c>
      <c r="G6" s="16">
        <f>HOTEL!H13</f>
        <v>2065</v>
      </c>
      <c r="H6" s="16">
        <f>HOTEL!N13</f>
        <v>138</v>
      </c>
      <c r="I6" s="16">
        <f>HOTEL!P13</f>
        <v>2644</v>
      </c>
      <c r="J6" s="16">
        <f>HOTEL!T13</f>
        <v>234408</v>
      </c>
      <c r="K6" s="16">
        <f>HOTEL!Y13</f>
        <v>28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1</v>
      </c>
      <c r="D7" s="13">
        <v>2021</v>
      </c>
      <c r="E7" s="16">
        <f>HOTEL!D14</f>
        <v>2191</v>
      </c>
      <c r="F7" s="16">
        <f>HOTEL!F14</f>
        <v>2207</v>
      </c>
      <c r="G7" s="16">
        <f>HOTEL!H14</f>
        <v>2056</v>
      </c>
      <c r="H7" s="16">
        <f>HOTEL!N14</f>
        <v>121</v>
      </c>
      <c r="I7" s="16">
        <f>HOTEL!P14</f>
        <v>2641</v>
      </c>
      <c r="J7" s="16">
        <f>HOTEL!T14</f>
        <v>234603</v>
      </c>
      <c r="K7" s="16">
        <f>HOTEL!Y14</f>
        <v>51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1</v>
      </c>
      <c r="D8" s="13">
        <v>2021</v>
      </c>
      <c r="E8" s="16">
        <f>HOTEL!D15</f>
        <v>2138</v>
      </c>
      <c r="F8" s="16">
        <f>HOTEL!F15</f>
        <v>2247</v>
      </c>
      <c r="G8" s="16">
        <f>HOTEL!H15</f>
        <v>1978</v>
      </c>
      <c r="H8" s="16">
        <f>HOTEL!N15</f>
        <v>122</v>
      </c>
      <c r="I8" s="16">
        <f>HOTEL!P15</f>
        <v>2393</v>
      </c>
      <c r="J8" s="16">
        <f>HOTEL!T15</f>
        <v>234801</v>
      </c>
      <c r="K8" s="16">
        <f>HOTEL!Y15</f>
        <v>22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1</v>
      </c>
      <c r="D9" s="13">
        <v>2021</v>
      </c>
      <c r="E9" s="16">
        <f>HOTEL!D16</f>
        <v>2208</v>
      </c>
      <c r="F9" s="16">
        <f>HOTEL!F16</f>
        <v>2131</v>
      </c>
      <c r="G9" s="16">
        <f>HOTEL!H16</f>
        <v>2101</v>
      </c>
      <c r="H9" s="16">
        <f>HOTEL!N16</f>
        <v>133</v>
      </c>
      <c r="I9" s="16">
        <f>HOTEL!P16</f>
        <v>2525</v>
      </c>
      <c r="J9" s="16">
        <f>HOTEL!T16</f>
        <v>234998</v>
      </c>
      <c r="K9" s="16">
        <f>HOTEL!Y16</f>
        <v>31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1</v>
      </c>
      <c r="D10" s="13">
        <v>2021</v>
      </c>
      <c r="E10" s="16">
        <f>HOTEL!D17</f>
        <v>2137</v>
      </c>
      <c r="F10" s="16">
        <f>HOTEL!F17</f>
        <v>2165</v>
      </c>
      <c r="G10" s="16">
        <f>HOTEL!H17</f>
        <v>2016</v>
      </c>
      <c r="H10" s="16">
        <f>HOTEL!N17</f>
        <v>129</v>
      </c>
      <c r="I10" s="16">
        <f>HOTEL!P17</f>
        <v>1982</v>
      </c>
      <c r="J10" s="16">
        <f>HOTEL!T17</f>
        <v>235255</v>
      </c>
      <c r="K10" s="16">
        <f>HOTEL!Y17</f>
        <v>46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1</v>
      </c>
      <c r="D11" s="13">
        <v>2021</v>
      </c>
      <c r="E11" s="16">
        <f>HOTEL!D18</f>
        <v>2123</v>
      </c>
      <c r="F11" s="16">
        <f>HOTEL!F18</f>
        <v>2129</v>
      </c>
      <c r="G11" s="16">
        <f>HOTEL!H18</f>
        <v>1980</v>
      </c>
      <c r="H11" s="16">
        <f>HOTEL!N18</f>
        <v>138</v>
      </c>
      <c r="I11" s="16">
        <f>HOTEL!P18</f>
        <v>1911</v>
      </c>
      <c r="J11" s="16">
        <f>HOTEL!T18</f>
        <v>235415</v>
      </c>
      <c r="K11" s="16">
        <f>HOTEL!Y18</f>
        <v>37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1</v>
      </c>
      <c r="D12" s="13">
        <v>2021</v>
      </c>
      <c r="E12" s="16" t="str">
        <f>HOTEL!D19</f>
        <v>0</v>
      </c>
      <c r="F12" s="16" t="str">
        <f>HOTEL!F19</f>
        <v>0</v>
      </c>
      <c r="G12" s="16" t="str">
        <f>HOTEL!H19</f>
        <v>0</v>
      </c>
      <c r="H12" s="16" t="str">
        <f>HOTEL!N19</f>
        <v>0</v>
      </c>
      <c r="I12" s="16" t="str">
        <f>HOTEL!P19</f>
        <v>0</v>
      </c>
      <c r="J12" s="16">
        <f>HOTEL!T19</f>
        <v>0</v>
      </c>
      <c r="K12" s="16">
        <f>HOTEL!Y19</f>
        <v>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1</v>
      </c>
      <c r="D13" s="13">
        <v>2021</v>
      </c>
      <c r="E13" s="16">
        <f>HOTEL!D20</f>
        <v>0</v>
      </c>
      <c r="F13" s="16">
        <f>HOTEL!F20</f>
        <v>0</v>
      </c>
      <c r="G13" s="16">
        <f>HOTEL!H20</f>
        <v>0</v>
      </c>
      <c r="H13" s="16">
        <f>HOTEL!N20</f>
        <v>0</v>
      </c>
      <c r="I13" s="16">
        <f>HOTEL!P20</f>
        <v>0</v>
      </c>
      <c r="J13" s="16">
        <f>HOTEL!T20</f>
        <v>0</v>
      </c>
      <c r="K13" s="16">
        <f>HOTEL!Y20</f>
        <v>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1</v>
      </c>
      <c r="D14" s="13">
        <v>2021</v>
      </c>
      <c r="E14" s="16">
        <f>HOTEL!D21</f>
        <v>0</v>
      </c>
      <c r="F14" s="16">
        <f>HOTEL!F21</f>
        <v>0</v>
      </c>
      <c r="G14" s="16">
        <f>HOTEL!H21</f>
        <v>0</v>
      </c>
      <c r="H14" s="16">
        <f>HOTEL!N21</f>
        <v>0</v>
      </c>
      <c r="I14" s="16">
        <f>HOTEL!P21</f>
        <v>0</v>
      </c>
      <c r="J14" s="16">
        <f>HOTEL!T21</f>
        <v>0</v>
      </c>
      <c r="K14" s="16">
        <f>HOTEL!Y21</f>
        <v>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1</v>
      </c>
      <c r="D15" s="13">
        <v>2021</v>
      </c>
      <c r="E15" s="16">
        <f>HOTEL!D22</f>
        <v>0</v>
      </c>
      <c r="F15" s="16">
        <f>HOTEL!F22</f>
        <v>0</v>
      </c>
      <c r="G15" s="16">
        <f>HOTEL!H22</f>
        <v>0</v>
      </c>
      <c r="H15" s="16">
        <f>HOTEL!N22</f>
        <v>0</v>
      </c>
      <c r="I15" s="16">
        <f>HOTEL!P22</f>
        <v>0</v>
      </c>
      <c r="J15" s="16">
        <f>HOTEL!T22</f>
        <v>0</v>
      </c>
      <c r="K15" s="16">
        <f>HOTEL!Y22</f>
        <v>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1</v>
      </c>
      <c r="D16" s="13">
        <v>2021</v>
      </c>
      <c r="E16" s="16">
        <f>HOTEL!D23</f>
        <v>0</v>
      </c>
      <c r="F16" s="16">
        <f>HOTEL!F23</f>
        <v>0</v>
      </c>
      <c r="G16" s="16">
        <f>HOTEL!H23</f>
        <v>0</v>
      </c>
      <c r="H16" s="16">
        <f>HOTEL!N23</f>
        <v>0</v>
      </c>
      <c r="I16" s="16">
        <f>HOTEL!P23</f>
        <v>0</v>
      </c>
      <c r="J16" s="16">
        <f>HOTEL!T23</f>
        <v>0</v>
      </c>
      <c r="K16" s="16">
        <f>HOTEL!Y23</f>
        <v>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1</v>
      </c>
      <c r="D17" s="13">
        <v>2021</v>
      </c>
      <c r="E17" s="16">
        <f>HOTEL!D24</f>
        <v>0</v>
      </c>
      <c r="F17" s="16">
        <f>HOTEL!F24</f>
        <v>0</v>
      </c>
      <c r="G17" s="16">
        <f>HOTEL!H24</f>
        <v>0</v>
      </c>
      <c r="H17" s="16">
        <f>HOTEL!N24</f>
        <v>0</v>
      </c>
      <c r="I17" s="16">
        <f>HOTEL!P24</f>
        <v>0</v>
      </c>
      <c r="J17" s="16">
        <f>HOTEL!T24</f>
        <v>0</v>
      </c>
      <c r="K17" s="16">
        <f>HOTEL!Y24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1</v>
      </c>
      <c r="D18" s="13">
        <v>2021</v>
      </c>
      <c r="E18" s="16">
        <f>HOTEL!D25</f>
        <v>0</v>
      </c>
      <c r="F18" s="16">
        <f>HOTEL!F25</f>
        <v>0</v>
      </c>
      <c r="G18" s="16">
        <f>HOTEL!H25</f>
        <v>0</v>
      </c>
      <c r="H18" s="16">
        <f>HOTEL!N25</f>
        <v>0</v>
      </c>
      <c r="I18" s="16">
        <f>HOTEL!P25</f>
        <v>0</v>
      </c>
      <c r="J18" s="16">
        <f>HOTEL!T25</f>
        <v>0</v>
      </c>
      <c r="K18" s="16">
        <f>HOTEL!Y25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1</v>
      </c>
      <c r="D19" s="13">
        <v>2021</v>
      </c>
      <c r="E19" s="16">
        <f>HOTEL!D26</f>
        <v>0</v>
      </c>
      <c r="F19" s="16">
        <f>HOTEL!F26</f>
        <v>0</v>
      </c>
      <c r="G19" s="16">
        <f>HOTEL!H26</f>
        <v>0</v>
      </c>
      <c r="H19" s="16">
        <f>HOTEL!N26</f>
        <v>0</v>
      </c>
      <c r="I19" s="16">
        <f>HOTEL!P26</f>
        <v>0</v>
      </c>
      <c r="J19" s="16">
        <f>HOTEL!T26</f>
        <v>0</v>
      </c>
      <c r="K19" s="16">
        <f>HOTEL!Y26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1</v>
      </c>
      <c r="D20" s="13">
        <v>2021</v>
      </c>
      <c r="E20" s="16">
        <f>HOTEL!D27</f>
        <v>0</v>
      </c>
      <c r="F20" s="16">
        <f>HOTEL!F27</f>
        <v>0</v>
      </c>
      <c r="G20" s="16">
        <f>HOTEL!H27</f>
        <v>0</v>
      </c>
      <c r="H20" s="16">
        <f>HOTEL!N27</f>
        <v>0</v>
      </c>
      <c r="I20" s="16">
        <f>HOTEL!P27</f>
        <v>0</v>
      </c>
      <c r="J20" s="16">
        <f>HOTEL!T27</f>
        <v>0</v>
      </c>
      <c r="K20" s="16">
        <f>HOTEL!Y27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1</v>
      </c>
      <c r="D21" s="13">
        <v>2021</v>
      </c>
      <c r="E21" s="16">
        <f>HOTEL!D28</f>
        <v>0</v>
      </c>
      <c r="F21" s="16">
        <f>HOTEL!F28</f>
        <v>0</v>
      </c>
      <c r="G21" s="16">
        <f>HOTEL!H28</f>
        <v>0</v>
      </c>
      <c r="H21" s="16">
        <f>HOTEL!N28</f>
        <v>0</v>
      </c>
      <c r="I21" s="16">
        <f>HOTEL!P28</f>
        <v>0</v>
      </c>
      <c r="J21" s="16">
        <f>HOTEL!T28</f>
        <v>0</v>
      </c>
      <c r="K21" s="16">
        <f>HOTEL!Y28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1</v>
      </c>
      <c r="D22" s="13">
        <v>2021</v>
      </c>
      <c r="E22" s="16">
        <f>HOTEL!D29</f>
        <v>0</v>
      </c>
      <c r="F22" s="16">
        <f>HOTEL!F29</f>
        <v>0</v>
      </c>
      <c r="G22" s="16">
        <f>HOTEL!H29</f>
        <v>0</v>
      </c>
      <c r="H22" s="16">
        <f>HOTEL!N29</f>
        <v>0</v>
      </c>
      <c r="I22" s="16">
        <f>HOTEL!P29</f>
        <v>0</v>
      </c>
      <c r="J22" s="16">
        <f>HOTEL!T29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1</v>
      </c>
      <c r="D23" s="13">
        <v>2021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HOTEL!T30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1</v>
      </c>
      <c r="D24" s="13">
        <v>2021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HOTEL!T31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1</v>
      </c>
      <c r="D25" s="13">
        <v>2021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HOTEL!T32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1</v>
      </c>
      <c r="D26" s="13">
        <v>2021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HOTEL!T33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1</v>
      </c>
      <c r="D27" s="13">
        <v>2021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HOTEL!T34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1</v>
      </c>
      <c r="D28" s="13">
        <v>2021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HOTEL!T35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1</v>
      </c>
      <c r="D29" s="13">
        <v>2021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HOTEL!T36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1</v>
      </c>
      <c r="D30" s="13">
        <v>2021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HOTEL!T37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1</v>
      </c>
      <c r="D31" s="13">
        <v>2021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HOTEL!T38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1</v>
      </c>
      <c r="D32" s="13">
        <v>2021</v>
      </c>
      <c r="E32" s="16">
        <f>HOTEL!D39</f>
        <v>0</v>
      </c>
      <c r="F32" s="16">
        <f>HOTEL!F39</f>
        <v>0</v>
      </c>
      <c r="G32" s="16">
        <f>HOTEL!H39</f>
        <v>0</v>
      </c>
      <c r="H32" s="16">
        <f>HOTEL!N39</f>
        <v>0</v>
      </c>
      <c r="I32" s="16">
        <f>HOTEL!P39</f>
        <v>0</v>
      </c>
      <c r="J32" s="16">
        <f>HOTEL!T39</f>
        <v>0</v>
      </c>
      <c r="K32" s="16">
        <f>HOTEL!Y39</f>
        <v>0</v>
      </c>
      <c r="L32" s="30"/>
      <c r="M32" s="3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4" workbookViewId="0">
      <selection activeCell="Y25" sqref="Y25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4"/>
      <c r="C1" s="144"/>
      <c r="D1" s="144"/>
      <c r="E1" s="144"/>
      <c r="F1" s="145" t="s">
        <v>95</v>
      </c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45" t="s">
        <v>122</v>
      </c>
      <c r="X1" s="146"/>
      <c r="Y1" s="146"/>
      <c r="Z1" s="147"/>
    </row>
    <row r="2" spans="1:27" x14ac:dyDescent="0.25">
      <c r="A2" s="13"/>
      <c r="B2" s="144"/>
      <c r="C2" s="144"/>
      <c r="D2" s="144"/>
      <c r="E2" s="144"/>
      <c r="F2" s="148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48"/>
      <c r="X2" s="149"/>
      <c r="Y2" s="149"/>
      <c r="Z2" s="150"/>
    </row>
    <row r="3" spans="1:27" x14ac:dyDescent="0.25">
      <c r="A3" s="13"/>
      <c r="B3" s="144"/>
      <c r="C3" s="144"/>
      <c r="D3" s="144"/>
      <c r="E3" s="144"/>
      <c r="F3" s="148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48">
        <v>2021</v>
      </c>
      <c r="X3" s="149"/>
      <c r="Y3" s="149"/>
      <c r="Z3" s="150"/>
    </row>
    <row r="4" spans="1:27" x14ac:dyDescent="0.25">
      <c r="A4" s="13"/>
      <c r="B4" s="144"/>
      <c r="C4" s="144"/>
      <c r="D4" s="144"/>
      <c r="E4" s="144"/>
      <c r="F4" s="151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3"/>
      <c r="W4" s="151"/>
      <c r="X4" s="152"/>
      <c r="Y4" s="152"/>
      <c r="Z4" s="153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5019016</v>
      </c>
      <c r="D6" s="36"/>
      <c r="E6" s="37">
        <v>4970289</v>
      </c>
      <c r="F6" s="38"/>
      <c r="G6" s="35">
        <v>4703348</v>
      </c>
      <c r="H6" s="39">
        <v>47033048</v>
      </c>
      <c r="I6" s="40"/>
      <c r="J6" s="41">
        <f>D6+F6+H6</f>
        <v>47033048</v>
      </c>
      <c r="K6" s="41" t="e">
        <f>D6*0.152+F6*0.238+H6*0.115+#REF!*0.218</f>
        <v>#REF!</v>
      </c>
      <c r="L6" s="42"/>
      <c r="M6" s="43">
        <v>122117</v>
      </c>
      <c r="N6" s="39" t="e">
        <f>M6-#REF!</f>
        <v>#REF!</v>
      </c>
      <c r="O6" s="44">
        <v>2011043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233260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4" t="s">
        <v>97</v>
      </c>
      <c r="D7" s="155"/>
      <c r="E7" s="155"/>
      <c r="F7" s="155"/>
      <c r="G7" s="155"/>
      <c r="H7" s="155"/>
      <c r="I7" s="155"/>
      <c r="J7" s="155"/>
      <c r="K7" s="156"/>
      <c r="L7" s="49"/>
      <c r="M7" s="154" t="s">
        <v>98</v>
      </c>
      <c r="N7" s="155"/>
      <c r="O7" s="155"/>
      <c r="P7" s="155"/>
      <c r="Q7" s="155"/>
      <c r="R7" s="156"/>
      <c r="S7" s="49"/>
      <c r="T7" s="157" t="s">
        <v>99</v>
      </c>
      <c r="U7" s="157"/>
      <c r="V7" s="158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119</v>
      </c>
      <c r="B9" s="67">
        <v>1</v>
      </c>
      <c r="C9" s="104">
        <v>5023508</v>
      </c>
      <c r="D9" s="69">
        <f>IF((C9-C6&lt;0), "0",C9-C6)</f>
        <v>4492</v>
      </c>
      <c r="E9" s="105">
        <v>4974621</v>
      </c>
      <c r="F9" s="69">
        <f>IF((E9-E6&lt;0), "0",E9-E6)</f>
        <v>4332</v>
      </c>
      <c r="G9" s="88">
        <v>4707502</v>
      </c>
      <c r="H9" s="69">
        <f>IF((G9-G6&lt;0), "0",G9-G6)</f>
        <v>4154</v>
      </c>
      <c r="I9" s="71">
        <f>SUM(H9,F9,D9)</f>
        <v>12978</v>
      </c>
      <c r="J9" s="72">
        <v>0.99</v>
      </c>
      <c r="K9" s="73">
        <f>I9*0.251</f>
        <v>3257.4780000000001</v>
      </c>
      <c r="L9" s="74"/>
      <c r="M9" s="104">
        <v>122281</v>
      </c>
      <c r="N9" s="69">
        <f>IF((M9-M6&lt;0), "0",M9-M6)</f>
        <v>164</v>
      </c>
      <c r="O9" s="104">
        <v>2015148</v>
      </c>
      <c r="P9" s="69">
        <f>IF((O9-O6&lt;0), "0",O9-O6)</f>
        <v>4105</v>
      </c>
      <c r="Q9" s="75">
        <f t="shared" ref="Q9:Q39" si="0">N9+P9</f>
        <v>4269</v>
      </c>
      <c r="R9" s="76">
        <f>(P9+N9)*0.056*10.211</f>
        <v>2441.082504</v>
      </c>
      <c r="S9" s="77"/>
      <c r="T9" s="106">
        <v>233491</v>
      </c>
      <c r="U9" s="69">
        <f>IF((T9-T6&lt;0), "0",T9-T6)</f>
        <v>231</v>
      </c>
      <c r="V9" s="79">
        <f>U9*(1.315+1.54)</f>
        <v>659.505</v>
      </c>
      <c r="W9" s="80"/>
      <c r="X9" s="81">
        <f t="shared" ref="X9:X39" si="1">K9+R9+V9</f>
        <v>6358.0655040000001</v>
      </c>
      <c r="Y9" s="82">
        <v>152</v>
      </c>
      <c r="Z9" s="83">
        <f>X9/Y9</f>
        <v>41.829378315789477</v>
      </c>
    </row>
    <row r="10" spans="1:27" x14ac:dyDescent="0.25">
      <c r="A10" s="13" t="s">
        <v>120</v>
      </c>
      <c r="B10" s="67">
        <f>B9+1</f>
        <v>2</v>
      </c>
      <c r="C10" s="68">
        <v>5025786</v>
      </c>
      <c r="D10" s="69">
        <f t="shared" ref="D10:D19" si="2">IF((C10-C9&lt;0), "0",C10-C9)</f>
        <v>2278</v>
      </c>
      <c r="E10" s="70">
        <v>4977063</v>
      </c>
      <c r="F10" s="69">
        <f>IF((E10-E9&lt;0), "0",E10-E9)</f>
        <v>2442</v>
      </c>
      <c r="G10" s="70">
        <v>4709823</v>
      </c>
      <c r="H10" s="69">
        <f t="shared" ref="H10:H39" si="3">IF((G10-G9&lt;0), "0",G10-G9)</f>
        <v>2321</v>
      </c>
      <c r="I10" s="71">
        <f t="shared" ref="I10:I39" si="4">SUM(H10,F10,D10)</f>
        <v>7041</v>
      </c>
      <c r="J10" s="72">
        <v>0.99</v>
      </c>
      <c r="K10" s="73">
        <f t="shared" ref="K10:K39" si="5">I10*0.251</f>
        <v>1767.2909999999999</v>
      </c>
      <c r="L10" s="74"/>
      <c r="M10" s="70">
        <v>122454</v>
      </c>
      <c r="N10" s="69">
        <f>IF((M10-M9&lt;0), "0",M10-M9)</f>
        <v>173</v>
      </c>
      <c r="O10" s="70">
        <v>2017121</v>
      </c>
      <c r="P10" s="69">
        <f>IF((O10-O9&lt;0), "0",O10-O9)</f>
        <v>1973</v>
      </c>
      <c r="Q10" s="75">
        <f t="shared" si="0"/>
        <v>2146</v>
      </c>
      <c r="R10" s="76">
        <f t="shared" ref="R10:R39" si="6">(P10+N10)*0.056*10.211</f>
        <v>1227.1171360000001</v>
      </c>
      <c r="S10" s="77"/>
      <c r="T10" s="78">
        <v>233680</v>
      </c>
      <c r="U10" s="69">
        <f>IF((T10-T9&lt;0), "0",T10-T9)</f>
        <v>189</v>
      </c>
      <c r="V10" s="79">
        <f t="shared" ref="V10:V39" si="7">U10*(1.315+1.54)</f>
        <v>539.59500000000003</v>
      </c>
      <c r="W10" s="80"/>
      <c r="X10" s="84">
        <f t="shared" si="1"/>
        <v>3534.0031360000003</v>
      </c>
      <c r="Y10" s="85">
        <v>57</v>
      </c>
      <c r="Z10" s="86">
        <f t="shared" ref="Z10:Z39" si="8">X10/Y10</f>
        <v>62.000055017543865</v>
      </c>
    </row>
    <row r="11" spans="1:27" x14ac:dyDescent="0.25">
      <c r="A11" s="13" t="s">
        <v>96</v>
      </c>
      <c r="B11" s="67">
        <f t="shared" ref="B11:B39" si="9">B10+1</f>
        <v>3</v>
      </c>
      <c r="C11" s="68">
        <v>5028157</v>
      </c>
      <c r="D11" s="69">
        <f t="shared" si="2"/>
        <v>2371</v>
      </c>
      <c r="E11" s="68">
        <v>4979428</v>
      </c>
      <c r="F11" s="69">
        <f t="shared" ref="F11:F39" si="10">IF((E11-E10&lt;0), "0",E11-E10)</f>
        <v>2365</v>
      </c>
      <c r="G11" s="70">
        <v>4712051</v>
      </c>
      <c r="H11" s="69">
        <f t="shared" si="3"/>
        <v>2228</v>
      </c>
      <c r="I11" s="71">
        <f t="shared" si="4"/>
        <v>6964</v>
      </c>
      <c r="J11" s="72">
        <v>0.99</v>
      </c>
      <c r="K11" s="73">
        <f t="shared" si="5"/>
        <v>1747.9639999999999</v>
      </c>
      <c r="L11" s="74"/>
      <c r="M11" s="70">
        <v>122614</v>
      </c>
      <c r="N11" s="69">
        <f t="shared" ref="N11:N39" si="11">IF((M11-M10&lt;0), "0",M11-M10)</f>
        <v>160</v>
      </c>
      <c r="O11" s="70">
        <v>2019845</v>
      </c>
      <c r="P11" s="69">
        <f t="shared" ref="P11:P39" si="12">IF((O11-O10&lt;0), "0",O11-O10)</f>
        <v>2724</v>
      </c>
      <c r="Q11" s="75">
        <f t="shared" si="0"/>
        <v>2884</v>
      </c>
      <c r="R11" s="76">
        <f t="shared" si="6"/>
        <v>1649.117344</v>
      </c>
      <c r="S11" s="77"/>
      <c r="T11" s="87">
        <v>233926</v>
      </c>
      <c r="U11" s="69">
        <f t="shared" ref="U11:U39" si="13">IF((T11-T10&lt;0), "0",T11-T10)</f>
        <v>246</v>
      </c>
      <c r="V11" s="79">
        <f t="shared" si="7"/>
        <v>702.33</v>
      </c>
      <c r="W11" s="80"/>
      <c r="X11" s="84">
        <f t="shared" si="1"/>
        <v>4099.4113440000001</v>
      </c>
      <c r="Y11" s="85">
        <v>53</v>
      </c>
      <c r="Z11" s="86">
        <f t="shared" si="8"/>
        <v>77.347383849056612</v>
      </c>
    </row>
    <row r="12" spans="1:27" x14ac:dyDescent="0.25">
      <c r="A12" s="13" t="s">
        <v>121</v>
      </c>
      <c r="B12" s="67">
        <f t="shared" si="9"/>
        <v>4</v>
      </c>
      <c r="C12" s="68">
        <v>5030458</v>
      </c>
      <c r="D12" s="69">
        <f t="shared" si="2"/>
        <v>2301</v>
      </c>
      <c r="E12" s="68">
        <v>4981731</v>
      </c>
      <c r="F12" s="69">
        <f t="shared" si="10"/>
        <v>2303</v>
      </c>
      <c r="G12" s="70">
        <v>4714215</v>
      </c>
      <c r="H12" s="69">
        <f t="shared" si="3"/>
        <v>2164</v>
      </c>
      <c r="I12" s="71">
        <f t="shared" si="4"/>
        <v>6768</v>
      </c>
      <c r="J12" s="72">
        <v>0.99</v>
      </c>
      <c r="K12" s="73">
        <f t="shared" si="5"/>
        <v>1698.768</v>
      </c>
      <c r="L12" s="74"/>
      <c r="M12" s="70">
        <v>122740</v>
      </c>
      <c r="N12" s="69">
        <f t="shared" si="11"/>
        <v>126</v>
      </c>
      <c r="O12" s="70">
        <v>2022636</v>
      </c>
      <c r="P12" s="69">
        <f t="shared" si="12"/>
        <v>2791</v>
      </c>
      <c r="Q12" s="75">
        <f t="shared" si="0"/>
        <v>2917</v>
      </c>
      <c r="R12" s="76">
        <f t="shared" si="6"/>
        <v>1667.9872720000001</v>
      </c>
      <c r="S12" s="77"/>
      <c r="T12" s="78">
        <v>234170</v>
      </c>
      <c r="U12" s="69">
        <f t="shared" si="13"/>
        <v>244</v>
      </c>
      <c r="V12" s="79">
        <f t="shared" si="7"/>
        <v>696.62</v>
      </c>
      <c r="W12" s="80"/>
      <c r="X12" s="84">
        <f t="shared" si="1"/>
        <v>4063.3752720000002</v>
      </c>
      <c r="Y12" s="85">
        <v>36</v>
      </c>
      <c r="Z12" s="86">
        <f t="shared" si="8"/>
        <v>112.87153533333334</v>
      </c>
    </row>
    <row r="13" spans="1:27" x14ac:dyDescent="0.25">
      <c r="A13" s="13" t="s">
        <v>116</v>
      </c>
      <c r="B13" s="67">
        <f t="shared" si="9"/>
        <v>5</v>
      </c>
      <c r="C13" s="88">
        <v>5032673</v>
      </c>
      <c r="D13" s="69">
        <f t="shared" si="2"/>
        <v>2215</v>
      </c>
      <c r="E13" s="68">
        <v>4983957</v>
      </c>
      <c r="F13" s="69">
        <f t="shared" si="10"/>
        <v>2226</v>
      </c>
      <c r="G13" s="88">
        <v>4716280</v>
      </c>
      <c r="H13" s="69">
        <f t="shared" si="3"/>
        <v>2065</v>
      </c>
      <c r="I13" s="71">
        <f t="shared" si="4"/>
        <v>6506</v>
      </c>
      <c r="J13" s="72">
        <v>0.99</v>
      </c>
      <c r="K13" s="73">
        <f t="shared" si="5"/>
        <v>1633.0060000000001</v>
      </c>
      <c r="L13" s="74"/>
      <c r="M13" s="70">
        <v>122878</v>
      </c>
      <c r="N13" s="69">
        <f t="shared" si="11"/>
        <v>138</v>
      </c>
      <c r="O13" s="68">
        <v>2025280</v>
      </c>
      <c r="P13" s="69">
        <f t="shared" si="12"/>
        <v>2644</v>
      </c>
      <c r="Q13" s="75">
        <f t="shared" si="0"/>
        <v>2782</v>
      </c>
      <c r="R13" s="76">
        <f t="shared" si="6"/>
        <v>1590.7921120000001</v>
      </c>
      <c r="S13" s="77"/>
      <c r="T13" s="89">
        <v>234408</v>
      </c>
      <c r="U13" s="69">
        <f t="shared" si="13"/>
        <v>238</v>
      </c>
      <c r="V13" s="79">
        <f t="shared" si="7"/>
        <v>679.49</v>
      </c>
      <c r="W13" s="80"/>
      <c r="X13" s="84">
        <f t="shared" si="1"/>
        <v>3903.2881120000002</v>
      </c>
      <c r="Y13" s="85">
        <v>28</v>
      </c>
      <c r="Z13" s="86">
        <f t="shared" si="8"/>
        <v>139.40314685714287</v>
      </c>
    </row>
    <row r="14" spans="1:27" x14ac:dyDescent="0.25">
      <c r="A14" s="13" t="s">
        <v>117</v>
      </c>
      <c r="B14" s="67">
        <f t="shared" si="9"/>
        <v>6</v>
      </c>
      <c r="C14" s="68">
        <v>5034864</v>
      </c>
      <c r="D14" s="69">
        <f t="shared" si="2"/>
        <v>2191</v>
      </c>
      <c r="E14" s="68">
        <v>4986164</v>
      </c>
      <c r="F14" s="69">
        <f t="shared" si="10"/>
        <v>2207</v>
      </c>
      <c r="G14" s="88">
        <v>4718336</v>
      </c>
      <c r="H14" s="69">
        <f t="shared" si="3"/>
        <v>2056</v>
      </c>
      <c r="I14" s="71">
        <f t="shared" si="4"/>
        <v>6454</v>
      </c>
      <c r="J14" s="72">
        <v>0.99</v>
      </c>
      <c r="K14" s="73">
        <f t="shared" si="5"/>
        <v>1619.954</v>
      </c>
      <c r="L14" s="74"/>
      <c r="M14" s="70">
        <v>122999</v>
      </c>
      <c r="N14" s="69">
        <f t="shared" si="11"/>
        <v>121</v>
      </c>
      <c r="O14" s="68">
        <v>2027921</v>
      </c>
      <c r="P14" s="69">
        <f t="shared" si="12"/>
        <v>2641</v>
      </c>
      <c r="Q14" s="75">
        <f t="shared" si="0"/>
        <v>2762</v>
      </c>
      <c r="R14" s="76">
        <f t="shared" si="6"/>
        <v>1579.3557920000001</v>
      </c>
      <c r="S14" s="77"/>
      <c r="T14" s="89">
        <v>234603</v>
      </c>
      <c r="U14" s="69">
        <f t="shared" si="13"/>
        <v>195</v>
      </c>
      <c r="V14" s="79">
        <f t="shared" si="7"/>
        <v>556.72500000000002</v>
      </c>
      <c r="W14" s="80"/>
      <c r="X14" s="84">
        <f t="shared" si="1"/>
        <v>3756.0347919999999</v>
      </c>
      <c r="Y14" s="85">
        <v>51</v>
      </c>
      <c r="Z14" s="86">
        <f t="shared" si="8"/>
        <v>73.647741019607835</v>
      </c>
    </row>
    <row r="15" spans="1:27" x14ac:dyDescent="0.25">
      <c r="A15" s="13" t="s">
        <v>118</v>
      </c>
      <c r="B15" s="67">
        <f t="shared" si="9"/>
        <v>7</v>
      </c>
      <c r="C15" s="68">
        <v>5037002</v>
      </c>
      <c r="D15" s="69">
        <f t="shared" si="2"/>
        <v>2138</v>
      </c>
      <c r="E15" s="68">
        <v>4988411</v>
      </c>
      <c r="F15" s="69">
        <f t="shared" si="10"/>
        <v>2247</v>
      </c>
      <c r="G15" s="68">
        <v>4720314</v>
      </c>
      <c r="H15" s="69">
        <f t="shared" si="3"/>
        <v>1978</v>
      </c>
      <c r="I15" s="71">
        <f t="shared" si="4"/>
        <v>6363</v>
      </c>
      <c r="J15" s="72">
        <v>0.99</v>
      </c>
      <c r="K15" s="73">
        <f t="shared" si="5"/>
        <v>1597.1130000000001</v>
      </c>
      <c r="L15" s="74"/>
      <c r="M15" s="70">
        <v>123121</v>
      </c>
      <c r="N15" s="69">
        <f t="shared" si="11"/>
        <v>122</v>
      </c>
      <c r="O15" s="68">
        <v>2030314</v>
      </c>
      <c r="P15" s="69">
        <f t="shared" si="12"/>
        <v>2393</v>
      </c>
      <c r="Q15" s="75">
        <f t="shared" si="0"/>
        <v>2515</v>
      </c>
      <c r="R15" s="76">
        <f t="shared" si="6"/>
        <v>1438.11724</v>
      </c>
      <c r="S15" s="77"/>
      <c r="T15" s="89">
        <v>234801</v>
      </c>
      <c r="U15" s="69">
        <f t="shared" si="13"/>
        <v>198</v>
      </c>
      <c r="V15" s="79">
        <f t="shared" si="7"/>
        <v>565.29</v>
      </c>
      <c r="W15" s="80"/>
      <c r="X15" s="84">
        <f t="shared" si="1"/>
        <v>3600.5202399999998</v>
      </c>
      <c r="Y15" s="85">
        <v>22</v>
      </c>
      <c r="Z15" s="86">
        <f t="shared" si="8"/>
        <v>163.66001090909091</v>
      </c>
    </row>
    <row r="16" spans="1:27" x14ac:dyDescent="0.25">
      <c r="A16" s="13" t="s">
        <v>119</v>
      </c>
      <c r="B16" s="67">
        <f t="shared" si="9"/>
        <v>8</v>
      </c>
      <c r="C16" s="68">
        <v>5039210</v>
      </c>
      <c r="D16" s="69">
        <f t="shared" si="2"/>
        <v>2208</v>
      </c>
      <c r="E16" s="68">
        <v>4990542</v>
      </c>
      <c r="F16" s="69">
        <f t="shared" si="10"/>
        <v>2131</v>
      </c>
      <c r="G16" s="68">
        <v>4722415</v>
      </c>
      <c r="H16" s="69">
        <f t="shared" si="3"/>
        <v>2101</v>
      </c>
      <c r="I16" s="71">
        <f t="shared" si="4"/>
        <v>6440</v>
      </c>
      <c r="J16" s="72">
        <v>0.99</v>
      </c>
      <c r="K16" s="73">
        <f t="shared" si="5"/>
        <v>1616.44</v>
      </c>
      <c r="L16" s="74"/>
      <c r="M16" s="70">
        <v>123254</v>
      </c>
      <c r="N16" s="69">
        <f t="shared" si="11"/>
        <v>133</v>
      </c>
      <c r="O16" s="68">
        <v>2032839</v>
      </c>
      <c r="P16" s="69">
        <f t="shared" si="12"/>
        <v>2525</v>
      </c>
      <c r="Q16" s="75">
        <f t="shared" si="0"/>
        <v>2658</v>
      </c>
      <c r="R16" s="76">
        <f t="shared" si="6"/>
        <v>1519.8869280000001</v>
      </c>
      <c r="S16" s="77"/>
      <c r="T16" s="89">
        <v>234998</v>
      </c>
      <c r="U16" s="69">
        <f t="shared" si="13"/>
        <v>197</v>
      </c>
      <c r="V16" s="79">
        <f t="shared" si="7"/>
        <v>562.43499999999995</v>
      </c>
      <c r="W16" s="80"/>
      <c r="X16" s="84">
        <f t="shared" si="1"/>
        <v>3698.7619280000004</v>
      </c>
      <c r="Y16" s="85">
        <v>31</v>
      </c>
      <c r="Z16" s="86">
        <f t="shared" si="8"/>
        <v>119.31490090322582</v>
      </c>
    </row>
    <row r="17" spans="1:26" x14ac:dyDescent="0.25">
      <c r="A17" s="13" t="s">
        <v>120</v>
      </c>
      <c r="B17" s="67">
        <v>9</v>
      </c>
      <c r="C17" s="90">
        <v>5041347</v>
      </c>
      <c r="D17" s="69">
        <f t="shared" si="2"/>
        <v>2137</v>
      </c>
      <c r="E17" s="90">
        <v>4992707</v>
      </c>
      <c r="F17" s="69">
        <f t="shared" si="10"/>
        <v>2165</v>
      </c>
      <c r="G17" s="90">
        <v>4724431</v>
      </c>
      <c r="H17" s="69">
        <f t="shared" si="3"/>
        <v>2016</v>
      </c>
      <c r="I17" s="71">
        <f t="shared" si="4"/>
        <v>6318</v>
      </c>
      <c r="J17" s="72">
        <v>0.99</v>
      </c>
      <c r="K17" s="73">
        <f t="shared" si="5"/>
        <v>1585.818</v>
      </c>
      <c r="L17" s="74"/>
      <c r="M17" s="90">
        <v>123383</v>
      </c>
      <c r="N17" s="69">
        <f t="shared" si="11"/>
        <v>129</v>
      </c>
      <c r="O17" s="90">
        <v>2034821</v>
      </c>
      <c r="P17" s="69">
        <f t="shared" si="12"/>
        <v>1982</v>
      </c>
      <c r="Q17" s="75">
        <f t="shared" si="0"/>
        <v>2111</v>
      </c>
      <c r="R17" s="76">
        <f t="shared" si="6"/>
        <v>1207.1035760000002</v>
      </c>
      <c r="S17" s="77"/>
      <c r="T17" s="91">
        <v>235255</v>
      </c>
      <c r="U17" s="69">
        <f t="shared" si="13"/>
        <v>257</v>
      </c>
      <c r="V17" s="79">
        <f t="shared" si="7"/>
        <v>733.73500000000001</v>
      </c>
      <c r="W17" s="80"/>
      <c r="X17" s="84">
        <f t="shared" si="1"/>
        <v>3526.6565760000003</v>
      </c>
      <c r="Y17" s="85">
        <v>46</v>
      </c>
      <c r="Z17" s="86">
        <f t="shared" si="8"/>
        <v>76.666447304347827</v>
      </c>
    </row>
    <row r="18" spans="1:26" x14ac:dyDescent="0.25">
      <c r="A18" s="13" t="s">
        <v>96</v>
      </c>
      <c r="B18" s="92">
        <f t="shared" si="9"/>
        <v>10</v>
      </c>
      <c r="C18" s="90">
        <v>5043470</v>
      </c>
      <c r="D18" s="69">
        <f t="shared" si="2"/>
        <v>2123</v>
      </c>
      <c r="E18" s="68">
        <v>4994836</v>
      </c>
      <c r="F18" s="69">
        <f t="shared" si="10"/>
        <v>2129</v>
      </c>
      <c r="G18" s="68">
        <v>4726411</v>
      </c>
      <c r="H18" s="69">
        <f t="shared" si="3"/>
        <v>1980</v>
      </c>
      <c r="I18" s="71">
        <f t="shared" si="4"/>
        <v>6232</v>
      </c>
      <c r="J18" s="72">
        <v>0.99</v>
      </c>
      <c r="K18" s="73">
        <f t="shared" si="5"/>
        <v>1564.232</v>
      </c>
      <c r="L18" s="93"/>
      <c r="M18" s="70">
        <v>123521</v>
      </c>
      <c r="N18" s="69">
        <f t="shared" si="11"/>
        <v>138</v>
      </c>
      <c r="O18" s="68">
        <v>2036732</v>
      </c>
      <c r="P18" s="69">
        <f t="shared" si="12"/>
        <v>1911</v>
      </c>
      <c r="Q18" s="75">
        <f t="shared" si="0"/>
        <v>2049</v>
      </c>
      <c r="R18" s="76">
        <f t="shared" si="6"/>
        <v>1171.6509840000001</v>
      </c>
      <c r="S18" s="94"/>
      <c r="T18" s="89">
        <v>235415</v>
      </c>
      <c r="U18" s="69">
        <f t="shared" si="13"/>
        <v>160</v>
      </c>
      <c r="V18" s="79">
        <f t="shared" si="7"/>
        <v>456.8</v>
      </c>
      <c r="W18" s="80"/>
      <c r="X18" s="84">
        <f t="shared" si="1"/>
        <v>3192.682984</v>
      </c>
      <c r="Y18" s="85">
        <v>37</v>
      </c>
      <c r="Z18" s="95">
        <f t="shared" si="8"/>
        <v>86.288729297297294</v>
      </c>
    </row>
    <row r="19" spans="1:26" x14ac:dyDescent="0.25">
      <c r="A19" s="13" t="s">
        <v>121</v>
      </c>
      <c r="B19" s="96">
        <f t="shared" si="9"/>
        <v>11</v>
      </c>
      <c r="C19" s="68"/>
      <c r="D19" s="69" t="str">
        <f t="shared" si="2"/>
        <v>0</v>
      </c>
      <c r="E19" s="68"/>
      <c r="F19" s="69" t="str">
        <f t="shared" si="10"/>
        <v>0</v>
      </c>
      <c r="G19" s="68"/>
      <c r="H19" s="69" t="str">
        <f t="shared" si="3"/>
        <v>0</v>
      </c>
      <c r="I19" s="71">
        <f t="shared" si="4"/>
        <v>0</v>
      </c>
      <c r="J19" s="72"/>
      <c r="K19" s="73">
        <f t="shared" si="5"/>
        <v>0</v>
      </c>
      <c r="L19" s="74"/>
      <c r="M19" s="70"/>
      <c r="N19" s="69" t="str">
        <f t="shared" si="11"/>
        <v>0</v>
      </c>
      <c r="O19" s="97"/>
      <c r="P19" s="69" t="str">
        <f t="shared" si="12"/>
        <v>0</v>
      </c>
      <c r="Q19" s="75">
        <f t="shared" si="0"/>
        <v>0</v>
      </c>
      <c r="R19" s="76">
        <f t="shared" si="6"/>
        <v>0</v>
      </c>
      <c r="S19" s="77"/>
      <c r="T19" s="98"/>
      <c r="U19" s="69" t="str">
        <f t="shared" si="13"/>
        <v>0</v>
      </c>
      <c r="V19" s="79">
        <f t="shared" si="7"/>
        <v>0</v>
      </c>
      <c r="W19" s="80"/>
      <c r="X19" s="84">
        <f t="shared" si="1"/>
        <v>0</v>
      </c>
      <c r="Y19" s="85"/>
      <c r="Z19" s="83" t="e">
        <f t="shared" si="8"/>
        <v>#DIV/0!</v>
      </c>
    </row>
    <row r="20" spans="1:26" x14ac:dyDescent="0.25">
      <c r="A20" s="13" t="s">
        <v>116</v>
      </c>
      <c r="B20" s="67">
        <f t="shared" si="9"/>
        <v>12</v>
      </c>
      <c r="C20" s="68"/>
      <c r="D20" s="69">
        <f t="shared" ref="D20:D39" si="14">IF((C20-C19&lt;0), "0",C20-C19)</f>
        <v>0</v>
      </c>
      <c r="E20" s="68"/>
      <c r="F20" s="69">
        <f t="shared" si="10"/>
        <v>0</v>
      </c>
      <c r="G20" s="68"/>
      <c r="H20" s="69">
        <f t="shared" si="3"/>
        <v>0</v>
      </c>
      <c r="I20" s="71">
        <f t="shared" si="4"/>
        <v>0</v>
      </c>
      <c r="J20" s="72"/>
      <c r="K20" s="73">
        <f t="shared" si="5"/>
        <v>0</v>
      </c>
      <c r="L20" s="74"/>
      <c r="M20" s="70"/>
      <c r="N20" s="69">
        <f t="shared" si="11"/>
        <v>0</v>
      </c>
      <c r="O20" s="68"/>
      <c r="P20" s="69">
        <f t="shared" si="12"/>
        <v>0</v>
      </c>
      <c r="Q20" s="75">
        <f t="shared" si="0"/>
        <v>0</v>
      </c>
      <c r="R20" s="76">
        <f t="shared" si="6"/>
        <v>0</v>
      </c>
      <c r="S20" s="77"/>
      <c r="T20" s="89"/>
      <c r="U20" s="69">
        <f t="shared" si="13"/>
        <v>0</v>
      </c>
      <c r="V20" s="79">
        <f t="shared" si="7"/>
        <v>0</v>
      </c>
      <c r="W20" s="80"/>
      <c r="X20" s="84">
        <f t="shared" si="1"/>
        <v>0</v>
      </c>
      <c r="Y20" s="85"/>
      <c r="Z20" s="86" t="e">
        <f t="shared" si="8"/>
        <v>#DIV/0!</v>
      </c>
    </row>
    <row r="21" spans="1:26" x14ac:dyDescent="0.25">
      <c r="A21" s="13" t="s">
        <v>117</v>
      </c>
      <c r="B21" s="67">
        <f t="shared" si="9"/>
        <v>13</v>
      </c>
      <c r="C21" s="90"/>
      <c r="D21" s="69">
        <f t="shared" si="14"/>
        <v>0</v>
      </c>
      <c r="E21" s="68"/>
      <c r="F21" s="69">
        <f t="shared" si="10"/>
        <v>0</v>
      </c>
      <c r="G21" s="68"/>
      <c r="H21" s="69">
        <f t="shared" si="3"/>
        <v>0</v>
      </c>
      <c r="I21" s="71">
        <f t="shared" si="4"/>
        <v>0</v>
      </c>
      <c r="J21" s="72"/>
      <c r="K21" s="73">
        <f t="shared" si="5"/>
        <v>0</v>
      </c>
      <c r="L21" s="74"/>
      <c r="M21" s="70"/>
      <c r="N21" s="69">
        <f t="shared" si="11"/>
        <v>0</v>
      </c>
      <c r="O21" s="68"/>
      <c r="P21" s="69">
        <f t="shared" si="12"/>
        <v>0</v>
      </c>
      <c r="Q21" s="75">
        <f t="shared" si="0"/>
        <v>0</v>
      </c>
      <c r="R21" s="76">
        <f t="shared" si="6"/>
        <v>0</v>
      </c>
      <c r="S21" s="77"/>
      <c r="T21" s="89"/>
      <c r="U21" s="69">
        <f t="shared" si="13"/>
        <v>0</v>
      </c>
      <c r="V21" s="79">
        <f t="shared" si="7"/>
        <v>0</v>
      </c>
      <c r="W21" s="80"/>
      <c r="X21" s="84">
        <f t="shared" si="1"/>
        <v>0</v>
      </c>
      <c r="Y21" s="85"/>
      <c r="Z21" s="86" t="e">
        <f t="shared" si="8"/>
        <v>#DIV/0!</v>
      </c>
    </row>
    <row r="22" spans="1:26" x14ac:dyDescent="0.25">
      <c r="A22" s="13" t="s">
        <v>118</v>
      </c>
      <c r="B22" s="67">
        <f t="shared" si="9"/>
        <v>14</v>
      </c>
      <c r="C22" s="90"/>
      <c r="D22" s="69">
        <f t="shared" si="14"/>
        <v>0</v>
      </c>
      <c r="E22" s="68"/>
      <c r="F22" s="69">
        <f t="shared" si="10"/>
        <v>0</v>
      </c>
      <c r="G22" s="68"/>
      <c r="H22" s="69">
        <f t="shared" si="3"/>
        <v>0</v>
      </c>
      <c r="I22" s="71">
        <f t="shared" si="4"/>
        <v>0</v>
      </c>
      <c r="J22" s="72"/>
      <c r="K22" s="73">
        <f t="shared" si="5"/>
        <v>0</v>
      </c>
      <c r="L22" s="74"/>
      <c r="M22" s="70"/>
      <c r="N22" s="69">
        <f t="shared" si="11"/>
        <v>0</v>
      </c>
      <c r="O22" s="68"/>
      <c r="P22" s="69">
        <f t="shared" si="12"/>
        <v>0</v>
      </c>
      <c r="Q22" s="75">
        <f t="shared" si="0"/>
        <v>0</v>
      </c>
      <c r="R22" s="76">
        <f t="shared" si="6"/>
        <v>0</v>
      </c>
      <c r="S22" s="77"/>
      <c r="T22" s="89"/>
      <c r="U22" s="69">
        <f t="shared" si="13"/>
        <v>0</v>
      </c>
      <c r="V22" s="79">
        <f t="shared" si="7"/>
        <v>0</v>
      </c>
      <c r="W22" s="80"/>
      <c r="X22" s="84">
        <f t="shared" si="1"/>
        <v>0</v>
      </c>
      <c r="Y22" s="85"/>
      <c r="Z22" s="86" t="e">
        <f t="shared" si="8"/>
        <v>#DIV/0!</v>
      </c>
    </row>
    <row r="23" spans="1:26" x14ac:dyDescent="0.25">
      <c r="A23" s="13" t="s">
        <v>119</v>
      </c>
      <c r="B23" s="67">
        <f t="shared" si="9"/>
        <v>15</v>
      </c>
      <c r="C23" s="68"/>
      <c r="D23" s="69">
        <f t="shared" si="14"/>
        <v>0</v>
      </c>
      <c r="E23" s="68"/>
      <c r="F23" s="69">
        <f t="shared" si="10"/>
        <v>0</v>
      </c>
      <c r="G23" s="68"/>
      <c r="H23" s="69">
        <f t="shared" si="3"/>
        <v>0</v>
      </c>
      <c r="I23" s="71">
        <f t="shared" si="4"/>
        <v>0</v>
      </c>
      <c r="J23" s="72"/>
      <c r="K23" s="73">
        <f t="shared" si="5"/>
        <v>0</v>
      </c>
      <c r="L23" s="74"/>
      <c r="M23" s="70"/>
      <c r="N23" s="69">
        <f t="shared" si="11"/>
        <v>0</v>
      </c>
      <c r="O23" s="68"/>
      <c r="P23" s="69">
        <f t="shared" si="12"/>
        <v>0</v>
      </c>
      <c r="Q23" s="75">
        <f t="shared" si="0"/>
        <v>0</v>
      </c>
      <c r="R23" s="76">
        <f t="shared" si="6"/>
        <v>0</v>
      </c>
      <c r="S23" s="77"/>
      <c r="T23" s="89"/>
      <c r="U23" s="69">
        <f t="shared" si="13"/>
        <v>0</v>
      </c>
      <c r="V23" s="79">
        <f t="shared" si="7"/>
        <v>0</v>
      </c>
      <c r="W23" s="80"/>
      <c r="X23" s="84">
        <f t="shared" si="1"/>
        <v>0</v>
      </c>
      <c r="Y23" s="85"/>
      <c r="Z23" s="86" t="e">
        <f t="shared" si="8"/>
        <v>#DIV/0!</v>
      </c>
    </row>
    <row r="24" spans="1:26" x14ac:dyDescent="0.25">
      <c r="A24" s="13" t="s">
        <v>120</v>
      </c>
      <c r="B24" s="67">
        <f t="shared" si="9"/>
        <v>16</v>
      </c>
      <c r="C24" s="68"/>
      <c r="D24" s="69">
        <f t="shared" si="14"/>
        <v>0</v>
      </c>
      <c r="E24" s="68"/>
      <c r="F24" s="69">
        <f t="shared" si="10"/>
        <v>0</v>
      </c>
      <c r="G24" s="68"/>
      <c r="H24" s="69">
        <f t="shared" si="3"/>
        <v>0</v>
      </c>
      <c r="I24" s="71">
        <f t="shared" si="4"/>
        <v>0</v>
      </c>
      <c r="J24" s="72"/>
      <c r="K24" s="73">
        <f t="shared" si="5"/>
        <v>0</v>
      </c>
      <c r="L24" s="74"/>
      <c r="M24" s="70"/>
      <c r="N24" s="69">
        <f t="shared" si="11"/>
        <v>0</v>
      </c>
      <c r="O24" s="68"/>
      <c r="P24" s="69">
        <f t="shared" si="12"/>
        <v>0</v>
      </c>
      <c r="Q24" s="75">
        <f t="shared" si="0"/>
        <v>0</v>
      </c>
      <c r="R24" s="76">
        <f t="shared" si="6"/>
        <v>0</v>
      </c>
      <c r="S24" s="77"/>
      <c r="T24" s="89"/>
      <c r="U24" s="69">
        <f t="shared" si="13"/>
        <v>0</v>
      </c>
      <c r="V24" s="79">
        <f t="shared" si="7"/>
        <v>0</v>
      </c>
      <c r="W24" s="80"/>
      <c r="X24" s="84">
        <f t="shared" si="1"/>
        <v>0</v>
      </c>
      <c r="Y24" s="85"/>
      <c r="Z24" s="86" t="e">
        <f t="shared" si="8"/>
        <v>#DIV/0!</v>
      </c>
    </row>
    <row r="25" spans="1:26" x14ac:dyDescent="0.25">
      <c r="A25" s="13" t="s">
        <v>96</v>
      </c>
      <c r="B25" s="67">
        <f t="shared" si="9"/>
        <v>17</v>
      </c>
      <c r="C25" s="68"/>
      <c r="D25" s="69">
        <f t="shared" si="14"/>
        <v>0</v>
      </c>
      <c r="E25" s="68"/>
      <c r="F25" s="69">
        <f t="shared" si="10"/>
        <v>0</v>
      </c>
      <c r="G25" s="68"/>
      <c r="H25" s="69">
        <f t="shared" si="3"/>
        <v>0</v>
      </c>
      <c r="I25" s="71">
        <f t="shared" si="4"/>
        <v>0</v>
      </c>
      <c r="J25" s="72"/>
      <c r="K25" s="73">
        <f t="shared" si="5"/>
        <v>0</v>
      </c>
      <c r="L25" s="74"/>
      <c r="M25" s="70"/>
      <c r="N25" s="69">
        <f t="shared" si="11"/>
        <v>0</v>
      </c>
      <c r="O25" s="68"/>
      <c r="P25" s="69">
        <f t="shared" si="12"/>
        <v>0</v>
      </c>
      <c r="Q25" s="75">
        <f t="shared" si="0"/>
        <v>0</v>
      </c>
      <c r="R25" s="76">
        <f t="shared" si="6"/>
        <v>0</v>
      </c>
      <c r="S25" s="77"/>
      <c r="T25" s="89"/>
      <c r="U25" s="69">
        <f t="shared" si="13"/>
        <v>0</v>
      </c>
      <c r="V25" s="79">
        <f t="shared" si="7"/>
        <v>0</v>
      </c>
      <c r="W25" s="80"/>
      <c r="X25" s="84">
        <f t="shared" si="1"/>
        <v>0</v>
      </c>
      <c r="Y25" s="85"/>
      <c r="Z25" s="86" t="e">
        <f t="shared" si="8"/>
        <v>#DIV/0!</v>
      </c>
    </row>
    <row r="26" spans="1:26" x14ac:dyDescent="0.25">
      <c r="A26" s="13" t="s">
        <v>121</v>
      </c>
      <c r="B26" s="67">
        <f t="shared" si="9"/>
        <v>18</v>
      </c>
      <c r="C26" s="68"/>
      <c r="D26" s="69">
        <f t="shared" si="14"/>
        <v>0</v>
      </c>
      <c r="E26" s="68"/>
      <c r="F26" s="69">
        <f t="shared" si="10"/>
        <v>0</v>
      </c>
      <c r="G26" s="68"/>
      <c r="H26" s="69">
        <f t="shared" si="3"/>
        <v>0</v>
      </c>
      <c r="I26" s="71">
        <f t="shared" si="4"/>
        <v>0</v>
      </c>
      <c r="J26" s="72"/>
      <c r="K26" s="73">
        <f t="shared" si="5"/>
        <v>0</v>
      </c>
      <c r="L26" s="74"/>
      <c r="M26" s="70"/>
      <c r="N26" s="69">
        <f t="shared" si="11"/>
        <v>0</v>
      </c>
      <c r="O26" s="68"/>
      <c r="P26" s="69">
        <f t="shared" si="12"/>
        <v>0</v>
      </c>
      <c r="Q26" s="75">
        <f t="shared" si="0"/>
        <v>0</v>
      </c>
      <c r="R26" s="76">
        <f t="shared" si="6"/>
        <v>0</v>
      </c>
      <c r="S26" s="77"/>
      <c r="T26" s="89"/>
      <c r="U26" s="69">
        <f t="shared" si="13"/>
        <v>0</v>
      </c>
      <c r="V26" s="79">
        <f t="shared" si="7"/>
        <v>0</v>
      </c>
      <c r="W26" s="80"/>
      <c r="X26" s="84">
        <f t="shared" si="1"/>
        <v>0</v>
      </c>
      <c r="Y26" s="85"/>
      <c r="Z26" s="86" t="e">
        <f t="shared" si="8"/>
        <v>#DIV/0!</v>
      </c>
    </row>
    <row r="27" spans="1:26" x14ac:dyDescent="0.25">
      <c r="A27" s="13" t="s">
        <v>116</v>
      </c>
      <c r="B27" s="67">
        <f t="shared" si="9"/>
        <v>19</v>
      </c>
      <c r="C27" s="68"/>
      <c r="D27" s="69">
        <f t="shared" si="14"/>
        <v>0</v>
      </c>
      <c r="E27" s="68"/>
      <c r="F27" s="69">
        <f t="shared" si="10"/>
        <v>0</v>
      </c>
      <c r="G27" s="68"/>
      <c r="H27" s="69">
        <f t="shared" si="3"/>
        <v>0</v>
      </c>
      <c r="I27" s="71">
        <f t="shared" si="4"/>
        <v>0</v>
      </c>
      <c r="J27" s="72"/>
      <c r="K27" s="73">
        <f t="shared" si="5"/>
        <v>0</v>
      </c>
      <c r="L27" s="99"/>
      <c r="M27" s="70"/>
      <c r="N27" s="69">
        <f t="shared" si="11"/>
        <v>0</v>
      </c>
      <c r="O27" s="68"/>
      <c r="P27" s="69">
        <f t="shared" si="12"/>
        <v>0</v>
      </c>
      <c r="Q27" s="75">
        <f t="shared" si="0"/>
        <v>0</v>
      </c>
      <c r="R27" s="76">
        <f t="shared" si="6"/>
        <v>0</v>
      </c>
      <c r="S27" s="77"/>
      <c r="T27" s="89"/>
      <c r="U27" s="69">
        <f t="shared" si="13"/>
        <v>0</v>
      </c>
      <c r="V27" s="79">
        <f t="shared" si="7"/>
        <v>0</v>
      </c>
      <c r="W27" s="80"/>
      <c r="X27" s="84">
        <f t="shared" si="1"/>
        <v>0</v>
      </c>
      <c r="Y27" s="85"/>
      <c r="Z27" s="86" t="e">
        <f t="shared" si="8"/>
        <v>#DIV/0!</v>
      </c>
    </row>
    <row r="28" spans="1:26" x14ac:dyDescent="0.25">
      <c r="A28" s="13" t="s">
        <v>117</v>
      </c>
      <c r="B28" s="92">
        <f t="shared" si="9"/>
        <v>20</v>
      </c>
      <c r="C28" s="90"/>
      <c r="D28" s="69">
        <f t="shared" si="14"/>
        <v>0</v>
      </c>
      <c r="E28" s="90"/>
      <c r="F28" s="69">
        <f t="shared" si="10"/>
        <v>0</v>
      </c>
      <c r="G28" s="90"/>
      <c r="H28" s="69">
        <f t="shared" si="3"/>
        <v>0</v>
      </c>
      <c r="I28" s="71">
        <f t="shared" si="4"/>
        <v>0</v>
      </c>
      <c r="J28" s="72"/>
      <c r="K28" s="73">
        <f t="shared" si="5"/>
        <v>0</v>
      </c>
      <c r="L28" s="100"/>
      <c r="M28" s="70"/>
      <c r="N28" s="69">
        <f t="shared" si="11"/>
        <v>0</v>
      </c>
      <c r="O28" s="68"/>
      <c r="P28" s="69">
        <f t="shared" si="12"/>
        <v>0</v>
      </c>
      <c r="Q28" s="75">
        <f t="shared" si="0"/>
        <v>0</v>
      </c>
      <c r="R28" s="76">
        <f t="shared" si="6"/>
        <v>0</v>
      </c>
      <c r="S28" s="68"/>
      <c r="T28" s="89"/>
      <c r="U28" s="69">
        <f t="shared" si="13"/>
        <v>0</v>
      </c>
      <c r="V28" s="79">
        <f t="shared" si="7"/>
        <v>0</v>
      </c>
      <c r="W28" s="80"/>
      <c r="X28" s="101">
        <f t="shared" si="1"/>
        <v>0</v>
      </c>
      <c r="Y28" s="85"/>
      <c r="Z28" s="95" t="e">
        <f t="shared" si="8"/>
        <v>#DIV/0!</v>
      </c>
    </row>
    <row r="29" spans="1:26" x14ac:dyDescent="0.25">
      <c r="A29" s="13" t="s">
        <v>118</v>
      </c>
      <c r="B29" s="96">
        <f t="shared" si="9"/>
        <v>21</v>
      </c>
      <c r="C29" s="68"/>
      <c r="D29" s="69">
        <f t="shared" si="14"/>
        <v>0</v>
      </c>
      <c r="E29" s="68"/>
      <c r="F29" s="69">
        <f t="shared" si="10"/>
        <v>0</v>
      </c>
      <c r="G29" s="68"/>
      <c r="H29" s="69">
        <f t="shared" si="3"/>
        <v>0</v>
      </c>
      <c r="I29" s="71">
        <f t="shared" si="4"/>
        <v>0</v>
      </c>
      <c r="J29" s="72"/>
      <c r="K29" s="73">
        <f t="shared" si="5"/>
        <v>0</v>
      </c>
      <c r="L29" s="74"/>
      <c r="M29" s="70"/>
      <c r="N29" s="69">
        <f t="shared" si="11"/>
        <v>0</v>
      </c>
      <c r="O29" s="68"/>
      <c r="P29" s="69">
        <f t="shared" si="12"/>
        <v>0</v>
      </c>
      <c r="Q29" s="75">
        <f t="shared" si="0"/>
        <v>0</v>
      </c>
      <c r="R29" s="76">
        <f t="shared" si="6"/>
        <v>0</v>
      </c>
      <c r="S29" s="77"/>
      <c r="T29" s="89"/>
      <c r="U29" s="69">
        <f t="shared" si="13"/>
        <v>0</v>
      </c>
      <c r="V29" s="79">
        <f t="shared" si="7"/>
        <v>0</v>
      </c>
      <c r="W29" s="80"/>
      <c r="X29" s="81">
        <f t="shared" si="1"/>
        <v>0</v>
      </c>
      <c r="Y29" s="85"/>
      <c r="Z29" s="83" t="e">
        <f t="shared" si="8"/>
        <v>#DIV/0!</v>
      </c>
    </row>
    <row r="30" spans="1:26" x14ac:dyDescent="0.25">
      <c r="A30" s="13" t="s">
        <v>119</v>
      </c>
      <c r="B30" s="67">
        <f t="shared" si="9"/>
        <v>22</v>
      </c>
      <c r="C30" s="68"/>
      <c r="D30" s="69">
        <f t="shared" si="14"/>
        <v>0</v>
      </c>
      <c r="E30" s="68"/>
      <c r="F30" s="69">
        <f t="shared" si="10"/>
        <v>0</v>
      </c>
      <c r="G30" s="68"/>
      <c r="H30" s="69">
        <f t="shared" si="3"/>
        <v>0</v>
      </c>
      <c r="I30" s="71">
        <f t="shared" si="4"/>
        <v>0</v>
      </c>
      <c r="J30" s="72"/>
      <c r="K30" s="73">
        <f t="shared" si="5"/>
        <v>0</v>
      </c>
      <c r="L30" s="74"/>
      <c r="M30" s="70"/>
      <c r="N30" s="69">
        <f t="shared" si="11"/>
        <v>0</v>
      </c>
      <c r="O30" s="68"/>
      <c r="P30" s="69">
        <f t="shared" si="12"/>
        <v>0</v>
      </c>
      <c r="Q30" s="75">
        <f t="shared" si="0"/>
        <v>0</v>
      </c>
      <c r="R30" s="76">
        <f t="shared" si="6"/>
        <v>0</v>
      </c>
      <c r="S30" s="77"/>
      <c r="T30" s="89"/>
      <c r="U30" s="69">
        <f t="shared" si="13"/>
        <v>0</v>
      </c>
      <c r="V30" s="79">
        <f t="shared" si="7"/>
        <v>0</v>
      </c>
      <c r="W30" s="80"/>
      <c r="X30" s="84">
        <f t="shared" si="1"/>
        <v>0</v>
      </c>
      <c r="Y30" s="85"/>
      <c r="Z30" s="86" t="e">
        <f t="shared" si="8"/>
        <v>#DIV/0!</v>
      </c>
    </row>
    <row r="31" spans="1:26" x14ac:dyDescent="0.25">
      <c r="A31" s="13" t="s">
        <v>120</v>
      </c>
      <c r="B31" s="67">
        <f t="shared" si="9"/>
        <v>23</v>
      </c>
      <c r="C31" s="68"/>
      <c r="D31" s="69">
        <f t="shared" si="14"/>
        <v>0</v>
      </c>
      <c r="E31" s="68"/>
      <c r="F31" s="69">
        <f t="shared" si="10"/>
        <v>0</v>
      </c>
      <c r="G31" s="68"/>
      <c r="H31" s="69">
        <f t="shared" si="3"/>
        <v>0</v>
      </c>
      <c r="I31" s="71">
        <f t="shared" si="4"/>
        <v>0</v>
      </c>
      <c r="J31" s="72"/>
      <c r="K31" s="73">
        <f t="shared" si="5"/>
        <v>0</v>
      </c>
      <c r="L31" s="74"/>
      <c r="M31" s="70"/>
      <c r="N31" s="69">
        <f t="shared" si="11"/>
        <v>0</v>
      </c>
      <c r="O31" s="68"/>
      <c r="P31" s="69">
        <f t="shared" si="12"/>
        <v>0</v>
      </c>
      <c r="Q31" s="75">
        <f t="shared" si="0"/>
        <v>0</v>
      </c>
      <c r="R31" s="76">
        <f t="shared" si="6"/>
        <v>0</v>
      </c>
      <c r="S31" s="77"/>
      <c r="T31" s="89"/>
      <c r="U31" s="69">
        <f t="shared" si="13"/>
        <v>0</v>
      </c>
      <c r="V31" s="79">
        <f t="shared" si="7"/>
        <v>0</v>
      </c>
      <c r="W31" s="80"/>
      <c r="X31" s="102">
        <f t="shared" si="1"/>
        <v>0</v>
      </c>
      <c r="Y31" s="85"/>
      <c r="Z31" s="86" t="e">
        <f t="shared" si="8"/>
        <v>#DIV/0!</v>
      </c>
    </row>
    <row r="32" spans="1:26" x14ac:dyDescent="0.25">
      <c r="A32" s="13" t="s">
        <v>96</v>
      </c>
      <c r="B32" s="67">
        <f t="shared" si="9"/>
        <v>24</v>
      </c>
      <c r="C32" s="68"/>
      <c r="D32" s="69">
        <f t="shared" si="14"/>
        <v>0</v>
      </c>
      <c r="E32" s="68"/>
      <c r="F32" s="69">
        <f t="shared" si="10"/>
        <v>0</v>
      </c>
      <c r="G32" s="68"/>
      <c r="H32" s="69">
        <f t="shared" si="3"/>
        <v>0</v>
      </c>
      <c r="I32" s="71">
        <f t="shared" si="4"/>
        <v>0</v>
      </c>
      <c r="J32" s="72"/>
      <c r="K32" s="73">
        <f t="shared" si="5"/>
        <v>0</v>
      </c>
      <c r="L32" s="74"/>
      <c r="M32" s="70"/>
      <c r="N32" s="69">
        <f t="shared" si="11"/>
        <v>0</v>
      </c>
      <c r="O32" s="68"/>
      <c r="P32" s="69">
        <f t="shared" si="12"/>
        <v>0</v>
      </c>
      <c r="Q32" s="75">
        <f t="shared" si="0"/>
        <v>0</v>
      </c>
      <c r="R32" s="76">
        <f t="shared" si="6"/>
        <v>0</v>
      </c>
      <c r="S32" s="77"/>
      <c r="T32" s="89"/>
      <c r="U32" s="69">
        <f t="shared" si="13"/>
        <v>0</v>
      </c>
      <c r="V32" s="79">
        <f t="shared" si="7"/>
        <v>0</v>
      </c>
      <c r="W32" s="80"/>
      <c r="X32" s="102">
        <f t="shared" si="1"/>
        <v>0</v>
      </c>
      <c r="Y32" s="85"/>
      <c r="Z32" s="86" t="e">
        <f t="shared" si="8"/>
        <v>#DIV/0!</v>
      </c>
    </row>
    <row r="33" spans="1:26" x14ac:dyDescent="0.25">
      <c r="A33" s="13" t="s">
        <v>121</v>
      </c>
      <c r="B33" s="67">
        <f t="shared" si="9"/>
        <v>25</v>
      </c>
      <c r="C33" s="68"/>
      <c r="D33" s="69">
        <f t="shared" si="14"/>
        <v>0</v>
      </c>
      <c r="E33" s="68"/>
      <c r="F33" s="69">
        <f t="shared" si="10"/>
        <v>0</v>
      </c>
      <c r="G33" s="68"/>
      <c r="H33" s="69">
        <f t="shared" si="3"/>
        <v>0</v>
      </c>
      <c r="I33" s="71">
        <f t="shared" si="4"/>
        <v>0</v>
      </c>
      <c r="J33" s="72"/>
      <c r="K33" s="73">
        <f t="shared" si="5"/>
        <v>0</v>
      </c>
      <c r="L33" s="74"/>
      <c r="M33" s="70"/>
      <c r="N33" s="69">
        <f t="shared" si="11"/>
        <v>0</v>
      </c>
      <c r="O33" s="68"/>
      <c r="P33" s="69">
        <f t="shared" si="12"/>
        <v>0</v>
      </c>
      <c r="Q33" s="75">
        <f t="shared" si="0"/>
        <v>0</v>
      </c>
      <c r="R33" s="76">
        <f t="shared" si="6"/>
        <v>0</v>
      </c>
      <c r="S33" s="77"/>
      <c r="T33" s="89"/>
      <c r="U33" s="69">
        <f t="shared" si="13"/>
        <v>0</v>
      </c>
      <c r="V33" s="79">
        <f t="shared" si="7"/>
        <v>0</v>
      </c>
      <c r="W33" s="80"/>
      <c r="X33" s="102">
        <f t="shared" si="1"/>
        <v>0</v>
      </c>
      <c r="Y33" s="85"/>
      <c r="Z33" s="86" t="e">
        <f t="shared" si="8"/>
        <v>#DIV/0!</v>
      </c>
    </row>
    <row r="34" spans="1:26" x14ac:dyDescent="0.25">
      <c r="A34" s="13" t="s">
        <v>116</v>
      </c>
      <c r="B34" s="67">
        <f t="shared" si="9"/>
        <v>26</v>
      </c>
      <c r="C34" s="90"/>
      <c r="D34" s="69">
        <f t="shared" si="14"/>
        <v>0</v>
      </c>
      <c r="E34" s="68"/>
      <c r="F34" s="69">
        <f t="shared" si="10"/>
        <v>0</v>
      </c>
      <c r="G34" s="68"/>
      <c r="H34" s="69">
        <f t="shared" si="3"/>
        <v>0</v>
      </c>
      <c r="I34" s="71">
        <f t="shared" si="4"/>
        <v>0</v>
      </c>
      <c r="J34" s="72"/>
      <c r="K34" s="73">
        <f t="shared" si="5"/>
        <v>0</v>
      </c>
      <c r="L34" s="74"/>
      <c r="M34" s="70"/>
      <c r="N34" s="69">
        <f t="shared" si="11"/>
        <v>0</v>
      </c>
      <c r="O34" s="68"/>
      <c r="P34" s="69">
        <f t="shared" si="12"/>
        <v>0</v>
      </c>
      <c r="Q34" s="75">
        <f t="shared" si="0"/>
        <v>0</v>
      </c>
      <c r="R34" s="76">
        <f t="shared" si="6"/>
        <v>0</v>
      </c>
      <c r="S34" s="77"/>
      <c r="T34" s="89"/>
      <c r="U34" s="69">
        <f t="shared" si="13"/>
        <v>0</v>
      </c>
      <c r="V34" s="79">
        <f t="shared" si="7"/>
        <v>0</v>
      </c>
      <c r="W34" s="80"/>
      <c r="X34" s="102">
        <f t="shared" si="1"/>
        <v>0</v>
      </c>
      <c r="Y34" s="85"/>
      <c r="Z34" s="86" t="e">
        <f t="shared" si="8"/>
        <v>#DIV/0!</v>
      </c>
    </row>
    <row r="35" spans="1:26" x14ac:dyDescent="0.25">
      <c r="A35" s="13" t="s">
        <v>117</v>
      </c>
      <c r="B35" s="67">
        <f t="shared" si="9"/>
        <v>27</v>
      </c>
      <c r="C35" s="90"/>
      <c r="D35" s="69">
        <f t="shared" si="14"/>
        <v>0</v>
      </c>
      <c r="E35" s="68"/>
      <c r="F35" s="69">
        <f t="shared" si="10"/>
        <v>0</v>
      </c>
      <c r="G35" s="68"/>
      <c r="H35" s="69">
        <f t="shared" si="3"/>
        <v>0</v>
      </c>
      <c r="I35" s="71">
        <f t="shared" si="4"/>
        <v>0</v>
      </c>
      <c r="J35" s="72"/>
      <c r="K35" s="73">
        <f t="shared" si="5"/>
        <v>0</v>
      </c>
      <c r="L35" s="74"/>
      <c r="M35" s="70"/>
      <c r="N35" s="69">
        <f t="shared" si="11"/>
        <v>0</v>
      </c>
      <c r="O35" s="68"/>
      <c r="P35" s="69">
        <f t="shared" si="12"/>
        <v>0</v>
      </c>
      <c r="Q35" s="75">
        <f t="shared" si="0"/>
        <v>0</v>
      </c>
      <c r="R35" s="76">
        <f t="shared" si="6"/>
        <v>0</v>
      </c>
      <c r="S35" s="77"/>
      <c r="T35" s="89"/>
      <c r="U35" s="69">
        <f t="shared" si="13"/>
        <v>0</v>
      </c>
      <c r="V35" s="79">
        <f t="shared" si="7"/>
        <v>0</v>
      </c>
      <c r="W35" s="80"/>
      <c r="X35" s="102">
        <f t="shared" si="1"/>
        <v>0</v>
      </c>
      <c r="Y35" s="85"/>
      <c r="Z35" s="86" t="e">
        <f t="shared" si="8"/>
        <v>#DIV/0!</v>
      </c>
    </row>
    <row r="36" spans="1:26" x14ac:dyDescent="0.25">
      <c r="A36" s="13" t="s">
        <v>118</v>
      </c>
      <c r="B36" s="67">
        <f>B35+1</f>
        <v>28</v>
      </c>
      <c r="C36" s="90"/>
      <c r="D36" s="69">
        <f t="shared" si="14"/>
        <v>0</v>
      </c>
      <c r="E36" s="68"/>
      <c r="F36" s="69">
        <f t="shared" si="10"/>
        <v>0</v>
      </c>
      <c r="G36" s="68"/>
      <c r="H36" s="69">
        <f t="shared" si="3"/>
        <v>0</v>
      </c>
      <c r="I36" s="71">
        <f t="shared" si="4"/>
        <v>0</v>
      </c>
      <c r="J36" s="72"/>
      <c r="K36" s="73">
        <f t="shared" si="5"/>
        <v>0</v>
      </c>
      <c r="L36" s="74"/>
      <c r="M36" s="70"/>
      <c r="N36" s="69">
        <f t="shared" si="11"/>
        <v>0</v>
      </c>
      <c r="O36" s="68"/>
      <c r="P36" s="69">
        <f t="shared" si="12"/>
        <v>0</v>
      </c>
      <c r="Q36" s="75">
        <f t="shared" si="0"/>
        <v>0</v>
      </c>
      <c r="R36" s="76">
        <f t="shared" si="6"/>
        <v>0</v>
      </c>
      <c r="S36" s="77"/>
      <c r="T36" s="89"/>
      <c r="U36" s="69">
        <f t="shared" si="13"/>
        <v>0</v>
      </c>
      <c r="V36" s="79">
        <f t="shared" si="7"/>
        <v>0</v>
      </c>
      <c r="W36" s="80"/>
      <c r="X36" s="102">
        <f t="shared" si="1"/>
        <v>0</v>
      </c>
      <c r="Y36" s="85"/>
      <c r="Z36" s="86" t="e">
        <f t="shared" si="8"/>
        <v>#DIV/0!</v>
      </c>
    </row>
    <row r="37" spans="1:26" x14ac:dyDescent="0.25">
      <c r="A37" s="13" t="s">
        <v>119</v>
      </c>
      <c r="B37" s="67">
        <f t="shared" si="9"/>
        <v>29</v>
      </c>
      <c r="C37" s="90"/>
      <c r="D37" s="69">
        <f t="shared" si="14"/>
        <v>0</v>
      </c>
      <c r="E37" s="103"/>
      <c r="F37" s="69">
        <f t="shared" si="10"/>
        <v>0</v>
      </c>
      <c r="G37" s="103"/>
      <c r="H37" s="69">
        <f t="shared" si="3"/>
        <v>0</v>
      </c>
      <c r="I37" s="71">
        <f t="shared" si="4"/>
        <v>0</v>
      </c>
      <c r="J37" s="72"/>
      <c r="K37" s="73">
        <f t="shared" si="5"/>
        <v>0</v>
      </c>
      <c r="L37" s="74"/>
      <c r="M37" s="70"/>
      <c r="N37" s="69">
        <f t="shared" si="11"/>
        <v>0</v>
      </c>
      <c r="O37" s="68"/>
      <c r="P37" s="69">
        <f t="shared" si="12"/>
        <v>0</v>
      </c>
      <c r="Q37" s="75">
        <f t="shared" si="0"/>
        <v>0</v>
      </c>
      <c r="R37" s="76">
        <f t="shared" si="6"/>
        <v>0</v>
      </c>
      <c r="S37" s="77"/>
      <c r="T37" s="89"/>
      <c r="U37" s="69">
        <f t="shared" si="13"/>
        <v>0</v>
      </c>
      <c r="V37" s="79">
        <f t="shared" si="7"/>
        <v>0</v>
      </c>
      <c r="W37" s="80"/>
      <c r="X37" s="102">
        <f t="shared" si="1"/>
        <v>0</v>
      </c>
      <c r="Y37" s="80"/>
      <c r="Z37" s="86" t="e">
        <f t="shared" si="8"/>
        <v>#DIV/0!</v>
      </c>
    </row>
    <row r="38" spans="1:26" x14ac:dyDescent="0.25">
      <c r="A38" s="13" t="s">
        <v>120</v>
      </c>
      <c r="B38" s="67">
        <f t="shared" si="9"/>
        <v>30</v>
      </c>
      <c r="C38" s="68"/>
      <c r="D38" s="69">
        <f t="shared" si="14"/>
        <v>0</v>
      </c>
      <c r="E38" s="90"/>
      <c r="F38" s="69">
        <f t="shared" si="10"/>
        <v>0</v>
      </c>
      <c r="G38" s="90"/>
      <c r="H38" s="69">
        <f t="shared" si="3"/>
        <v>0</v>
      </c>
      <c r="I38" s="71">
        <f t="shared" si="4"/>
        <v>0</v>
      </c>
      <c r="J38" s="72"/>
      <c r="K38" s="73">
        <f t="shared" si="5"/>
        <v>0</v>
      </c>
      <c r="L38" s="74"/>
      <c r="M38" s="70"/>
      <c r="N38" s="69">
        <f t="shared" si="11"/>
        <v>0</v>
      </c>
      <c r="O38" s="68"/>
      <c r="P38" s="69">
        <f t="shared" si="12"/>
        <v>0</v>
      </c>
      <c r="Q38" s="75">
        <f t="shared" si="0"/>
        <v>0</v>
      </c>
      <c r="R38" s="76">
        <f t="shared" si="6"/>
        <v>0</v>
      </c>
      <c r="S38" s="77"/>
      <c r="T38" s="89"/>
      <c r="U38" s="69">
        <f t="shared" si="13"/>
        <v>0</v>
      </c>
      <c r="V38" s="79">
        <f t="shared" si="7"/>
        <v>0</v>
      </c>
      <c r="W38" s="80"/>
      <c r="X38" s="102">
        <f t="shared" si="1"/>
        <v>0</v>
      </c>
      <c r="Y38" s="80"/>
      <c r="Z38" s="86" t="e">
        <f t="shared" si="8"/>
        <v>#DIV/0!</v>
      </c>
    </row>
    <row r="39" spans="1:26" x14ac:dyDescent="0.25">
      <c r="A39" s="13" t="s">
        <v>96</v>
      </c>
      <c r="B39" s="67">
        <f t="shared" si="9"/>
        <v>31</v>
      </c>
      <c r="C39" s="104"/>
      <c r="D39" s="69">
        <f t="shared" si="14"/>
        <v>0</v>
      </c>
      <c r="E39" s="105"/>
      <c r="F39" s="69">
        <f t="shared" si="10"/>
        <v>0</v>
      </c>
      <c r="G39" s="88"/>
      <c r="H39" s="69">
        <f t="shared" si="3"/>
        <v>0</v>
      </c>
      <c r="I39" s="71">
        <f t="shared" si="4"/>
        <v>0</v>
      </c>
      <c r="J39" s="72"/>
      <c r="K39" s="73">
        <f t="shared" si="5"/>
        <v>0</v>
      </c>
      <c r="L39" s="74"/>
      <c r="M39" s="104"/>
      <c r="N39" s="69">
        <f t="shared" si="11"/>
        <v>0</v>
      </c>
      <c r="O39" s="104"/>
      <c r="P39" s="69">
        <f t="shared" si="12"/>
        <v>0</v>
      </c>
      <c r="Q39" s="75">
        <f t="shared" si="0"/>
        <v>0</v>
      </c>
      <c r="R39" s="76">
        <f t="shared" si="6"/>
        <v>0</v>
      </c>
      <c r="S39" s="77"/>
      <c r="T39" s="106"/>
      <c r="U39" s="69">
        <f t="shared" si="13"/>
        <v>0</v>
      </c>
      <c r="V39" s="79">
        <f t="shared" si="7"/>
        <v>0</v>
      </c>
      <c r="W39" s="80"/>
      <c r="X39" s="102">
        <f t="shared" si="1"/>
        <v>0</v>
      </c>
      <c r="Y39" s="80"/>
      <c r="Z39" s="134" t="e">
        <f t="shared" si="8"/>
        <v>#DIV/0!</v>
      </c>
    </row>
    <row r="40" spans="1:26" x14ac:dyDescent="0.25">
      <c r="A40" s="13"/>
      <c r="B40" s="107"/>
      <c r="C40" s="132">
        <f>SUMIF(D9:D38,"&gt;0")</f>
        <v>24454</v>
      </c>
      <c r="D40" s="133"/>
      <c r="E40" s="159">
        <f>SUMIF(F9:F38,"&gt;0")</f>
        <v>24547</v>
      </c>
      <c r="F40" s="160"/>
      <c r="G40" s="161">
        <f>SUMIF(H9:H38,"&gt;0")</f>
        <v>23063</v>
      </c>
      <c r="H40" s="160"/>
      <c r="I40" s="108">
        <f>SUMIF(I9:I38,"&gt;0")</f>
        <v>72064</v>
      </c>
      <c r="J40" s="109"/>
      <c r="K40" s="110">
        <f>SUMIF(K9:K38,"&gt;0")</f>
        <v>18088.063999999998</v>
      </c>
      <c r="L40" s="108"/>
      <c r="M40" s="161">
        <f>SUMIF(N9:N38,"&gt;0")</f>
        <v>1404</v>
      </c>
      <c r="N40" s="160"/>
      <c r="O40" s="161">
        <f>SUMIF(P9:P38,"&gt;0")</f>
        <v>25689</v>
      </c>
      <c r="P40" s="160"/>
      <c r="Q40" s="109">
        <f>SUMIF(Q9:Q38,"&gt;0")</f>
        <v>27093</v>
      </c>
      <c r="R40" s="110">
        <f>SUMIF(R9:R38,"&gt;0")</f>
        <v>15492.210888</v>
      </c>
      <c r="S40" s="111"/>
      <c r="T40" s="143">
        <f>SUMIF(U9:U38,"&gt;0")</f>
        <v>2155</v>
      </c>
      <c r="U40" s="143"/>
      <c r="V40" s="112">
        <f>SUMIF(V9:V38,"&gt;0")</f>
        <v>6152.5249999999996</v>
      </c>
      <c r="W40" s="113"/>
      <c r="X40" s="114">
        <f>SUMIF(X9:X38,"&gt;0")</f>
        <v>39732.799888000001</v>
      </c>
      <c r="Y40" s="115">
        <f>SUM(Y9:Y39)</f>
        <v>513</v>
      </c>
      <c r="Z40" s="116">
        <f>(SUMIF(Z9:Z36,"&gt;0")/31)</f>
        <v>30.74288157440116</v>
      </c>
    </row>
  </sheetData>
  <mergeCells count="12">
    <mergeCell ref="T40:U40"/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75" zoomScaleNormal="75" workbookViewId="0">
      <selection activeCell="K31" sqref="K31"/>
    </sheetView>
  </sheetViews>
  <sheetFormatPr defaultRowHeight="15" x14ac:dyDescent="0.25"/>
  <sheetData>
    <row r="6" spans="1:83" ht="15.75" thickBot="1" x14ac:dyDescent="0.3">
      <c r="B6" s="117">
        <v>49433</v>
      </c>
      <c r="C6" s="118">
        <v>79236</v>
      </c>
      <c r="D6" s="119">
        <v>15207</v>
      </c>
      <c r="E6" s="119">
        <v>13719</v>
      </c>
      <c r="F6" s="119">
        <v>189420</v>
      </c>
      <c r="G6" s="119">
        <v>3495</v>
      </c>
      <c r="H6" s="118">
        <v>1485</v>
      </c>
      <c r="I6" s="119">
        <v>380288</v>
      </c>
      <c r="J6" s="119">
        <v>68377</v>
      </c>
      <c r="K6" s="119">
        <v>7921</v>
      </c>
      <c r="L6" s="119">
        <v>29890</v>
      </c>
      <c r="M6" s="119">
        <v>52115</v>
      </c>
      <c r="N6" s="119">
        <v>38542</v>
      </c>
      <c r="O6" s="119">
        <v>181658</v>
      </c>
      <c r="P6" s="119">
        <v>375920</v>
      </c>
      <c r="Q6" s="119">
        <v>2808</v>
      </c>
      <c r="R6" s="119">
        <v>18050</v>
      </c>
      <c r="S6" s="119">
        <v>25503</v>
      </c>
      <c r="T6" s="119">
        <v>278413</v>
      </c>
      <c r="U6" s="119">
        <v>375407</v>
      </c>
      <c r="V6" s="119">
        <v>40159</v>
      </c>
      <c r="W6" s="119">
        <v>5416</v>
      </c>
      <c r="X6" s="119">
        <v>13927</v>
      </c>
      <c r="Y6" s="119">
        <v>86195</v>
      </c>
      <c r="Z6" s="118">
        <v>540</v>
      </c>
      <c r="AA6" s="119">
        <v>170186</v>
      </c>
      <c r="AB6" s="119">
        <v>7562</v>
      </c>
      <c r="AC6" s="119">
        <v>1974</v>
      </c>
      <c r="AD6" s="119">
        <v>17975</v>
      </c>
      <c r="AE6" s="119">
        <v>76508</v>
      </c>
      <c r="AF6" s="119">
        <v>205359</v>
      </c>
      <c r="AG6" s="119">
        <v>1125790</v>
      </c>
      <c r="AH6" s="119">
        <v>11123</v>
      </c>
      <c r="AI6" s="119">
        <v>483379</v>
      </c>
      <c r="AJ6" s="119">
        <v>637743</v>
      </c>
      <c r="AK6" s="119">
        <v>9334</v>
      </c>
      <c r="AL6" s="120">
        <v>29315</v>
      </c>
      <c r="AM6" s="119">
        <v>28542</v>
      </c>
      <c r="AN6" s="121">
        <v>596531</v>
      </c>
      <c r="AO6" s="121">
        <v>5246</v>
      </c>
      <c r="AP6" s="122">
        <v>0</v>
      </c>
      <c r="AQ6" s="119">
        <v>109712</v>
      </c>
      <c r="AR6" s="119">
        <v>217210</v>
      </c>
      <c r="AS6" s="119">
        <v>63112</v>
      </c>
      <c r="AT6" s="119">
        <v>560</v>
      </c>
      <c r="AU6" s="119">
        <v>107079</v>
      </c>
      <c r="AV6" s="119">
        <v>44534</v>
      </c>
      <c r="AW6" s="119">
        <v>38275</v>
      </c>
      <c r="AX6" s="119">
        <v>175158</v>
      </c>
      <c r="AY6" s="123">
        <v>481902</v>
      </c>
    </row>
    <row r="7" spans="1:83" ht="90" x14ac:dyDescent="0.25">
      <c r="A7" s="124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5" t="s">
        <v>63</v>
      </c>
      <c r="BA7" s="125" t="s">
        <v>64</v>
      </c>
      <c r="BB7" s="125" t="s">
        <v>65</v>
      </c>
      <c r="BC7" s="125" t="s">
        <v>66</v>
      </c>
      <c r="BD7" s="125" t="s">
        <v>67</v>
      </c>
      <c r="BE7" s="125" t="s">
        <v>68</v>
      </c>
      <c r="BF7" s="125" t="s">
        <v>69</v>
      </c>
      <c r="BG7" s="125" t="s">
        <v>70</v>
      </c>
      <c r="BH7" s="125" t="s">
        <v>71</v>
      </c>
      <c r="BI7" s="125" t="s">
        <v>72</v>
      </c>
      <c r="BJ7" s="125" t="s">
        <v>73</v>
      </c>
      <c r="BK7" s="125" t="s">
        <v>74</v>
      </c>
      <c r="BL7" s="125" t="s">
        <v>75</v>
      </c>
      <c r="BM7" s="125" t="s">
        <v>76</v>
      </c>
      <c r="BN7" s="125" t="s">
        <v>77</v>
      </c>
      <c r="BO7" s="125" t="s">
        <v>78</v>
      </c>
      <c r="BP7" s="125" t="s">
        <v>79</v>
      </c>
      <c r="BQ7" s="125" t="s">
        <v>80</v>
      </c>
      <c r="BR7" s="125" t="s">
        <v>81</v>
      </c>
      <c r="BS7" s="126" t="s">
        <v>82</v>
      </c>
      <c r="BT7" s="126" t="s">
        <v>83</v>
      </c>
      <c r="BU7" s="126" t="s">
        <v>84</v>
      </c>
      <c r="BV7" s="126" t="s">
        <v>85</v>
      </c>
      <c r="BW7" s="126" t="s">
        <v>86</v>
      </c>
      <c r="BX7" s="126" t="s">
        <v>87</v>
      </c>
      <c r="BY7" s="126" t="s">
        <v>88</v>
      </c>
      <c r="BZ7" s="126" t="s">
        <v>89</v>
      </c>
      <c r="CA7" s="126" t="s">
        <v>90</v>
      </c>
      <c r="CB7" s="126" t="s">
        <v>91</v>
      </c>
      <c r="CC7" s="126" t="s">
        <v>92</v>
      </c>
      <c r="CD7" s="126" t="s">
        <v>93</v>
      </c>
      <c r="CE7" s="126" t="s">
        <v>94</v>
      </c>
    </row>
    <row r="8" spans="1:83" ht="15.75" thickBot="1" x14ac:dyDescent="0.3">
      <c r="A8">
        <v>1</v>
      </c>
      <c r="B8" s="136">
        <v>65614</v>
      </c>
      <c r="C8" s="137">
        <v>97251</v>
      </c>
      <c r="D8" s="137">
        <v>17959</v>
      </c>
      <c r="E8" s="137">
        <v>17056</v>
      </c>
      <c r="F8" s="137">
        <v>234825</v>
      </c>
      <c r="G8" s="137">
        <v>4346</v>
      </c>
      <c r="H8" s="137">
        <v>4623</v>
      </c>
      <c r="I8" s="137">
        <v>459426</v>
      </c>
      <c r="J8" s="137">
        <v>83673</v>
      </c>
      <c r="K8" s="137">
        <v>7975</v>
      </c>
      <c r="L8" s="137">
        <v>34978</v>
      </c>
      <c r="M8" s="137">
        <v>57710</v>
      </c>
      <c r="N8" s="137">
        <v>47729</v>
      </c>
      <c r="O8" s="137">
        <v>230020</v>
      </c>
      <c r="P8" s="137">
        <v>490160</v>
      </c>
      <c r="Q8" s="137">
        <v>4078</v>
      </c>
      <c r="R8" s="137">
        <v>23165</v>
      </c>
      <c r="S8" s="137">
        <v>25503</v>
      </c>
      <c r="T8" s="137">
        <v>335505</v>
      </c>
      <c r="U8" s="137">
        <v>464169</v>
      </c>
      <c r="V8" s="137">
        <v>51130</v>
      </c>
      <c r="W8" s="137">
        <v>6290</v>
      </c>
      <c r="X8" s="137">
        <v>18135</v>
      </c>
      <c r="Y8" s="137">
        <v>107737</v>
      </c>
      <c r="Z8" s="137">
        <v>839</v>
      </c>
      <c r="AA8" s="137">
        <v>206405</v>
      </c>
      <c r="AB8" s="137">
        <v>10556</v>
      </c>
      <c r="AC8" s="137">
        <v>2363</v>
      </c>
      <c r="AD8" s="137">
        <v>21725</v>
      </c>
      <c r="AE8" s="137">
        <v>101082</v>
      </c>
      <c r="AF8" s="137">
        <v>259095</v>
      </c>
      <c r="AG8" s="137">
        <v>1336280</v>
      </c>
      <c r="AH8" s="137">
        <v>12912</v>
      </c>
      <c r="AI8" s="137">
        <v>488739</v>
      </c>
      <c r="AJ8" s="137">
        <v>772793</v>
      </c>
      <c r="AK8" s="137">
        <v>12115</v>
      </c>
      <c r="AL8" s="138">
        <v>41356</v>
      </c>
      <c r="AM8" s="137">
        <v>39564</v>
      </c>
      <c r="AN8" s="139">
        <v>725907</v>
      </c>
      <c r="AO8" s="139">
        <v>5522</v>
      </c>
      <c r="AP8" s="139">
        <v>0</v>
      </c>
      <c r="AQ8" s="137">
        <v>128541</v>
      </c>
      <c r="AR8" s="137">
        <v>256194</v>
      </c>
      <c r="AS8" s="137">
        <v>73636</v>
      </c>
      <c r="AT8" s="137">
        <v>732</v>
      </c>
      <c r="AU8" s="137">
        <v>133492</v>
      </c>
      <c r="AV8" s="137">
        <v>51246</v>
      </c>
      <c r="AW8" s="137">
        <v>43986</v>
      </c>
      <c r="AX8" s="137">
        <v>218731</v>
      </c>
      <c r="AY8" s="140">
        <v>603685</v>
      </c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</row>
    <row r="9" spans="1:83" x14ac:dyDescent="0.25">
      <c r="A9">
        <v>2</v>
      </c>
      <c r="B9" s="128">
        <v>65663</v>
      </c>
      <c r="C9" s="128">
        <v>97252</v>
      </c>
      <c r="D9" s="128">
        <v>17960</v>
      </c>
      <c r="E9" s="128">
        <v>17062</v>
      </c>
      <c r="F9" s="128">
        <v>235037</v>
      </c>
      <c r="G9" s="128">
        <v>4349</v>
      </c>
      <c r="H9" s="128">
        <v>4658</v>
      </c>
      <c r="I9" s="128">
        <v>459802</v>
      </c>
      <c r="J9" s="128">
        <v>83733</v>
      </c>
      <c r="K9" s="128">
        <v>7975</v>
      </c>
      <c r="L9" s="128">
        <v>34996</v>
      </c>
      <c r="M9" s="128">
        <v>57724</v>
      </c>
      <c r="N9" s="128">
        <v>47765</v>
      </c>
      <c r="O9" s="128">
        <v>230189</v>
      </c>
      <c r="P9" s="131">
        <v>490438</v>
      </c>
      <c r="Q9" s="128">
        <v>4083</v>
      </c>
      <c r="R9" s="130">
        <v>23181</v>
      </c>
      <c r="S9" s="130">
        <v>25503</v>
      </c>
      <c r="T9" s="130">
        <v>335679</v>
      </c>
      <c r="U9" s="128">
        <v>464528</v>
      </c>
      <c r="V9" s="128">
        <v>51175</v>
      </c>
      <c r="W9" s="128">
        <v>6290</v>
      </c>
      <c r="X9" s="128">
        <v>18153</v>
      </c>
      <c r="Y9" s="128">
        <v>107792</v>
      </c>
      <c r="Z9" s="128">
        <v>843</v>
      </c>
      <c r="AA9" s="128">
        <v>206569</v>
      </c>
      <c r="AB9" s="128">
        <v>10566</v>
      </c>
      <c r="AC9" s="128">
        <v>2365</v>
      </c>
      <c r="AD9" s="128">
        <v>21738</v>
      </c>
      <c r="AE9" s="128">
        <v>101185</v>
      </c>
      <c r="AF9" s="128">
        <v>259322</v>
      </c>
      <c r="AG9" s="128">
        <v>1336950</v>
      </c>
      <c r="AH9" s="128">
        <v>12918</v>
      </c>
      <c r="AI9" s="128">
        <v>488756</v>
      </c>
      <c r="AJ9" s="128">
        <v>773449</v>
      </c>
      <c r="AK9" s="128">
        <v>12130</v>
      </c>
      <c r="AL9" s="128">
        <v>41371</v>
      </c>
      <c r="AM9" s="128">
        <v>39582</v>
      </c>
      <c r="AN9" s="128">
        <v>726434</v>
      </c>
      <c r="AO9" s="128">
        <v>5523</v>
      </c>
      <c r="AP9" s="128">
        <v>0</v>
      </c>
      <c r="AQ9" s="128">
        <v>128655</v>
      </c>
      <c r="AR9" s="128">
        <v>256422</v>
      </c>
      <c r="AS9" s="128">
        <v>73676</v>
      </c>
      <c r="AT9" s="128">
        <v>733</v>
      </c>
      <c r="AU9" s="128">
        <v>133651</v>
      </c>
      <c r="AV9" s="128">
        <v>51317</v>
      </c>
      <c r="AW9" s="128">
        <v>44036</v>
      </c>
      <c r="AX9" s="128">
        <v>218930</v>
      </c>
      <c r="AY9" s="128">
        <v>604266</v>
      </c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</row>
    <row r="10" spans="1:83" x14ac:dyDescent="0.25">
      <c r="A10">
        <v>3</v>
      </c>
      <c r="B10" s="128">
        <v>65712</v>
      </c>
      <c r="C10" s="128">
        <v>97255</v>
      </c>
      <c r="D10" s="128">
        <v>17964</v>
      </c>
      <c r="E10" s="128">
        <v>17073</v>
      </c>
      <c r="F10" s="128">
        <v>235248</v>
      </c>
      <c r="G10" s="128">
        <v>4352</v>
      </c>
      <c r="H10" s="128">
        <v>4687</v>
      </c>
      <c r="I10" s="128">
        <v>460172</v>
      </c>
      <c r="J10" s="128">
        <v>83781</v>
      </c>
      <c r="K10" s="128">
        <v>7975</v>
      </c>
      <c r="L10" s="128">
        <v>35015</v>
      </c>
      <c r="M10" s="128">
        <v>57734</v>
      </c>
      <c r="N10" s="128">
        <v>47803</v>
      </c>
      <c r="O10" s="128">
        <v>230360</v>
      </c>
      <c r="P10" s="131">
        <v>490635</v>
      </c>
      <c r="Q10" s="128">
        <v>4090</v>
      </c>
      <c r="R10" s="130">
        <v>23200</v>
      </c>
      <c r="S10" s="130">
        <v>25503</v>
      </c>
      <c r="T10" s="130">
        <v>335862</v>
      </c>
      <c r="U10" s="128">
        <v>464909</v>
      </c>
      <c r="V10" s="128">
        <v>51218</v>
      </c>
      <c r="W10" s="128">
        <v>6290</v>
      </c>
      <c r="X10" s="128">
        <v>18174</v>
      </c>
      <c r="Y10" s="128">
        <v>107843</v>
      </c>
      <c r="Z10" s="128">
        <v>846</v>
      </c>
      <c r="AA10" s="128">
        <v>206748</v>
      </c>
      <c r="AB10" s="128">
        <v>10567</v>
      </c>
      <c r="AC10" s="128">
        <v>2366</v>
      </c>
      <c r="AD10" s="128">
        <v>21752</v>
      </c>
      <c r="AE10" s="128">
        <v>101295</v>
      </c>
      <c r="AF10" s="128">
        <v>259546</v>
      </c>
      <c r="AG10" s="128">
        <v>1337526</v>
      </c>
      <c r="AH10" s="128">
        <v>12926</v>
      </c>
      <c r="AI10" s="128">
        <v>488774</v>
      </c>
      <c r="AJ10" s="128">
        <v>774149</v>
      </c>
      <c r="AK10" s="128">
        <v>12145</v>
      </c>
      <c r="AL10" s="128">
        <v>41386</v>
      </c>
      <c r="AM10" s="128">
        <v>39599</v>
      </c>
      <c r="AN10" s="128">
        <v>726970</v>
      </c>
      <c r="AO10" s="128">
        <v>5524</v>
      </c>
      <c r="AP10" s="128">
        <v>0</v>
      </c>
      <c r="AQ10" s="128">
        <v>128763</v>
      </c>
      <c r="AR10" s="128">
        <v>256654</v>
      </c>
      <c r="AS10" s="128">
        <v>73711</v>
      </c>
      <c r="AT10" s="128">
        <v>733</v>
      </c>
      <c r="AU10" s="128">
        <v>133812</v>
      </c>
      <c r="AV10" s="128">
        <v>51390</v>
      </c>
      <c r="AW10" s="128">
        <v>44078</v>
      </c>
      <c r="AX10" s="128">
        <v>219137</v>
      </c>
      <c r="AY10" s="128">
        <v>604815</v>
      </c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</row>
    <row r="11" spans="1:83" x14ac:dyDescent="0.25">
      <c r="A11">
        <v>4</v>
      </c>
      <c r="B11" s="128">
        <v>65754</v>
      </c>
      <c r="C11" s="128">
        <v>97258</v>
      </c>
      <c r="D11" s="128">
        <v>17967</v>
      </c>
      <c r="E11" s="128">
        <v>17107</v>
      </c>
      <c r="F11" s="128">
        <v>235426</v>
      </c>
      <c r="G11" s="128">
        <v>4355</v>
      </c>
      <c r="H11" s="128">
        <v>4687</v>
      </c>
      <c r="I11" s="128">
        <v>460459</v>
      </c>
      <c r="J11" s="128">
        <v>83823</v>
      </c>
      <c r="K11" s="128">
        <v>7976</v>
      </c>
      <c r="L11" s="128">
        <v>35034</v>
      </c>
      <c r="M11" s="128">
        <v>57746</v>
      </c>
      <c r="N11" s="128">
        <v>47838</v>
      </c>
      <c r="O11" s="128">
        <v>230518</v>
      </c>
      <c r="P11" s="131">
        <v>490810</v>
      </c>
      <c r="Q11" s="128">
        <v>4096</v>
      </c>
      <c r="R11" s="130">
        <v>23213</v>
      </c>
      <c r="S11" s="130">
        <v>25503</v>
      </c>
      <c r="T11" s="130">
        <v>336043</v>
      </c>
      <c r="U11" s="128">
        <v>465245</v>
      </c>
      <c r="V11" s="128">
        <v>51257</v>
      </c>
      <c r="W11" s="128">
        <v>6291</v>
      </c>
      <c r="X11" s="128">
        <v>18194</v>
      </c>
      <c r="Y11" s="128">
        <v>107909</v>
      </c>
      <c r="Z11" s="128">
        <v>849</v>
      </c>
      <c r="AA11" s="128">
        <v>206903</v>
      </c>
      <c r="AB11" s="128">
        <v>10568</v>
      </c>
      <c r="AC11" s="128">
        <v>2367</v>
      </c>
      <c r="AD11" s="128">
        <v>21764</v>
      </c>
      <c r="AE11" s="128">
        <v>101394</v>
      </c>
      <c r="AF11" s="128">
        <v>259750</v>
      </c>
      <c r="AG11" s="128">
        <v>1338034</v>
      </c>
      <c r="AH11" s="128">
        <v>12933</v>
      </c>
      <c r="AI11" s="128">
        <v>488789</v>
      </c>
      <c r="AJ11" s="128">
        <v>774611</v>
      </c>
      <c r="AK11" s="128">
        <v>12154</v>
      </c>
      <c r="AL11" s="128">
        <v>41400</v>
      </c>
      <c r="AM11" s="128">
        <v>39614</v>
      </c>
      <c r="AN11" s="128">
        <v>727425</v>
      </c>
      <c r="AO11" s="128">
        <v>5525</v>
      </c>
      <c r="AP11" s="128">
        <v>0</v>
      </c>
      <c r="AQ11" s="128">
        <v>128841</v>
      </c>
      <c r="AR11" s="128">
        <v>256821</v>
      </c>
      <c r="AS11" s="128">
        <v>73740</v>
      </c>
      <c r="AT11" s="128">
        <v>734</v>
      </c>
      <c r="AU11" s="128">
        <v>133975</v>
      </c>
      <c r="AV11" s="128">
        <v>51459</v>
      </c>
      <c r="AW11" s="128">
        <v>44105</v>
      </c>
      <c r="AX11" s="128">
        <v>219316</v>
      </c>
      <c r="AY11" s="128">
        <v>605271</v>
      </c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</row>
    <row r="12" spans="1:83" x14ac:dyDescent="0.25">
      <c r="A12">
        <v>5</v>
      </c>
      <c r="B12" s="128">
        <v>65806</v>
      </c>
      <c r="C12" s="128">
        <v>97259</v>
      </c>
      <c r="D12" s="128">
        <v>17972</v>
      </c>
      <c r="E12" s="128">
        <v>17121</v>
      </c>
      <c r="F12" s="128">
        <v>235647</v>
      </c>
      <c r="G12" s="128">
        <v>4358</v>
      </c>
      <c r="H12" s="128">
        <v>4689</v>
      </c>
      <c r="I12" s="128">
        <v>460774</v>
      </c>
      <c r="J12" s="128">
        <v>83874</v>
      </c>
      <c r="K12" s="128">
        <v>7976</v>
      </c>
      <c r="L12" s="128">
        <v>35053</v>
      </c>
      <c r="M12" s="128">
        <v>57757</v>
      </c>
      <c r="N12" s="128">
        <v>47877</v>
      </c>
      <c r="O12" s="128">
        <v>230699</v>
      </c>
      <c r="P12" s="128">
        <v>491030</v>
      </c>
      <c r="Q12" s="128">
        <v>4101</v>
      </c>
      <c r="R12" s="128">
        <v>23229</v>
      </c>
      <c r="S12" s="128">
        <v>25503</v>
      </c>
      <c r="T12" s="128">
        <v>336255</v>
      </c>
      <c r="U12" s="128">
        <v>465628</v>
      </c>
      <c r="V12" s="128">
        <v>51303</v>
      </c>
      <c r="W12" s="128">
        <v>6291</v>
      </c>
      <c r="X12" s="128">
        <v>18212</v>
      </c>
      <c r="Y12" s="128">
        <v>107982</v>
      </c>
      <c r="Z12" s="128">
        <v>853</v>
      </c>
      <c r="AA12" s="128">
        <v>207080</v>
      </c>
      <c r="AB12" s="128">
        <v>10569</v>
      </c>
      <c r="AC12" s="128">
        <v>2369</v>
      </c>
      <c r="AD12" s="128">
        <v>21779</v>
      </c>
      <c r="AE12" s="128">
        <v>101515</v>
      </c>
      <c r="AF12" s="128">
        <v>259971</v>
      </c>
      <c r="AG12" s="128">
        <v>1338646</v>
      </c>
      <c r="AH12" s="128">
        <v>12939</v>
      </c>
      <c r="AI12" s="128">
        <v>488807</v>
      </c>
      <c r="AJ12" s="128">
        <v>775333</v>
      </c>
      <c r="AK12" s="128">
        <v>12161</v>
      </c>
      <c r="AL12" s="128">
        <v>41416</v>
      </c>
      <c r="AM12" s="128">
        <v>39631</v>
      </c>
      <c r="AN12" s="128">
        <v>727923</v>
      </c>
      <c r="AO12" s="128">
        <v>5526</v>
      </c>
      <c r="AP12" s="128">
        <v>0</v>
      </c>
      <c r="AQ12" s="128">
        <v>128947</v>
      </c>
      <c r="AR12" s="128">
        <v>257007</v>
      </c>
      <c r="AS12" s="128">
        <v>73778</v>
      </c>
      <c r="AT12" s="128">
        <v>735</v>
      </c>
      <c r="AU12" s="128">
        <v>134141</v>
      </c>
      <c r="AV12" s="128">
        <v>51525</v>
      </c>
      <c r="AW12" s="128">
        <v>44139</v>
      </c>
      <c r="AX12" s="128">
        <v>219529</v>
      </c>
      <c r="AY12" s="128">
        <v>605821</v>
      </c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CB12" s="127"/>
      <c r="CC12" s="127"/>
      <c r="CD12" s="127"/>
      <c r="CE12" s="127"/>
    </row>
    <row r="13" spans="1:83" x14ac:dyDescent="0.25">
      <c r="A13">
        <v>6</v>
      </c>
      <c r="B13" s="128">
        <v>65851</v>
      </c>
      <c r="C13" s="128">
        <v>97259</v>
      </c>
      <c r="D13" s="128">
        <v>17981</v>
      </c>
      <c r="E13" s="128">
        <v>17136</v>
      </c>
      <c r="F13" s="128">
        <v>235857</v>
      </c>
      <c r="G13" s="128">
        <v>4361</v>
      </c>
      <c r="H13" s="128">
        <v>4690</v>
      </c>
      <c r="I13" s="128">
        <v>461066</v>
      </c>
      <c r="J13" s="128">
        <v>83927</v>
      </c>
      <c r="K13" s="128">
        <v>7976</v>
      </c>
      <c r="L13" s="128">
        <v>35067</v>
      </c>
      <c r="M13" s="128">
        <v>57770</v>
      </c>
      <c r="N13" s="128">
        <v>47915</v>
      </c>
      <c r="O13" s="128">
        <v>230877</v>
      </c>
      <c r="P13" s="128">
        <v>491214</v>
      </c>
      <c r="Q13" s="128">
        <v>4105</v>
      </c>
      <c r="R13" s="128">
        <v>23242</v>
      </c>
      <c r="S13" s="128">
        <v>25503</v>
      </c>
      <c r="T13" s="128">
        <v>336426</v>
      </c>
      <c r="U13" s="128">
        <v>465976</v>
      </c>
      <c r="V13" s="128">
        <v>51346</v>
      </c>
      <c r="W13" s="128">
        <v>6296</v>
      </c>
      <c r="X13" s="128">
        <v>18241</v>
      </c>
      <c r="Y13" s="128">
        <v>108055</v>
      </c>
      <c r="Z13" s="128">
        <v>858</v>
      </c>
      <c r="AA13" s="128">
        <v>207246</v>
      </c>
      <c r="AB13" s="128">
        <v>10575</v>
      </c>
      <c r="AC13" s="128">
        <v>2370</v>
      </c>
      <c r="AD13" s="128">
        <v>21792</v>
      </c>
      <c r="AE13" s="128">
        <v>101633</v>
      </c>
      <c r="AF13" s="128">
        <v>260192</v>
      </c>
      <c r="AG13" s="128">
        <v>1339175</v>
      </c>
      <c r="AH13" s="128">
        <v>12944</v>
      </c>
      <c r="AI13" s="128">
        <v>488824</v>
      </c>
      <c r="AJ13" s="128">
        <v>775869</v>
      </c>
      <c r="AK13" s="128">
        <v>12169</v>
      </c>
      <c r="AL13" s="131">
        <v>41431</v>
      </c>
      <c r="AM13" s="128">
        <v>39648</v>
      </c>
      <c r="AN13" s="130">
        <v>728419</v>
      </c>
      <c r="AO13" s="130">
        <v>5527</v>
      </c>
      <c r="AP13" s="130">
        <v>0</v>
      </c>
      <c r="AQ13" s="128">
        <v>129046</v>
      </c>
      <c r="AR13" s="128">
        <v>257182</v>
      </c>
      <c r="AS13" s="128">
        <v>73824</v>
      </c>
      <c r="AT13" s="128">
        <v>735</v>
      </c>
      <c r="AU13" s="128">
        <v>134292</v>
      </c>
      <c r="AV13" s="128">
        <v>51584</v>
      </c>
      <c r="AW13" s="128">
        <v>44165</v>
      </c>
      <c r="AX13" s="128">
        <v>219721</v>
      </c>
      <c r="AY13" s="128">
        <v>606384</v>
      </c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</row>
    <row r="14" spans="1:83" x14ac:dyDescent="0.25">
      <c r="A14">
        <v>7</v>
      </c>
      <c r="B14" s="128">
        <v>65892</v>
      </c>
      <c r="C14" s="128">
        <v>97259</v>
      </c>
      <c r="D14" s="128">
        <v>17996</v>
      </c>
      <c r="E14" s="128">
        <v>17170</v>
      </c>
      <c r="F14" s="128">
        <v>236047</v>
      </c>
      <c r="G14" s="128">
        <v>4364</v>
      </c>
      <c r="H14" s="128">
        <v>4717</v>
      </c>
      <c r="I14" s="128">
        <v>461374</v>
      </c>
      <c r="J14" s="128">
        <v>83984</v>
      </c>
      <c r="K14" s="128">
        <v>7976</v>
      </c>
      <c r="L14" s="128">
        <v>35083</v>
      </c>
      <c r="M14" s="128">
        <v>57786</v>
      </c>
      <c r="N14" s="128">
        <v>47953</v>
      </c>
      <c r="O14" s="128">
        <v>231050</v>
      </c>
      <c r="P14" s="128">
        <v>491385</v>
      </c>
      <c r="Q14" s="128">
        <v>4110</v>
      </c>
      <c r="R14" s="128">
        <v>23257</v>
      </c>
      <c r="S14" s="128">
        <v>25503</v>
      </c>
      <c r="T14" s="128">
        <v>336608</v>
      </c>
      <c r="U14" s="128">
        <v>466319</v>
      </c>
      <c r="V14" s="128">
        <v>51386</v>
      </c>
      <c r="W14" s="128">
        <v>6307</v>
      </c>
      <c r="X14" s="128">
        <v>18264</v>
      </c>
      <c r="Y14" s="128">
        <v>108127</v>
      </c>
      <c r="Z14" s="128">
        <v>862</v>
      </c>
      <c r="AA14" s="128">
        <v>207403</v>
      </c>
      <c r="AB14" s="128">
        <v>10585</v>
      </c>
      <c r="AC14" s="128">
        <v>2372</v>
      </c>
      <c r="AD14" s="128">
        <v>21805</v>
      </c>
      <c r="AE14" s="128">
        <v>101736</v>
      </c>
      <c r="AF14" s="128">
        <v>260411</v>
      </c>
      <c r="AG14" s="128">
        <v>1339725</v>
      </c>
      <c r="AH14" s="128">
        <v>12951</v>
      </c>
      <c r="AI14" s="128">
        <v>488841</v>
      </c>
      <c r="AJ14" s="128">
        <v>776383</v>
      </c>
      <c r="AK14" s="128">
        <v>12175</v>
      </c>
      <c r="AL14" s="131">
        <v>41446</v>
      </c>
      <c r="AM14" s="128">
        <v>39664</v>
      </c>
      <c r="AN14" s="130">
        <v>728914</v>
      </c>
      <c r="AO14" s="130">
        <v>5528</v>
      </c>
      <c r="AP14" s="130">
        <v>0</v>
      </c>
      <c r="AQ14" s="128">
        <v>129138</v>
      </c>
      <c r="AR14" s="128">
        <v>257343</v>
      </c>
      <c r="AS14" s="128">
        <v>73849</v>
      </c>
      <c r="AT14" s="128">
        <v>736</v>
      </c>
      <c r="AU14" s="128">
        <v>134485</v>
      </c>
      <c r="AV14" s="128">
        <v>51646</v>
      </c>
      <c r="AW14" s="128">
        <v>44187</v>
      </c>
      <c r="AX14" s="128">
        <v>219904</v>
      </c>
      <c r="AY14" s="128">
        <v>606900</v>
      </c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</row>
    <row r="15" spans="1:83" x14ac:dyDescent="0.25">
      <c r="A15">
        <v>8</v>
      </c>
      <c r="B15" s="127">
        <f t="shared" ref="B15:AG15" si="0">B13+B6</f>
        <v>115284</v>
      </c>
      <c r="C15" s="127">
        <f t="shared" si="0"/>
        <v>176495</v>
      </c>
      <c r="D15" s="127">
        <f t="shared" si="0"/>
        <v>33188</v>
      </c>
      <c r="E15" s="127">
        <f t="shared" si="0"/>
        <v>30855</v>
      </c>
      <c r="F15" s="127">
        <f t="shared" si="0"/>
        <v>425277</v>
      </c>
      <c r="G15" s="127">
        <f t="shared" si="0"/>
        <v>7856</v>
      </c>
      <c r="H15" s="127">
        <f t="shared" si="0"/>
        <v>6175</v>
      </c>
      <c r="I15" s="127">
        <f t="shared" si="0"/>
        <v>841354</v>
      </c>
      <c r="J15" s="127">
        <f t="shared" si="0"/>
        <v>152304</v>
      </c>
      <c r="K15" s="127">
        <f t="shared" si="0"/>
        <v>15897</v>
      </c>
      <c r="L15" s="127">
        <f t="shared" si="0"/>
        <v>64957</v>
      </c>
      <c r="M15" s="127">
        <f t="shared" si="0"/>
        <v>109885</v>
      </c>
      <c r="N15" s="127">
        <f t="shared" si="0"/>
        <v>86457</v>
      </c>
      <c r="O15" s="127">
        <f t="shared" si="0"/>
        <v>412535</v>
      </c>
      <c r="P15" s="127">
        <f t="shared" si="0"/>
        <v>867134</v>
      </c>
      <c r="Q15" s="127">
        <f t="shared" si="0"/>
        <v>6913</v>
      </c>
      <c r="R15" s="127">
        <f t="shared" si="0"/>
        <v>41292</v>
      </c>
      <c r="S15" s="127">
        <f t="shared" si="0"/>
        <v>51006</v>
      </c>
      <c r="T15" s="127">
        <f t="shared" si="0"/>
        <v>614839</v>
      </c>
      <c r="U15" s="127">
        <f t="shared" si="0"/>
        <v>841383</v>
      </c>
      <c r="V15" s="127">
        <f t="shared" si="0"/>
        <v>91505</v>
      </c>
      <c r="W15" s="127">
        <f t="shared" si="0"/>
        <v>11712</v>
      </c>
      <c r="X15" s="127">
        <f t="shared" si="0"/>
        <v>32168</v>
      </c>
      <c r="Y15" s="127">
        <f t="shared" si="0"/>
        <v>194250</v>
      </c>
      <c r="Z15" s="127">
        <f t="shared" si="0"/>
        <v>1398</v>
      </c>
      <c r="AA15" s="127">
        <f t="shared" si="0"/>
        <v>377432</v>
      </c>
      <c r="AB15" s="127">
        <f t="shared" si="0"/>
        <v>18137</v>
      </c>
      <c r="AC15" s="127">
        <f t="shared" si="0"/>
        <v>4344</v>
      </c>
      <c r="AD15" s="127">
        <f t="shared" si="0"/>
        <v>39767</v>
      </c>
      <c r="AE15" s="127">
        <f t="shared" si="0"/>
        <v>178141</v>
      </c>
      <c r="AF15" s="127">
        <f t="shared" si="0"/>
        <v>465551</v>
      </c>
      <c r="AG15" s="127">
        <f t="shared" si="0"/>
        <v>2464965</v>
      </c>
      <c r="AH15" s="127">
        <f t="shared" ref="AH15:AY15" si="1">AH13+AH6</f>
        <v>24067</v>
      </c>
      <c r="AI15" s="127">
        <f t="shared" si="1"/>
        <v>972203</v>
      </c>
      <c r="AJ15" s="127">
        <f t="shared" si="1"/>
        <v>1413612</v>
      </c>
      <c r="AK15" s="127">
        <f t="shared" si="1"/>
        <v>21503</v>
      </c>
      <c r="AL15" s="127">
        <f t="shared" si="1"/>
        <v>70746</v>
      </c>
      <c r="AM15" s="127">
        <f t="shared" si="1"/>
        <v>68190</v>
      </c>
      <c r="AN15" s="127">
        <f t="shared" si="1"/>
        <v>1324950</v>
      </c>
      <c r="AO15" s="127">
        <f t="shared" si="1"/>
        <v>10773</v>
      </c>
      <c r="AP15" s="127">
        <f t="shared" si="1"/>
        <v>0</v>
      </c>
      <c r="AQ15" s="127">
        <f t="shared" si="1"/>
        <v>238758</v>
      </c>
      <c r="AR15" s="127">
        <f t="shared" si="1"/>
        <v>474392</v>
      </c>
      <c r="AS15" s="127">
        <f t="shared" si="1"/>
        <v>136936</v>
      </c>
      <c r="AT15" s="127">
        <f t="shared" si="1"/>
        <v>1295</v>
      </c>
      <c r="AU15" s="127">
        <f t="shared" si="1"/>
        <v>241371</v>
      </c>
      <c r="AV15" s="127">
        <f t="shared" si="1"/>
        <v>96118</v>
      </c>
      <c r="AW15" s="127">
        <f t="shared" si="1"/>
        <v>82440</v>
      </c>
      <c r="AX15" s="127">
        <f t="shared" si="1"/>
        <v>394879</v>
      </c>
      <c r="AY15">
        <f t="shared" si="1"/>
        <v>1088286</v>
      </c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</row>
    <row r="16" spans="1:83" x14ac:dyDescent="0.25">
      <c r="A16">
        <v>9</v>
      </c>
      <c r="B16" s="128">
        <v>65991</v>
      </c>
      <c r="C16" s="128">
        <v>97259</v>
      </c>
      <c r="D16" s="128">
        <v>18013</v>
      </c>
      <c r="E16" s="128">
        <v>17201</v>
      </c>
      <c r="F16" s="128">
        <v>236472</v>
      </c>
      <c r="G16" s="128">
        <v>4370</v>
      </c>
      <c r="H16" s="128">
        <v>4767</v>
      </c>
      <c r="I16" s="128">
        <v>462013</v>
      </c>
      <c r="J16" s="128">
        <v>84109</v>
      </c>
      <c r="K16" s="128">
        <v>7977</v>
      </c>
      <c r="L16" s="128">
        <v>35127</v>
      </c>
      <c r="M16" s="128">
        <v>57806</v>
      </c>
      <c r="N16" s="128">
        <v>48032</v>
      </c>
      <c r="O16" s="128">
        <v>231417</v>
      </c>
      <c r="P16" s="128">
        <v>491819</v>
      </c>
      <c r="Q16" s="128">
        <v>4121</v>
      </c>
      <c r="R16" s="128">
        <v>23287</v>
      </c>
      <c r="S16" s="128">
        <v>25503</v>
      </c>
      <c r="T16" s="128">
        <v>336961</v>
      </c>
      <c r="U16" s="128">
        <v>467118</v>
      </c>
      <c r="V16" s="128">
        <v>51477</v>
      </c>
      <c r="W16" s="128">
        <v>6333</v>
      </c>
      <c r="X16" s="128">
        <v>18107</v>
      </c>
      <c r="Y16" s="128">
        <v>108274</v>
      </c>
      <c r="Z16" s="128">
        <v>872</v>
      </c>
      <c r="AA16" s="128">
        <v>207726</v>
      </c>
      <c r="AB16" s="128">
        <v>10599</v>
      </c>
      <c r="AC16" s="128">
        <v>2374</v>
      </c>
      <c r="AD16" s="128">
        <v>21835</v>
      </c>
      <c r="AE16" s="128">
        <v>101965</v>
      </c>
      <c r="AF16" s="128">
        <v>260867</v>
      </c>
      <c r="AG16" s="128">
        <v>1340856</v>
      </c>
      <c r="AH16" s="128">
        <v>12965</v>
      </c>
      <c r="AI16" s="128">
        <v>488878</v>
      </c>
      <c r="AJ16" s="128">
        <v>777544</v>
      </c>
      <c r="AK16" s="128">
        <v>12184</v>
      </c>
      <c r="AL16" s="131">
        <v>41478</v>
      </c>
      <c r="AM16" s="128">
        <v>39700</v>
      </c>
      <c r="AN16" s="130">
        <v>729951</v>
      </c>
      <c r="AO16" s="130">
        <v>5530</v>
      </c>
      <c r="AP16" s="130">
        <v>0</v>
      </c>
      <c r="AQ16" s="128">
        <v>129318</v>
      </c>
      <c r="AR16" s="128">
        <v>257669</v>
      </c>
      <c r="AS16" s="128">
        <v>73907</v>
      </c>
      <c r="AT16" s="128">
        <v>737</v>
      </c>
      <c r="AU16" s="128">
        <v>134833</v>
      </c>
      <c r="AV16" s="128">
        <v>51778</v>
      </c>
      <c r="AW16" s="128">
        <v>44245</v>
      </c>
      <c r="AX16" s="128">
        <v>220389</v>
      </c>
      <c r="AY16" s="128">
        <v>607982</v>
      </c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</row>
    <row r="17" spans="1:83" x14ac:dyDescent="0.25">
      <c r="A17">
        <v>10</v>
      </c>
      <c r="B17" s="128">
        <v>66045</v>
      </c>
      <c r="C17" s="128">
        <v>97259</v>
      </c>
      <c r="D17" s="128">
        <v>18024</v>
      </c>
      <c r="E17" s="128">
        <v>17218</v>
      </c>
      <c r="F17" s="128">
        <v>236701</v>
      </c>
      <c r="G17" s="128">
        <v>4374</v>
      </c>
      <c r="H17" s="128">
        <v>4774</v>
      </c>
      <c r="I17" s="128">
        <v>462317</v>
      </c>
      <c r="J17" s="128">
        <v>84158</v>
      </c>
      <c r="K17" s="128">
        <v>7977</v>
      </c>
      <c r="L17" s="128">
        <v>35146</v>
      </c>
      <c r="M17" s="128">
        <v>57815</v>
      </c>
      <c r="N17" s="128">
        <v>48071</v>
      </c>
      <c r="O17" s="128">
        <v>231597</v>
      </c>
      <c r="P17" s="128">
        <v>492040</v>
      </c>
      <c r="Q17" s="128">
        <v>4125</v>
      </c>
      <c r="R17" s="128">
        <v>23300</v>
      </c>
      <c r="S17" s="128">
        <v>25503</v>
      </c>
      <c r="T17" s="128">
        <v>337140</v>
      </c>
      <c r="U17" s="128">
        <v>467508</v>
      </c>
      <c r="V17" s="128">
        <v>51520</v>
      </c>
      <c r="W17" s="128">
        <v>6349</v>
      </c>
      <c r="X17" s="128">
        <v>18329</v>
      </c>
      <c r="Y17" s="128">
        <v>108334</v>
      </c>
      <c r="Z17" s="128">
        <v>876</v>
      </c>
      <c r="AA17" s="128">
        <v>207899</v>
      </c>
      <c r="AB17" s="128">
        <v>10607</v>
      </c>
      <c r="AC17" s="128">
        <v>2376</v>
      </c>
      <c r="AD17" s="128">
        <v>21849</v>
      </c>
      <c r="AE17" s="128">
        <v>102076</v>
      </c>
      <c r="AF17" s="128">
        <v>261091</v>
      </c>
      <c r="AG17" s="128">
        <v>1341404</v>
      </c>
      <c r="AH17" s="128">
        <v>12972</v>
      </c>
      <c r="AI17" s="128">
        <v>488896</v>
      </c>
      <c r="AJ17" s="128">
        <v>778167</v>
      </c>
      <c r="AK17" s="128">
        <v>12189</v>
      </c>
      <c r="AL17" s="131">
        <v>41494</v>
      </c>
      <c r="AM17" s="128">
        <v>39733</v>
      </c>
      <c r="AN17" s="130">
        <v>730463</v>
      </c>
      <c r="AO17" s="130">
        <v>5530</v>
      </c>
      <c r="AP17" s="130">
        <v>0</v>
      </c>
      <c r="AQ17" s="128">
        <v>129397</v>
      </c>
      <c r="AR17" s="128">
        <v>257811</v>
      </c>
      <c r="AS17" s="128">
        <v>73934</v>
      </c>
      <c r="AT17" s="128">
        <v>738</v>
      </c>
      <c r="AU17" s="128">
        <v>134994</v>
      </c>
      <c r="AV17" s="128">
        <v>51823</v>
      </c>
      <c r="AW17" s="128">
        <v>44275</v>
      </c>
      <c r="AX17" s="128">
        <v>220613</v>
      </c>
      <c r="AY17" s="128">
        <v>608517</v>
      </c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</row>
    <row r="18" spans="1:83" x14ac:dyDescent="0.25">
      <c r="A18">
        <v>11</v>
      </c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31"/>
      <c r="AM18" s="128"/>
      <c r="AN18" s="130"/>
      <c r="AO18" s="130"/>
      <c r="AP18" s="130"/>
      <c r="AQ18" s="128"/>
      <c r="AR18" s="128"/>
      <c r="AS18" s="128"/>
      <c r="AT18" s="128"/>
      <c r="AU18" s="128"/>
      <c r="AV18" s="128"/>
      <c r="AW18" s="128"/>
      <c r="AX18" s="128"/>
      <c r="AY18" s="128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CB18" s="127"/>
      <c r="CC18" s="127"/>
      <c r="CD18" s="127"/>
      <c r="CE18" s="127"/>
    </row>
    <row r="19" spans="1:83" x14ac:dyDescent="0.25">
      <c r="A19">
        <v>12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31"/>
      <c r="AM19" s="128"/>
      <c r="AN19" s="130"/>
      <c r="AO19" s="130"/>
      <c r="AP19" s="130"/>
      <c r="AQ19" s="128"/>
      <c r="AR19" s="128"/>
      <c r="AS19" s="128"/>
      <c r="AT19" s="128"/>
      <c r="AU19" s="128"/>
      <c r="AV19" s="128"/>
      <c r="AW19" s="128"/>
      <c r="AX19" s="128"/>
      <c r="AY19" s="128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</row>
    <row r="20" spans="1:83" x14ac:dyDescent="0.25">
      <c r="A20">
        <v>13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30"/>
      <c r="AK20" s="130"/>
      <c r="AL20" s="131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42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</row>
    <row r="21" spans="1:83" x14ac:dyDescent="0.25">
      <c r="A21">
        <v>14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30"/>
      <c r="AK21" s="130"/>
      <c r="AL21" s="131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</row>
    <row r="22" spans="1:83" x14ac:dyDescent="0.25">
      <c r="A22">
        <v>15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30"/>
      <c r="AK22" s="130"/>
      <c r="AL22" s="131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</row>
    <row r="23" spans="1:83" x14ac:dyDescent="0.25">
      <c r="A23">
        <v>16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31"/>
      <c r="AM23" s="128"/>
      <c r="AN23" s="130"/>
      <c r="AO23" s="130"/>
      <c r="AP23" s="130"/>
      <c r="AQ23" s="128"/>
      <c r="AR23" s="128"/>
      <c r="AS23" s="128"/>
      <c r="AT23" s="128"/>
      <c r="AU23" s="128"/>
      <c r="AV23" s="128"/>
      <c r="AW23" s="128"/>
      <c r="AX23" s="128"/>
      <c r="AY23" s="128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</row>
    <row r="24" spans="1:83" x14ac:dyDescent="0.25">
      <c r="A24">
        <v>17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31"/>
      <c r="AM24" s="128"/>
      <c r="AN24" s="130"/>
      <c r="AO24" s="130"/>
      <c r="AP24" s="130"/>
      <c r="AQ24" s="128"/>
      <c r="AR24" s="128"/>
      <c r="AS24" s="128"/>
      <c r="AT24" s="128"/>
      <c r="AU24" s="128"/>
      <c r="AV24" s="128"/>
      <c r="AW24" s="128"/>
      <c r="AX24" s="128"/>
      <c r="AY24" s="128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</row>
    <row r="25" spans="1:83" x14ac:dyDescent="0.25">
      <c r="A25">
        <v>18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31"/>
      <c r="AM25" s="128"/>
      <c r="AN25" s="130"/>
      <c r="AO25" s="130"/>
      <c r="AP25" s="130"/>
      <c r="AQ25" s="128"/>
      <c r="AR25" s="128"/>
      <c r="AS25" s="128"/>
      <c r="AT25" s="128"/>
      <c r="AU25" s="128"/>
      <c r="AV25" s="128"/>
      <c r="AW25" s="128"/>
      <c r="AX25" s="128"/>
      <c r="AY25" s="128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</row>
    <row r="26" spans="1:83" x14ac:dyDescent="0.25">
      <c r="A26">
        <v>19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31"/>
      <c r="AM26" s="128"/>
      <c r="AN26" s="130"/>
      <c r="AO26" s="130"/>
      <c r="AP26" s="130"/>
      <c r="AQ26" s="128"/>
      <c r="AR26" s="128"/>
      <c r="AS26" s="128"/>
      <c r="AT26" s="128"/>
      <c r="AU26" s="128"/>
      <c r="AV26" s="128"/>
      <c r="AW26" s="128"/>
      <c r="AX26" s="128"/>
      <c r="AY26" s="128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</row>
    <row r="27" spans="1:83" x14ac:dyDescent="0.25">
      <c r="A27">
        <v>20</v>
      </c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31"/>
      <c r="AM27" s="128"/>
      <c r="AN27" s="130"/>
      <c r="AO27" s="130"/>
      <c r="AP27" s="130"/>
      <c r="AQ27" s="128"/>
      <c r="AR27" s="128"/>
      <c r="AS27" s="128"/>
      <c r="AT27" s="128"/>
      <c r="AU27" s="128"/>
      <c r="AV27" s="128"/>
      <c r="AW27" s="128"/>
      <c r="AX27" s="128"/>
      <c r="AY27" s="128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</row>
    <row r="28" spans="1:83" x14ac:dyDescent="0.25">
      <c r="A28">
        <v>21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31"/>
      <c r="AM28" s="128"/>
      <c r="AN28" s="130"/>
      <c r="AO28" s="130"/>
      <c r="AP28" s="130"/>
      <c r="AQ28" s="128"/>
      <c r="AR28" s="128"/>
      <c r="AS28" s="128"/>
      <c r="AT28" s="128"/>
      <c r="AU28" s="128"/>
      <c r="AV28" s="128"/>
      <c r="AW28" s="128"/>
      <c r="AX28" s="128"/>
      <c r="AY28" s="128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</row>
    <row r="29" spans="1:83" x14ac:dyDescent="0.25">
      <c r="A29">
        <v>22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31"/>
      <c r="AM29" s="128"/>
      <c r="AN29" s="130"/>
      <c r="AO29" s="130"/>
      <c r="AP29" s="130"/>
      <c r="AQ29" s="128"/>
      <c r="AR29" s="128"/>
      <c r="AS29" s="128"/>
      <c r="AT29" s="128"/>
      <c r="AU29" s="128"/>
      <c r="AV29" s="128"/>
      <c r="AW29" s="128"/>
      <c r="AX29" s="128"/>
      <c r="AY29" s="128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</row>
    <row r="30" spans="1:83" x14ac:dyDescent="0.25">
      <c r="A30">
        <v>23</v>
      </c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42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31"/>
      <c r="AM30" s="128"/>
      <c r="AN30" s="130"/>
      <c r="AO30" s="130"/>
      <c r="AP30" s="130"/>
      <c r="AQ30" s="128"/>
      <c r="AR30" s="130"/>
      <c r="AS30" s="128"/>
      <c r="AT30" s="128"/>
      <c r="AU30" s="128"/>
      <c r="AV30" s="128"/>
      <c r="AW30" s="128"/>
      <c r="AX30" s="128"/>
      <c r="AY30" s="128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</row>
    <row r="31" spans="1:83" x14ac:dyDescent="0.25">
      <c r="A31">
        <v>24</v>
      </c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31"/>
      <c r="AM31" s="128"/>
      <c r="AN31" s="130"/>
      <c r="AO31" s="130"/>
      <c r="AP31" s="130"/>
      <c r="AQ31" s="128"/>
      <c r="AR31" s="128"/>
      <c r="AS31" s="128"/>
      <c r="AT31" s="128"/>
      <c r="AU31" s="128"/>
      <c r="AV31" s="128"/>
      <c r="AW31" s="128"/>
      <c r="AX31" s="128"/>
      <c r="AY31" s="128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</row>
    <row r="32" spans="1:83" x14ac:dyDescent="0.25">
      <c r="A32">
        <v>25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31"/>
      <c r="AM32" s="128"/>
      <c r="AN32" s="130"/>
      <c r="AO32" s="130"/>
      <c r="AP32" s="130"/>
      <c r="AQ32" s="128"/>
      <c r="AR32" s="128"/>
      <c r="AS32" s="128"/>
      <c r="AT32" s="128"/>
      <c r="AU32" s="128"/>
      <c r="AV32" s="128"/>
      <c r="AW32" s="128"/>
      <c r="AX32" s="128"/>
      <c r="AY32" s="128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</row>
    <row r="33" spans="1:83" x14ac:dyDescent="0.25">
      <c r="A33">
        <v>26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31"/>
      <c r="AM33" s="128"/>
      <c r="AN33" s="130"/>
      <c r="AO33" s="130"/>
      <c r="AP33" s="130"/>
      <c r="AQ33" s="128"/>
      <c r="AR33" s="128"/>
      <c r="AS33" s="128"/>
      <c r="AT33" s="128"/>
      <c r="AU33" s="128"/>
      <c r="AV33" s="128"/>
      <c r="AW33" s="128"/>
      <c r="AX33" s="128"/>
      <c r="AY33" s="128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</row>
    <row r="34" spans="1:83" x14ac:dyDescent="0.25">
      <c r="A34">
        <v>27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31"/>
      <c r="AM34" s="128"/>
      <c r="AN34" s="130"/>
      <c r="AO34" s="130"/>
      <c r="AP34" s="130"/>
      <c r="AQ34" s="128"/>
      <c r="AR34" s="128"/>
      <c r="AS34" s="128"/>
      <c r="AT34" s="128"/>
      <c r="AU34" s="128"/>
      <c r="AV34" s="128"/>
      <c r="AW34" s="128"/>
      <c r="AX34" s="128"/>
      <c r="AY34" s="128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</row>
    <row r="35" spans="1:83" x14ac:dyDescent="0.25">
      <c r="A35">
        <v>28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31"/>
      <c r="AM35" s="128"/>
      <c r="AN35" s="130"/>
      <c r="AO35" s="130"/>
      <c r="AP35" s="130"/>
      <c r="AQ35" s="128"/>
      <c r="AR35" s="128"/>
      <c r="AS35" s="128"/>
      <c r="AT35" s="128"/>
      <c r="AU35" s="128"/>
      <c r="AV35" s="128"/>
      <c r="AW35" s="128"/>
      <c r="AX35" s="128"/>
      <c r="AY35" s="128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</row>
    <row r="36" spans="1:83" x14ac:dyDescent="0.25">
      <c r="A36">
        <v>29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31"/>
      <c r="AM36" s="128"/>
      <c r="AN36" s="130"/>
      <c r="AO36" s="130"/>
      <c r="AP36" s="130"/>
      <c r="AQ36" s="128"/>
      <c r="AR36" s="128"/>
      <c r="AS36" s="128"/>
      <c r="AT36" s="128"/>
      <c r="AU36" s="128"/>
      <c r="AV36" s="128"/>
      <c r="AW36" s="128"/>
      <c r="AX36" s="128"/>
      <c r="AY36" s="128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</row>
    <row r="37" spans="1:83" ht="15.75" thickBot="1" x14ac:dyDescent="0.3">
      <c r="A37">
        <v>30</v>
      </c>
      <c r="B37" s="129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31"/>
      <c r="AM37" s="128"/>
      <c r="AN37" s="130"/>
      <c r="AO37" s="130"/>
      <c r="AP37" s="130"/>
      <c r="AQ37" s="128"/>
      <c r="AR37" s="128"/>
      <c r="AS37" s="128"/>
      <c r="AT37" s="128"/>
      <c r="AU37" s="128"/>
      <c r="AV37" s="128"/>
      <c r="AW37" s="128"/>
      <c r="AX37" s="128"/>
      <c r="AY37" s="141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35"/>
    </row>
    <row r="38" spans="1:83" ht="15.75" thickBot="1" x14ac:dyDescent="0.3">
      <c r="A38">
        <v>31</v>
      </c>
      <c r="B38" s="117"/>
      <c r="C38" s="128"/>
      <c r="D38" s="119"/>
      <c r="E38" s="119"/>
      <c r="F38" s="119"/>
      <c r="G38" s="119"/>
      <c r="H38" s="128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28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20"/>
      <c r="AM38" s="119"/>
      <c r="AN38" s="121"/>
      <c r="AO38" s="121"/>
      <c r="AP38" s="130"/>
      <c r="AQ38" s="119"/>
      <c r="AR38" s="119"/>
      <c r="AS38" s="119"/>
      <c r="AT38" s="119"/>
      <c r="AU38" s="119"/>
      <c r="AV38" s="119"/>
      <c r="AW38" s="119"/>
      <c r="AX38" s="119"/>
      <c r="AY38" s="123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</row>
    <row r="39" spans="1:83" x14ac:dyDescent="0.25">
      <c r="D39" s="30"/>
      <c r="E39" s="29"/>
    </row>
    <row r="40" spans="1:83" x14ac:dyDescent="0.25">
      <c r="D40" s="30"/>
      <c r="E40" s="29"/>
    </row>
    <row r="41" spans="1:83" x14ac:dyDescent="0.25">
      <c r="D41" s="30"/>
      <c r="E41" s="29"/>
    </row>
    <row r="42" spans="1:83" x14ac:dyDescent="0.25">
      <c r="D42" s="30"/>
      <c r="E42" s="29"/>
    </row>
    <row r="43" spans="1:83" x14ac:dyDescent="0.25">
      <c r="D43" s="30"/>
      <c r="E43" s="29"/>
    </row>
    <row r="44" spans="1:83" x14ac:dyDescent="0.25">
      <c r="D44" s="30"/>
      <c r="E44" s="29"/>
    </row>
    <row r="45" spans="1:83" x14ac:dyDescent="0.25">
      <c r="D45" s="30"/>
      <c r="E45" s="29"/>
    </row>
    <row r="46" spans="1:83" x14ac:dyDescent="0.25">
      <c r="D46" s="30"/>
      <c r="E46" s="29"/>
    </row>
    <row r="47" spans="1:83" x14ac:dyDescent="0.25">
      <c r="D47" s="30"/>
      <c r="E47" s="29"/>
    </row>
    <row r="48" spans="1:83" x14ac:dyDescent="0.25">
      <c r="D48" s="30"/>
      <c r="E48" s="29"/>
    </row>
    <row r="49" spans="4:5" x14ac:dyDescent="0.25">
      <c r="D49" s="30"/>
      <c r="E49" s="29"/>
    </row>
    <row r="50" spans="4:5" x14ac:dyDescent="0.25">
      <c r="D50" s="30"/>
      <c r="E5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2021-01-12T14:03:12Z</dcterms:modified>
</cp:coreProperties>
</file>