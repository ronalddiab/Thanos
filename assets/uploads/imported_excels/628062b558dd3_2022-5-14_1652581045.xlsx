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" i="4" l="1"/>
  <c r="U34" i="4"/>
  <c r="AA4" i="4" l="1"/>
  <c r="F33" i="4"/>
  <c r="B32" i="9"/>
  <c r="G32" i="9"/>
  <c r="I32" i="9"/>
  <c r="K32" i="9"/>
  <c r="B32" i="8"/>
  <c r="E32" i="8"/>
  <c r="AE32" i="8" s="1"/>
  <c r="F32" i="8"/>
  <c r="G32" i="8"/>
  <c r="H32" i="8"/>
  <c r="L32" i="8"/>
  <c r="M32" i="8"/>
  <c r="N32" i="8"/>
  <c r="P32" i="8"/>
  <c r="X32" i="8"/>
  <c r="AD32" i="8"/>
  <c r="AC3" i="1"/>
  <c r="T17" i="2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R6" i="2"/>
  <c r="R7" i="2"/>
  <c r="R8" i="2"/>
  <c r="R9" i="2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P17" i="2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17" i="2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7" i="2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17" i="2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H17" i="2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7" i="2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17" i="2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17" i="2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R5" i="2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I33" i="3"/>
  <c r="G33" i="3"/>
  <c r="C33" i="3"/>
  <c r="S33" i="4"/>
  <c r="O32" i="8" s="1"/>
  <c r="Q33" i="4"/>
  <c r="O33" i="4"/>
  <c r="M33" i="4"/>
  <c r="K33" i="4"/>
  <c r="K32" i="8" s="1"/>
  <c r="D33" i="4"/>
  <c r="Q32" i="8" s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J32" i="8" s="1"/>
  <c r="H34" i="4" l="1"/>
  <c r="I32" i="8"/>
  <c r="Y32" i="8" s="1"/>
  <c r="I33" i="4"/>
  <c r="J33" i="3"/>
  <c r="K33" i="3" s="1"/>
  <c r="E34" i="3"/>
  <c r="J2" i="3"/>
  <c r="K2" i="3" s="1"/>
  <c r="X2" i="4"/>
  <c r="Z2" i="4"/>
  <c r="I2" i="4"/>
  <c r="D3" i="4"/>
  <c r="F3" i="4"/>
  <c r="H3" i="4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I14" i="4" s="1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K18" i="4"/>
  <c r="M18" i="4"/>
  <c r="O18" i="4"/>
  <c r="Q18" i="4"/>
  <c r="S18" i="4"/>
  <c r="W18" i="4"/>
  <c r="D19" i="4"/>
  <c r="F19" i="4"/>
  <c r="I19" i="4" s="1"/>
  <c r="K19" i="4"/>
  <c r="M19" i="4"/>
  <c r="O19" i="4"/>
  <c r="Q19" i="4"/>
  <c r="S19" i="4"/>
  <c r="W19" i="4"/>
  <c r="D20" i="4"/>
  <c r="F20" i="4"/>
  <c r="I20" i="4" s="1"/>
  <c r="K20" i="4"/>
  <c r="M20" i="4"/>
  <c r="O20" i="4"/>
  <c r="Q20" i="4"/>
  <c r="S20" i="4"/>
  <c r="W20" i="4"/>
  <c r="D21" i="4"/>
  <c r="F21" i="4"/>
  <c r="I21" i="4" s="1"/>
  <c r="K21" i="4"/>
  <c r="M21" i="4"/>
  <c r="O21" i="4"/>
  <c r="Q21" i="4"/>
  <c r="S21" i="4"/>
  <c r="W21" i="4"/>
  <c r="D22" i="4"/>
  <c r="F22" i="4"/>
  <c r="I22" i="4"/>
  <c r="K22" i="4"/>
  <c r="M22" i="4"/>
  <c r="O22" i="4"/>
  <c r="Q22" i="4"/>
  <c r="S22" i="4"/>
  <c r="W22" i="4"/>
  <c r="D23" i="4"/>
  <c r="F23" i="4"/>
  <c r="I23" i="4" s="1"/>
  <c r="K23" i="4"/>
  <c r="M23" i="4"/>
  <c r="O23" i="4"/>
  <c r="Q23" i="4"/>
  <c r="S23" i="4"/>
  <c r="W23" i="4"/>
  <c r="D24" i="4"/>
  <c r="F24" i="4"/>
  <c r="I24" i="4" s="1"/>
  <c r="K24" i="4"/>
  <c r="M24" i="4"/>
  <c r="O24" i="4"/>
  <c r="Q24" i="4"/>
  <c r="S24" i="4"/>
  <c r="W24" i="4"/>
  <c r="D25" i="4"/>
  <c r="F25" i="4"/>
  <c r="I25" i="4"/>
  <c r="K25" i="4"/>
  <c r="M25" i="4"/>
  <c r="O25" i="4"/>
  <c r="Q25" i="4"/>
  <c r="S25" i="4"/>
  <c r="W25" i="4"/>
  <c r="D26" i="4"/>
  <c r="F26" i="4"/>
  <c r="I26" i="4" s="1"/>
  <c r="K26" i="4"/>
  <c r="M26" i="4"/>
  <c r="O26" i="4"/>
  <c r="Q26" i="4"/>
  <c r="S26" i="4"/>
  <c r="W26" i="4"/>
  <c r="D27" i="4"/>
  <c r="F27" i="4"/>
  <c r="I27" i="4"/>
  <c r="K27" i="4"/>
  <c r="M27" i="4"/>
  <c r="O27" i="4"/>
  <c r="Q27" i="4"/>
  <c r="S27" i="4"/>
  <c r="W27" i="4"/>
  <c r="D28" i="4"/>
  <c r="F28" i="4"/>
  <c r="I28" i="4" s="1"/>
  <c r="K28" i="4"/>
  <c r="M28" i="4"/>
  <c r="O28" i="4"/>
  <c r="Q28" i="4"/>
  <c r="S28" i="4"/>
  <c r="W28" i="4"/>
  <c r="D29" i="4"/>
  <c r="F29" i="4"/>
  <c r="I29" i="4" s="1"/>
  <c r="K29" i="4"/>
  <c r="M29" i="4"/>
  <c r="O29" i="4"/>
  <c r="Q29" i="4"/>
  <c r="S29" i="4"/>
  <c r="W29" i="4"/>
  <c r="D30" i="4"/>
  <c r="F30" i="4"/>
  <c r="I30" i="4" s="1"/>
  <c r="K30" i="4"/>
  <c r="M30" i="4"/>
  <c r="O30" i="4"/>
  <c r="Q30" i="4"/>
  <c r="S30" i="4"/>
  <c r="W30" i="4"/>
  <c r="D31" i="4"/>
  <c r="F31" i="4"/>
  <c r="I31" i="4" s="1"/>
  <c r="K31" i="4"/>
  <c r="M31" i="4"/>
  <c r="O31" i="4"/>
  <c r="Q31" i="4"/>
  <c r="S31" i="4"/>
  <c r="W31" i="4"/>
  <c r="D32" i="4"/>
  <c r="F32" i="4"/>
  <c r="I32" i="4" s="1"/>
  <c r="K32" i="4"/>
  <c r="M32" i="4"/>
  <c r="O32" i="4"/>
  <c r="Q32" i="4"/>
  <c r="S32" i="4"/>
  <c r="W32" i="4"/>
  <c r="T34" i="4"/>
  <c r="C4" i="2"/>
  <c r="C33" i="2"/>
  <c r="E33" i="2"/>
  <c r="G33" i="2"/>
  <c r="I33" i="2"/>
  <c r="K33" i="2"/>
  <c r="M33" i="2"/>
  <c r="O33" i="2"/>
  <c r="AB32" i="8" s="1"/>
  <c r="Q33" i="2"/>
  <c r="AC32" i="8" s="1"/>
  <c r="S33" i="2"/>
  <c r="U33" i="2"/>
  <c r="C33" i="1"/>
  <c r="R32" i="8" s="1"/>
  <c r="D33" i="1"/>
  <c r="F33" i="1"/>
  <c r="I33" i="1"/>
  <c r="T32" i="8" s="1"/>
  <c r="L33" i="1"/>
  <c r="V32" i="8" s="1"/>
  <c r="M33" i="1"/>
  <c r="O33" i="1"/>
  <c r="R33" i="1"/>
  <c r="Y33" i="1"/>
  <c r="AA33" i="1"/>
  <c r="AC33" i="1"/>
  <c r="AE33" i="1"/>
  <c r="AG33" i="1"/>
  <c r="S2" i="1"/>
  <c r="P2" i="1"/>
  <c r="M2" i="1"/>
  <c r="J2" i="1"/>
  <c r="G2" i="1"/>
  <c r="D2" i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W34" i="4" l="1"/>
  <c r="Q34" i="4"/>
  <c r="O34" i="4"/>
  <c r="M34" i="4"/>
  <c r="F34" i="4"/>
  <c r="S34" i="4"/>
  <c r="D34" i="4"/>
  <c r="S33" i="1"/>
  <c r="W32" i="8"/>
  <c r="P33" i="1"/>
  <c r="U32" i="8"/>
  <c r="G33" i="1"/>
  <c r="S32" i="8"/>
  <c r="AA32" i="8"/>
  <c r="Z32" i="8"/>
  <c r="X32" i="4"/>
  <c r="Z19" i="4"/>
  <c r="Z16" i="4"/>
  <c r="Z22" i="4"/>
  <c r="X9" i="4"/>
  <c r="Y9" i="4" s="1"/>
  <c r="X24" i="4"/>
  <c r="Y24" i="4" s="1"/>
  <c r="X6" i="4"/>
  <c r="Y6" i="4" s="1"/>
  <c r="Z4" i="4"/>
  <c r="K34" i="4"/>
  <c r="I4" i="4"/>
  <c r="I34" i="4" s="1"/>
  <c r="T33" i="1"/>
  <c r="U33" i="1" s="1"/>
  <c r="C34" i="5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Y14" i="4" s="1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X4" i="4"/>
  <c r="Z3" i="4"/>
  <c r="Y2" i="4"/>
  <c r="I3" i="4"/>
  <c r="Y32" i="4"/>
  <c r="X5" i="4"/>
  <c r="Y5" i="4" s="1"/>
  <c r="X3" i="4"/>
  <c r="J33" i="1"/>
  <c r="T2" i="1"/>
  <c r="U2" i="1" s="1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2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Y7" i="4" l="1"/>
  <c r="X34" i="4"/>
  <c r="AA5" i="4"/>
  <c r="AA6" i="4"/>
  <c r="E32" i="9"/>
  <c r="AA17" i="4"/>
  <c r="AA14" i="4"/>
  <c r="AA28" i="4"/>
  <c r="AA30" i="4"/>
  <c r="AA22" i="4"/>
  <c r="AA7" i="4"/>
  <c r="Y4" i="4"/>
  <c r="AA24" i="4"/>
  <c r="AA19" i="4"/>
  <c r="AA25" i="4"/>
  <c r="AA23" i="4"/>
  <c r="AA32" i="4"/>
  <c r="AA12" i="4"/>
  <c r="AA26" i="4"/>
  <c r="AA27" i="4"/>
  <c r="AA15" i="4"/>
  <c r="AA13" i="4"/>
  <c r="AA10" i="4"/>
  <c r="AA9" i="4"/>
  <c r="AA21" i="4"/>
  <c r="AA31" i="4"/>
  <c r="AA18" i="4"/>
  <c r="AA29" i="4"/>
  <c r="AA20" i="4"/>
  <c r="AA8" i="4"/>
  <c r="AA11" i="4"/>
  <c r="AA16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Z34" i="4"/>
  <c r="AE16" i="1"/>
  <c r="Y34" i="4" l="1"/>
  <c r="AA34" i="4"/>
  <c r="AE7" i="1"/>
  <c r="AE8" i="1" l="1"/>
  <c r="Q7" i="2"/>
  <c r="AC6" i="8" s="1"/>
  <c r="Q8" i="2"/>
  <c r="M4" i="2" l="1"/>
  <c r="M5" i="2"/>
  <c r="M6" i="2"/>
  <c r="M7" i="2"/>
  <c r="M3" i="2"/>
  <c r="AE17" i="1" l="1"/>
  <c r="Q9" i="2"/>
  <c r="M8" i="2"/>
  <c r="C5" i="2"/>
  <c r="I3" i="11"/>
  <c r="AE18" i="1" l="1"/>
  <c r="Q10" i="2"/>
  <c r="M9" i="2"/>
  <c r="C6" i="2"/>
  <c r="AE19" i="1" l="1"/>
  <c r="Q11" i="2"/>
  <c r="M10" i="2"/>
  <c r="C7" i="2"/>
  <c r="K4" i="2"/>
  <c r="K5" i="2"/>
  <c r="AA4" i="8" s="1"/>
  <c r="K6" i="2"/>
  <c r="AA5" i="8" s="1"/>
  <c r="K7" i="2"/>
  <c r="AA6" i="8" s="1"/>
  <c r="K8" i="2"/>
  <c r="AA7" i="8" s="1"/>
  <c r="K9" i="2"/>
  <c r="AA8" i="8" s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" i="2"/>
  <c r="AA3" i="8" l="1"/>
  <c r="K34" i="2"/>
  <c r="AA9" i="8"/>
  <c r="AE20" i="1"/>
  <c r="Q12" i="2"/>
  <c r="M11" i="2"/>
  <c r="AA10" i="8" s="1"/>
  <c r="C8" i="2"/>
  <c r="I16" i="11"/>
  <c r="I19" i="11"/>
  <c r="K3" i="11"/>
  <c r="AE21" i="1" l="1"/>
  <c r="Q13" i="2"/>
  <c r="M12" i="2"/>
  <c r="AA11" i="8" s="1"/>
  <c r="C9" i="2"/>
  <c r="K16" i="11"/>
  <c r="N94" i="10"/>
  <c r="N93" i="10"/>
  <c r="M94" i="10"/>
  <c r="M93" i="10"/>
  <c r="AE22" i="1" l="1"/>
  <c r="Q14" i="2"/>
  <c r="AC13" i="8" s="1"/>
  <c r="M13" i="2"/>
  <c r="AA12" i="8" s="1"/>
  <c r="C10" i="2"/>
  <c r="N9" i="10"/>
  <c r="AE23" i="1" l="1"/>
  <c r="Q15" i="2"/>
  <c r="AC14" i="8" s="1"/>
  <c r="M14" i="2"/>
  <c r="AA13" i="8" s="1"/>
  <c r="C11" i="2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AE24" i="1" l="1"/>
  <c r="Q16" i="2"/>
  <c r="M15" i="2"/>
  <c r="AA14" i="8" s="1"/>
  <c r="C12" i="2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G32" i="2"/>
  <c r="I31" i="2"/>
  <c r="O31" i="2"/>
  <c r="AB30" i="8" s="1"/>
  <c r="E32" i="2"/>
  <c r="U31" i="2"/>
  <c r="U32" i="2"/>
  <c r="O32" i="2"/>
  <c r="AB31" i="8" s="1"/>
  <c r="I32" i="2"/>
  <c r="G31" i="2"/>
  <c r="E31" i="2"/>
  <c r="G31" i="1" l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Q17" i="2"/>
  <c r="M16" i="2"/>
  <c r="AA15" i="8" s="1"/>
  <c r="C13" i="2"/>
  <c r="T31" i="1"/>
  <c r="U31" i="1" s="1"/>
  <c r="J32" i="3"/>
  <c r="K32" i="3" s="1"/>
  <c r="J31" i="3"/>
  <c r="K31" i="3" s="1"/>
  <c r="T32" i="1"/>
  <c r="U32" i="1" s="1"/>
  <c r="U27" i="2"/>
  <c r="AE26" i="1" l="1"/>
  <c r="Q18" i="2"/>
  <c r="M17" i="2"/>
  <c r="AA16" i="8" s="1"/>
  <c r="C14" i="2"/>
  <c r="AE27" i="1" l="1"/>
  <c r="Q19" i="2"/>
  <c r="M18" i="2"/>
  <c r="AA17" i="8" s="1"/>
  <c r="C15" i="2"/>
  <c r="Q3" i="2"/>
  <c r="Q4" i="2"/>
  <c r="Q5" i="2"/>
  <c r="AE28" i="1" l="1"/>
  <c r="Q20" i="2"/>
  <c r="M19" i="2"/>
  <c r="AA18" i="8" s="1"/>
  <c r="C16" i="2"/>
  <c r="AE30" i="8" l="1"/>
  <c r="I30" i="9"/>
  <c r="AE31" i="8"/>
  <c r="I31" i="9" s="1"/>
  <c r="AE29" i="1"/>
  <c r="Q21" i="2"/>
  <c r="M20" i="2"/>
  <c r="AA19" i="8" s="1"/>
  <c r="C17" i="2"/>
  <c r="AE30" i="1" l="1"/>
  <c r="Q22" i="2"/>
  <c r="M21" i="2"/>
  <c r="AA20" i="8" s="1"/>
  <c r="C18" i="2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E34" i="1" l="1"/>
  <c r="AC34" i="1"/>
  <c r="AG34" i="1"/>
  <c r="AA34" i="1"/>
  <c r="AE32" i="1"/>
  <c r="AE31" i="1"/>
  <c r="Q23" i="2"/>
  <c r="M22" i="2"/>
  <c r="AA21" i="8" s="1"/>
  <c r="C19" i="2"/>
  <c r="F3" i="8"/>
  <c r="E3" i="3"/>
  <c r="Y3" i="1"/>
  <c r="Y34" i="1" s="1"/>
  <c r="G29" i="9"/>
  <c r="Q24" i="2" l="1"/>
  <c r="M23" i="2"/>
  <c r="AA22" i="8" s="1"/>
  <c r="C20" i="2"/>
  <c r="O71" i="10"/>
  <c r="Q25" i="2" l="1"/>
  <c r="M24" i="2"/>
  <c r="AA23" i="8" s="1"/>
  <c r="C21" i="2"/>
  <c r="Q26" i="2" l="1"/>
  <c r="M25" i="2"/>
  <c r="AA24" i="8" s="1"/>
  <c r="C22" i="2"/>
  <c r="M71" i="10"/>
  <c r="Q27" i="2" l="1"/>
  <c r="M26" i="2"/>
  <c r="AA25" i="8" s="1"/>
  <c r="C23" i="2"/>
  <c r="Q28" i="2" l="1"/>
  <c r="M27" i="2"/>
  <c r="AA26" i="8" s="1"/>
  <c r="C24" i="2"/>
  <c r="Q29" i="2" l="1"/>
  <c r="M28" i="2"/>
  <c r="AA27" i="8" s="1"/>
  <c r="C25" i="2"/>
  <c r="Q30" i="2" l="1"/>
  <c r="M29" i="2"/>
  <c r="AA28" i="8" s="1"/>
  <c r="C26" i="2"/>
  <c r="Q31" i="2" l="1"/>
  <c r="AC30" i="8" s="1"/>
  <c r="Q32" i="2"/>
  <c r="AC31" i="8" s="1"/>
  <c r="M30" i="2"/>
  <c r="AA29" i="8" s="1"/>
  <c r="C27" i="2"/>
  <c r="M32" i="2" l="1"/>
  <c r="M31" i="2"/>
  <c r="AA30" i="8" s="1"/>
  <c r="C28" i="2"/>
  <c r="C3" i="2"/>
  <c r="E3" i="2"/>
  <c r="G3" i="2"/>
  <c r="I3" i="2"/>
  <c r="O3" i="2"/>
  <c r="S4" i="2"/>
  <c r="AC3" i="8" s="1"/>
  <c r="U3" i="2"/>
  <c r="U4" i="2"/>
  <c r="U5" i="2"/>
  <c r="AA31" i="8" l="1"/>
  <c r="M34" i="2"/>
  <c r="C29" i="2"/>
  <c r="I4" i="2"/>
  <c r="I5" i="2"/>
  <c r="O4" i="2"/>
  <c r="O5" i="2"/>
  <c r="AB4" i="8" s="1"/>
  <c r="G4" i="2"/>
  <c r="G5" i="2"/>
  <c r="S5" i="2"/>
  <c r="AC4" i="8" l="1"/>
  <c r="AB3" i="8"/>
  <c r="C30" i="2"/>
  <c r="E4" i="2"/>
  <c r="E5" i="2"/>
  <c r="Z4" i="8" s="1"/>
  <c r="E4" i="9" s="1"/>
  <c r="Z3" i="8" l="1"/>
  <c r="E3" i="9" s="1"/>
  <c r="C32" i="2"/>
  <c r="C31" i="2"/>
  <c r="Z30" i="8" s="1"/>
  <c r="E30" i="9" s="1"/>
  <c r="E20" i="2"/>
  <c r="G20" i="2"/>
  <c r="I20" i="2"/>
  <c r="O20" i="2"/>
  <c r="AB19" i="8" s="1"/>
  <c r="U20" i="2"/>
  <c r="S20" i="2"/>
  <c r="AC19" i="8" s="1"/>
  <c r="Z31" i="8" l="1"/>
  <c r="E31" i="9" s="1"/>
  <c r="C34" i="2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U15" i="2"/>
  <c r="O15" i="2"/>
  <c r="AB14" i="8" s="1"/>
  <c r="I15" i="2"/>
  <c r="G15" i="2"/>
  <c r="O10" i="1" l="1"/>
  <c r="U9" i="8" s="1"/>
  <c r="O14" i="1" l="1"/>
  <c r="U13" i="8" s="1"/>
  <c r="G15" i="3"/>
  <c r="G14" i="8" s="1"/>
  <c r="G14" i="3"/>
  <c r="G13" i="8" s="1"/>
  <c r="I14" i="2"/>
  <c r="U14" i="2"/>
  <c r="O14" i="2"/>
  <c r="AB13" i="8" s="1"/>
  <c r="O13" i="2"/>
  <c r="AB12" i="8" s="1"/>
  <c r="G14" i="2"/>
  <c r="E14" i="2"/>
  <c r="G25" i="3"/>
  <c r="G24" i="8" s="1"/>
  <c r="G26" i="3"/>
  <c r="G25" i="8" s="1"/>
  <c r="G27" i="3"/>
  <c r="G26" i="8" s="1"/>
  <c r="Z13" i="8" l="1"/>
  <c r="E13" i="9" s="1"/>
  <c r="E15" i="2"/>
  <c r="Z14" i="8" s="1"/>
  <c r="E14" i="9" s="1"/>
  <c r="G25" i="2"/>
  <c r="R4" i="1" l="1"/>
  <c r="W3" i="8" s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R3" i="8" s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G26" i="1" l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U30" i="2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L34" i="1"/>
  <c r="S5" i="1"/>
  <c r="R34" i="1"/>
  <c r="O34" i="1"/>
  <c r="I34" i="1"/>
  <c r="F34" i="1"/>
  <c r="C34" i="1"/>
  <c r="P5" i="1"/>
  <c r="P34" i="1" s="1"/>
  <c r="M5" i="1"/>
  <c r="J5" i="1"/>
  <c r="J34" i="1" s="1"/>
  <c r="G5" i="1"/>
  <c r="G34" i="1" s="1"/>
  <c r="D5" i="1"/>
  <c r="G16" i="3"/>
  <c r="G15" i="8" s="1"/>
  <c r="G17" i="3"/>
  <c r="G16" i="8" s="1"/>
  <c r="G18" i="3"/>
  <c r="G17" i="8" s="1"/>
  <c r="D34" i="1" l="1"/>
  <c r="M34" i="1"/>
  <c r="S34" i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U8" i="2"/>
  <c r="O8" i="2"/>
  <c r="AB7" i="8" s="1"/>
  <c r="I8" i="2"/>
  <c r="G8" i="2"/>
  <c r="E8" i="2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s="1"/>
  <c r="T14" i="1" l="1"/>
  <c r="U14" i="1" s="1"/>
  <c r="E11" i="2" l="1"/>
  <c r="I19" i="2" l="1"/>
  <c r="G10" i="2" l="1"/>
  <c r="C4" i="3" l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E6" i="2"/>
  <c r="O6" i="2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4" i="3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E7" i="2"/>
  <c r="G7" i="2"/>
  <c r="I7" i="2"/>
  <c r="O7" i="2"/>
  <c r="AB6" i="8" s="1"/>
  <c r="Q6" i="2"/>
  <c r="G6" i="2"/>
  <c r="I6" i="2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AC22" i="8" s="1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U6" i="2"/>
  <c r="U7" i="2"/>
  <c r="U9" i="2"/>
  <c r="I7" i="3"/>
  <c r="G9" i="3"/>
  <c r="G8" i="8" s="1"/>
  <c r="G7" i="3"/>
  <c r="C10" i="3"/>
  <c r="E9" i="8" s="1"/>
  <c r="C9" i="3"/>
  <c r="E8" i="8" s="1"/>
  <c r="E9" i="2"/>
  <c r="O9" i="2"/>
  <c r="AB8" i="8" s="1"/>
  <c r="I9" i="2"/>
  <c r="G9" i="2"/>
  <c r="O10" i="2"/>
  <c r="AB9" i="8" s="1"/>
  <c r="I10" i="2"/>
  <c r="I10" i="3"/>
  <c r="H9" i="8" s="1"/>
  <c r="I9" i="3"/>
  <c r="H8" i="8" s="1"/>
  <c r="U10" i="2"/>
  <c r="O11" i="2"/>
  <c r="AB10" i="8" s="1"/>
  <c r="G10" i="3"/>
  <c r="G9" i="8" s="1"/>
  <c r="U12" i="2"/>
  <c r="U11" i="2"/>
  <c r="O12" i="2"/>
  <c r="AB11" i="8" s="1"/>
  <c r="I12" i="3"/>
  <c r="H11" i="8" s="1"/>
  <c r="I11" i="3"/>
  <c r="H10" i="8" s="1"/>
  <c r="G12" i="3"/>
  <c r="G11" i="8" s="1"/>
  <c r="G11" i="3"/>
  <c r="G10" i="8" s="1"/>
  <c r="E12" i="2"/>
  <c r="E10" i="2"/>
  <c r="U13" i="2"/>
  <c r="I13" i="3"/>
  <c r="H12" i="8" s="1"/>
  <c r="E13" i="2"/>
  <c r="I17" i="2"/>
  <c r="I16" i="2"/>
  <c r="G13" i="3"/>
  <c r="G12" i="8" s="1"/>
  <c r="I16" i="3"/>
  <c r="H15" i="8" s="1"/>
  <c r="I17" i="3"/>
  <c r="H16" i="8" s="1"/>
  <c r="E16" i="2"/>
  <c r="G16" i="2"/>
  <c r="O16" i="2"/>
  <c r="AB15" i="8" s="1"/>
  <c r="O19" i="2"/>
  <c r="AB18" i="8" s="1"/>
  <c r="E17" i="2"/>
  <c r="U16" i="2"/>
  <c r="E18" i="2"/>
  <c r="G18" i="2"/>
  <c r="G17" i="2"/>
  <c r="O17" i="2"/>
  <c r="AB16" i="8" s="1"/>
  <c r="E19" i="2"/>
  <c r="G19" i="2"/>
  <c r="U17" i="2"/>
  <c r="U18" i="2"/>
  <c r="U19" i="2"/>
  <c r="G21" i="2"/>
  <c r="U22" i="2"/>
  <c r="U21" i="2"/>
  <c r="U23" i="2"/>
  <c r="E21" i="2"/>
  <c r="U24" i="2"/>
  <c r="U25" i="2"/>
  <c r="U26" i="2"/>
  <c r="U28" i="2"/>
  <c r="U29" i="2"/>
  <c r="E29" i="2"/>
  <c r="G29" i="2"/>
  <c r="I29" i="2"/>
  <c r="O29" i="2"/>
  <c r="AB28" i="8" s="1"/>
  <c r="E30" i="2"/>
  <c r="G30" i="2"/>
  <c r="I30" i="2"/>
  <c r="O30" i="2"/>
  <c r="AB29" i="8" s="1"/>
  <c r="I18" i="3"/>
  <c r="H17" i="8" s="1"/>
  <c r="I19" i="3"/>
  <c r="H18" i="8" s="1"/>
  <c r="I21" i="3"/>
  <c r="H20" i="8" s="1"/>
  <c r="G19" i="3"/>
  <c r="G18" i="8" s="1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O21" i="2"/>
  <c r="AB20" i="8" s="1"/>
  <c r="O22" i="2"/>
  <c r="AB21" i="8" s="1"/>
  <c r="I23" i="2"/>
  <c r="I22" i="2"/>
  <c r="I21" i="2"/>
  <c r="G24" i="2"/>
  <c r="G22" i="2"/>
  <c r="E22" i="2"/>
  <c r="G23" i="2"/>
  <c r="E23" i="2"/>
  <c r="I25" i="3"/>
  <c r="H24" i="8" s="1"/>
  <c r="G24" i="3"/>
  <c r="G23" i="8" s="1"/>
  <c r="O23" i="2"/>
  <c r="AB22" i="8" s="1"/>
  <c r="I24" i="2"/>
  <c r="E24" i="2"/>
  <c r="O25" i="2"/>
  <c r="AB24" i="8" s="1"/>
  <c r="O24" i="2"/>
  <c r="AB23" i="8" s="1"/>
  <c r="I25" i="2"/>
  <c r="I26" i="2"/>
  <c r="E25" i="2"/>
  <c r="E26" i="2"/>
  <c r="E27" i="2"/>
  <c r="E28" i="2"/>
  <c r="O26" i="2"/>
  <c r="AB25" i="8" s="1"/>
  <c r="I28" i="2"/>
  <c r="I27" i="2"/>
  <c r="G27" i="2"/>
  <c r="G26" i="2"/>
  <c r="I27" i="3"/>
  <c r="H26" i="8" s="1"/>
  <c r="I26" i="3"/>
  <c r="H25" i="8" s="1"/>
  <c r="O27" i="2"/>
  <c r="AB26" i="8" s="1"/>
  <c r="G28" i="2"/>
  <c r="I29" i="3"/>
  <c r="H28" i="8" s="1"/>
  <c r="I28" i="3"/>
  <c r="H27" i="8" s="1"/>
  <c r="O28" i="2"/>
  <c r="AB27" i="8" s="1"/>
  <c r="I30" i="3"/>
  <c r="H29" i="8" s="1"/>
  <c r="G28" i="3"/>
  <c r="G27" i="8" s="1"/>
  <c r="G29" i="3"/>
  <c r="G28" i="8" s="1"/>
  <c r="Z22" i="8" l="1"/>
  <c r="E22" i="9" s="1"/>
  <c r="H6" i="8"/>
  <c r="AD6" i="8" s="1"/>
  <c r="I34" i="3"/>
  <c r="G6" i="8"/>
  <c r="G34" i="3"/>
  <c r="Z26" i="8"/>
  <c r="E26" i="9" s="1"/>
  <c r="Z6" i="8"/>
  <c r="E6" i="9" s="1"/>
  <c r="Z20" i="8"/>
  <c r="E20" i="9" s="1"/>
  <c r="Z8" i="8"/>
  <c r="AD9" i="8"/>
  <c r="AC8" i="8"/>
  <c r="E8" i="9" s="1"/>
  <c r="E34" i="2"/>
  <c r="AB5" i="8"/>
  <c r="H4" i="8"/>
  <c r="AD4" i="8" s="1"/>
  <c r="AD8" i="8"/>
  <c r="U34" i="2"/>
  <c r="AC5" i="8"/>
  <c r="Q34" i="2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I18" i="2"/>
  <c r="Z17" i="8" s="1"/>
  <c r="T11" i="1"/>
  <c r="U11" i="1" s="1"/>
  <c r="O18" i="2"/>
  <c r="AB17" i="8" s="1"/>
  <c r="I11" i="2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K7" i="3" l="1"/>
  <c r="E5" i="9"/>
  <c r="S34" i="2"/>
  <c r="E16" i="9"/>
  <c r="O34" i="2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I12" i="2"/>
  <c r="I13" i="2"/>
  <c r="C22" i="11"/>
  <c r="D22" i="11" s="1"/>
  <c r="G11" i="2"/>
  <c r="U4" i="1"/>
  <c r="T12" i="1"/>
  <c r="U12" i="1" s="1"/>
  <c r="Y2" i="8"/>
  <c r="E2" i="9" s="1"/>
  <c r="I34" i="2" l="1"/>
  <c r="Z10" i="8"/>
  <c r="E10" i="9" s="1"/>
  <c r="AE4" i="8"/>
  <c r="I4" i="9"/>
  <c r="G12" i="2"/>
  <c r="Z11" i="8" s="1"/>
  <c r="E11" i="9" s="1"/>
  <c r="G13" i="2"/>
  <c r="Z12" i="8" s="1"/>
  <c r="E12" i="9" s="1"/>
  <c r="G34" i="2" l="1"/>
  <c r="T30" i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4" i="1" s="1"/>
  <c r="U29" i="1" l="1"/>
  <c r="U34" i="1" s="1"/>
  <c r="K26" i="11" l="1"/>
  <c r="C7" i="11" s="1"/>
  <c r="D7" i="11" l="1"/>
  <c r="C5" i="11"/>
  <c r="D5" i="11" s="1"/>
  <c r="C6" i="11"/>
  <c r="D6" i="11" s="1"/>
  <c r="J4" i="3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E13" i="8" s="1"/>
  <c r="AD13" i="8" s="1"/>
  <c r="J11" i="3"/>
  <c r="C13" i="3"/>
  <c r="E12" i="8" s="1"/>
  <c r="AD12" i="8" s="1"/>
  <c r="C15" i="3" l="1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 s="1"/>
  <c r="AE12" i="8"/>
  <c r="I12" i="9" s="1"/>
  <c r="J16" i="3"/>
  <c r="C17" i="3"/>
  <c r="E16" i="8" l="1"/>
  <c r="AD16" i="8" s="1"/>
  <c r="K16" i="3"/>
  <c r="J17" i="3"/>
  <c r="J34" i="3" s="1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K34" i="3" s="1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/>
  <c r="C30" i="3"/>
  <c r="C34" i="3" s="1"/>
  <c r="J29" i="3"/>
  <c r="K29" i="3" s="1"/>
  <c r="E29" i="8" l="1"/>
  <c r="AD29" i="8" s="1"/>
  <c r="AE27" i="8"/>
  <c r="I27" i="9" s="1"/>
  <c r="J30" i="3"/>
  <c r="AE28" i="8" l="1"/>
  <c r="I28" i="9"/>
  <c r="K30" i="3"/>
  <c r="AE29" i="8" l="1"/>
  <c r="I29" i="9" s="1"/>
  <c r="G13" i="9" l="1"/>
  <c r="G3" i="9"/>
  <c r="G7" i="9"/>
  <c r="G10" i="9"/>
  <c r="G8" i="9"/>
  <c r="G9" i="9"/>
  <c r="G6" i="9"/>
  <c r="C3" i="5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<sst xmlns="http://schemas.openxmlformats.org/spreadsheetml/2006/main" count="442" uniqueCount="149">
  <si>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</si>
  <si>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</si>
  <si>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</si>
  <si>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</si>
  <si>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</si>
  <si>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</si>
  <si>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</si>
  <si>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</si>
  <si>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</si>
  <si>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</si>
  <si>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</si>
  <si>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</si>
  <si>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</si>
  <si>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</si>
  <si>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</si>
  <si>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</si>
  <si>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</si>
  <si>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</si>
  <si>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</si>
  <si>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</si>
  <si>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</si>
  <si>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</si>
  <si>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</si>
  <si>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</si>
  <si>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</si>
  <si>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</si>
  <si>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</si>
  <si>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</si>
  <si>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</si>
  <si>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</si>
  <si>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</si>
  <si>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</si>
  <si>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</si>
  <si>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</si>
  <si>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</si>
  <si>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</si>
  <si>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</si>
  <si>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</si>
  <si>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</si>
  <si>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</si>
  <si>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</si>
  <si>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</si>
  <si>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</si>
  <si>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</si>
  <si>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</si>
  <si>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</si>
  <si>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</si>
  <si>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</si>
  <si>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</si>
  <si>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</si>
  <si>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</si>
  <si>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</si>
  <si>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</si>
  <si>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</si>
  <si>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</si>
  <si>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</si>
  <si>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</si>
  <si>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</si>
  <si>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</si>
  <si>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</si>
  <si>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</si>
  <si>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</si>
  <si>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</si>
  <si>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</si>
  <si>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</si>
  <si>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</si>
  <si>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</si>
  <si>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</si>
  <si>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</si>
  <si>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</si>
  <si>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</si>
  <si>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</si>
  <si>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</si>
  <si>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</si>
  <si>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</si>
  <si>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</si>
  <si>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</si>
  <si>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</si>
  <si>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</si>
  <si>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</si>
  <si>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</si>
  <si>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</si>
  <si>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</si>
  <si>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</si>
  <si>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</si>
  <si>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</si>
  <si>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</si>
  <si>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</si>
  <si>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</si>
  <si>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</si>
  <si>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</si>
  <si>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</si>
  <si>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</si>
  <si>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</si>
  <si>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</si>
  <si>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</si>
  <si>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</si>
  <si>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</si>
  <si>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</si>
  <si>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</si>
  <si>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</si>
  <si>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</si>
  <si>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</si>
  <si>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</si>
  <si>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</si>
  <si>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</si>
  <si>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</si>
  <si>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</si>
  <si>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</si>
  <si>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</si>
  <si>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</si>
  <si>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</si>
  <si>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</si>
  <si>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</si>
  <si>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</si>
  <si>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</si>
  <si>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</si>
  <si>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</si>
  <si>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</si>
  <si>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</si>
  <si>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</si>
  <si>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</si>
  <si>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</si>
  <si>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</si>
  <si>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</si>
  <si>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</si>
  <si>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</si>
  <si>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</si>
  <si>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</si>
  <si>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</si>
  <si>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</si>
  <si>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</si>
  <si>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</si>
  <si>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</si>
  <si>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</si>
  <si>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</si>
  <si>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</si>
  <si>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</si>
  <si>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</si>
  <si>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</si>
  <si>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</si>
  <si>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</si>
  <si>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</si>
  <si>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</si>
  <si>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</si>
  <si>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</si>
  <si>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</si>
  <si>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Energy Monthly Statement April 2022</t>
  </si>
  <si>
    <t>Acutal till Apr.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</si>
</sst>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0" fillId="21" borderId="4" xfId="0" applyFill="1" applyBorder="1" applyAlignment="1">
      <alignment horizontal="center"/>
    </xf>
    <xf numFmtId="170" fontId="7" fillId="0" borderId="1" xfId="0" applyNumberFormat="1" applyFont="1" applyFill="1" applyBorder="1" applyAlignment="1">
      <alignment horizontal="center"/>
    </xf>
    <xf numFmtId="170" fontId="7" fillId="0" borderId="1" xfId="0" applyNumberFormat="1" applyFont="1" applyBorder="1" applyAlignment="1">
      <alignment horizontal="center"/>
    </xf>
    <xf numFmtId="170" fontId="7" fillId="13" borderId="1" xfId="0" applyNumberFormat="1" applyFont="1" applyFill="1" applyBorder="1" applyAlignment="1">
      <alignment horizontal="center"/>
    </xf>
    <xf numFmtId="170" fontId="8" fillId="4" borderId="1" xfId="0" applyNumberFormat="1" applyFont="1" applyFill="1" applyBorder="1" applyAlignment="1">
      <alignment horizontal="center"/>
    </xf>
    <xf numFmtId="170" fontId="7" fillId="0" borderId="0" xfId="0" applyNumberFormat="1" applyFont="1" applyAlignment="1">
      <alignment horizontal="center"/>
    </xf>
    <xf numFmtId="170" fontId="12" fillId="0" borderId="0" xfId="0" applyNumberFormat="1" applyFont="1"/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G12" sqref="G12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6" width="12.5703125" style="13" customWidth="1"/>
    <col min="7" max="7" width="12.140625" style="13" customWidth="1"/>
    <col min="8" max="11" width="11.5703125" style="13"/>
  </cols>
  <sheetData>
    <row r="1" spans="1:14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48" t="s">
        <v>48</v>
      </c>
      <c r="F1" s="48" t="s">
        <v>49</v>
      </c>
      <c r="G1" s="48" t="s">
        <v>74</v>
      </c>
      <c r="H1" s="48" t="s">
        <v>75</v>
      </c>
      <c r="I1" s="48" t="s">
        <v>50</v>
      </c>
      <c r="J1" s="48" t="s">
        <v>51</v>
      </c>
      <c r="K1" s="48" t="s">
        <v>52</v>
      </c>
    </row>
    <row r="2" spans="1:14" x14ac:dyDescent="0.2">
      <c r="A2" s="46" t="s">
        <v>53</v>
      </c>
      <c r="B2" s="51">
        <v>1</v>
      </c>
      <c r="C2" s="51">
        <v>5</v>
      </c>
      <c r="D2" s="51">
        <v>2022</v>
      </c>
      <c r="E2" s="35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48970.643356</v>
      </c>
      <c r="F2" s="137">
        <v>1.27</v>
      </c>
      <c r="G2" s="35">
        <f>Gas!C3*0.9147</f>
        <v>2544.6954000000001</v>
      </c>
      <c r="H2" s="138">
        <v>3.65</v>
      </c>
      <c r="I2" s="139">
        <f>Submetering!H2+Submetering!AD2+Submetering!AE2</f>
        <v>526</v>
      </c>
      <c r="J2" s="140">
        <v>10.029999999999999</v>
      </c>
      <c r="K2" s="35">
        <f>ELECT.!B3</f>
        <v>160</v>
      </c>
    </row>
    <row r="3" spans="1:14" x14ac:dyDescent="0.2">
      <c r="A3" s="46" t="s">
        <v>53</v>
      </c>
      <c r="B3" s="51">
        <f>B2+1</f>
        <v>2</v>
      </c>
      <c r="C3" s="51">
        <v>5</v>
      </c>
      <c r="D3" s="51">
        <v>2022</v>
      </c>
      <c r="E3" s="35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63932.741772000001</v>
      </c>
      <c r="F3" s="137">
        <v>1.27</v>
      </c>
      <c r="G3" s="35">
        <f>Gas!C4*0.9147</f>
        <v>1223.8686</v>
      </c>
      <c r="H3" s="138">
        <v>3.65</v>
      </c>
      <c r="I3" s="140">
        <f>Submetering!H3+Submetering!AD3+Submetering!AE3</f>
        <v>525.99999999999989</v>
      </c>
      <c r="J3" s="140">
        <v>10.029999999999999</v>
      </c>
      <c r="K3" s="35">
        <f>ELECT.!B4</f>
        <v>150</v>
      </c>
    </row>
    <row r="4" spans="1:14" x14ac:dyDescent="0.2">
      <c r="A4" s="46" t="s">
        <v>53</v>
      </c>
      <c r="B4" s="51">
        <f t="shared" ref="B4:B32" si="0">B3+1</f>
        <v>3</v>
      </c>
      <c r="C4" s="51">
        <v>5</v>
      </c>
      <c r="D4" s="51">
        <v>2022</v>
      </c>
      <c r="E4" s="35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50110.440072000005</v>
      </c>
      <c r="F4" s="137">
        <v>1.27</v>
      </c>
      <c r="G4" s="35">
        <f>Gas!C5*0.9147</f>
        <v>1956.5432999999998</v>
      </c>
      <c r="H4" s="138">
        <v>3.65</v>
      </c>
      <c r="I4" s="140">
        <f>Submetering!H4+Submetering!AD4+Submetering!AE4</f>
        <v>406</v>
      </c>
      <c r="J4" s="140">
        <v>10.029999999999999</v>
      </c>
      <c r="K4" s="35">
        <f>ELECT.!B5</f>
        <v>319</v>
      </c>
    </row>
    <row r="5" spans="1:14" x14ac:dyDescent="0.2">
      <c r="A5" s="46" t="s">
        <v>53</v>
      </c>
      <c r="B5" s="51">
        <f t="shared" si="0"/>
        <v>4</v>
      </c>
      <c r="C5" s="51">
        <v>5</v>
      </c>
      <c r="D5" s="51">
        <v>2022</v>
      </c>
      <c r="E5" s="35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45799.577780000007</v>
      </c>
      <c r="F5" s="137">
        <v>1.27</v>
      </c>
      <c r="G5" s="35">
        <f>Gas!C6*0.9147</f>
        <v>2152.2891</v>
      </c>
      <c r="H5" s="138">
        <v>3.65</v>
      </c>
      <c r="I5" s="140">
        <f>Submetering!H5+Submetering!AD5+Submetering!AE5</f>
        <v>356</v>
      </c>
      <c r="J5" s="140">
        <v>10.029999999999999</v>
      </c>
      <c r="K5" s="35">
        <f>ELECT.!B6</f>
        <v>240</v>
      </c>
    </row>
    <row r="6" spans="1:14" x14ac:dyDescent="0.2">
      <c r="A6" s="46" t="s">
        <v>53</v>
      </c>
      <c r="B6" s="51">
        <f t="shared" si="0"/>
        <v>5</v>
      </c>
      <c r="C6" s="51">
        <v>5</v>
      </c>
      <c r="D6" s="51">
        <v>2022</v>
      </c>
      <c r="E6" s="35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55882.831147999997</v>
      </c>
      <c r="F6" s="137">
        <v>1.27</v>
      </c>
      <c r="G6" s="35">
        <f>Gas!C7*0.9147</f>
        <v>1857.7556999999999</v>
      </c>
      <c r="H6" s="138">
        <v>3.65</v>
      </c>
      <c r="I6" s="140">
        <f>Submetering!H6+Submetering!AD6+Submetering!AE6</f>
        <v>346</v>
      </c>
      <c r="J6" s="140">
        <v>10.029999999999999</v>
      </c>
      <c r="K6" s="35">
        <f>ELECT.!B7</f>
        <v>258</v>
      </c>
    </row>
    <row r="7" spans="1:14" x14ac:dyDescent="0.2">
      <c r="A7" s="46" t="s">
        <v>53</v>
      </c>
      <c r="B7" s="51">
        <f t="shared" si="0"/>
        <v>6</v>
      </c>
      <c r="C7" s="51">
        <v>5</v>
      </c>
      <c r="D7" s="51">
        <v>2022</v>
      </c>
      <c r="E7" s="35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52859.105376000007</v>
      </c>
      <c r="F7" s="137">
        <v>1.27</v>
      </c>
      <c r="G7" s="35">
        <f>Gas!C8*0.9147</f>
        <v>2097.4070999999999</v>
      </c>
      <c r="H7" s="138">
        <v>3.65</v>
      </c>
      <c r="I7" s="140">
        <f>Submetering!H7+Submetering!AD7+Submetering!AE7</f>
        <v>2246.0000000000005</v>
      </c>
      <c r="J7" s="140">
        <v>10.029999999999999</v>
      </c>
      <c r="K7" s="35">
        <f>ELECT.!B8</f>
        <v>325</v>
      </c>
    </row>
    <row r="8" spans="1:14" x14ac:dyDescent="0.2">
      <c r="A8" s="46" t="s">
        <v>53</v>
      </c>
      <c r="B8" s="51">
        <f t="shared" si="0"/>
        <v>7</v>
      </c>
      <c r="C8" s="51">
        <v>5</v>
      </c>
      <c r="D8" s="51">
        <v>2022</v>
      </c>
      <c r="E8" s="35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58601.262596</v>
      </c>
      <c r="F8" s="137">
        <v>1.27</v>
      </c>
      <c r="G8" s="35">
        <f>Gas!C9*0.9147</f>
        <v>2601.4067999999997</v>
      </c>
      <c r="H8" s="138">
        <v>3.65</v>
      </c>
      <c r="I8" s="140">
        <f>Submetering!H8+Submetering!AD8+Submetering!AE8</f>
        <v>906</v>
      </c>
      <c r="J8" s="140">
        <v>10.029999999999999</v>
      </c>
      <c r="K8" s="35">
        <f>ELECT.!B9</f>
        <v>275</v>
      </c>
    </row>
    <row r="9" spans="1:14" x14ac:dyDescent="0.2">
      <c r="A9" s="46" t="s">
        <v>53</v>
      </c>
      <c r="B9" s="51">
        <f t="shared" si="0"/>
        <v>8</v>
      </c>
      <c r="C9" s="51">
        <v>5</v>
      </c>
      <c r="D9" s="51">
        <v>2022</v>
      </c>
      <c r="E9" s="35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57435.271876000006</v>
      </c>
      <c r="F9" s="137">
        <v>1.27</v>
      </c>
      <c r="G9" s="35">
        <f>Gas!C10*0.9147</f>
        <v>1642.8011999999999</v>
      </c>
      <c r="H9" s="138">
        <v>3.65</v>
      </c>
      <c r="I9" s="140">
        <f>Submetering!H9+Submetering!AD9+Submetering!AE9</f>
        <v>906</v>
      </c>
      <c r="J9" s="140">
        <v>10.029999999999999</v>
      </c>
      <c r="K9" s="35">
        <f>ELECT.!B10</f>
        <v>292</v>
      </c>
      <c r="N9" t="s">
        <v>12</v>
      </c>
    </row>
    <row r="10" spans="1:14" x14ac:dyDescent="0.2">
      <c r="A10" s="46" t="s">
        <v>53</v>
      </c>
      <c r="B10" s="51">
        <f t="shared" si="0"/>
        <v>9</v>
      </c>
      <c r="C10" s="51">
        <v>5</v>
      </c>
      <c r="D10" s="51">
        <v>2022</v>
      </c>
      <c r="E10" s="35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42012.522296000003</v>
      </c>
      <c r="F10" s="137">
        <v>1.27</v>
      </c>
      <c r="G10" s="35">
        <f>Gas!C11*0.9147</f>
        <v>1843.1205</v>
      </c>
      <c r="H10" s="138">
        <v>3.65</v>
      </c>
      <c r="I10" s="140">
        <f>Submetering!H10+Submetering!AD10+Submetering!AE10</f>
        <v>756</v>
      </c>
      <c r="J10" s="140">
        <v>10.029999999999999</v>
      </c>
      <c r="K10" s="35">
        <f>ELECT.!B11</f>
        <v>301</v>
      </c>
    </row>
    <row r="11" spans="1:14" x14ac:dyDescent="0.2">
      <c r="A11" s="46" t="s">
        <v>53</v>
      </c>
      <c r="B11" s="51">
        <f t="shared" si="0"/>
        <v>10</v>
      </c>
      <c r="C11" s="51">
        <v>5</v>
      </c>
      <c r="D11" s="51">
        <v>2022</v>
      </c>
      <c r="E11" s="35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64118.145539999998</v>
      </c>
      <c r="F11" s="137">
        <v>1.27</v>
      </c>
      <c r="G11" s="35">
        <f>Gas!C12*0.9147</f>
        <v>2340.7172999999998</v>
      </c>
      <c r="H11" s="138">
        <v>3.65</v>
      </c>
      <c r="I11" s="140">
        <f>Submetering!H11+Submetering!AD11+Submetering!AE11</f>
        <v>836</v>
      </c>
      <c r="J11" s="140">
        <v>10.029999999999999</v>
      </c>
      <c r="K11" s="35">
        <f>ELECT.!B12</f>
        <v>284</v>
      </c>
    </row>
    <row r="12" spans="1:14" x14ac:dyDescent="0.2">
      <c r="A12" s="46" t="s">
        <v>53</v>
      </c>
      <c r="B12" s="51">
        <f t="shared" si="0"/>
        <v>11</v>
      </c>
      <c r="C12" s="51">
        <v>5</v>
      </c>
      <c r="D12" s="51">
        <v>2022</v>
      </c>
      <c r="E12" s="35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56045.022655999994</v>
      </c>
      <c r="F12" s="137">
        <v>1.27</v>
      </c>
      <c r="G12" s="35">
        <f>Gas!C13*0.9147</f>
        <v>1845.8645999999999</v>
      </c>
      <c r="H12" s="138">
        <v>3.65</v>
      </c>
      <c r="I12" s="140">
        <f>Submetering!H12+Submetering!AD12+Submetering!AE12</f>
        <v>886</v>
      </c>
      <c r="J12" s="140">
        <v>10.029999999999999</v>
      </c>
      <c r="K12" s="35">
        <f>ELECT.!B13</f>
        <v>304</v>
      </c>
    </row>
    <row r="13" spans="1:14" x14ac:dyDescent="0.2">
      <c r="A13" s="46" t="s">
        <v>53</v>
      </c>
      <c r="B13" s="51">
        <f t="shared" si="0"/>
        <v>12</v>
      </c>
      <c r="C13" s="51">
        <v>5</v>
      </c>
      <c r="D13" s="51">
        <v>2022</v>
      </c>
      <c r="E13" s="35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63936.169827999998</v>
      </c>
      <c r="F13" s="137">
        <v>1.27</v>
      </c>
      <c r="G13" s="35">
        <f>Gas!C14*0.9147</f>
        <v>2019.6576</v>
      </c>
      <c r="H13" s="138">
        <v>3.65</v>
      </c>
      <c r="I13" s="140">
        <f>Submetering!H13+Submetering!AD13+Submetering!AE13</f>
        <v>756.00000000000011</v>
      </c>
      <c r="J13" s="140">
        <v>10.029999999999999</v>
      </c>
      <c r="K13" s="35">
        <f>ELECT.!B14</f>
        <v>290</v>
      </c>
    </row>
    <row r="14" spans="1:14" x14ac:dyDescent="0.2">
      <c r="A14" s="46" t="s">
        <v>53</v>
      </c>
      <c r="B14" s="51">
        <f t="shared" si="0"/>
        <v>13</v>
      </c>
      <c r="C14" s="51">
        <v>5</v>
      </c>
      <c r="D14" s="51">
        <v>2022</v>
      </c>
      <c r="E14" s="35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53140.136592000003</v>
      </c>
      <c r="F14" s="137">
        <v>1.27</v>
      </c>
      <c r="G14" s="35">
        <f>Gas!C15*0.9147</f>
        <v>1917.2112</v>
      </c>
      <c r="H14" s="138">
        <v>3.65</v>
      </c>
      <c r="I14" s="140">
        <f>Submetering!H14+Submetering!AD14+Submetering!AE14</f>
        <v>806</v>
      </c>
      <c r="J14" s="140">
        <v>10.029999999999999</v>
      </c>
      <c r="K14" s="35">
        <f>ELECT.!B15</f>
        <v>265</v>
      </c>
    </row>
    <row r="15" spans="1:14" x14ac:dyDescent="0.2">
      <c r="A15" s="46" t="s">
        <v>53</v>
      </c>
      <c r="B15" s="51">
        <f t="shared" si="0"/>
        <v>14</v>
      </c>
      <c r="C15" s="51">
        <v>5</v>
      </c>
      <c r="D15" s="51">
        <v>2022</v>
      </c>
      <c r="E15" s="35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54800.806135999999</v>
      </c>
      <c r="F15" s="137">
        <v>1.27</v>
      </c>
      <c r="G15" s="35">
        <f>Gas!C16*0.9147</f>
        <v>1822.0824</v>
      </c>
      <c r="H15" s="138">
        <v>3.65</v>
      </c>
      <c r="I15" s="140">
        <f>Submetering!H15+Submetering!AD15+Submetering!AE15</f>
        <v>816.00000000000011</v>
      </c>
      <c r="J15" s="140">
        <v>10.029999999999999</v>
      </c>
      <c r="K15" s="35">
        <f>ELECT.!B16</f>
        <v>285</v>
      </c>
    </row>
    <row r="16" spans="1:14" x14ac:dyDescent="0.2">
      <c r="A16" s="46" t="s">
        <v>53</v>
      </c>
      <c r="B16" s="51">
        <f t="shared" si="0"/>
        <v>15</v>
      </c>
      <c r="C16" s="51">
        <v>5</v>
      </c>
      <c r="D16" s="51">
        <v>2022</v>
      </c>
      <c r="E16" s="35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37">
        <v>1.27</v>
      </c>
      <c r="G16" s="35">
        <f>Gas!C17*0.9147</f>
        <v>0</v>
      </c>
      <c r="H16" s="138">
        <v>3.65</v>
      </c>
      <c r="I16" s="140">
        <f>Submetering!H16+Submetering!AD16+Submetering!AE16</f>
        <v>-194</v>
      </c>
      <c r="J16" s="140">
        <v>10.029999999999999</v>
      </c>
      <c r="K16" s="35">
        <f>ELECT.!B17</f>
        <v>0</v>
      </c>
    </row>
    <row r="17" spans="1:13" x14ac:dyDescent="0.2">
      <c r="A17" s="46" t="s">
        <v>53</v>
      </c>
      <c r="B17" s="51">
        <f t="shared" si="0"/>
        <v>16</v>
      </c>
      <c r="C17" s="51">
        <v>5</v>
      </c>
      <c r="D17" s="51">
        <v>2022</v>
      </c>
      <c r="E17" s="35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37">
        <v>1.27</v>
      </c>
      <c r="G17" s="35">
        <f>Gas!C18*0.9147</f>
        <v>0</v>
      </c>
      <c r="H17" s="138">
        <v>3.65</v>
      </c>
      <c r="I17" s="140">
        <f>Submetering!H17+Submetering!AD17+Submetering!AE17</f>
        <v>-194</v>
      </c>
      <c r="J17" s="140">
        <v>10.029999999999999</v>
      </c>
      <c r="K17" s="35">
        <f>ELECT.!B18</f>
        <v>0</v>
      </c>
    </row>
    <row r="18" spans="1:13" x14ac:dyDescent="0.2">
      <c r="A18" s="46" t="s">
        <v>53</v>
      </c>
      <c r="B18" s="51">
        <f t="shared" si="0"/>
        <v>17</v>
      </c>
      <c r="C18" s="51">
        <v>5</v>
      </c>
      <c r="D18" s="51">
        <v>2022</v>
      </c>
      <c r="E18" s="35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37">
        <v>1.27</v>
      </c>
      <c r="G18" s="35">
        <f>Gas!C19*0.9147</f>
        <v>0</v>
      </c>
      <c r="H18" s="138">
        <v>3.65</v>
      </c>
      <c r="I18" s="140">
        <f>Submetering!H18+Submetering!AD18+Submetering!AE18</f>
        <v>-194</v>
      </c>
      <c r="J18" s="140">
        <v>10.029999999999999</v>
      </c>
      <c r="K18" s="35">
        <f>ELECT.!B19</f>
        <v>0</v>
      </c>
    </row>
    <row r="19" spans="1:13" x14ac:dyDescent="0.2">
      <c r="A19" s="46" t="s">
        <v>53</v>
      </c>
      <c r="B19" s="51">
        <f t="shared" si="0"/>
        <v>18</v>
      </c>
      <c r="C19" s="51">
        <v>5</v>
      </c>
      <c r="D19" s="51">
        <v>2022</v>
      </c>
      <c r="E19" s="35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37">
        <v>1.27</v>
      </c>
      <c r="G19" s="35">
        <f>Gas!C20*0.9147</f>
        <v>0</v>
      </c>
      <c r="H19" s="138">
        <v>3.65</v>
      </c>
      <c r="I19" s="140">
        <f>Submetering!H19+Submetering!AD19+Submetering!AE19</f>
        <v>-194</v>
      </c>
      <c r="J19" s="140">
        <v>10.029999999999999</v>
      </c>
      <c r="K19" s="35">
        <f>ELECT.!B20</f>
        <v>0</v>
      </c>
    </row>
    <row r="20" spans="1:13" x14ac:dyDescent="0.2">
      <c r="A20" s="46" t="s">
        <v>53</v>
      </c>
      <c r="B20" s="51">
        <f t="shared" si="0"/>
        <v>19</v>
      </c>
      <c r="C20" s="51">
        <v>5</v>
      </c>
      <c r="D20" s="51">
        <v>2022</v>
      </c>
      <c r="E20" s="35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7">
        <v>1.27</v>
      </c>
      <c r="G20" s="35">
        <f>Gas!C21*0.9147</f>
        <v>0</v>
      </c>
      <c r="H20" s="138">
        <v>3.65</v>
      </c>
      <c r="I20" s="140">
        <f>Submetering!H20+Submetering!AD20+Submetering!AE20</f>
        <v>-194</v>
      </c>
      <c r="J20" s="140">
        <v>10.029999999999999</v>
      </c>
      <c r="K20" s="35">
        <f>ELECT.!B21</f>
        <v>0</v>
      </c>
    </row>
    <row r="21" spans="1:13" x14ac:dyDescent="0.2">
      <c r="A21" s="46" t="s">
        <v>53</v>
      </c>
      <c r="B21" s="51">
        <f t="shared" si="0"/>
        <v>20</v>
      </c>
      <c r="C21" s="51">
        <v>5</v>
      </c>
      <c r="D21" s="51">
        <v>2022</v>
      </c>
      <c r="E21" s="35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7">
        <v>1.27</v>
      </c>
      <c r="G21" s="35">
        <f>Gas!C22*0.9147</f>
        <v>0</v>
      </c>
      <c r="H21" s="138">
        <v>3.65</v>
      </c>
      <c r="I21" s="140">
        <f>Submetering!H21+Submetering!AD21+Submetering!AE21</f>
        <v>-194</v>
      </c>
      <c r="J21" s="140">
        <v>10.029999999999999</v>
      </c>
      <c r="K21" s="35">
        <f>ELECT.!B22</f>
        <v>0</v>
      </c>
    </row>
    <row r="22" spans="1:13" x14ac:dyDescent="0.2">
      <c r="A22" s="46" t="s">
        <v>53</v>
      </c>
      <c r="B22" s="51">
        <f t="shared" si="0"/>
        <v>21</v>
      </c>
      <c r="C22" s="51">
        <v>5</v>
      </c>
      <c r="D22" s="51">
        <v>2022</v>
      </c>
      <c r="E22" s="35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7">
        <v>1.27</v>
      </c>
      <c r="G22" s="35">
        <f>Gas!C23*0.9147</f>
        <v>0</v>
      </c>
      <c r="H22" s="138">
        <v>3.65</v>
      </c>
      <c r="I22" s="140">
        <f>Submetering!H22+Submetering!AD22+Submetering!AE22</f>
        <v>-194</v>
      </c>
      <c r="J22" s="140">
        <v>10.029999999999999</v>
      </c>
      <c r="K22" s="35">
        <f>ELECT.!B23</f>
        <v>0</v>
      </c>
    </row>
    <row r="23" spans="1:13" x14ac:dyDescent="0.2">
      <c r="A23" s="46" t="s">
        <v>53</v>
      </c>
      <c r="B23" s="51">
        <f t="shared" si="0"/>
        <v>22</v>
      </c>
      <c r="C23" s="51">
        <v>5</v>
      </c>
      <c r="D23" s="51">
        <v>2022</v>
      </c>
      <c r="E23" s="35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7">
        <v>1.27</v>
      </c>
      <c r="G23" s="35">
        <f>Gas!C24*0.9147</f>
        <v>0</v>
      </c>
      <c r="H23" s="138">
        <v>3.65</v>
      </c>
      <c r="I23" s="140">
        <f>Submetering!H23+Submetering!AD23+Submetering!AE23</f>
        <v>-194</v>
      </c>
      <c r="J23" s="140">
        <v>10.029999999999999</v>
      </c>
      <c r="K23" s="35">
        <f>ELECT.!B24</f>
        <v>0</v>
      </c>
    </row>
    <row r="24" spans="1:13" x14ac:dyDescent="0.2">
      <c r="A24" s="46" t="s">
        <v>53</v>
      </c>
      <c r="B24" s="51">
        <f t="shared" si="0"/>
        <v>23</v>
      </c>
      <c r="C24" s="51">
        <v>5</v>
      </c>
      <c r="D24" s="51">
        <v>2022</v>
      </c>
      <c r="E24" s="35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7">
        <v>1.27</v>
      </c>
      <c r="G24" s="35">
        <f>Gas!C25*0.9147</f>
        <v>0</v>
      </c>
      <c r="H24" s="138">
        <v>3.65</v>
      </c>
      <c r="I24" s="140">
        <f>Submetering!H24+Submetering!AD24+Submetering!AE24</f>
        <v>-194</v>
      </c>
      <c r="J24" s="140">
        <v>10.029999999999999</v>
      </c>
      <c r="K24" s="35">
        <f>ELECT.!B25</f>
        <v>0</v>
      </c>
    </row>
    <row r="25" spans="1:13" x14ac:dyDescent="0.2">
      <c r="A25" s="46" t="s">
        <v>53</v>
      </c>
      <c r="B25" s="51">
        <f t="shared" si="0"/>
        <v>24</v>
      </c>
      <c r="C25" s="51">
        <v>5</v>
      </c>
      <c r="D25" s="51">
        <v>2022</v>
      </c>
      <c r="E25" s="35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7">
        <v>1.27</v>
      </c>
      <c r="G25" s="35">
        <f>Gas!C26*0.9147</f>
        <v>0</v>
      </c>
      <c r="H25" s="138">
        <v>3.65</v>
      </c>
      <c r="I25" s="140">
        <f>Submetering!H25+Submetering!AD25+Submetering!AE25</f>
        <v>-194</v>
      </c>
      <c r="J25" s="140">
        <v>10.029999999999999</v>
      </c>
      <c r="K25" s="35">
        <f>ELECT.!B26</f>
        <v>0</v>
      </c>
    </row>
    <row r="26" spans="1:13" x14ac:dyDescent="0.2">
      <c r="A26" s="46" t="s">
        <v>53</v>
      </c>
      <c r="B26" s="51">
        <f>B25+1</f>
        <v>25</v>
      </c>
      <c r="C26" s="51">
        <v>5</v>
      </c>
      <c r="D26" s="51">
        <v>2022</v>
      </c>
      <c r="E26" s="35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7">
        <v>1.27</v>
      </c>
      <c r="G26" s="35">
        <f>Gas!C27*0.9147</f>
        <v>0</v>
      </c>
      <c r="H26" s="138">
        <v>3.65</v>
      </c>
      <c r="I26" s="140">
        <f>Submetering!H26+Submetering!AD26+Submetering!AE26</f>
        <v>-194</v>
      </c>
      <c r="J26" s="140">
        <v>10.029999999999999</v>
      </c>
      <c r="K26" s="35">
        <f>ELECT.!B27</f>
        <v>0</v>
      </c>
      <c r="M26" s="24" t="s">
        <v>12</v>
      </c>
    </row>
    <row r="27" spans="1:13" x14ac:dyDescent="0.2">
      <c r="A27" s="46" t="s">
        <v>53</v>
      </c>
      <c r="B27" s="51">
        <f t="shared" si="0"/>
        <v>26</v>
      </c>
      <c r="C27" s="51">
        <v>5</v>
      </c>
      <c r="D27" s="51">
        <v>2022</v>
      </c>
      <c r="E27" s="35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7">
        <v>1.27</v>
      </c>
      <c r="G27" s="35">
        <f>Gas!C28*0.9147</f>
        <v>0</v>
      </c>
      <c r="H27" s="138">
        <v>3.65</v>
      </c>
      <c r="I27" s="140">
        <f>Submetering!H27+Submetering!AD27+Submetering!AE27</f>
        <v>-194</v>
      </c>
      <c r="J27" s="140">
        <v>10.029999999999999</v>
      </c>
      <c r="K27" s="35">
        <f>ELECT.!B28</f>
        <v>0</v>
      </c>
    </row>
    <row r="28" spans="1:13" x14ac:dyDescent="0.2">
      <c r="A28" s="46" t="s">
        <v>53</v>
      </c>
      <c r="B28" s="51">
        <f t="shared" si="0"/>
        <v>27</v>
      </c>
      <c r="C28" s="51">
        <v>5</v>
      </c>
      <c r="D28" s="51">
        <v>2022</v>
      </c>
      <c r="E28" s="35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7">
        <v>1.27</v>
      </c>
      <c r="G28" s="35">
        <f>Gas!C29*0.9147</f>
        <v>0</v>
      </c>
      <c r="H28" s="138">
        <v>3.65</v>
      </c>
      <c r="I28" s="140">
        <f>Submetering!H28+Submetering!AD28+Submetering!AE28</f>
        <v>-194</v>
      </c>
      <c r="J28" s="140">
        <v>10.029999999999999</v>
      </c>
      <c r="K28" s="35">
        <f>ELECT.!B29</f>
        <v>0</v>
      </c>
    </row>
    <row r="29" spans="1:13" x14ac:dyDescent="0.2">
      <c r="A29" s="46" t="s">
        <v>53</v>
      </c>
      <c r="B29" s="51">
        <f t="shared" si="0"/>
        <v>28</v>
      </c>
      <c r="C29" s="51">
        <v>5</v>
      </c>
      <c r="D29" s="51">
        <v>2022</v>
      </c>
      <c r="E29" s="35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8">
        <v>1.27</v>
      </c>
      <c r="G29" s="35">
        <f>Gas!C30*0.9147</f>
        <v>0</v>
      </c>
      <c r="H29" s="138">
        <v>3.65</v>
      </c>
      <c r="I29" s="140">
        <f>Submetering!H29+Submetering!AD29+Submetering!AE29</f>
        <v>-194</v>
      </c>
      <c r="J29" s="140">
        <v>10.029999999999999</v>
      </c>
      <c r="K29" s="35">
        <f>ELECT.!B30</f>
        <v>0</v>
      </c>
    </row>
    <row r="30" spans="1:13" x14ac:dyDescent="0.2">
      <c r="A30" s="46" t="s">
        <v>53</v>
      </c>
      <c r="B30" s="51">
        <f t="shared" si="0"/>
        <v>29</v>
      </c>
      <c r="C30" s="51">
        <v>5</v>
      </c>
      <c r="D30" s="51">
        <v>2022</v>
      </c>
      <c r="E30" s="35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8">
        <v>1.27</v>
      </c>
      <c r="G30" s="35">
        <f>Gas!C31*0.9147</f>
        <v>0</v>
      </c>
      <c r="H30" s="138">
        <v>3.65</v>
      </c>
      <c r="I30" s="140">
        <f>Submetering!H30+Submetering!AD30+Submetering!AE30</f>
        <v>-194</v>
      </c>
      <c r="J30" s="140">
        <v>10.029999999999999</v>
      </c>
      <c r="K30" s="35">
        <f>ELECT.!B31</f>
        <v>0</v>
      </c>
    </row>
    <row r="31" spans="1:13" x14ac:dyDescent="0.2">
      <c r="A31" s="46" t="s">
        <v>53</v>
      </c>
      <c r="B31" s="51">
        <f t="shared" si="0"/>
        <v>30</v>
      </c>
      <c r="C31" s="51">
        <v>5</v>
      </c>
      <c r="D31" s="51">
        <v>2022</v>
      </c>
      <c r="E31" s="35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8">
        <v>1.27</v>
      </c>
      <c r="G31" s="35">
        <f>Gas!C32*0.9147</f>
        <v>0</v>
      </c>
      <c r="H31" s="138">
        <v>3.65</v>
      </c>
      <c r="I31" s="140">
        <f>Submetering!H31+Submetering!AD31+Submetering!AE31</f>
        <v>-194</v>
      </c>
      <c r="J31" s="140">
        <v>10.029999999999999</v>
      </c>
      <c r="K31" s="35">
        <f>ELECT.!B32</f>
        <v>0</v>
      </c>
    </row>
    <row r="32" spans="1:13" x14ac:dyDescent="0.2">
      <c r="A32" s="46" t="s">
        <v>53</v>
      </c>
      <c r="B32" s="51">
        <f t="shared" si="0"/>
        <v>31</v>
      </c>
      <c r="C32" s="51">
        <v>5</v>
      </c>
      <c r="D32" s="51">
        <v>2022</v>
      </c>
      <c r="E32" s="35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8">
        <v>2.27</v>
      </c>
      <c r="G32" s="35">
        <f>Gas!C33*0.9147</f>
        <v>0</v>
      </c>
      <c r="H32" s="138">
        <v>4.6500000000000004</v>
      </c>
      <c r="I32" s="140">
        <f>Submetering!H32+Submetering!AD32+Submetering!AE32</f>
        <v>-194</v>
      </c>
      <c r="J32" s="140">
        <v>11.03</v>
      </c>
      <c r="K32" s="35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R30" sqref="R30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17" width="12.5703125" style="35" customWidth="1"/>
    <col min="18" max="21" width="12.5703125" style="36" customWidth="1"/>
    <col min="22" max="22" width="13.140625" style="36" customWidth="1"/>
    <col min="23" max="23" width="12.5703125" style="36" customWidth="1"/>
    <col min="24" max="25" width="11.5703125" style="33"/>
    <col min="27" max="27" width="13.7109375" bestFit="1" customWidth="1"/>
    <col min="28" max="28" width="13.5703125" bestFit="1" customWidth="1"/>
    <col min="30" max="30" width="15.5703125" customWidth="1"/>
  </cols>
  <sheetData>
    <row r="1" spans="1:31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50" t="s">
        <v>64</v>
      </c>
      <c r="F1" s="50" t="s">
        <v>65</v>
      </c>
      <c r="G1" s="50" t="s">
        <v>66</v>
      </c>
      <c r="H1" s="50" t="s">
        <v>67</v>
      </c>
      <c r="I1" s="50" t="s">
        <v>57</v>
      </c>
      <c r="J1" s="50" t="s">
        <v>56</v>
      </c>
      <c r="K1" s="50" t="s">
        <v>55</v>
      </c>
      <c r="L1" s="50" t="s">
        <v>58</v>
      </c>
      <c r="M1" s="50" t="s">
        <v>59</v>
      </c>
      <c r="N1" s="50" t="s">
        <v>60</v>
      </c>
      <c r="O1" s="50" t="s">
        <v>61</v>
      </c>
      <c r="P1" s="50" t="s">
        <v>62</v>
      </c>
      <c r="Q1" s="50" t="s">
        <v>76</v>
      </c>
      <c r="R1" s="52" t="s">
        <v>68</v>
      </c>
      <c r="S1" s="52" t="s">
        <v>69</v>
      </c>
      <c r="T1" s="52" t="s">
        <v>70</v>
      </c>
      <c r="U1" s="52" t="s">
        <v>71</v>
      </c>
      <c r="V1" s="52" t="s">
        <v>72</v>
      </c>
      <c r="W1" s="52" t="s">
        <v>73</v>
      </c>
      <c r="X1" s="47" t="s">
        <v>52</v>
      </c>
      <c r="Y1" s="126" t="s">
        <v>128</v>
      </c>
      <c r="Z1" s="32" t="s">
        <v>129</v>
      </c>
      <c r="AA1" s="32" t="s">
        <v>130</v>
      </c>
      <c r="AB1" s="32" t="s">
        <v>131</v>
      </c>
      <c r="AC1" s="32" t="s">
        <v>132</v>
      </c>
      <c r="AD1" s="127" t="s">
        <v>133</v>
      </c>
      <c r="AE1" s="127" t="s">
        <v>134</v>
      </c>
    </row>
    <row r="2" spans="1:31" x14ac:dyDescent="0.2">
      <c r="A2" s="46" t="s">
        <v>53</v>
      </c>
      <c r="B2" s="51">
        <v>1</v>
      </c>
      <c r="C2" s="51">
        <v>5</v>
      </c>
      <c r="D2" s="51">
        <v>2022</v>
      </c>
      <c r="E2" s="35">
        <f>Water!C3</f>
        <v>720</v>
      </c>
      <c r="F2" s="35">
        <f>Water!E3</f>
        <v>400</v>
      </c>
      <c r="G2" s="35">
        <f>Water!G3</f>
        <v>332.1</v>
      </c>
      <c r="H2" s="35">
        <f>Water!I3</f>
        <v>4.4820000000000002</v>
      </c>
      <c r="I2" s="35">
        <f>ELECT.!F3</f>
        <v>8733</v>
      </c>
      <c r="J2" s="35">
        <f>ELECT.!H3</f>
        <v>41826</v>
      </c>
      <c r="K2" s="35">
        <f>ELECT.!K3</f>
        <v>7626</v>
      </c>
      <c r="L2" s="35">
        <f>ELECT.!M3</f>
        <v>5205</v>
      </c>
      <c r="M2" s="35">
        <f>ELECT.!O3</f>
        <v>3398</v>
      </c>
      <c r="N2" s="35">
        <f>ELECT.!Q3</f>
        <v>10464</v>
      </c>
      <c r="O2" s="35">
        <f>ELECT.!S3</f>
        <v>9197</v>
      </c>
      <c r="P2" s="35">
        <f>ELECT.!W3*2</f>
        <v>17412</v>
      </c>
      <c r="Q2" s="35">
        <f>ELECT.!D3</f>
        <v>800</v>
      </c>
      <c r="R2" s="36">
        <f>BTU!C3</f>
        <v>8.7189999999973224</v>
      </c>
      <c r="S2" s="36" t="str">
        <f>BTU!F3</f>
        <v>0</v>
      </c>
      <c r="T2" s="36">
        <f>BTU!I3</f>
        <v>5</v>
      </c>
      <c r="U2" s="36">
        <f>BTU!O3</f>
        <v>1.5</v>
      </c>
      <c r="V2" s="36">
        <f>BTU!L3</f>
        <v>1.5999999999985448</v>
      </c>
      <c r="W2" s="36">
        <f>BTU!R3</f>
        <v>1.3699999999998909</v>
      </c>
      <c r="X2" s="33">
        <f>ELECT.!B3</f>
        <v>160</v>
      </c>
      <c r="Y2" s="33">
        <f>I2+J2-(K2+L2+M2+N2+O2+P2)</f>
        <v>-2743</v>
      </c>
      <c r="Z2">
        <f>'Mall, Citadel, Rotana'!C3+'Mall, Citadel, Rotana'!E3+'Mall, Citadel, Rotana'!G3+'Mall, Citadel, Rotana'!I3</f>
        <v>856</v>
      </c>
      <c r="AA2">
        <f>'Mall, Citadel, Rotana'!K3+'Mall, Citadel, Rotana'!M3</f>
        <v>242</v>
      </c>
      <c r="AB2">
        <f>'Mall, Citadel, Rotana'!O3</f>
        <v>3</v>
      </c>
      <c r="AC2">
        <f>'Mall, Citadel, Rotana'!Q3+'Mall, Citadel, Rotana'!S3</f>
        <v>0</v>
      </c>
      <c r="AD2" s="33">
        <f>(E2-H2-194)*0.1318</f>
        <v>68.736072399999998</v>
      </c>
      <c r="AE2" s="33">
        <f>E2-H2-AD2-194</f>
        <v>452.78192760000002</v>
      </c>
    </row>
    <row r="3" spans="1:31" x14ac:dyDescent="0.2">
      <c r="A3" s="46" t="s">
        <v>53</v>
      </c>
      <c r="B3" s="51">
        <f>B2+1</f>
        <v>2</v>
      </c>
      <c r="C3" s="51">
        <v>5</v>
      </c>
      <c r="D3" s="51">
        <v>2022</v>
      </c>
      <c r="E3" s="35">
        <f>Water!C4</f>
        <v>720</v>
      </c>
      <c r="F3" s="35">
        <f>Water!E4</f>
        <v>460</v>
      </c>
      <c r="G3" s="35">
        <f>Water!G4</f>
        <v>432</v>
      </c>
      <c r="H3" s="35">
        <f>Water!I4</f>
        <v>4.1040000000000001</v>
      </c>
      <c r="I3" s="35">
        <f>ELECT.!F4</f>
        <v>11736</v>
      </c>
      <c r="J3" s="35">
        <f>ELECT.!H4</f>
        <v>54570</v>
      </c>
      <c r="K3" s="35">
        <f>ELECT.!K4</f>
        <v>9692</v>
      </c>
      <c r="L3" s="35">
        <f>ELECT.!M4</f>
        <v>7152</v>
      </c>
      <c r="M3" s="35">
        <f>ELECT.!O4</f>
        <v>4408</v>
      </c>
      <c r="N3" s="35">
        <f>ELECT.!Q4</f>
        <v>13697</v>
      </c>
      <c r="O3" s="35">
        <f>ELECT.!S4</f>
        <v>11633</v>
      </c>
      <c r="P3" s="35">
        <f>ELECT.!W4*2</f>
        <v>23100</v>
      </c>
      <c r="Q3" s="35">
        <f>ELECT.!D4</f>
        <v>480</v>
      </c>
      <c r="R3" s="140">
        <f>BTU!C4</f>
        <v>8.5160000000032596</v>
      </c>
      <c r="S3" s="140">
        <f>BTU!F4</f>
        <v>1.0540000000000873</v>
      </c>
      <c r="T3" s="140">
        <f>BTU!I4</f>
        <v>5</v>
      </c>
      <c r="U3" s="140">
        <f>BTU!O4</f>
        <v>1.4720000000002074</v>
      </c>
      <c r="V3" s="140">
        <f>BTU!L4</f>
        <v>1.4500000000007276</v>
      </c>
      <c r="W3" s="140">
        <f>BTU!R4</f>
        <v>1.569999999999709</v>
      </c>
      <c r="X3" s="33">
        <f>ELECT.!B4</f>
        <v>150</v>
      </c>
      <c r="Y3" s="33">
        <f t="shared" ref="Y3:Y31" si="0">I3+J3-(K3+L3+M3+N3+O3+P3)</f>
        <v>-3376</v>
      </c>
      <c r="Z3">
        <f>'Mall, Citadel, Rotana'!C4+'Mall, Citadel, Rotana'!E4+'Mall, Citadel, Rotana'!G4+'Mall, Citadel, Rotana'!I4</f>
        <v>1356</v>
      </c>
      <c r="AA3">
        <f>'Mall, Citadel, Rotana'!K4+'Mall, Citadel, Rotana'!M4</f>
        <v>204</v>
      </c>
      <c r="AB3">
        <f>'Mall, Citadel, Rotana'!O4</f>
        <v>3</v>
      </c>
      <c r="AC3">
        <f>'Mall, Citadel, Rotana'!Q4+'Mall, Citadel, Rotana'!S4</f>
        <v>83</v>
      </c>
      <c r="AD3" s="33">
        <f t="shared" ref="AD3:AD31" si="1">(E3-H3-194)*0.1318</f>
        <v>68.785892799999999</v>
      </c>
      <c r="AE3" s="33">
        <f t="shared" ref="AE3:AE31" si="2">E3-H3-AD3-194</f>
        <v>453.1101071999999</v>
      </c>
    </row>
    <row r="4" spans="1:31" x14ac:dyDescent="0.2">
      <c r="A4" s="46" t="s">
        <v>53</v>
      </c>
      <c r="B4" s="51">
        <f t="shared" ref="B4:B32" si="3">B3+1</f>
        <v>3</v>
      </c>
      <c r="C4" s="51">
        <v>5</v>
      </c>
      <c r="D4" s="51">
        <v>2022</v>
      </c>
      <c r="E4" s="35">
        <f>Water!C5</f>
        <v>600</v>
      </c>
      <c r="F4" s="35">
        <f>Water!E5</f>
        <v>460</v>
      </c>
      <c r="G4" s="35">
        <f>Water!G5</f>
        <v>502.2</v>
      </c>
      <c r="H4" s="35">
        <f>Water!I5</f>
        <v>3.105</v>
      </c>
      <c r="I4" s="35">
        <f>ELECT.!F5</f>
        <v>9230</v>
      </c>
      <c r="J4" s="35">
        <f>ELECT.!H5</f>
        <v>43118</v>
      </c>
      <c r="K4" s="35">
        <f>ELECT.!K5</f>
        <v>7732</v>
      </c>
      <c r="L4" s="35">
        <f>ELECT.!M5</f>
        <v>5842</v>
      </c>
      <c r="M4" s="35">
        <f>ELECT.!O5</f>
        <v>3266</v>
      </c>
      <c r="N4" s="35">
        <f>ELECT.!Q5</f>
        <v>11169</v>
      </c>
      <c r="O4" s="35">
        <f>ELECT.!S5</f>
        <v>9042</v>
      </c>
      <c r="P4" s="35">
        <f>ELECT.!W5*2</f>
        <v>18116</v>
      </c>
      <c r="Q4" s="35">
        <f>ELECT.!D5</f>
        <v>640</v>
      </c>
      <c r="R4" s="140">
        <f>BTU!C5</f>
        <v>8.8869999999988067</v>
      </c>
      <c r="S4" s="140">
        <f>BTU!F5</f>
        <v>0.65200000000004366</v>
      </c>
      <c r="T4" s="140">
        <f>BTU!I5</f>
        <v>4</v>
      </c>
      <c r="U4" s="140">
        <f>BTU!O5</f>
        <v>1.6599999999998545</v>
      </c>
      <c r="V4" s="140">
        <f>BTU!L5</f>
        <v>1.680000000000291</v>
      </c>
      <c r="W4" s="140">
        <f>BTU!R5</f>
        <v>1.4800000000004729</v>
      </c>
      <c r="X4" s="33">
        <f>ELECT.!B5</f>
        <v>319</v>
      </c>
      <c r="Y4" s="33">
        <f t="shared" si="0"/>
        <v>-2819</v>
      </c>
      <c r="Z4">
        <f>'Mall, Citadel, Rotana'!C5+'Mall, Citadel, Rotana'!E5+'Mall, Citadel, Rotana'!G5+'Mall, Citadel, Rotana'!I5</f>
        <v>1382</v>
      </c>
      <c r="AA4">
        <f>'Mall, Citadel, Rotana'!K5+'Mall, Citadel, Rotana'!M5</f>
        <v>218</v>
      </c>
      <c r="AB4">
        <f>'Mall, Citadel, Rotana'!O5</f>
        <v>4</v>
      </c>
      <c r="AC4">
        <f>'Mall, Citadel, Rotana'!Q5+'Mall, Citadel, Rotana'!S5</f>
        <v>101</v>
      </c>
      <c r="AD4" s="33">
        <f t="shared" si="1"/>
        <v>53.101560999999997</v>
      </c>
      <c r="AE4" s="33">
        <f t="shared" si="2"/>
        <v>349.79343900000003</v>
      </c>
    </row>
    <row r="5" spans="1:31" x14ac:dyDescent="0.2">
      <c r="A5" s="46" t="s">
        <v>53</v>
      </c>
      <c r="B5" s="51">
        <f t="shared" si="3"/>
        <v>4</v>
      </c>
      <c r="C5" s="51">
        <v>5</v>
      </c>
      <c r="D5" s="51">
        <v>2022</v>
      </c>
      <c r="E5" s="35">
        <f>Water!C6</f>
        <v>550</v>
      </c>
      <c r="F5" s="35">
        <f>Water!E6</f>
        <v>440</v>
      </c>
      <c r="G5" s="35">
        <f>Water!G6</f>
        <v>488.7</v>
      </c>
      <c r="H5" s="35">
        <f>Water!I6</f>
        <v>3.3479999999999999</v>
      </c>
      <c r="I5" s="35">
        <f>ELECT.!F6</f>
        <v>8202</v>
      </c>
      <c r="J5" s="35">
        <f>ELECT.!H6</f>
        <v>40003</v>
      </c>
      <c r="K5" s="35">
        <f>ELECT.!K6</f>
        <v>6582</v>
      </c>
      <c r="L5" s="35">
        <f>ELECT.!M6</f>
        <v>4999</v>
      </c>
      <c r="M5" s="35">
        <f>ELECT.!O6</f>
        <v>3076</v>
      </c>
      <c r="N5" s="35">
        <f>ELECT.!Q6</f>
        <v>9803</v>
      </c>
      <c r="O5" s="35">
        <f>ELECT.!S6</f>
        <v>8675</v>
      </c>
      <c r="P5" s="35">
        <f>ELECT.!W6*2</f>
        <v>17320</v>
      </c>
      <c r="Q5" s="35">
        <f>ELECT.!D6</f>
        <v>640</v>
      </c>
      <c r="R5" s="140">
        <f>BTU!C6</f>
        <v>8.9419999999990978</v>
      </c>
      <c r="S5" s="140">
        <f>BTU!F6</f>
        <v>1.5740000000005239</v>
      </c>
      <c r="T5" s="140">
        <f>BTU!I6</f>
        <v>5</v>
      </c>
      <c r="U5" s="140">
        <f>BTU!O6</f>
        <v>1.5230000000001382</v>
      </c>
      <c r="V5" s="140">
        <f>BTU!L6</f>
        <v>1.7600000000002183</v>
      </c>
      <c r="W5" s="140">
        <f>BTU!R6</f>
        <v>1.2699999999995271</v>
      </c>
      <c r="X5" s="33">
        <f>ELECT.!B6</f>
        <v>240</v>
      </c>
      <c r="Y5" s="33">
        <f t="shared" si="0"/>
        <v>-2250</v>
      </c>
      <c r="Z5">
        <f>'Mall, Citadel, Rotana'!C6+'Mall, Citadel, Rotana'!E6+'Mall, Citadel, Rotana'!G6+'Mall, Citadel, Rotana'!I6</f>
        <v>1516</v>
      </c>
      <c r="AA5">
        <f>'Mall, Citadel, Rotana'!K6+'Mall, Citadel, Rotana'!M6</f>
        <v>275</v>
      </c>
      <c r="AB5">
        <f>'Mall, Citadel, Rotana'!O6</f>
        <v>3</v>
      </c>
      <c r="AC5">
        <f>'Mall, Citadel, Rotana'!Q6+'Mall, Citadel, Rotana'!S6</f>
        <v>122</v>
      </c>
      <c r="AD5" s="33">
        <f t="shared" si="1"/>
        <v>46.479533600000003</v>
      </c>
      <c r="AE5" s="33">
        <f t="shared" si="2"/>
        <v>306.17246640000002</v>
      </c>
    </row>
    <row r="6" spans="1:31" x14ac:dyDescent="0.2">
      <c r="A6" s="46" t="s">
        <v>53</v>
      </c>
      <c r="B6" s="51">
        <f t="shared" si="3"/>
        <v>5</v>
      </c>
      <c r="C6" s="51">
        <v>5</v>
      </c>
      <c r="D6" s="51">
        <v>2022</v>
      </c>
      <c r="E6" s="35">
        <f>Water!C7</f>
        <v>540</v>
      </c>
      <c r="F6" s="35">
        <f>Water!E7</f>
        <v>460</v>
      </c>
      <c r="G6" s="35">
        <f>Water!G7</f>
        <v>550.79999999999995</v>
      </c>
      <c r="H6" s="35">
        <f>Water!I7</f>
        <v>3.8609999999999998</v>
      </c>
      <c r="I6" s="35">
        <f>ELECT.!F7</f>
        <v>9951</v>
      </c>
      <c r="J6" s="35">
        <f>ELECT.!H7</f>
        <v>48376</v>
      </c>
      <c r="K6" s="35">
        <f>ELECT.!K7</f>
        <v>7756</v>
      </c>
      <c r="L6" s="35">
        <f>ELECT.!M7</f>
        <v>6168</v>
      </c>
      <c r="M6" s="35">
        <f>ELECT.!O7</f>
        <v>3622</v>
      </c>
      <c r="N6" s="35">
        <f>ELECT.!Q7</f>
        <v>11537</v>
      </c>
      <c r="O6" s="35">
        <f>ELECT.!S7</f>
        <v>10399</v>
      </c>
      <c r="P6" s="35">
        <f>ELECT.!W7*2</f>
        <v>21498</v>
      </c>
      <c r="Q6" s="35">
        <f>ELECT.!D7</f>
        <v>480</v>
      </c>
      <c r="R6" s="140">
        <f>BTU!C7</f>
        <v>7.6310000000012224</v>
      </c>
      <c r="S6" s="140">
        <f>BTU!F7</f>
        <v>1.61200000000008</v>
      </c>
      <c r="T6" s="140">
        <f>BTU!I7</f>
        <v>5</v>
      </c>
      <c r="U6" s="140">
        <f>BTU!O7</f>
        <v>1.8849999999997635</v>
      </c>
      <c r="V6" s="140">
        <f>BTU!L7</f>
        <v>1.430000000000291</v>
      </c>
      <c r="W6" s="140">
        <f>BTU!R7</f>
        <v>0.96000000000003638</v>
      </c>
      <c r="X6" s="33">
        <f>ELECT.!B7</f>
        <v>258</v>
      </c>
      <c r="Y6" s="33">
        <f t="shared" si="0"/>
        <v>-2653</v>
      </c>
      <c r="Z6">
        <f>'Mall, Citadel, Rotana'!C7+'Mall, Citadel, Rotana'!E7+'Mall, Citadel, Rotana'!G7+'Mall, Citadel, Rotana'!I7</f>
        <v>1359</v>
      </c>
      <c r="AA6">
        <f>'Mall, Citadel, Rotana'!K7+'Mall, Citadel, Rotana'!M7</f>
        <v>344</v>
      </c>
      <c r="AB6">
        <f>'Mall, Citadel, Rotana'!O7</f>
        <v>4</v>
      </c>
      <c r="AC6">
        <f>'Mall, Citadel, Rotana'!Q7+'Mall, Citadel, Rotana'!S7</f>
        <v>109</v>
      </c>
      <c r="AD6" s="33">
        <f t="shared" si="1"/>
        <v>45.093920199999999</v>
      </c>
      <c r="AE6" s="33">
        <f t="shared" si="2"/>
        <v>297.0450798</v>
      </c>
    </row>
    <row r="7" spans="1:31" x14ac:dyDescent="0.2">
      <c r="A7" s="46" t="s">
        <v>53</v>
      </c>
      <c r="B7" s="51">
        <f t="shared" si="3"/>
        <v>6</v>
      </c>
      <c r="C7" s="51">
        <v>5</v>
      </c>
      <c r="D7" s="51">
        <v>2022</v>
      </c>
      <c r="E7" s="35">
        <f>Water!C8</f>
        <v>2440</v>
      </c>
      <c r="F7" s="35">
        <f>Water!E8</f>
        <v>440</v>
      </c>
      <c r="G7" s="35">
        <f>Water!G8</f>
        <v>480.6</v>
      </c>
      <c r="H7" s="35">
        <f>Water!I8</f>
        <v>3.8069999999999999</v>
      </c>
      <c r="I7" s="35">
        <f>ELECT.!F8</f>
        <v>13601</v>
      </c>
      <c r="J7" s="35">
        <f>ELECT.!H8</f>
        <v>41574</v>
      </c>
      <c r="K7" s="35">
        <f>ELECT.!K8</f>
        <v>6942</v>
      </c>
      <c r="L7" s="35">
        <f>ELECT.!M8</f>
        <v>5846</v>
      </c>
      <c r="M7" s="35">
        <f>ELECT.!O8</f>
        <v>7598</v>
      </c>
      <c r="N7" s="35">
        <f>ELECT.!Q8</f>
        <v>6252</v>
      </c>
      <c r="O7" s="35">
        <f>ELECT.!S8</f>
        <v>10266</v>
      </c>
      <c r="P7" s="35">
        <f>ELECT.!W8*2</f>
        <v>20698</v>
      </c>
      <c r="Q7" s="35">
        <f>ELECT.!D8</f>
        <v>480</v>
      </c>
      <c r="R7" s="140">
        <f>BTU!C8</f>
        <v>7.6329999999979918</v>
      </c>
      <c r="S7" s="140">
        <f>BTU!F8</f>
        <v>1.2129999999997381</v>
      </c>
      <c r="T7" s="140">
        <f>BTU!I8</f>
        <v>4</v>
      </c>
      <c r="U7" s="140">
        <f>BTU!O8</f>
        <v>1.1869999999998981</v>
      </c>
      <c r="V7" s="140">
        <f>BTU!L8</f>
        <v>1.3399999999983265</v>
      </c>
      <c r="W7" s="140">
        <f>BTU!R8</f>
        <v>0.82000000000061846</v>
      </c>
      <c r="X7" s="33">
        <f>ELECT.!B8</f>
        <v>325</v>
      </c>
      <c r="Y7" s="33">
        <f t="shared" si="0"/>
        <v>-2427</v>
      </c>
      <c r="Z7">
        <f>'Mall, Citadel, Rotana'!C8+'Mall, Citadel, Rotana'!E8+'Mall, Citadel, Rotana'!G8+'Mall, Citadel, Rotana'!I8</f>
        <v>1374</v>
      </c>
      <c r="AA7">
        <f>'Mall, Citadel, Rotana'!K8+'Mall, Citadel, Rotana'!M8</f>
        <v>229</v>
      </c>
      <c r="AB7">
        <f>'Mall, Citadel, Rotana'!O8</f>
        <v>3</v>
      </c>
      <c r="AC7">
        <f>'Mall, Citadel, Rotana'!Q8+'Mall, Citadel, Rotana'!S8</f>
        <v>126</v>
      </c>
      <c r="AD7" s="33">
        <f t="shared" si="1"/>
        <v>295.52103740000001</v>
      </c>
      <c r="AE7" s="33">
        <f t="shared" si="2"/>
        <v>1946.6719626000004</v>
      </c>
    </row>
    <row r="8" spans="1:31" x14ac:dyDescent="0.2">
      <c r="A8" s="46" t="s">
        <v>53</v>
      </c>
      <c r="B8" s="51">
        <f t="shared" si="3"/>
        <v>7</v>
      </c>
      <c r="C8" s="51">
        <v>5</v>
      </c>
      <c r="D8" s="51">
        <v>2022</v>
      </c>
      <c r="E8" s="35">
        <f>Water!C9</f>
        <v>1100</v>
      </c>
      <c r="F8" s="35">
        <f>Water!E9</f>
        <v>500</v>
      </c>
      <c r="G8" s="35">
        <f>Water!G9</f>
        <v>467.1</v>
      </c>
      <c r="H8" s="35">
        <f>Water!I9</f>
        <v>4.7789999999999999</v>
      </c>
      <c r="I8" s="35">
        <f>ELECT.!F9</f>
        <v>18148</v>
      </c>
      <c r="J8" s="35">
        <f>ELECT.!H9</f>
        <v>42656</v>
      </c>
      <c r="K8" s="35">
        <f>ELECT.!K9</f>
        <v>7832</v>
      </c>
      <c r="L8" s="35">
        <f>ELECT.!M9</f>
        <v>6165</v>
      </c>
      <c r="M8" s="35">
        <f>ELECT.!O9</f>
        <v>11808</v>
      </c>
      <c r="N8" s="35">
        <f>ELECT.!Q9</f>
        <v>3173</v>
      </c>
      <c r="O8" s="35">
        <f>ELECT.!S9</f>
        <v>11439</v>
      </c>
      <c r="P8" s="35">
        <f>ELECT.!W9*2</f>
        <v>22980</v>
      </c>
      <c r="Q8" s="35">
        <f>ELECT.!D9</f>
        <v>480</v>
      </c>
      <c r="R8" s="140">
        <f>BTU!C9</f>
        <v>7.4540000000015425</v>
      </c>
      <c r="S8" s="140">
        <f>BTU!F9</f>
        <v>1.0010000000002037</v>
      </c>
      <c r="T8" s="140">
        <f>BTU!I9</f>
        <v>6</v>
      </c>
      <c r="U8" s="140">
        <f>BTU!O9</f>
        <v>1.55600000000004</v>
      </c>
      <c r="V8" s="140">
        <f>BTU!L9</f>
        <v>1.3000000000010914</v>
      </c>
      <c r="W8" s="140">
        <f>BTU!R9</f>
        <v>1.0099999999993088</v>
      </c>
      <c r="X8" s="33">
        <f>ELECT.!B9</f>
        <v>275</v>
      </c>
      <c r="Y8" s="33">
        <f t="shared" si="0"/>
        <v>-2593</v>
      </c>
      <c r="Z8">
        <f>'Mall, Citadel, Rotana'!C9+'Mall, Citadel, Rotana'!E9+'Mall, Citadel, Rotana'!G9+'Mall, Citadel, Rotana'!I9</f>
        <v>1197</v>
      </c>
      <c r="AA8">
        <f>'Mall, Citadel, Rotana'!K9+'Mall, Citadel, Rotana'!M9</f>
        <v>245</v>
      </c>
      <c r="AB8">
        <f>'Mall, Citadel, Rotana'!O9</f>
        <v>3</v>
      </c>
      <c r="AC8">
        <f>'Mall, Citadel, Rotana'!Q9+'Mall, Citadel, Rotana'!S9</f>
        <v>111</v>
      </c>
      <c r="AD8" s="33">
        <f t="shared" si="1"/>
        <v>118.7809278</v>
      </c>
      <c r="AE8" s="33">
        <f t="shared" si="2"/>
        <v>782.44007220000003</v>
      </c>
    </row>
    <row r="9" spans="1:31" x14ac:dyDescent="0.2">
      <c r="A9" s="46" t="s">
        <v>53</v>
      </c>
      <c r="B9" s="51">
        <f t="shared" si="3"/>
        <v>8</v>
      </c>
      <c r="C9" s="51">
        <v>5</v>
      </c>
      <c r="D9" s="51">
        <v>2022</v>
      </c>
      <c r="E9" s="35">
        <f>Water!C10</f>
        <v>1100</v>
      </c>
      <c r="F9" s="35">
        <f>Water!E10</f>
        <v>490</v>
      </c>
      <c r="G9" s="35">
        <f>Water!G10</f>
        <v>494.1</v>
      </c>
      <c r="H9" s="35">
        <f>Water!I10</f>
        <v>5.9399999999999995</v>
      </c>
      <c r="I9" s="35">
        <f>ELECT.!F10</f>
        <v>18555</v>
      </c>
      <c r="J9" s="35">
        <f>ELECT.!H10</f>
        <v>41224</v>
      </c>
      <c r="K9" s="35">
        <f>ELECT.!K10</f>
        <v>9184</v>
      </c>
      <c r="L9" s="35">
        <f>ELECT.!M10</f>
        <v>6328</v>
      </c>
      <c r="M9" s="35">
        <f>ELECT.!O10</f>
        <v>12062</v>
      </c>
      <c r="N9" s="35">
        <f>ELECT.!Q10</f>
        <v>3077</v>
      </c>
      <c r="O9" s="35">
        <f>ELECT.!S10</f>
        <v>10839</v>
      </c>
      <c r="P9" s="35">
        <f>ELECT.!W10*2</f>
        <v>21500</v>
      </c>
      <c r="Q9" s="35">
        <f>ELECT.!D10</f>
        <v>320</v>
      </c>
      <c r="R9" s="140">
        <f>BTU!C10</f>
        <v>7.0639999999984866</v>
      </c>
      <c r="S9" s="140">
        <f>BTU!F10</f>
        <v>1.657999999999447</v>
      </c>
      <c r="T9" s="140">
        <f>BTU!I10</f>
        <v>6</v>
      </c>
      <c r="U9" s="140">
        <f>BTU!O10</f>
        <v>1.6430000000000291</v>
      </c>
      <c r="V9" s="140">
        <f>BTU!L10</f>
        <v>1.0499999999992724</v>
      </c>
      <c r="W9" s="140">
        <f>BTU!R10</f>
        <v>0.67000000000007276</v>
      </c>
      <c r="X9" s="33">
        <f>ELECT.!B10</f>
        <v>292</v>
      </c>
      <c r="Y9" s="33">
        <f t="shared" si="0"/>
        <v>-3211</v>
      </c>
      <c r="Z9">
        <f>'Mall, Citadel, Rotana'!C10+'Mall, Citadel, Rotana'!E10+'Mall, Citadel, Rotana'!G10+'Mall, Citadel, Rotana'!I10</f>
        <v>1173</v>
      </c>
      <c r="AA9">
        <f>'Mall, Citadel, Rotana'!K10+'Mall, Citadel, Rotana'!M10</f>
        <v>404</v>
      </c>
      <c r="AB9">
        <f>'Mall, Citadel, Rotana'!O10</f>
        <v>4</v>
      </c>
      <c r="AC9">
        <f>'Mall, Citadel, Rotana'!Q10+'Mall, Citadel, Rotana'!S10</f>
        <v>126</v>
      </c>
      <c r="AD9" s="33">
        <f t="shared" si="1"/>
        <v>118.62790799999999</v>
      </c>
      <c r="AE9" s="33">
        <f t="shared" si="2"/>
        <v>781.43209200000001</v>
      </c>
    </row>
    <row r="10" spans="1:31" x14ac:dyDescent="0.2">
      <c r="A10" s="46" t="s">
        <v>53</v>
      </c>
      <c r="B10" s="51">
        <f t="shared" si="3"/>
        <v>9</v>
      </c>
      <c r="C10" s="51">
        <v>5</v>
      </c>
      <c r="D10" s="51">
        <v>2022</v>
      </c>
      <c r="E10" s="35">
        <f>Water!C11</f>
        <v>950</v>
      </c>
      <c r="F10" s="35">
        <f>Water!E11</f>
        <v>460</v>
      </c>
      <c r="G10" s="35">
        <f>Water!G11</f>
        <v>413.1</v>
      </c>
      <c r="H10" s="35">
        <f>Water!I11</f>
        <v>4.9139999999999997</v>
      </c>
      <c r="I10" s="35">
        <f>ELECT.!F11</f>
        <v>13560</v>
      </c>
      <c r="J10" s="35">
        <f>ELECT.!H11</f>
        <v>30983</v>
      </c>
      <c r="K10" s="35">
        <f>ELECT.!K11</f>
        <v>7086</v>
      </c>
      <c r="L10" s="35">
        <f>ELECT.!M11</f>
        <v>4858</v>
      </c>
      <c r="M10" s="35">
        <f>ELECT.!O11</f>
        <v>8552</v>
      </c>
      <c r="N10" s="35">
        <f>ELECT.!Q11</f>
        <v>2676</v>
      </c>
      <c r="O10" s="35">
        <f>ELECT.!S11</f>
        <v>7958</v>
      </c>
      <c r="P10" s="35">
        <f>ELECT.!W11*2</f>
        <v>15736</v>
      </c>
      <c r="Q10" s="35">
        <f>ELECT.!D11</f>
        <v>480</v>
      </c>
      <c r="R10" s="140">
        <f>BTU!C11</f>
        <v>7.5360000000000582</v>
      </c>
      <c r="S10" s="140">
        <f>BTU!F11</f>
        <v>2.3040000000000873</v>
      </c>
      <c r="T10" s="140">
        <f>BTU!I11</f>
        <v>6</v>
      </c>
      <c r="U10" s="140">
        <f>BTU!O11</f>
        <v>1.5480000000002292</v>
      </c>
      <c r="V10" s="140">
        <f>BTU!L11</f>
        <v>1.1599999999998545</v>
      </c>
      <c r="W10" s="140">
        <f>BTU!R11</f>
        <v>1.25</v>
      </c>
      <c r="X10" s="33">
        <f>ELECT.!B11</f>
        <v>301</v>
      </c>
      <c r="Y10" s="33">
        <f t="shared" si="0"/>
        <v>-2323</v>
      </c>
      <c r="Z10">
        <f>'Mall, Citadel, Rotana'!C11+'Mall, Citadel, Rotana'!E11+'Mall, Citadel, Rotana'!G11+'Mall, Citadel, Rotana'!I11</f>
        <v>1555</v>
      </c>
      <c r="AA10">
        <f>'Mall, Citadel, Rotana'!K11+'Mall, Citadel, Rotana'!M11</f>
        <v>410</v>
      </c>
      <c r="AB10">
        <f>'Mall, Citadel, Rotana'!O11</f>
        <v>3</v>
      </c>
      <c r="AC10">
        <f>'Mall, Citadel, Rotana'!Q11+'Mall, Citadel, Rotana'!S11</f>
        <v>127</v>
      </c>
      <c r="AD10" s="33">
        <f t="shared" si="1"/>
        <v>98.993134800000007</v>
      </c>
      <c r="AE10" s="33">
        <f t="shared" si="2"/>
        <v>652.09286520000001</v>
      </c>
    </row>
    <row r="11" spans="1:31" x14ac:dyDescent="0.2">
      <c r="A11" s="46" t="s">
        <v>53</v>
      </c>
      <c r="B11" s="51">
        <f t="shared" si="3"/>
        <v>10</v>
      </c>
      <c r="C11" s="51">
        <v>5</v>
      </c>
      <c r="D11" s="51">
        <v>2022</v>
      </c>
      <c r="E11" s="35">
        <f>Water!C12</f>
        <v>1030</v>
      </c>
      <c r="F11" s="35">
        <f>Water!E12</f>
        <v>490</v>
      </c>
      <c r="G11" s="35">
        <f>Water!G12</f>
        <v>486</v>
      </c>
      <c r="H11" s="35">
        <f>Water!I12</f>
        <v>5.4809999999999999</v>
      </c>
      <c r="I11" s="35">
        <f>ELECT.!F12</f>
        <v>11785</v>
      </c>
      <c r="J11" s="35">
        <f>ELECT.!H12</f>
        <v>54863</v>
      </c>
      <c r="K11" s="35">
        <f>ELECT.!K12</f>
        <v>10316</v>
      </c>
      <c r="L11" s="35">
        <f>ELECT.!M12</f>
        <v>7192</v>
      </c>
      <c r="M11" s="35">
        <f>ELECT.!O12</f>
        <v>4406</v>
      </c>
      <c r="N11" s="35">
        <f>ELECT.!Q12</f>
        <v>13341</v>
      </c>
      <c r="O11" s="35">
        <f>ELECT.!S12</f>
        <v>11699</v>
      </c>
      <c r="P11" s="35">
        <f>ELECT.!W12*2</f>
        <v>23236</v>
      </c>
      <c r="Q11" s="35">
        <f>ELECT.!D12</f>
        <v>640</v>
      </c>
      <c r="R11" s="140">
        <f>BTU!C12</f>
        <v>8.3770000000004075</v>
      </c>
      <c r="S11" s="140">
        <f>BTU!F12</f>
        <v>2.555000000000291</v>
      </c>
      <c r="T11" s="140">
        <f>BTU!I12</f>
        <v>6</v>
      </c>
      <c r="U11" s="140">
        <f>BTU!O12</f>
        <v>1.500999999999749</v>
      </c>
      <c r="V11" s="140">
        <f>BTU!L12</f>
        <v>1.4700000000011642</v>
      </c>
      <c r="W11" s="140">
        <f>BTU!R12</f>
        <v>2.2200000000002547</v>
      </c>
      <c r="X11" s="33">
        <f>ELECT.!B12</f>
        <v>284</v>
      </c>
      <c r="Y11" s="33">
        <f t="shared" si="0"/>
        <v>-3542</v>
      </c>
      <c r="Z11">
        <f>'Mall, Citadel, Rotana'!C12+'Mall, Citadel, Rotana'!E12+'Mall, Citadel, Rotana'!G12+'Mall, Citadel, Rotana'!I12</f>
        <v>1356</v>
      </c>
      <c r="AA11">
        <f>'Mall, Citadel, Rotana'!K12+'Mall, Citadel, Rotana'!M12</f>
        <v>353</v>
      </c>
      <c r="AB11">
        <f>'Mall, Citadel, Rotana'!O12</f>
        <v>3</v>
      </c>
      <c r="AC11">
        <f>'Mall, Citadel, Rotana'!Q12+'Mall, Citadel, Rotana'!S12</f>
        <v>130</v>
      </c>
      <c r="AD11" s="33">
        <f t="shared" si="1"/>
        <v>109.46240419999999</v>
      </c>
      <c r="AE11" s="33">
        <f t="shared" si="2"/>
        <v>721.05659579999997</v>
      </c>
    </row>
    <row r="12" spans="1:31" x14ac:dyDescent="0.2">
      <c r="A12" s="46" t="s">
        <v>53</v>
      </c>
      <c r="B12" s="51">
        <f t="shared" si="3"/>
        <v>11</v>
      </c>
      <c r="C12" s="51">
        <v>5</v>
      </c>
      <c r="D12" s="51">
        <v>2022</v>
      </c>
      <c r="E12" s="35">
        <f>Water!C13</f>
        <v>1080</v>
      </c>
      <c r="F12" s="35">
        <f>Water!E13</f>
        <v>500</v>
      </c>
      <c r="G12" s="35">
        <f>Water!G13</f>
        <v>445.5</v>
      </c>
      <c r="H12" s="35">
        <f>Water!I13</f>
        <v>6.7770000000000001</v>
      </c>
      <c r="I12" s="35">
        <f>ELECT.!F13</f>
        <v>11592</v>
      </c>
      <c r="J12" s="35">
        <f>ELECT.!H13</f>
        <v>46929</v>
      </c>
      <c r="K12" s="35">
        <f>ELECT.!K13</f>
        <v>8572</v>
      </c>
      <c r="L12" s="35">
        <f>ELECT.!M13</f>
        <v>5871</v>
      </c>
      <c r="M12" s="35">
        <f>ELECT.!O13</f>
        <v>3538</v>
      </c>
      <c r="N12" s="35">
        <f>ELECT.!Q13</f>
        <v>11163</v>
      </c>
      <c r="O12" s="35">
        <f>ELECT.!S13</f>
        <v>10242</v>
      </c>
      <c r="P12" s="35">
        <f>ELECT.!W13*2</f>
        <v>19942</v>
      </c>
      <c r="Q12" s="35">
        <f>ELECT.!D13</f>
        <v>480</v>
      </c>
      <c r="R12" s="140">
        <f>BTU!C13</f>
        <v>8.1759999999994761</v>
      </c>
      <c r="S12" s="140">
        <f>BTU!F13</f>
        <v>2.4229999999997744</v>
      </c>
      <c r="T12" s="140">
        <f>BTU!I13</f>
        <v>7</v>
      </c>
      <c r="U12" s="140">
        <f>BTU!O13</f>
        <v>1.4670000000000982</v>
      </c>
      <c r="V12" s="140">
        <f>BTU!L13</f>
        <v>1.4699999999993452</v>
      </c>
      <c r="W12" s="140">
        <f>BTU!R13</f>
        <v>1.2799999999997453</v>
      </c>
      <c r="X12" s="33">
        <f>ELECT.!B13</f>
        <v>304</v>
      </c>
      <c r="Y12" s="33">
        <f t="shared" si="0"/>
        <v>-807</v>
      </c>
      <c r="Z12">
        <f>'Mall, Citadel, Rotana'!C13+'Mall, Citadel, Rotana'!E13+'Mall, Citadel, Rotana'!G13+'Mall, Citadel, Rotana'!I13</f>
        <v>1374</v>
      </c>
      <c r="AA12">
        <f>'Mall, Citadel, Rotana'!K13+'Mall, Citadel, Rotana'!M13</f>
        <v>300</v>
      </c>
      <c r="AB12">
        <f>'Mall, Citadel, Rotana'!O13</f>
        <v>3</v>
      </c>
      <c r="AC12">
        <f>'Mall, Citadel, Rotana'!Q13+'Mall, Citadel, Rotana'!S13</f>
        <v>140</v>
      </c>
      <c r="AD12" s="33">
        <f t="shared" si="1"/>
        <v>115.88159139999999</v>
      </c>
      <c r="AE12" s="33">
        <f t="shared" si="2"/>
        <v>763.34140860000002</v>
      </c>
    </row>
    <row r="13" spans="1:31" x14ac:dyDescent="0.2">
      <c r="A13" s="46" t="s">
        <v>53</v>
      </c>
      <c r="B13" s="51">
        <f t="shared" si="3"/>
        <v>12</v>
      </c>
      <c r="C13" s="51">
        <v>5</v>
      </c>
      <c r="D13" s="51">
        <v>2022</v>
      </c>
      <c r="E13" s="35">
        <f>Water!C14</f>
        <v>950</v>
      </c>
      <c r="F13" s="35">
        <f>Water!E14</f>
        <v>470</v>
      </c>
      <c r="G13" s="35">
        <f>Water!G14</f>
        <v>459</v>
      </c>
      <c r="H13" s="35">
        <f>Water!I14</f>
        <v>6.5069999999999997</v>
      </c>
      <c r="I13" s="35">
        <f>ELECT.!F14</f>
        <v>9828</v>
      </c>
      <c r="J13" s="35">
        <f>ELECT.!H14</f>
        <v>56529</v>
      </c>
      <c r="K13" s="35">
        <f>ELECT.!K14</f>
        <v>9782</v>
      </c>
      <c r="L13" s="35">
        <f>ELECT.!M14</f>
        <v>7378</v>
      </c>
      <c r="M13" s="35">
        <f>ELECT.!O14</f>
        <v>4360</v>
      </c>
      <c r="N13" s="35">
        <f>ELECT.!Q14</f>
        <v>13190</v>
      </c>
      <c r="O13" s="35">
        <f>ELECT.!S14</f>
        <v>12223</v>
      </c>
      <c r="P13" s="35">
        <f>ELECT.!W14*2</f>
        <v>24644</v>
      </c>
      <c r="Q13" s="35">
        <f>ELECT.!D14</f>
        <v>640</v>
      </c>
      <c r="R13" s="140">
        <f>BTU!C14</f>
        <v>8.4290000000000873</v>
      </c>
      <c r="S13" s="140">
        <f>BTU!F14</f>
        <v>2.3289999999997235</v>
      </c>
      <c r="T13" s="140">
        <f>BTU!I14</f>
        <v>6</v>
      </c>
      <c r="U13" s="140">
        <f>BTU!O14</f>
        <v>1.6260000000002037</v>
      </c>
      <c r="V13" s="140">
        <f>BTU!L14</f>
        <v>1.5100000000002183</v>
      </c>
      <c r="W13" s="140">
        <f>BTU!R14</f>
        <v>1.2700000000004366</v>
      </c>
      <c r="X13" s="33">
        <f>ELECT.!B14</f>
        <v>290</v>
      </c>
      <c r="Y13" s="33">
        <f t="shared" si="0"/>
        <v>-5220</v>
      </c>
      <c r="Z13">
        <f>'Mall, Citadel, Rotana'!C14+'Mall, Citadel, Rotana'!E14+'Mall, Citadel, Rotana'!G14+'Mall, Citadel, Rotana'!I14</f>
        <v>1196</v>
      </c>
      <c r="AA13">
        <f>'Mall, Citadel, Rotana'!K14+'Mall, Citadel, Rotana'!M14</f>
        <v>459</v>
      </c>
      <c r="AB13">
        <f>'Mall, Citadel, Rotana'!O14</f>
        <v>3</v>
      </c>
      <c r="AC13">
        <f>'Mall, Citadel, Rotana'!Q14+'Mall, Citadel, Rotana'!S14</f>
        <v>120</v>
      </c>
      <c r="AD13" s="33">
        <f t="shared" si="1"/>
        <v>98.783177400000014</v>
      </c>
      <c r="AE13" s="33">
        <f t="shared" si="2"/>
        <v>650.70982260000005</v>
      </c>
    </row>
    <row r="14" spans="1:31" x14ac:dyDescent="0.2">
      <c r="A14" s="46" t="s">
        <v>53</v>
      </c>
      <c r="B14" s="51">
        <f t="shared" si="3"/>
        <v>13</v>
      </c>
      <c r="C14" s="51">
        <v>5</v>
      </c>
      <c r="D14" s="51">
        <v>2022</v>
      </c>
      <c r="E14" s="35">
        <f>Water!C15</f>
        <v>1000</v>
      </c>
      <c r="F14" s="35">
        <f>Water!E15</f>
        <v>450</v>
      </c>
      <c r="G14" s="35">
        <f>Water!G15</f>
        <v>467.1</v>
      </c>
      <c r="H14" s="35">
        <f>Water!I15</f>
        <v>6.1020000000000003</v>
      </c>
      <c r="I14" s="35">
        <f>ELECT.!F15</f>
        <v>9135</v>
      </c>
      <c r="J14" s="35">
        <f>ELECT.!H15</f>
        <v>46548</v>
      </c>
      <c r="K14" s="35">
        <f>ELECT.!K15</f>
        <v>7396</v>
      </c>
      <c r="L14" s="35">
        <f>ELECT.!M15</f>
        <v>5509</v>
      </c>
      <c r="M14" s="35">
        <f>ELECT.!O15</f>
        <v>3476</v>
      </c>
      <c r="N14" s="35">
        <f>ELECT.!Q15</f>
        <v>11173</v>
      </c>
      <c r="O14" s="35">
        <f>ELECT.!S15</f>
        <v>10336</v>
      </c>
      <c r="P14" s="35">
        <f>ELECT.!W15*2</f>
        <v>20052</v>
      </c>
      <c r="Q14" s="35">
        <f>ELECT.!D15</f>
        <v>480</v>
      </c>
      <c r="R14" s="140">
        <f>BTU!C15</f>
        <v>8.6610000000000582</v>
      </c>
      <c r="S14" s="140">
        <f>BTU!F15</f>
        <v>1.6580000000003565</v>
      </c>
      <c r="T14" s="140">
        <f>BTU!I15</f>
        <v>6</v>
      </c>
      <c r="U14" s="140">
        <f>BTU!O15</f>
        <v>1.6449999999999818</v>
      </c>
      <c r="V14" s="140">
        <f>BTU!L15</f>
        <v>1.5200000000004366</v>
      </c>
      <c r="W14" s="140">
        <f>BTU!R15</f>
        <v>1.3299999999999272</v>
      </c>
      <c r="X14" s="33">
        <f>ELECT.!B15</f>
        <v>265</v>
      </c>
      <c r="Y14" s="33">
        <f t="shared" si="0"/>
        <v>-2259</v>
      </c>
      <c r="Z14">
        <f>'Mall, Citadel, Rotana'!C15+'Mall, Citadel, Rotana'!E15+'Mall, Citadel, Rotana'!G15+'Mall, Citadel, Rotana'!I15</f>
        <v>1546</v>
      </c>
      <c r="AA14">
        <f>'Mall, Citadel, Rotana'!K15+'Mall, Citadel, Rotana'!M15</f>
        <v>288</v>
      </c>
      <c r="AB14">
        <f>'Mall, Citadel, Rotana'!O15</f>
        <v>4</v>
      </c>
      <c r="AC14">
        <f>'Mall, Citadel, Rotana'!Q15+'Mall, Citadel, Rotana'!S15</f>
        <v>94</v>
      </c>
      <c r="AD14" s="33">
        <f t="shared" si="1"/>
        <v>105.42655640000001</v>
      </c>
      <c r="AE14" s="33">
        <f t="shared" si="2"/>
        <v>694.47144360000004</v>
      </c>
    </row>
    <row r="15" spans="1:31" x14ac:dyDescent="0.2">
      <c r="A15" s="46" t="s">
        <v>53</v>
      </c>
      <c r="B15" s="51">
        <f t="shared" si="3"/>
        <v>14</v>
      </c>
      <c r="C15" s="51">
        <v>5</v>
      </c>
      <c r="D15" s="51">
        <v>2022</v>
      </c>
      <c r="E15" s="35">
        <f>Water!C16</f>
        <v>1010</v>
      </c>
      <c r="F15" s="35">
        <f>Water!E16</f>
        <v>460</v>
      </c>
      <c r="G15" s="35">
        <f>Water!G16</f>
        <v>483.3</v>
      </c>
      <c r="H15" s="35">
        <f>Water!I16</f>
        <v>4.8330000000000002</v>
      </c>
      <c r="I15" s="35">
        <f>ELECT.!F16</f>
        <v>8499</v>
      </c>
      <c r="J15" s="35">
        <f>ELECT.!H16</f>
        <v>42159</v>
      </c>
      <c r="K15" s="35">
        <f>ELECT.!K16</f>
        <v>7188</v>
      </c>
      <c r="L15" s="35">
        <f>ELECT.!M16</f>
        <v>5042</v>
      </c>
      <c r="M15" s="35">
        <f>ELECT.!O16</f>
        <v>3332</v>
      </c>
      <c r="N15" s="35">
        <f>ELECT.!Q16</f>
        <v>11167</v>
      </c>
      <c r="O15" s="35">
        <f>ELECT.!S16</f>
        <v>279370</v>
      </c>
      <c r="P15" s="35">
        <f>ELECT.!W16*2</f>
        <v>11784</v>
      </c>
      <c r="Q15" s="35">
        <f>ELECT.!D16</f>
        <v>640</v>
      </c>
      <c r="R15" s="140">
        <f>BTU!C16</f>
        <v>7.7820000000028813</v>
      </c>
      <c r="S15" s="140">
        <f>BTU!F16</f>
        <v>1.056999999999789</v>
      </c>
      <c r="T15" s="140">
        <f>BTU!I16</f>
        <v>7</v>
      </c>
      <c r="U15" s="140">
        <f>BTU!O16</f>
        <v>1.5069999999996071</v>
      </c>
      <c r="V15" s="140">
        <f>BTU!L16</f>
        <v>1.5900000000001455</v>
      </c>
      <c r="W15" s="140">
        <f>BTU!R16</f>
        <v>1.1999999999998181</v>
      </c>
      <c r="X15" s="33">
        <f>ELECT.!B16</f>
        <v>285</v>
      </c>
      <c r="Y15" s="33">
        <f t="shared" si="0"/>
        <v>-267225</v>
      </c>
      <c r="Z15">
        <f>'Mall, Citadel, Rotana'!C16+'Mall, Citadel, Rotana'!E16+'Mall, Citadel, Rotana'!G16+'Mall, Citadel, Rotana'!I16</f>
        <v>1358</v>
      </c>
      <c r="AA15">
        <f>'Mall, Citadel, Rotana'!K16+'Mall, Citadel, Rotana'!M16</f>
        <v>261</v>
      </c>
      <c r="AB15">
        <f>'Mall, Citadel, Rotana'!O16</f>
        <v>4</v>
      </c>
      <c r="AC15">
        <f>'Mall, Citadel, Rotana'!Q16+'Mall, Citadel, Rotana'!S16</f>
        <v>124</v>
      </c>
      <c r="AD15" s="33">
        <f t="shared" si="1"/>
        <v>106.91181060000001</v>
      </c>
      <c r="AE15" s="33">
        <f t="shared" si="2"/>
        <v>704.25518940000006</v>
      </c>
    </row>
    <row r="16" spans="1:31" x14ac:dyDescent="0.2">
      <c r="A16" s="46" t="s">
        <v>53</v>
      </c>
      <c r="B16" s="51">
        <f t="shared" si="3"/>
        <v>15</v>
      </c>
      <c r="C16" s="51">
        <v>5</v>
      </c>
      <c r="D16" s="51">
        <v>2022</v>
      </c>
      <c r="E16" s="35">
        <f>Water!C17</f>
        <v>0</v>
      </c>
      <c r="F16" s="35">
        <f>Water!E17</f>
        <v>0</v>
      </c>
      <c r="G16" s="35">
        <f>Water!G17</f>
        <v>0</v>
      </c>
      <c r="H16" s="35">
        <f>Water!I17</f>
        <v>0</v>
      </c>
      <c r="I16" s="35" t="str">
        <f>ELECT.!F17</f>
        <v>0</v>
      </c>
      <c r="J16" s="35" t="str">
        <f>ELECT.!H17</f>
        <v>0</v>
      </c>
      <c r="K16" s="35">
        <f>ELECT.!K17</f>
        <v>0</v>
      </c>
      <c r="L16" s="35" t="str">
        <f>ELECT.!M17</f>
        <v>0</v>
      </c>
      <c r="M16" s="35">
        <f>ELECT.!O17</f>
        <v>0</v>
      </c>
      <c r="N16" s="35" t="str">
        <f>ELECT.!Q17</f>
        <v>0</v>
      </c>
      <c r="O16" s="35" t="str">
        <f>ELECT.!S17</f>
        <v>0</v>
      </c>
      <c r="P16" s="35">
        <f>ELECT.!W17*2</f>
        <v>0</v>
      </c>
      <c r="Q16" s="35">
        <f>ELECT.!D17</f>
        <v>0</v>
      </c>
      <c r="R16" s="140" t="str">
        <f>BTU!C17</f>
        <v>0</v>
      </c>
      <c r="S16" s="140" t="str">
        <f>BTU!F17</f>
        <v>0</v>
      </c>
      <c r="T16" s="140" t="str">
        <f>BTU!I17</f>
        <v>0</v>
      </c>
      <c r="U16" s="140" t="str">
        <f>BTU!O17</f>
        <v>0</v>
      </c>
      <c r="V16" s="140" t="str">
        <f>BTU!L17</f>
        <v>0</v>
      </c>
      <c r="W16" s="140" t="str">
        <f>BTU!R17</f>
        <v>0</v>
      </c>
      <c r="X16" s="33">
        <f>ELECT.!B17</f>
        <v>0</v>
      </c>
      <c r="Y16" s="33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3">
        <f t="shared" si="1"/>
        <v>-25.569199999999999</v>
      </c>
      <c r="AE16" s="33">
        <f t="shared" si="2"/>
        <v>-168.4308</v>
      </c>
    </row>
    <row r="17" spans="1:31" x14ac:dyDescent="0.2">
      <c r="A17" s="46" t="s">
        <v>53</v>
      </c>
      <c r="B17" s="51">
        <f t="shared" si="3"/>
        <v>16</v>
      </c>
      <c r="C17" s="51">
        <v>5</v>
      </c>
      <c r="D17" s="51">
        <v>2022</v>
      </c>
      <c r="E17" s="35">
        <f>Water!C18</f>
        <v>0</v>
      </c>
      <c r="F17" s="35">
        <f>Water!E18</f>
        <v>0</v>
      </c>
      <c r="G17" s="35">
        <f>Water!G18</f>
        <v>0</v>
      </c>
      <c r="H17" s="35">
        <f>Water!I18</f>
        <v>0</v>
      </c>
      <c r="I17" s="35">
        <f>ELECT.!F18</f>
        <v>0</v>
      </c>
      <c r="J17" s="35">
        <f>ELECT.!H18</f>
        <v>0</v>
      </c>
      <c r="K17" s="35">
        <f>ELECT.!K18</f>
        <v>0</v>
      </c>
      <c r="L17" s="35">
        <f>ELECT.!M18</f>
        <v>0</v>
      </c>
      <c r="M17" s="35">
        <f>ELECT.!O18</f>
        <v>0</v>
      </c>
      <c r="N17" s="35">
        <f>ELECT.!Q18</f>
        <v>0</v>
      </c>
      <c r="O17" s="35">
        <f>ELECT.!S18</f>
        <v>0</v>
      </c>
      <c r="P17" s="35">
        <f>ELECT.!W18*2</f>
        <v>0</v>
      </c>
      <c r="Q17" s="35">
        <f>ELECT.!D18</f>
        <v>0</v>
      </c>
      <c r="R17" s="140">
        <f>BTU!C18</f>
        <v>0</v>
      </c>
      <c r="S17" s="140">
        <f>BTU!F18</f>
        <v>0</v>
      </c>
      <c r="T17" s="140">
        <f>BTU!I18</f>
        <v>0</v>
      </c>
      <c r="U17" s="140">
        <f>BTU!O18</f>
        <v>0</v>
      </c>
      <c r="V17" s="140">
        <f>BTU!L18</f>
        <v>0</v>
      </c>
      <c r="W17" s="140">
        <f>BTU!R18</f>
        <v>0</v>
      </c>
      <c r="X17" s="33">
        <f>ELECT.!B18</f>
        <v>0</v>
      </c>
      <c r="Y17" s="33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3">
        <f t="shared" si="1"/>
        <v>-25.569199999999999</v>
      </c>
      <c r="AE17" s="33">
        <f t="shared" si="2"/>
        <v>-168.4308</v>
      </c>
    </row>
    <row r="18" spans="1:31" x14ac:dyDescent="0.2">
      <c r="A18" s="46" t="s">
        <v>53</v>
      </c>
      <c r="B18" s="51">
        <f t="shared" si="3"/>
        <v>17</v>
      </c>
      <c r="C18" s="51">
        <v>5</v>
      </c>
      <c r="D18" s="51">
        <v>2022</v>
      </c>
      <c r="E18" s="35">
        <f>Water!C19</f>
        <v>0</v>
      </c>
      <c r="F18" s="35">
        <f>Water!E19</f>
        <v>0</v>
      </c>
      <c r="G18" s="35">
        <f>Water!G19</f>
        <v>0</v>
      </c>
      <c r="H18" s="35">
        <f>Water!I19</f>
        <v>0</v>
      </c>
      <c r="I18" s="35">
        <f>ELECT.!F19</f>
        <v>0</v>
      </c>
      <c r="J18" s="35">
        <f>ELECT.!H19</f>
        <v>0</v>
      </c>
      <c r="K18" s="35">
        <f>ELECT.!K19</f>
        <v>0</v>
      </c>
      <c r="L18" s="35">
        <f>ELECT.!M19</f>
        <v>0</v>
      </c>
      <c r="M18" s="35">
        <f>ELECT.!O19</f>
        <v>0</v>
      </c>
      <c r="N18" s="35">
        <f>ELECT.!Q19</f>
        <v>0</v>
      </c>
      <c r="O18" s="35">
        <f>ELECT.!S19</f>
        <v>0</v>
      </c>
      <c r="P18" s="35">
        <f>ELECT.!W19*2</f>
        <v>0</v>
      </c>
      <c r="Q18" s="35">
        <f>ELECT.!D19</f>
        <v>0</v>
      </c>
      <c r="R18" s="140">
        <f>BTU!C19</f>
        <v>0</v>
      </c>
      <c r="S18" s="140">
        <f>BTU!F19</f>
        <v>0</v>
      </c>
      <c r="T18" s="140">
        <f>BTU!I19</f>
        <v>0</v>
      </c>
      <c r="U18" s="140">
        <f>BTU!O19</f>
        <v>0</v>
      </c>
      <c r="V18" s="140">
        <f>BTU!L19</f>
        <v>0</v>
      </c>
      <c r="W18" s="140">
        <f>BTU!R19</f>
        <v>0</v>
      </c>
      <c r="X18" s="33">
        <f>ELECT.!B19</f>
        <v>0</v>
      </c>
      <c r="Y18" s="33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3">
        <f t="shared" si="1"/>
        <v>-25.569199999999999</v>
      </c>
      <c r="AE18" s="33">
        <f t="shared" si="2"/>
        <v>-168.4308</v>
      </c>
    </row>
    <row r="19" spans="1:31" x14ac:dyDescent="0.2">
      <c r="A19" s="46" t="s">
        <v>53</v>
      </c>
      <c r="B19" s="51">
        <f t="shared" si="3"/>
        <v>18</v>
      </c>
      <c r="C19" s="51">
        <v>5</v>
      </c>
      <c r="D19" s="51">
        <v>2022</v>
      </c>
      <c r="E19" s="35">
        <f>Water!C20</f>
        <v>0</v>
      </c>
      <c r="F19" s="35">
        <f>Water!E20</f>
        <v>0</v>
      </c>
      <c r="G19" s="35">
        <f>Water!G20</f>
        <v>0</v>
      </c>
      <c r="H19" s="35">
        <f>Water!I20</f>
        <v>0</v>
      </c>
      <c r="I19" s="35">
        <f>ELECT.!F20</f>
        <v>0</v>
      </c>
      <c r="J19" s="35">
        <f>ELECT.!H20</f>
        <v>0</v>
      </c>
      <c r="K19" s="35">
        <f>ELECT.!K20</f>
        <v>0</v>
      </c>
      <c r="L19" s="35">
        <f>ELECT.!M20</f>
        <v>0</v>
      </c>
      <c r="M19" s="35">
        <f>ELECT.!O20</f>
        <v>0</v>
      </c>
      <c r="N19" s="35">
        <f>ELECT.!Q20</f>
        <v>0</v>
      </c>
      <c r="O19" s="35">
        <f>ELECT.!S20</f>
        <v>0</v>
      </c>
      <c r="P19" s="35">
        <f>ELECT.!W20*2</f>
        <v>0</v>
      </c>
      <c r="Q19" s="35">
        <f>ELECT.!D20</f>
        <v>0</v>
      </c>
      <c r="R19" s="140">
        <f>BTU!C20</f>
        <v>0</v>
      </c>
      <c r="S19" s="140">
        <f>BTU!F20</f>
        <v>0</v>
      </c>
      <c r="T19" s="140">
        <f>BTU!I20</f>
        <v>0</v>
      </c>
      <c r="U19" s="140">
        <f>BTU!O20</f>
        <v>0</v>
      </c>
      <c r="V19" s="140">
        <f>BTU!L20</f>
        <v>0</v>
      </c>
      <c r="W19" s="140">
        <f>BTU!R20</f>
        <v>0</v>
      </c>
      <c r="X19" s="33">
        <f>ELECT.!B20</f>
        <v>0</v>
      </c>
      <c r="Y19" s="33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3">
        <f t="shared" si="1"/>
        <v>-25.569199999999999</v>
      </c>
      <c r="AE19" s="33">
        <f t="shared" si="2"/>
        <v>-168.4308</v>
      </c>
    </row>
    <row r="20" spans="1:31" x14ac:dyDescent="0.2">
      <c r="A20" s="46" t="s">
        <v>53</v>
      </c>
      <c r="B20" s="51">
        <f t="shared" si="3"/>
        <v>19</v>
      </c>
      <c r="C20" s="51">
        <v>5</v>
      </c>
      <c r="D20" s="51">
        <v>2022</v>
      </c>
      <c r="E20" s="35">
        <f>Water!C21</f>
        <v>0</v>
      </c>
      <c r="F20" s="35">
        <f>Water!E21</f>
        <v>0</v>
      </c>
      <c r="G20" s="35">
        <f>Water!G21</f>
        <v>0</v>
      </c>
      <c r="H20" s="35">
        <f>Water!I21</f>
        <v>0</v>
      </c>
      <c r="I20" s="35">
        <f>ELECT.!F21</f>
        <v>0</v>
      </c>
      <c r="J20" s="35">
        <f>ELECT.!H21</f>
        <v>0</v>
      </c>
      <c r="K20" s="35">
        <f>ELECT.!K21</f>
        <v>0</v>
      </c>
      <c r="L20" s="35">
        <f>ELECT.!M21</f>
        <v>0</v>
      </c>
      <c r="M20" s="35">
        <f>ELECT.!O21</f>
        <v>0</v>
      </c>
      <c r="N20" s="35">
        <f>ELECT.!Q21</f>
        <v>0</v>
      </c>
      <c r="O20" s="35">
        <f>ELECT.!S21</f>
        <v>0</v>
      </c>
      <c r="P20" s="35">
        <f>ELECT.!W21*2</f>
        <v>0</v>
      </c>
      <c r="Q20" s="35">
        <f>ELECT.!D21</f>
        <v>0</v>
      </c>
      <c r="R20" s="140">
        <f>BTU!C21</f>
        <v>0</v>
      </c>
      <c r="S20" s="140">
        <f>BTU!F21</f>
        <v>0</v>
      </c>
      <c r="T20" s="140">
        <f>BTU!I21</f>
        <v>0</v>
      </c>
      <c r="U20" s="140">
        <f>BTU!O21</f>
        <v>0</v>
      </c>
      <c r="V20" s="140">
        <f>BTU!L21</f>
        <v>0</v>
      </c>
      <c r="W20" s="140">
        <f>BTU!R21</f>
        <v>0</v>
      </c>
      <c r="X20" s="33">
        <f>ELECT.!B21</f>
        <v>0</v>
      </c>
      <c r="Y20" s="33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3">
        <f t="shared" si="1"/>
        <v>-25.569199999999999</v>
      </c>
      <c r="AE20" s="33">
        <f t="shared" si="2"/>
        <v>-168.4308</v>
      </c>
    </row>
    <row r="21" spans="1:31" x14ac:dyDescent="0.2">
      <c r="A21" s="46" t="s">
        <v>53</v>
      </c>
      <c r="B21" s="51">
        <f t="shared" si="3"/>
        <v>20</v>
      </c>
      <c r="C21" s="51">
        <v>5</v>
      </c>
      <c r="D21" s="51">
        <v>2022</v>
      </c>
      <c r="E21" s="35">
        <f>Water!C22</f>
        <v>0</v>
      </c>
      <c r="F21" s="35">
        <f>Water!E22</f>
        <v>0</v>
      </c>
      <c r="G21" s="35">
        <f>Water!G22</f>
        <v>0</v>
      </c>
      <c r="H21" s="35">
        <f>Water!I22</f>
        <v>0</v>
      </c>
      <c r="I21" s="35">
        <f>ELECT.!F22</f>
        <v>0</v>
      </c>
      <c r="J21" s="35">
        <f>ELECT.!H22</f>
        <v>0</v>
      </c>
      <c r="K21" s="35">
        <f>ELECT.!K22</f>
        <v>0</v>
      </c>
      <c r="L21" s="35">
        <f>ELECT.!M22</f>
        <v>0</v>
      </c>
      <c r="M21" s="35">
        <f>ELECT.!O22</f>
        <v>0</v>
      </c>
      <c r="N21" s="35">
        <f>ELECT.!Q22</f>
        <v>0</v>
      </c>
      <c r="O21" s="35">
        <f>ELECT.!S22</f>
        <v>0</v>
      </c>
      <c r="P21" s="35">
        <f>ELECT.!W22*2</f>
        <v>0</v>
      </c>
      <c r="Q21" s="35">
        <f>ELECT.!D22</f>
        <v>0</v>
      </c>
      <c r="R21" s="140">
        <f>BTU!C22</f>
        <v>0</v>
      </c>
      <c r="S21" s="140">
        <f>BTU!F22</f>
        <v>0</v>
      </c>
      <c r="T21" s="140">
        <f>BTU!I22</f>
        <v>0</v>
      </c>
      <c r="U21" s="140">
        <f>BTU!O22</f>
        <v>0</v>
      </c>
      <c r="V21" s="140">
        <f>BTU!L22</f>
        <v>0</v>
      </c>
      <c r="W21" s="140">
        <f>BTU!R22</f>
        <v>0</v>
      </c>
      <c r="X21" s="33">
        <f>ELECT.!B22</f>
        <v>0</v>
      </c>
      <c r="Y21" s="33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3">
        <f t="shared" si="1"/>
        <v>-25.569199999999999</v>
      </c>
      <c r="AE21" s="33">
        <f t="shared" si="2"/>
        <v>-168.4308</v>
      </c>
    </row>
    <row r="22" spans="1:31" x14ac:dyDescent="0.2">
      <c r="A22" s="46" t="s">
        <v>53</v>
      </c>
      <c r="B22" s="51">
        <f t="shared" si="3"/>
        <v>21</v>
      </c>
      <c r="C22" s="51">
        <v>5</v>
      </c>
      <c r="D22" s="51">
        <v>2022</v>
      </c>
      <c r="E22" s="35">
        <f>Water!C23</f>
        <v>0</v>
      </c>
      <c r="F22" s="35">
        <f>Water!E23</f>
        <v>0</v>
      </c>
      <c r="G22" s="35">
        <f>Water!G23</f>
        <v>0</v>
      </c>
      <c r="H22" s="35">
        <f>Water!I23</f>
        <v>0</v>
      </c>
      <c r="I22" s="35">
        <f>ELECT.!F23</f>
        <v>0</v>
      </c>
      <c r="J22" s="35">
        <f>ELECT.!H23</f>
        <v>0</v>
      </c>
      <c r="K22" s="35">
        <f>ELECT.!K23</f>
        <v>0</v>
      </c>
      <c r="L22" s="35">
        <f>ELECT.!M23</f>
        <v>0</v>
      </c>
      <c r="M22" s="35">
        <f>ELECT.!O23</f>
        <v>0</v>
      </c>
      <c r="N22" s="35">
        <f>ELECT.!Q23</f>
        <v>0</v>
      </c>
      <c r="O22" s="35">
        <f>ELECT.!S23</f>
        <v>0</v>
      </c>
      <c r="P22" s="35">
        <f>ELECT.!W23*2</f>
        <v>0</v>
      </c>
      <c r="Q22" s="35">
        <f>ELECT.!D23</f>
        <v>0</v>
      </c>
      <c r="R22" s="140">
        <f>BTU!C23</f>
        <v>0</v>
      </c>
      <c r="S22" s="140">
        <f>BTU!F23</f>
        <v>0</v>
      </c>
      <c r="T22" s="140">
        <f>BTU!I23</f>
        <v>0</v>
      </c>
      <c r="U22" s="140">
        <f>BTU!O23</f>
        <v>0</v>
      </c>
      <c r="V22" s="140">
        <f>BTU!L23</f>
        <v>0</v>
      </c>
      <c r="W22" s="140">
        <f>BTU!R23</f>
        <v>0</v>
      </c>
      <c r="X22" s="33">
        <f>ELECT.!B23</f>
        <v>0</v>
      </c>
      <c r="Y22" s="33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3">
        <f t="shared" si="1"/>
        <v>-25.569199999999999</v>
      </c>
      <c r="AE22" s="33">
        <f t="shared" si="2"/>
        <v>-168.4308</v>
      </c>
    </row>
    <row r="23" spans="1:31" x14ac:dyDescent="0.2">
      <c r="A23" s="46" t="s">
        <v>53</v>
      </c>
      <c r="B23" s="51">
        <f t="shared" si="3"/>
        <v>22</v>
      </c>
      <c r="C23" s="51">
        <v>5</v>
      </c>
      <c r="D23" s="51">
        <v>2022</v>
      </c>
      <c r="E23" s="35">
        <f>Water!C24</f>
        <v>0</v>
      </c>
      <c r="F23" s="35">
        <f>Water!E24</f>
        <v>0</v>
      </c>
      <c r="G23" s="35">
        <f>Water!G24</f>
        <v>0</v>
      </c>
      <c r="H23" s="35">
        <f>Water!I24</f>
        <v>0</v>
      </c>
      <c r="I23" s="35">
        <f>ELECT.!F24</f>
        <v>0</v>
      </c>
      <c r="J23" s="35">
        <f>ELECT.!H24</f>
        <v>0</v>
      </c>
      <c r="K23" s="35">
        <f>ELECT.!K24</f>
        <v>0</v>
      </c>
      <c r="L23" s="35">
        <f>ELECT.!M24</f>
        <v>0</v>
      </c>
      <c r="M23" s="35">
        <f>ELECT.!O24</f>
        <v>0</v>
      </c>
      <c r="N23" s="35">
        <f>ELECT.!Q24</f>
        <v>0</v>
      </c>
      <c r="O23" s="35">
        <f>ELECT.!S24</f>
        <v>0</v>
      </c>
      <c r="P23" s="35">
        <f>ELECT.!W24*2</f>
        <v>0</v>
      </c>
      <c r="Q23" s="35">
        <f>ELECT.!D24</f>
        <v>0</v>
      </c>
      <c r="R23" s="140">
        <f>BTU!C24</f>
        <v>0</v>
      </c>
      <c r="S23" s="140">
        <f>BTU!F24</f>
        <v>0</v>
      </c>
      <c r="T23" s="140">
        <f>BTU!I24</f>
        <v>0</v>
      </c>
      <c r="U23" s="140">
        <f>BTU!O24</f>
        <v>0</v>
      </c>
      <c r="V23" s="140">
        <f>BTU!L24</f>
        <v>0</v>
      </c>
      <c r="W23" s="140">
        <f>BTU!R24</f>
        <v>0</v>
      </c>
      <c r="X23" s="33">
        <f>ELECT.!B24</f>
        <v>0</v>
      </c>
      <c r="Y23" s="33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3">
        <f t="shared" si="1"/>
        <v>-25.569199999999999</v>
      </c>
      <c r="AE23" s="33">
        <f t="shared" si="2"/>
        <v>-168.4308</v>
      </c>
    </row>
    <row r="24" spans="1:31" x14ac:dyDescent="0.2">
      <c r="A24" s="46" t="s">
        <v>53</v>
      </c>
      <c r="B24" s="51">
        <f t="shared" si="3"/>
        <v>23</v>
      </c>
      <c r="C24" s="51">
        <v>5</v>
      </c>
      <c r="D24" s="51">
        <v>2022</v>
      </c>
      <c r="E24" s="35">
        <f>Water!C25</f>
        <v>0</v>
      </c>
      <c r="F24" s="35">
        <f>Water!E25</f>
        <v>0</v>
      </c>
      <c r="G24" s="35">
        <f>Water!G25</f>
        <v>0</v>
      </c>
      <c r="H24" s="35">
        <f>Water!I25</f>
        <v>0</v>
      </c>
      <c r="I24" s="35">
        <f>ELECT.!F25</f>
        <v>0</v>
      </c>
      <c r="J24" s="35">
        <f>ELECT.!H25</f>
        <v>0</v>
      </c>
      <c r="K24" s="35">
        <f>ELECT.!K25</f>
        <v>0</v>
      </c>
      <c r="L24" s="35">
        <f>ELECT.!M25</f>
        <v>0</v>
      </c>
      <c r="M24" s="35">
        <f>ELECT.!O25</f>
        <v>0</v>
      </c>
      <c r="N24" s="35">
        <f>ELECT.!Q25</f>
        <v>0</v>
      </c>
      <c r="O24" s="35">
        <f>ELECT.!S25</f>
        <v>0</v>
      </c>
      <c r="P24" s="35">
        <f>ELECT.!W25*2</f>
        <v>0</v>
      </c>
      <c r="Q24" s="35">
        <f>ELECT.!D25</f>
        <v>0</v>
      </c>
      <c r="R24" s="140">
        <f>BTU!C25</f>
        <v>0</v>
      </c>
      <c r="S24" s="140">
        <f>BTU!F25</f>
        <v>0</v>
      </c>
      <c r="T24" s="140">
        <f>BTU!I25</f>
        <v>0</v>
      </c>
      <c r="U24" s="140">
        <f>BTU!O25</f>
        <v>0</v>
      </c>
      <c r="V24" s="140">
        <f>BTU!L25</f>
        <v>0</v>
      </c>
      <c r="W24" s="140">
        <f>BTU!R25</f>
        <v>0</v>
      </c>
      <c r="X24" s="33">
        <f>ELECT.!B25</f>
        <v>0</v>
      </c>
      <c r="Y24" s="33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3">
        <f t="shared" si="1"/>
        <v>-25.569199999999999</v>
      </c>
      <c r="AE24" s="33">
        <f t="shared" si="2"/>
        <v>-168.4308</v>
      </c>
    </row>
    <row r="25" spans="1:31" x14ac:dyDescent="0.2">
      <c r="A25" s="46" t="s">
        <v>53</v>
      </c>
      <c r="B25" s="51">
        <f t="shared" si="3"/>
        <v>24</v>
      </c>
      <c r="C25" s="51">
        <v>5</v>
      </c>
      <c r="D25" s="51">
        <v>2022</v>
      </c>
      <c r="E25" s="35">
        <f>Water!C26</f>
        <v>0</v>
      </c>
      <c r="F25" s="35">
        <f>Water!E26</f>
        <v>0</v>
      </c>
      <c r="G25" s="35">
        <f>Water!G26</f>
        <v>0</v>
      </c>
      <c r="H25" s="35">
        <f>Water!I26</f>
        <v>0</v>
      </c>
      <c r="I25" s="35">
        <f>ELECT.!F26</f>
        <v>0</v>
      </c>
      <c r="J25" s="35">
        <f>ELECT.!H26</f>
        <v>0</v>
      </c>
      <c r="K25" s="35">
        <f>ELECT.!K26</f>
        <v>0</v>
      </c>
      <c r="L25" s="35">
        <f>ELECT.!M26</f>
        <v>0</v>
      </c>
      <c r="M25" s="35">
        <f>ELECT.!O26</f>
        <v>0</v>
      </c>
      <c r="N25" s="35">
        <f>ELECT.!Q26</f>
        <v>0</v>
      </c>
      <c r="O25" s="35">
        <f>ELECT.!S26</f>
        <v>0</v>
      </c>
      <c r="P25" s="35">
        <f>ELECT.!W26*2</f>
        <v>0</v>
      </c>
      <c r="Q25" s="35">
        <f>ELECT.!D26</f>
        <v>0</v>
      </c>
      <c r="R25" s="140">
        <f>BTU!C26</f>
        <v>0</v>
      </c>
      <c r="S25" s="140">
        <f>BTU!F26</f>
        <v>0</v>
      </c>
      <c r="T25" s="140">
        <f>BTU!I26</f>
        <v>0</v>
      </c>
      <c r="U25" s="140">
        <f>BTU!O26</f>
        <v>0</v>
      </c>
      <c r="V25" s="140">
        <f>BTU!L26</f>
        <v>0</v>
      </c>
      <c r="W25" s="140">
        <f>BTU!R26</f>
        <v>0</v>
      </c>
      <c r="X25" s="33">
        <f>ELECT.!B26</f>
        <v>0</v>
      </c>
      <c r="Y25" s="33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3">
        <f t="shared" si="1"/>
        <v>-25.569199999999999</v>
      </c>
      <c r="AE25" s="33">
        <f t="shared" si="2"/>
        <v>-168.4308</v>
      </c>
    </row>
    <row r="26" spans="1:31" x14ac:dyDescent="0.2">
      <c r="A26" s="46" t="s">
        <v>53</v>
      </c>
      <c r="B26" s="51">
        <f>B25+1</f>
        <v>25</v>
      </c>
      <c r="C26" s="51">
        <v>5</v>
      </c>
      <c r="D26" s="51">
        <v>2022</v>
      </c>
      <c r="E26" s="35">
        <f>Water!C27</f>
        <v>0</v>
      </c>
      <c r="F26" s="35">
        <f>Water!E27</f>
        <v>0</v>
      </c>
      <c r="G26" s="35">
        <f>Water!G27</f>
        <v>0</v>
      </c>
      <c r="H26" s="35">
        <f>Water!I27</f>
        <v>0</v>
      </c>
      <c r="I26" s="35">
        <f>ELECT.!F27</f>
        <v>0</v>
      </c>
      <c r="J26" s="35">
        <f>ELECT.!H27</f>
        <v>0</v>
      </c>
      <c r="K26" s="35">
        <f>ELECT.!K27</f>
        <v>0</v>
      </c>
      <c r="L26" s="35">
        <f>ELECT.!M27</f>
        <v>0</v>
      </c>
      <c r="M26" s="35">
        <f>ELECT.!O27</f>
        <v>0</v>
      </c>
      <c r="N26" s="35">
        <f>ELECT.!Q27</f>
        <v>0</v>
      </c>
      <c r="O26" s="35">
        <f>ELECT.!S27</f>
        <v>0</v>
      </c>
      <c r="P26" s="35">
        <f>ELECT.!W27*2</f>
        <v>0</v>
      </c>
      <c r="Q26" s="35">
        <f>ELECT.!D27</f>
        <v>0</v>
      </c>
      <c r="R26" s="140">
        <f>BTU!C27</f>
        <v>0</v>
      </c>
      <c r="S26" s="140">
        <f>BTU!F27</f>
        <v>0</v>
      </c>
      <c r="T26" s="140">
        <f>BTU!I27</f>
        <v>0</v>
      </c>
      <c r="U26" s="140">
        <f>BTU!O27</f>
        <v>0</v>
      </c>
      <c r="V26" s="140">
        <f>BTU!L27</f>
        <v>0</v>
      </c>
      <c r="W26" s="140">
        <f>BTU!R27</f>
        <v>0</v>
      </c>
      <c r="X26" s="33">
        <f>ELECT.!B27</f>
        <v>0</v>
      </c>
      <c r="Y26" s="33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3">
        <f t="shared" si="1"/>
        <v>-25.569199999999999</v>
      </c>
      <c r="AE26" s="33">
        <f t="shared" si="2"/>
        <v>-168.4308</v>
      </c>
    </row>
    <row r="27" spans="1:31" x14ac:dyDescent="0.2">
      <c r="A27" s="46" t="s">
        <v>53</v>
      </c>
      <c r="B27" s="51">
        <f t="shared" si="3"/>
        <v>26</v>
      </c>
      <c r="C27" s="51">
        <v>5</v>
      </c>
      <c r="D27" s="51">
        <v>2022</v>
      </c>
      <c r="E27" s="35">
        <f>Water!C28</f>
        <v>0</v>
      </c>
      <c r="F27" s="35">
        <f>Water!E28</f>
        <v>0</v>
      </c>
      <c r="G27" s="35">
        <f>Water!G28</f>
        <v>0</v>
      </c>
      <c r="H27" s="35">
        <f>Water!I28</f>
        <v>0</v>
      </c>
      <c r="I27" s="35">
        <f>ELECT.!F28</f>
        <v>0</v>
      </c>
      <c r="J27" s="35">
        <f>ELECT.!H28</f>
        <v>0</v>
      </c>
      <c r="K27" s="35">
        <f>ELECT.!K28</f>
        <v>0</v>
      </c>
      <c r="L27" s="35">
        <f>ELECT.!M28</f>
        <v>0</v>
      </c>
      <c r="M27" s="35">
        <f>ELECT.!O28</f>
        <v>0</v>
      </c>
      <c r="N27" s="35">
        <f>ELECT.!Q28</f>
        <v>0</v>
      </c>
      <c r="O27" s="35">
        <f>ELECT.!S28</f>
        <v>0</v>
      </c>
      <c r="P27" s="35">
        <f>ELECT.!W28*2</f>
        <v>0</v>
      </c>
      <c r="Q27" s="35">
        <f>ELECT.!D28</f>
        <v>0</v>
      </c>
      <c r="R27" s="140">
        <f>BTU!C28</f>
        <v>0</v>
      </c>
      <c r="S27" s="140">
        <f>BTU!F28</f>
        <v>0</v>
      </c>
      <c r="T27" s="140">
        <f>BTU!I28</f>
        <v>0</v>
      </c>
      <c r="U27" s="140">
        <f>BTU!O28</f>
        <v>0</v>
      </c>
      <c r="V27" s="140">
        <f>BTU!L28</f>
        <v>0</v>
      </c>
      <c r="W27" s="140">
        <f>BTU!R28</f>
        <v>0</v>
      </c>
      <c r="X27" s="33">
        <f>ELECT.!B28</f>
        <v>0</v>
      </c>
      <c r="Y27" s="33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3">
        <f t="shared" si="1"/>
        <v>-25.569199999999999</v>
      </c>
      <c r="AE27" s="33">
        <f t="shared" si="2"/>
        <v>-168.4308</v>
      </c>
    </row>
    <row r="28" spans="1:31" x14ac:dyDescent="0.2">
      <c r="A28" s="46" t="s">
        <v>53</v>
      </c>
      <c r="B28" s="51">
        <f t="shared" si="3"/>
        <v>27</v>
      </c>
      <c r="C28" s="51">
        <v>5</v>
      </c>
      <c r="D28" s="51">
        <v>2022</v>
      </c>
      <c r="E28" s="35">
        <f>Water!C29</f>
        <v>0</v>
      </c>
      <c r="F28" s="35">
        <f>Water!E29</f>
        <v>0</v>
      </c>
      <c r="G28" s="35">
        <f>Water!G29</f>
        <v>0</v>
      </c>
      <c r="H28" s="35">
        <f>Water!I29</f>
        <v>0</v>
      </c>
      <c r="I28" s="35">
        <f>ELECT.!F29</f>
        <v>0</v>
      </c>
      <c r="J28" s="35">
        <f>ELECT.!H29</f>
        <v>0</v>
      </c>
      <c r="K28" s="35">
        <f>ELECT.!K29</f>
        <v>0</v>
      </c>
      <c r="L28" s="35">
        <f>ELECT.!M29</f>
        <v>0</v>
      </c>
      <c r="M28" s="35">
        <f>ELECT.!O29</f>
        <v>0</v>
      </c>
      <c r="N28" s="35">
        <f>ELECT.!Q29</f>
        <v>0</v>
      </c>
      <c r="O28" s="35">
        <f>ELECT.!S29</f>
        <v>0</v>
      </c>
      <c r="P28" s="35">
        <f>ELECT.!W29*2</f>
        <v>0</v>
      </c>
      <c r="Q28" s="35">
        <f>ELECT.!D29</f>
        <v>0</v>
      </c>
      <c r="R28" s="140">
        <f>BTU!C29</f>
        <v>0</v>
      </c>
      <c r="S28" s="140">
        <f>BTU!F29</f>
        <v>0</v>
      </c>
      <c r="T28" s="140">
        <f>BTU!I29</f>
        <v>0</v>
      </c>
      <c r="U28" s="140">
        <f>BTU!O29</f>
        <v>0</v>
      </c>
      <c r="V28" s="140">
        <f>BTU!L29</f>
        <v>0</v>
      </c>
      <c r="W28" s="140">
        <f>BTU!R29</f>
        <v>0</v>
      </c>
      <c r="X28" s="33">
        <f>ELECT.!B29</f>
        <v>0</v>
      </c>
      <c r="Y28" s="33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3">
        <f t="shared" si="1"/>
        <v>-25.569199999999999</v>
      </c>
      <c r="AE28" s="33">
        <f t="shared" si="2"/>
        <v>-168.4308</v>
      </c>
    </row>
    <row r="29" spans="1:31" x14ac:dyDescent="0.2">
      <c r="A29" s="46" t="s">
        <v>53</v>
      </c>
      <c r="B29" s="51">
        <f t="shared" si="3"/>
        <v>28</v>
      </c>
      <c r="C29" s="51">
        <v>5</v>
      </c>
      <c r="D29" s="51">
        <v>2022</v>
      </c>
      <c r="E29" s="35">
        <f>Water!C30</f>
        <v>0</v>
      </c>
      <c r="F29" s="35">
        <f>Water!E30</f>
        <v>0</v>
      </c>
      <c r="G29" s="35">
        <f>Water!G30</f>
        <v>0</v>
      </c>
      <c r="H29" s="35">
        <f>Water!I30</f>
        <v>0</v>
      </c>
      <c r="I29" s="35">
        <f>ELECT.!F30</f>
        <v>0</v>
      </c>
      <c r="J29" s="35">
        <f>ELECT.!H30</f>
        <v>0</v>
      </c>
      <c r="K29" s="35">
        <f>ELECT.!K30</f>
        <v>0</v>
      </c>
      <c r="L29" s="35">
        <f>ELECT.!M30</f>
        <v>0</v>
      </c>
      <c r="M29" s="35">
        <f>ELECT.!O30</f>
        <v>0</v>
      </c>
      <c r="N29" s="35">
        <f>ELECT.!Q30</f>
        <v>0</v>
      </c>
      <c r="O29" s="35">
        <f>ELECT.!S30</f>
        <v>0</v>
      </c>
      <c r="P29" s="35">
        <f>ELECT.!W30*2</f>
        <v>0</v>
      </c>
      <c r="Q29" s="35">
        <f>ELECT.!D30</f>
        <v>0</v>
      </c>
      <c r="R29" s="140">
        <f>BTU!C30</f>
        <v>0</v>
      </c>
      <c r="S29" s="140">
        <f>BTU!F30</f>
        <v>0</v>
      </c>
      <c r="T29" s="140">
        <f>BTU!I30</f>
        <v>0</v>
      </c>
      <c r="U29" s="140">
        <f>BTU!O30</f>
        <v>0</v>
      </c>
      <c r="V29" s="140">
        <f>BTU!L30</f>
        <v>0</v>
      </c>
      <c r="W29" s="140">
        <f>BTU!R30</f>
        <v>0</v>
      </c>
      <c r="X29" s="33">
        <f>ELECT.!B30</f>
        <v>0</v>
      </c>
      <c r="Y29" s="33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3">
        <f t="shared" si="1"/>
        <v>-25.569199999999999</v>
      </c>
      <c r="AE29" s="33">
        <f t="shared" si="2"/>
        <v>-168.4308</v>
      </c>
    </row>
    <row r="30" spans="1:31" x14ac:dyDescent="0.2">
      <c r="A30" s="46" t="s">
        <v>53</v>
      </c>
      <c r="B30" s="51">
        <f t="shared" si="3"/>
        <v>29</v>
      </c>
      <c r="C30" s="51">
        <v>5</v>
      </c>
      <c r="D30" s="51">
        <v>2022</v>
      </c>
      <c r="E30" s="35">
        <f>Water!C31</f>
        <v>0</v>
      </c>
      <c r="F30" s="35">
        <f>Water!E31</f>
        <v>0</v>
      </c>
      <c r="G30" s="35">
        <f>Water!G31</f>
        <v>0</v>
      </c>
      <c r="H30" s="35">
        <f>Water!I31</f>
        <v>0</v>
      </c>
      <c r="I30" s="35">
        <f>ELECT.!F31</f>
        <v>0</v>
      </c>
      <c r="J30" s="35">
        <f>ELECT.!H31</f>
        <v>0</v>
      </c>
      <c r="K30" s="35">
        <f>ELECT.!K31</f>
        <v>0</v>
      </c>
      <c r="L30" s="35">
        <f>ELECT.!M31</f>
        <v>0</v>
      </c>
      <c r="M30" s="35">
        <f>ELECT.!O31</f>
        <v>0</v>
      </c>
      <c r="N30" s="35">
        <f>ELECT.!Q31</f>
        <v>0</v>
      </c>
      <c r="O30" s="35">
        <f>ELECT.!S31</f>
        <v>0</v>
      </c>
      <c r="P30" s="35">
        <f>ELECT.!W31*2</f>
        <v>0</v>
      </c>
      <c r="Q30" s="35">
        <f>ELECT.!D31</f>
        <v>0</v>
      </c>
      <c r="R30" s="140">
        <f>BTU!C31</f>
        <v>0</v>
      </c>
      <c r="S30" s="140">
        <f>BTU!F31</f>
        <v>0</v>
      </c>
      <c r="T30" s="140">
        <f>BTU!I31</f>
        <v>0</v>
      </c>
      <c r="U30" s="140">
        <f>BTU!O31</f>
        <v>0</v>
      </c>
      <c r="V30" s="140">
        <f>BTU!L31</f>
        <v>0</v>
      </c>
      <c r="W30" s="140">
        <f>BTU!R31</f>
        <v>0</v>
      </c>
      <c r="X30" s="33">
        <f>ELECT.!B31</f>
        <v>0</v>
      </c>
      <c r="Y30" s="33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3">
        <f t="shared" si="1"/>
        <v>-25.569199999999999</v>
      </c>
      <c r="AE30" s="33">
        <f t="shared" si="2"/>
        <v>-168.4308</v>
      </c>
    </row>
    <row r="31" spans="1:31" x14ac:dyDescent="0.2">
      <c r="A31" s="46" t="s">
        <v>53</v>
      </c>
      <c r="B31" s="51">
        <f t="shared" si="3"/>
        <v>30</v>
      </c>
      <c r="C31" s="51">
        <v>5</v>
      </c>
      <c r="D31" s="51">
        <v>2022</v>
      </c>
      <c r="E31" s="35">
        <f>Water!C32</f>
        <v>0</v>
      </c>
      <c r="F31" s="35">
        <f>Water!E32</f>
        <v>0</v>
      </c>
      <c r="G31" s="35">
        <f>Water!G32</f>
        <v>0</v>
      </c>
      <c r="H31" s="35">
        <f>Water!I32</f>
        <v>0</v>
      </c>
      <c r="I31" s="35">
        <f>ELECT.!F32</f>
        <v>0</v>
      </c>
      <c r="J31" s="35">
        <f>ELECT.!H32</f>
        <v>0</v>
      </c>
      <c r="K31" s="35">
        <f>ELECT.!K32</f>
        <v>0</v>
      </c>
      <c r="L31" s="35">
        <f>ELECT.!M32</f>
        <v>0</v>
      </c>
      <c r="M31" s="35">
        <f>ELECT.!O32</f>
        <v>0</v>
      </c>
      <c r="N31" s="35">
        <f>ELECT.!Q32</f>
        <v>0</v>
      </c>
      <c r="O31" s="35">
        <f>ELECT.!S32</f>
        <v>0</v>
      </c>
      <c r="P31" s="35">
        <f>ELECT.!W32*2</f>
        <v>0</v>
      </c>
      <c r="Q31" s="35">
        <f>ELECT.!D32</f>
        <v>0</v>
      </c>
      <c r="R31" s="140">
        <f>BTU!C32</f>
        <v>0</v>
      </c>
      <c r="S31" s="140">
        <f>BTU!F32</f>
        <v>0</v>
      </c>
      <c r="T31" s="140">
        <f>BTU!I32</f>
        <v>0</v>
      </c>
      <c r="U31" s="140">
        <f>BTU!O32</f>
        <v>0</v>
      </c>
      <c r="V31" s="140">
        <f>BTU!L32</f>
        <v>0</v>
      </c>
      <c r="W31" s="140">
        <f>BTU!R32</f>
        <v>0</v>
      </c>
      <c r="X31" s="33">
        <f>ELECT.!B32</f>
        <v>0</v>
      </c>
      <c r="Y31" s="33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3">
        <f t="shared" si="1"/>
        <v>-25.569199999999999</v>
      </c>
      <c r="AE31" s="33">
        <f t="shared" si="2"/>
        <v>-168.4308</v>
      </c>
    </row>
    <row r="32" spans="1:31" x14ac:dyDescent="0.2">
      <c r="A32" s="46" t="s">
        <v>53</v>
      </c>
      <c r="B32" s="51">
        <f t="shared" si="3"/>
        <v>31</v>
      </c>
      <c r="C32" s="51">
        <v>5</v>
      </c>
      <c r="D32" s="51">
        <v>2022</v>
      </c>
      <c r="E32" s="35">
        <f>Water!C33</f>
        <v>0</v>
      </c>
      <c r="F32" s="35">
        <f>Water!E33</f>
        <v>0</v>
      </c>
      <c r="G32" s="35">
        <f>Water!G33</f>
        <v>0</v>
      </c>
      <c r="H32" s="35">
        <f>Water!I33</f>
        <v>0</v>
      </c>
      <c r="I32" s="35">
        <f>ELECT.!F33</f>
        <v>0</v>
      </c>
      <c r="J32" s="35">
        <f>ELECT.!H33</f>
        <v>0</v>
      </c>
      <c r="K32" s="35">
        <f>ELECT.!K33</f>
        <v>0</v>
      </c>
      <c r="L32" s="35">
        <f>ELECT.!M33</f>
        <v>0</v>
      </c>
      <c r="M32" s="35">
        <f>ELECT.!O33</f>
        <v>0</v>
      </c>
      <c r="N32" s="35">
        <f>ELECT.!Q33</f>
        <v>0</v>
      </c>
      <c r="O32" s="35">
        <f>ELECT.!S33</f>
        <v>0</v>
      </c>
      <c r="P32" s="35">
        <f>ELECT.!W33*2</f>
        <v>0</v>
      </c>
      <c r="Q32" s="35">
        <f>ELECT.!D33</f>
        <v>0</v>
      </c>
      <c r="R32" s="140">
        <f>BTU!C33</f>
        <v>0</v>
      </c>
      <c r="S32" s="140">
        <f>BTU!F33</f>
        <v>0</v>
      </c>
      <c r="T32" s="140">
        <f>BTU!I33</f>
        <v>0</v>
      </c>
      <c r="U32" s="140">
        <f>BTU!O33</f>
        <v>0</v>
      </c>
      <c r="V32" s="140">
        <f>BTU!L33</f>
        <v>0</v>
      </c>
      <c r="W32" s="140">
        <f>BTU!R33</f>
        <v>0</v>
      </c>
      <c r="X32" s="33">
        <f>ELECT.!B33</f>
        <v>0</v>
      </c>
      <c r="Y32" s="33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3">
        <f t="shared" ref="AD32" si="5">(E32-H32-194)*0.1318</f>
        <v>-25.569199999999999</v>
      </c>
      <c r="AE32" s="33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6"/>
  <sheetViews>
    <sheetView zoomScale="110" zoomScaleNormal="110" workbookViewId="0">
      <pane ySplit="1" topLeftCell="A2" activePane="bottomLeft" state="frozen"/>
      <selection pane="bottomLeft" activeCell="A16" sqref="A16:XFD16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29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0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44681</v>
      </c>
      <c r="B2" s="30">
        <v>46944</v>
      </c>
      <c r="C2" s="14"/>
      <c r="D2" s="30">
        <v>40538</v>
      </c>
      <c r="E2" s="14"/>
      <c r="F2" s="30">
        <v>21585</v>
      </c>
      <c r="G2" s="14"/>
      <c r="H2" s="30">
        <v>254729</v>
      </c>
      <c r="I2" s="14"/>
      <c r="J2" s="30">
        <v>311681</v>
      </c>
      <c r="K2" s="14"/>
      <c r="L2" s="30">
        <v>26080</v>
      </c>
      <c r="M2" s="14"/>
      <c r="N2" s="30">
        <v>225936</v>
      </c>
      <c r="O2" s="14"/>
      <c r="P2" s="30">
        <v>150175</v>
      </c>
      <c r="Q2" s="14"/>
      <c r="R2" s="1">
        <v>55047</v>
      </c>
      <c r="S2" s="14"/>
      <c r="T2" s="30">
        <v>3981</v>
      </c>
      <c r="U2" s="14"/>
    </row>
    <row r="3" spans="1:24" ht="13.5" thickBot="1" x14ac:dyDescent="0.25">
      <c r="A3" s="9">
        <v>44682</v>
      </c>
      <c r="B3" s="30">
        <v>46947</v>
      </c>
      <c r="C3" s="14">
        <f>(B3-B2)*800/5</f>
        <v>480</v>
      </c>
      <c r="D3" s="30">
        <v>40540</v>
      </c>
      <c r="E3" s="14">
        <f>(D3-D2)*800/5</f>
        <v>320</v>
      </c>
      <c r="F3" s="30">
        <v>21587</v>
      </c>
      <c r="G3" s="14">
        <f>(F3-F2)*100/5</f>
        <v>40</v>
      </c>
      <c r="H3" s="30">
        <v>254745</v>
      </c>
      <c r="I3" s="14">
        <f>(H3-H2)</f>
        <v>16</v>
      </c>
      <c r="J3" s="30">
        <v>311803</v>
      </c>
      <c r="K3" s="14">
        <f>(J3-J2)</f>
        <v>122</v>
      </c>
      <c r="L3" s="30">
        <v>26082</v>
      </c>
      <c r="M3" s="14">
        <f>(L3-L2)*300/5</f>
        <v>120</v>
      </c>
      <c r="N3" s="30">
        <v>225939</v>
      </c>
      <c r="O3" s="14">
        <f>N3-N2</f>
        <v>3</v>
      </c>
      <c r="P3" s="30">
        <v>150175</v>
      </c>
      <c r="Q3" s="14">
        <f t="shared" ref="Q3:Q32" si="0">P3-P2</f>
        <v>0</v>
      </c>
      <c r="R3" s="1">
        <v>55047</v>
      </c>
      <c r="S3" s="14">
        <v>0</v>
      </c>
      <c r="T3" s="30">
        <v>3981</v>
      </c>
      <c r="U3" s="14">
        <f>(T3-T2)*800/5</f>
        <v>0</v>
      </c>
    </row>
    <row r="4" spans="1:24" ht="13.5" thickBot="1" x14ac:dyDescent="0.25">
      <c r="A4" s="9">
        <v>44683</v>
      </c>
      <c r="B4" s="30">
        <v>46951</v>
      </c>
      <c r="C4" s="14">
        <f>(B4-B3)*800/5</f>
        <v>640</v>
      </c>
      <c r="D4" s="30">
        <v>40544</v>
      </c>
      <c r="E4" s="14">
        <f t="shared" ref="E4:E32" si="1">(D4-D3)*800/5</f>
        <v>640</v>
      </c>
      <c r="F4" s="30">
        <v>21590</v>
      </c>
      <c r="G4" s="14">
        <f t="shared" ref="G4:G32" si="2">(F4-F3)*100/5</f>
        <v>60</v>
      </c>
      <c r="H4" s="30">
        <v>254761</v>
      </c>
      <c r="I4" s="14">
        <f t="shared" ref="I4:I32" si="3">(H4-H3)</f>
        <v>16</v>
      </c>
      <c r="J4" s="30">
        <v>311887</v>
      </c>
      <c r="K4" s="14">
        <f t="shared" ref="K4:K32" si="4">(J4-J3)</f>
        <v>84</v>
      </c>
      <c r="L4" s="30">
        <v>26084</v>
      </c>
      <c r="M4" s="14">
        <f t="shared" ref="M4:M32" si="5">(L4-L3)*300/5</f>
        <v>120</v>
      </c>
      <c r="N4" s="30">
        <v>225942</v>
      </c>
      <c r="O4" s="14">
        <f t="shared" ref="O4:O32" si="6">N4-N3</f>
        <v>3</v>
      </c>
      <c r="P4" s="30">
        <v>150258</v>
      </c>
      <c r="Q4" s="14">
        <f t="shared" si="0"/>
        <v>83</v>
      </c>
      <c r="R4" s="1">
        <v>55047</v>
      </c>
      <c r="S4" s="14">
        <f t="shared" ref="S4:S32" si="7">R4-R3</f>
        <v>0</v>
      </c>
      <c r="T4" s="30">
        <v>3981</v>
      </c>
      <c r="U4" s="14">
        <f t="shared" ref="U4:U32" si="8">(T4-T3)*800/5</f>
        <v>0</v>
      </c>
    </row>
    <row r="5" spans="1:24" ht="13.5" thickBot="1" x14ac:dyDescent="0.25">
      <c r="A5" s="9">
        <v>44684</v>
      </c>
      <c r="B5" s="30">
        <v>46956</v>
      </c>
      <c r="C5" s="14">
        <f t="shared" ref="C5:C32" si="9">(B5-B4)*800/5</f>
        <v>800</v>
      </c>
      <c r="D5" s="30">
        <v>40547</v>
      </c>
      <c r="E5" s="14">
        <f t="shared" si="1"/>
        <v>480</v>
      </c>
      <c r="F5" s="30">
        <v>21594</v>
      </c>
      <c r="G5" s="14">
        <f t="shared" si="2"/>
        <v>80</v>
      </c>
      <c r="H5" s="30">
        <v>254783</v>
      </c>
      <c r="I5" s="14">
        <f t="shared" si="3"/>
        <v>22</v>
      </c>
      <c r="J5" s="30">
        <v>311985</v>
      </c>
      <c r="K5" s="14">
        <f t="shared" si="4"/>
        <v>98</v>
      </c>
      <c r="L5" s="30">
        <v>26086</v>
      </c>
      <c r="M5" s="14">
        <f t="shared" si="5"/>
        <v>120</v>
      </c>
      <c r="N5" s="30">
        <v>225946</v>
      </c>
      <c r="O5" s="14">
        <f t="shared" si="6"/>
        <v>4</v>
      </c>
      <c r="P5" s="30">
        <v>150359</v>
      </c>
      <c r="Q5" s="14">
        <f t="shared" si="0"/>
        <v>101</v>
      </c>
      <c r="R5" s="30">
        <f>R4</f>
        <v>55047</v>
      </c>
      <c r="S5" s="14">
        <f t="shared" si="7"/>
        <v>0</v>
      </c>
      <c r="T5" s="30">
        <v>3981</v>
      </c>
      <c r="U5" s="14">
        <f t="shared" si="8"/>
        <v>0</v>
      </c>
    </row>
    <row r="6" spans="1:24" ht="13.5" thickBot="1" x14ac:dyDescent="0.25">
      <c r="A6" s="9">
        <v>44685</v>
      </c>
      <c r="B6" s="30">
        <v>46961</v>
      </c>
      <c r="C6" s="14">
        <f t="shared" si="9"/>
        <v>800</v>
      </c>
      <c r="D6" s="30">
        <v>40551</v>
      </c>
      <c r="E6" s="14">
        <f t="shared" si="1"/>
        <v>640</v>
      </c>
      <c r="F6" s="30">
        <v>21597</v>
      </c>
      <c r="G6" s="14">
        <f t="shared" si="2"/>
        <v>60</v>
      </c>
      <c r="H6" s="30">
        <v>254799</v>
      </c>
      <c r="I6" s="14">
        <f t="shared" si="3"/>
        <v>16</v>
      </c>
      <c r="J6" s="30">
        <v>312140</v>
      </c>
      <c r="K6" s="14">
        <f t="shared" si="4"/>
        <v>155</v>
      </c>
      <c r="L6" s="30">
        <v>26088</v>
      </c>
      <c r="M6" s="14">
        <f t="shared" si="5"/>
        <v>120</v>
      </c>
      <c r="N6" s="30">
        <v>225949</v>
      </c>
      <c r="O6" s="14">
        <f t="shared" si="6"/>
        <v>3</v>
      </c>
      <c r="P6" s="30">
        <v>150481</v>
      </c>
      <c r="Q6" s="14">
        <f t="shared" si="0"/>
        <v>122</v>
      </c>
      <c r="R6" s="30">
        <f t="shared" ref="R6:R33" si="10">R5</f>
        <v>55047</v>
      </c>
      <c r="S6" s="14">
        <v>0</v>
      </c>
      <c r="T6" s="30">
        <v>3982</v>
      </c>
      <c r="U6" s="14">
        <f t="shared" si="8"/>
        <v>160</v>
      </c>
    </row>
    <row r="7" spans="1:24" ht="13.5" thickBot="1" x14ac:dyDescent="0.25">
      <c r="A7" s="9">
        <v>44686</v>
      </c>
      <c r="B7" s="30">
        <v>46966</v>
      </c>
      <c r="C7" s="14">
        <f t="shared" si="9"/>
        <v>800</v>
      </c>
      <c r="D7" s="30">
        <v>40554</v>
      </c>
      <c r="E7" s="14">
        <f t="shared" si="1"/>
        <v>480</v>
      </c>
      <c r="F7" s="30">
        <v>21600</v>
      </c>
      <c r="G7" s="14">
        <f t="shared" si="2"/>
        <v>60</v>
      </c>
      <c r="H7" s="30">
        <v>254818</v>
      </c>
      <c r="I7" s="14">
        <f t="shared" si="3"/>
        <v>19</v>
      </c>
      <c r="J7" s="30">
        <v>312304</v>
      </c>
      <c r="K7" s="14">
        <f t="shared" si="4"/>
        <v>164</v>
      </c>
      <c r="L7" s="30">
        <v>26091</v>
      </c>
      <c r="M7" s="14">
        <f t="shared" si="5"/>
        <v>180</v>
      </c>
      <c r="N7" s="30">
        <v>225953</v>
      </c>
      <c r="O7" s="14">
        <f t="shared" si="6"/>
        <v>4</v>
      </c>
      <c r="P7" s="30">
        <v>150590</v>
      </c>
      <c r="Q7" s="14">
        <f t="shared" si="0"/>
        <v>109</v>
      </c>
      <c r="R7" s="30">
        <f t="shared" si="10"/>
        <v>55047</v>
      </c>
      <c r="S7" s="14">
        <v>0</v>
      </c>
      <c r="T7" s="30">
        <v>3982</v>
      </c>
      <c r="U7" s="14">
        <f t="shared" si="8"/>
        <v>0</v>
      </c>
    </row>
    <row r="8" spans="1:24" ht="13.5" thickBot="1" x14ac:dyDescent="0.25">
      <c r="A8" s="9">
        <v>44687</v>
      </c>
      <c r="B8" s="30">
        <v>46971</v>
      </c>
      <c r="C8" s="14">
        <f t="shared" si="9"/>
        <v>800</v>
      </c>
      <c r="D8" s="30">
        <v>40557</v>
      </c>
      <c r="E8" s="14">
        <f t="shared" si="1"/>
        <v>480</v>
      </c>
      <c r="F8" s="30">
        <v>21604</v>
      </c>
      <c r="G8" s="14">
        <f t="shared" si="2"/>
        <v>80</v>
      </c>
      <c r="H8" s="30">
        <v>254832</v>
      </c>
      <c r="I8" s="14">
        <f t="shared" si="3"/>
        <v>14</v>
      </c>
      <c r="J8" s="30">
        <v>312413</v>
      </c>
      <c r="K8" s="14">
        <f t="shared" si="4"/>
        <v>109</v>
      </c>
      <c r="L8" s="30">
        <v>26093</v>
      </c>
      <c r="M8" s="14">
        <f t="shared" si="5"/>
        <v>120</v>
      </c>
      <c r="N8" s="30">
        <v>225956</v>
      </c>
      <c r="O8" s="14">
        <f t="shared" si="6"/>
        <v>3</v>
      </c>
      <c r="P8" s="30">
        <v>150716</v>
      </c>
      <c r="Q8" s="14">
        <f t="shared" si="0"/>
        <v>126</v>
      </c>
      <c r="R8" s="30">
        <f t="shared" si="10"/>
        <v>55047</v>
      </c>
      <c r="S8" s="14">
        <f>R8-R7</f>
        <v>0</v>
      </c>
      <c r="T8" s="30">
        <v>3982</v>
      </c>
      <c r="U8" s="14">
        <f t="shared" si="8"/>
        <v>0</v>
      </c>
    </row>
    <row r="9" spans="1:24" ht="13.5" thickBot="1" x14ac:dyDescent="0.25">
      <c r="A9" s="9">
        <v>44688</v>
      </c>
      <c r="B9" s="30">
        <v>46975</v>
      </c>
      <c r="C9" s="14">
        <f t="shared" si="9"/>
        <v>640</v>
      </c>
      <c r="D9" s="30">
        <v>40560</v>
      </c>
      <c r="E9" s="14">
        <f t="shared" si="1"/>
        <v>480</v>
      </c>
      <c r="F9" s="30">
        <v>21607</v>
      </c>
      <c r="G9" s="14">
        <f t="shared" si="2"/>
        <v>60</v>
      </c>
      <c r="H9" s="30">
        <v>254849</v>
      </c>
      <c r="I9" s="14">
        <f t="shared" si="3"/>
        <v>17</v>
      </c>
      <c r="J9" s="30">
        <v>312538</v>
      </c>
      <c r="K9" s="14">
        <f t="shared" si="4"/>
        <v>125</v>
      </c>
      <c r="L9" s="30">
        <v>26095</v>
      </c>
      <c r="M9" s="14">
        <f t="shared" si="5"/>
        <v>120</v>
      </c>
      <c r="N9" s="30">
        <v>225959</v>
      </c>
      <c r="O9" s="14">
        <f t="shared" si="6"/>
        <v>3</v>
      </c>
      <c r="P9" s="30">
        <v>150827</v>
      </c>
      <c r="Q9" s="14">
        <f t="shared" si="0"/>
        <v>111</v>
      </c>
      <c r="R9" s="30">
        <f t="shared" si="10"/>
        <v>55047</v>
      </c>
      <c r="S9" s="14">
        <f>R9-R8</f>
        <v>0</v>
      </c>
      <c r="T9" s="30">
        <v>3983</v>
      </c>
      <c r="U9" s="14">
        <f t="shared" si="8"/>
        <v>160</v>
      </c>
    </row>
    <row r="10" spans="1:24" ht="13.5" thickBot="1" x14ac:dyDescent="0.25">
      <c r="A10" s="9">
        <v>44689</v>
      </c>
      <c r="B10" s="30">
        <v>46979</v>
      </c>
      <c r="C10" s="14">
        <f t="shared" si="9"/>
        <v>640</v>
      </c>
      <c r="D10" s="30">
        <v>40563</v>
      </c>
      <c r="E10" s="14">
        <f t="shared" si="1"/>
        <v>480</v>
      </c>
      <c r="F10" s="30">
        <v>21609</v>
      </c>
      <c r="G10" s="14">
        <f t="shared" si="2"/>
        <v>40</v>
      </c>
      <c r="H10" s="30">
        <v>254862</v>
      </c>
      <c r="I10" s="14">
        <f t="shared" si="3"/>
        <v>13</v>
      </c>
      <c r="J10" s="30">
        <v>312702</v>
      </c>
      <c r="K10" s="14">
        <f t="shared" si="4"/>
        <v>164</v>
      </c>
      <c r="L10" s="30">
        <v>26099</v>
      </c>
      <c r="M10" s="14">
        <f t="shared" si="5"/>
        <v>240</v>
      </c>
      <c r="N10" s="30">
        <v>225963</v>
      </c>
      <c r="O10" s="14">
        <f t="shared" si="6"/>
        <v>4</v>
      </c>
      <c r="P10" s="30">
        <v>150953</v>
      </c>
      <c r="Q10" s="14">
        <f t="shared" si="0"/>
        <v>126</v>
      </c>
      <c r="R10" s="30">
        <f t="shared" si="10"/>
        <v>55047</v>
      </c>
      <c r="S10" s="14">
        <f>R10-R9</f>
        <v>0</v>
      </c>
      <c r="T10" s="30">
        <v>3984</v>
      </c>
      <c r="U10" s="14">
        <f t="shared" si="8"/>
        <v>160</v>
      </c>
    </row>
    <row r="11" spans="1:24" ht="13.5" thickBot="1" x14ac:dyDescent="0.25">
      <c r="A11" s="9">
        <v>44690</v>
      </c>
      <c r="B11" s="30">
        <v>46984</v>
      </c>
      <c r="C11" s="14">
        <f t="shared" si="9"/>
        <v>800</v>
      </c>
      <c r="D11" s="30">
        <v>40567</v>
      </c>
      <c r="E11" s="14">
        <f t="shared" si="1"/>
        <v>640</v>
      </c>
      <c r="F11" s="30">
        <v>21614</v>
      </c>
      <c r="G11" s="14">
        <f t="shared" si="2"/>
        <v>100</v>
      </c>
      <c r="H11" s="30">
        <v>254877</v>
      </c>
      <c r="I11" s="14">
        <f t="shared" si="3"/>
        <v>15</v>
      </c>
      <c r="J11" s="30">
        <v>312872</v>
      </c>
      <c r="K11" s="14">
        <f t="shared" si="4"/>
        <v>170</v>
      </c>
      <c r="L11" s="30">
        <v>26103</v>
      </c>
      <c r="M11" s="14">
        <f t="shared" si="5"/>
        <v>240</v>
      </c>
      <c r="N11" s="30">
        <v>225966</v>
      </c>
      <c r="O11" s="14">
        <f t="shared" si="6"/>
        <v>3</v>
      </c>
      <c r="P11" s="30">
        <v>151080</v>
      </c>
      <c r="Q11" s="14">
        <f t="shared" si="0"/>
        <v>127</v>
      </c>
      <c r="R11" s="30">
        <f t="shared" si="10"/>
        <v>55047</v>
      </c>
      <c r="S11" s="14">
        <f t="shared" si="7"/>
        <v>0</v>
      </c>
      <c r="T11" s="30">
        <v>3984</v>
      </c>
      <c r="U11" s="14">
        <f t="shared" si="8"/>
        <v>0</v>
      </c>
    </row>
    <row r="12" spans="1:24" ht="13.5" thickBot="1" x14ac:dyDescent="0.25">
      <c r="A12" s="9">
        <v>44691</v>
      </c>
      <c r="B12" s="30">
        <v>46989</v>
      </c>
      <c r="C12" s="14">
        <f t="shared" si="9"/>
        <v>800</v>
      </c>
      <c r="D12" s="30">
        <v>40570</v>
      </c>
      <c r="E12" s="14">
        <f t="shared" si="1"/>
        <v>480</v>
      </c>
      <c r="F12" s="30">
        <v>21617</v>
      </c>
      <c r="G12" s="14">
        <f t="shared" si="2"/>
        <v>60</v>
      </c>
      <c r="H12" s="30">
        <v>254893</v>
      </c>
      <c r="I12" s="14">
        <f t="shared" si="3"/>
        <v>16</v>
      </c>
      <c r="J12" s="30">
        <v>313045</v>
      </c>
      <c r="K12" s="14">
        <f t="shared" si="4"/>
        <v>173</v>
      </c>
      <c r="L12" s="30">
        <v>26106</v>
      </c>
      <c r="M12" s="14">
        <f t="shared" si="5"/>
        <v>180</v>
      </c>
      <c r="N12" s="30">
        <v>225969</v>
      </c>
      <c r="O12" s="14">
        <f t="shared" si="6"/>
        <v>3</v>
      </c>
      <c r="P12" s="30">
        <v>151210</v>
      </c>
      <c r="Q12" s="14">
        <f t="shared" si="0"/>
        <v>130</v>
      </c>
      <c r="R12" s="30">
        <f t="shared" si="10"/>
        <v>55047</v>
      </c>
      <c r="S12" s="14">
        <f t="shared" si="7"/>
        <v>0</v>
      </c>
      <c r="T12" s="30">
        <v>3985</v>
      </c>
      <c r="U12" s="14">
        <f t="shared" si="8"/>
        <v>160</v>
      </c>
    </row>
    <row r="13" spans="1:24" ht="13.5" thickBot="1" x14ac:dyDescent="0.25">
      <c r="A13" s="9">
        <v>44692</v>
      </c>
      <c r="B13" s="30">
        <v>46994</v>
      </c>
      <c r="C13" s="14">
        <f t="shared" si="9"/>
        <v>800</v>
      </c>
      <c r="D13" s="30">
        <v>40573</v>
      </c>
      <c r="E13" s="14">
        <f t="shared" si="1"/>
        <v>480</v>
      </c>
      <c r="F13" s="30">
        <v>21621</v>
      </c>
      <c r="G13" s="14">
        <f t="shared" si="2"/>
        <v>80</v>
      </c>
      <c r="H13" s="30">
        <v>254907</v>
      </c>
      <c r="I13" s="14">
        <f t="shared" si="3"/>
        <v>14</v>
      </c>
      <c r="J13" s="30">
        <v>313105</v>
      </c>
      <c r="K13" s="14">
        <f t="shared" si="4"/>
        <v>60</v>
      </c>
      <c r="L13" s="30">
        <v>26110</v>
      </c>
      <c r="M13" s="14">
        <f t="shared" si="5"/>
        <v>240</v>
      </c>
      <c r="N13" s="30">
        <v>225972</v>
      </c>
      <c r="O13" s="14">
        <f t="shared" si="6"/>
        <v>3</v>
      </c>
      <c r="P13" s="30">
        <v>151350</v>
      </c>
      <c r="Q13" s="14">
        <f t="shared" si="0"/>
        <v>140</v>
      </c>
      <c r="R13" s="30">
        <f t="shared" si="10"/>
        <v>55047</v>
      </c>
      <c r="S13" s="14">
        <f t="shared" si="7"/>
        <v>0</v>
      </c>
      <c r="T13" s="30">
        <v>3986</v>
      </c>
      <c r="U13" s="14">
        <f t="shared" si="8"/>
        <v>160</v>
      </c>
    </row>
    <row r="14" spans="1:24" ht="13.5" thickBot="1" x14ac:dyDescent="0.25">
      <c r="A14" s="9">
        <v>44693</v>
      </c>
      <c r="B14" s="30">
        <v>46998</v>
      </c>
      <c r="C14" s="14">
        <f t="shared" si="9"/>
        <v>640</v>
      </c>
      <c r="D14" s="30">
        <v>40576</v>
      </c>
      <c r="E14" s="14">
        <f t="shared" si="1"/>
        <v>480</v>
      </c>
      <c r="F14" s="30">
        <v>21624</v>
      </c>
      <c r="G14" s="14">
        <f t="shared" si="2"/>
        <v>60</v>
      </c>
      <c r="H14" s="30">
        <v>254923</v>
      </c>
      <c r="I14" s="14">
        <f t="shared" si="3"/>
        <v>16</v>
      </c>
      <c r="J14" s="30">
        <v>313384</v>
      </c>
      <c r="K14" s="14">
        <f t="shared" si="4"/>
        <v>279</v>
      </c>
      <c r="L14" s="30">
        <v>26113</v>
      </c>
      <c r="M14" s="14">
        <f t="shared" si="5"/>
        <v>180</v>
      </c>
      <c r="N14" s="30">
        <v>225975</v>
      </c>
      <c r="O14" s="14">
        <f t="shared" si="6"/>
        <v>3</v>
      </c>
      <c r="P14" s="30">
        <v>151470</v>
      </c>
      <c r="Q14" s="14">
        <f t="shared" si="0"/>
        <v>120</v>
      </c>
      <c r="R14" s="30">
        <f t="shared" si="10"/>
        <v>55047</v>
      </c>
      <c r="S14" s="14">
        <v>0</v>
      </c>
      <c r="T14" s="30">
        <v>3986</v>
      </c>
      <c r="U14" s="14">
        <f t="shared" si="8"/>
        <v>0</v>
      </c>
    </row>
    <row r="15" spans="1:24" ht="13.5" thickBot="1" x14ac:dyDescent="0.25">
      <c r="A15" s="9">
        <v>44694</v>
      </c>
      <c r="B15" s="30">
        <v>47003</v>
      </c>
      <c r="C15" s="14">
        <f t="shared" si="9"/>
        <v>800</v>
      </c>
      <c r="D15" s="30">
        <v>40580</v>
      </c>
      <c r="E15" s="14">
        <f t="shared" si="1"/>
        <v>640</v>
      </c>
      <c r="F15" s="30">
        <v>21628</v>
      </c>
      <c r="G15" s="14">
        <f t="shared" ref="G15" si="11">(F15-F14)*100/5</f>
        <v>80</v>
      </c>
      <c r="H15" s="30">
        <v>254949</v>
      </c>
      <c r="I15" s="14">
        <f t="shared" ref="I15" si="12">(H15-H14)</f>
        <v>26</v>
      </c>
      <c r="J15" s="30">
        <v>313492</v>
      </c>
      <c r="K15" s="14">
        <f t="shared" si="4"/>
        <v>108</v>
      </c>
      <c r="L15" s="30">
        <v>26116</v>
      </c>
      <c r="M15" s="14">
        <f t="shared" si="5"/>
        <v>180</v>
      </c>
      <c r="N15" s="30">
        <v>225979</v>
      </c>
      <c r="O15" s="14">
        <f t="shared" ref="O15" si="13">N15-N14</f>
        <v>4</v>
      </c>
      <c r="P15" s="30">
        <v>151564</v>
      </c>
      <c r="Q15" s="14">
        <f t="shared" si="0"/>
        <v>94</v>
      </c>
      <c r="R15" s="30">
        <f t="shared" si="10"/>
        <v>55047</v>
      </c>
      <c r="S15" s="14">
        <v>0</v>
      </c>
      <c r="T15" s="30">
        <v>3987</v>
      </c>
      <c r="U15" s="14">
        <f t="shared" ref="U15" si="14">(T15-T14)*800/5</f>
        <v>160</v>
      </c>
      <c r="X15" t="s">
        <v>12</v>
      </c>
    </row>
    <row r="16" spans="1:24" ht="13.5" thickBot="1" x14ac:dyDescent="0.25">
      <c r="A16" s="9">
        <v>44695</v>
      </c>
      <c r="B16" s="30">
        <v>47008</v>
      </c>
      <c r="C16" s="14">
        <f t="shared" si="9"/>
        <v>800</v>
      </c>
      <c r="D16" s="30">
        <v>40583</v>
      </c>
      <c r="E16" s="14">
        <f t="shared" si="1"/>
        <v>480</v>
      </c>
      <c r="F16" s="30">
        <v>21631</v>
      </c>
      <c r="G16" s="14">
        <f t="shared" si="2"/>
        <v>60</v>
      </c>
      <c r="H16" s="30">
        <v>254967</v>
      </c>
      <c r="I16" s="14">
        <f t="shared" si="3"/>
        <v>18</v>
      </c>
      <c r="J16" s="30">
        <v>313633</v>
      </c>
      <c r="K16" s="14">
        <f t="shared" si="4"/>
        <v>141</v>
      </c>
      <c r="L16" s="30">
        <v>26118</v>
      </c>
      <c r="M16" s="14">
        <f t="shared" si="5"/>
        <v>120</v>
      </c>
      <c r="N16" s="30">
        <v>225983</v>
      </c>
      <c r="O16" s="14">
        <f t="shared" si="6"/>
        <v>4</v>
      </c>
      <c r="P16" s="30">
        <v>151688</v>
      </c>
      <c r="Q16" s="14">
        <f t="shared" si="0"/>
        <v>124</v>
      </c>
      <c r="R16" s="30">
        <f t="shared" si="10"/>
        <v>55047</v>
      </c>
      <c r="S16" s="14">
        <f t="shared" si="7"/>
        <v>0</v>
      </c>
      <c r="T16" s="30">
        <v>3988</v>
      </c>
      <c r="U16" s="14">
        <f t="shared" si="8"/>
        <v>160</v>
      </c>
      <c r="W16" t="s">
        <v>12</v>
      </c>
    </row>
    <row r="17" spans="1:23" ht="13.5" thickBot="1" x14ac:dyDescent="0.25">
      <c r="A17" s="9">
        <v>44696</v>
      </c>
      <c r="B17" s="30">
        <f t="shared" ref="B16:B33" si="15">B16</f>
        <v>47008</v>
      </c>
      <c r="C17" s="14">
        <f t="shared" si="9"/>
        <v>0</v>
      </c>
      <c r="D17" s="30">
        <f t="shared" ref="D16:D33" si="16">D16</f>
        <v>40583</v>
      </c>
      <c r="E17" s="14">
        <f t="shared" si="1"/>
        <v>0</v>
      </c>
      <c r="F17" s="30">
        <f t="shared" ref="F16:F33" si="17">F16</f>
        <v>21631</v>
      </c>
      <c r="G17" s="14">
        <f t="shared" si="2"/>
        <v>0</v>
      </c>
      <c r="H17" s="30">
        <f t="shared" ref="H16:H33" si="18">H16</f>
        <v>254967</v>
      </c>
      <c r="I17" s="14">
        <f t="shared" si="3"/>
        <v>0</v>
      </c>
      <c r="J17" s="30">
        <f t="shared" ref="J16:J33" si="19">J16</f>
        <v>313633</v>
      </c>
      <c r="K17" s="14">
        <f t="shared" si="4"/>
        <v>0</v>
      </c>
      <c r="L17" s="30">
        <f t="shared" ref="L16:L33" si="20">L16</f>
        <v>26118</v>
      </c>
      <c r="M17" s="14">
        <f t="shared" si="5"/>
        <v>0</v>
      </c>
      <c r="N17" s="30">
        <f t="shared" ref="N16:N33" si="21">N16</f>
        <v>225983</v>
      </c>
      <c r="O17" s="14">
        <f t="shared" si="6"/>
        <v>0</v>
      </c>
      <c r="P17" s="30">
        <f t="shared" ref="P16:P33" si="22">P16</f>
        <v>151688</v>
      </c>
      <c r="Q17" s="14">
        <f t="shared" si="0"/>
        <v>0</v>
      </c>
      <c r="R17" s="30">
        <f t="shared" si="10"/>
        <v>55047</v>
      </c>
      <c r="S17" s="14">
        <f>S16</f>
        <v>0</v>
      </c>
      <c r="T17" s="30">
        <f t="shared" ref="T16:T33" si="23">T16</f>
        <v>3988</v>
      </c>
      <c r="U17" s="14">
        <f t="shared" si="8"/>
        <v>0</v>
      </c>
    </row>
    <row r="18" spans="1:23" ht="13.5" thickBot="1" x14ac:dyDescent="0.25">
      <c r="A18" s="9">
        <v>44697</v>
      </c>
      <c r="B18" s="30">
        <f t="shared" si="15"/>
        <v>47008</v>
      </c>
      <c r="C18" s="14">
        <f t="shared" si="9"/>
        <v>0</v>
      </c>
      <c r="D18" s="30">
        <f t="shared" si="16"/>
        <v>40583</v>
      </c>
      <c r="E18" s="14">
        <f t="shared" si="1"/>
        <v>0</v>
      </c>
      <c r="F18" s="30">
        <f t="shared" si="17"/>
        <v>21631</v>
      </c>
      <c r="G18" s="14">
        <f t="shared" si="2"/>
        <v>0</v>
      </c>
      <c r="H18" s="30">
        <f t="shared" si="18"/>
        <v>254967</v>
      </c>
      <c r="I18" s="14">
        <f t="shared" si="3"/>
        <v>0</v>
      </c>
      <c r="J18" s="30">
        <f t="shared" si="19"/>
        <v>313633</v>
      </c>
      <c r="K18" s="14">
        <f t="shared" si="4"/>
        <v>0</v>
      </c>
      <c r="L18" s="30">
        <f t="shared" si="20"/>
        <v>26118</v>
      </c>
      <c r="M18" s="14">
        <f t="shared" si="5"/>
        <v>0</v>
      </c>
      <c r="N18" s="30">
        <f t="shared" si="21"/>
        <v>225983</v>
      </c>
      <c r="O18" s="14">
        <f t="shared" si="6"/>
        <v>0</v>
      </c>
      <c r="P18" s="30">
        <f t="shared" si="22"/>
        <v>151688</v>
      </c>
      <c r="Q18" s="14">
        <f t="shared" si="0"/>
        <v>0</v>
      </c>
      <c r="R18" s="30">
        <f t="shared" si="10"/>
        <v>55047</v>
      </c>
      <c r="S18" s="14">
        <f t="shared" si="7"/>
        <v>0</v>
      </c>
      <c r="T18" s="30">
        <f t="shared" si="23"/>
        <v>3988</v>
      </c>
      <c r="U18" s="14">
        <f t="shared" si="8"/>
        <v>0</v>
      </c>
    </row>
    <row r="19" spans="1:23" ht="13.5" thickBot="1" x14ac:dyDescent="0.25">
      <c r="A19" s="9">
        <v>44698</v>
      </c>
      <c r="B19" s="30">
        <f t="shared" si="15"/>
        <v>47008</v>
      </c>
      <c r="C19" s="14">
        <f t="shared" si="9"/>
        <v>0</v>
      </c>
      <c r="D19" s="30">
        <f t="shared" si="16"/>
        <v>40583</v>
      </c>
      <c r="E19" s="14">
        <f t="shared" si="1"/>
        <v>0</v>
      </c>
      <c r="F19" s="30">
        <f t="shared" si="17"/>
        <v>21631</v>
      </c>
      <c r="G19" s="14">
        <f t="shared" si="2"/>
        <v>0</v>
      </c>
      <c r="H19" s="30">
        <f t="shared" si="18"/>
        <v>254967</v>
      </c>
      <c r="I19" s="14">
        <f t="shared" si="3"/>
        <v>0</v>
      </c>
      <c r="J19" s="30">
        <f t="shared" si="19"/>
        <v>313633</v>
      </c>
      <c r="K19" s="14">
        <f t="shared" si="4"/>
        <v>0</v>
      </c>
      <c r="L19" s="30">
        <f t="shared" si="20"/>
        <v>26118</v>
      </c>
      <c r="M19" s="14">
        <f t="shared" si="5"/>
        <v>0</v>
      </c>
      <c r="N19" s="30">
        <f t="shared" si="21"/>
        <v>225983</v>
      </c>
      <c r="O19" s="14">
        <f t="shared" si="6"/>
        <v>0</v>
      </c>
      <c r="P19" s="30">
        <f t="shared" si="22"/>
        <v>151688</v>
      </c>
      <c r="Q19" s="14">
        <f t="shared" si="0"/>
        <v>0</v>
      </c>
      <c r="R19" s="30">
        <f t="shared" si="10"/>
        <v>55047</v>
      </c>
      <c r="S19" s="14">
        <f t="shared" si="7"/>
        <v>0</v>
      </c>
      <c r="T19" s="30">
        <f t="shared" si="23"/>
        <v>3988</v>
      </c>
      <c r="U19" s="14">
        <f t="shared" si="8"/>
        <v>0</v>
      </c>
      <c r="W19" t="s">
        <v>12</v>
      </c>
    </row>
    <row r="20" spans="1:23" ht="13.5" thickBot="1" x14ac:dyDescent="0.25">
      <c r="A20" s="9">
        <v>44699</v>
      </c>
      <c r="B20" s="30">
        <f t="shared" si="15"/>
        <v>47008</v>
      </c>
      <c r="C20" s="14">
        <f t="shared" si="9"/>
        <v>0</v>
      </c>
      <c r="D20" s="30">
        <f t="shared" si="16"/>
        <v>40583</v>
      </c>
      <c r="E20" s="14">
        <f t="shared" si="1"/>
        <v>0</v>
      </c>
      <c r="F20" s="30">
        <f t="shared" si="17"/>
        <v>21631</v>
      </c>
      <c r="G20" s="14">
        <f t="shared" si="2"/>
        <v>0</v>
      </c>
      <c r="H20" s="30">
        <f t="shared" si="18"/>
        <v>254967</v>
      </c>
      <c r="I20" s="14">
        <f t="shared" si="3"/>
        <v>0</v>
      </c>
      <c r="J20" s="30">
        <f t="shared" si="19"/>
        <v>313633</v>
      </c>
      <c r="K20" s="14">
        <f t="shared" si="4"/>
        <v>0</v>
      </c>
      <c r="L20" s="30">
        <f t="shared" si="20"/>
        <v>26118</v>
      </c>
      <c r="M20" s="14">
        <f t="shared" si="5"/>
        <v>0</v>
      </c>
      <c r="N20" s="30">
        <f t="shared" si="21"/>
        <v>225983</v>
      </c>
      <c r="O20" s="14">
        <f t="shared" si="6"/>
        <v>0</v>
      </c>
      <c r="P20" s="30">
        <f t="shared" si="22"/>
        <v>151688</v>
      </c>
      <c r="Q20" s="14">
        <f t="shared" si="0"/>
        <v>0</v>
      </c>
      <c r="R20" s="30">
        <f t="shared" si="10"/>
        <v>55047</v>
      </c>
      <c r="S20" s="14">
        <f t="shared" si="7"/>
        <v>0</v>
      </c>
      <c r="T20" s="30">
        <f t="shared" si="23"/>
        <v>3988</v>
      </c>
      <c r="U20" s="14">
        <f t="shared" si="8"/>
        <v>0</v>
      </c>
    </row>
    <row r="21" spans="1:23" ht="13.5" thickBot="1" x14ac:dyDescent="0.25">
      <c r="A21" s="9">
        <v>44700</v>
      </c>
      <c r="B21" s="30">
        <f t="shared" si="15"/>
        <v>47008</v>
      </c>
      <c r="C21" s="14">
        <f t="shared" si="9"/>
        <v>0</v>
      </c>
      <c r="D21" s="30">
        <f t="shared" si="16"/>
        <v>40583</v>
      </c>
      <c r="E21" s="14">
        <f t="shared" si="1"/>
        <v>0</v>
      </c>
      <c r="F21" s="30">
        <f t="shared" si="17"/>
        <v>21631</v>
      </c>
      <c r="G21" s="14">
        <f t="shared" si="2"/>
        <v>0</v>
      </c>
      <c r="H21" s="30">
        <f t="shared" si="18"/>
        <v>254967</v>
      </c>
      <c r="I21" s="14">
        <f t="shared" si="3"/>
        <v>0</v>
      </c>
      <c r="J21" s="30">
        <f t="shared" si="19"/>
        <v>313633</v>
      </c>
      <c r="K21" s="14">
        <f t="shared" si="4"/>
        <v>0</v>
      </c>
      <c r="L21" s="30">
        <f t="shared" si="20"/>
        <v>26118</v>
      </c>
      <c r="M21" s="14">
        <f t="shared" si="5"/>
        <v>0</v>
      </c>
      <c r="N21" s="30">
        <f t="shared" si="21"/>
        <v>225983</v>
      </c>
      <c r="O21" s="14">
        <f t="shared" si="6"/>
        <v>0</v>
      </c>
      <c r="P21" s="30">
        <f t="shared" si="22"/>
        <v>151688</v>
      </c>
      <c r="Q21" s="14">
        <f t="shared" si="0"/>
        <v>0</v>
      </c>
      <c r="R21" s="30">
        <f t="shared" si="10"/>
        <v>55047</v>
      </c>
      <c r="S21" s="14">
        <f t="shared" si="7"/>
        <v>0</v>
      </c>
      <c r="T21" s="30">
        <f t="shared" si="23"/>
        <v>3988</v>
      </c>
      <c r="U21" s="14">
        <f t="shared" si="8"/>
        <v>0</v>
      </c>
    </row>
    <row r="22" spans="1:23" ht="13.5" thickBot="1" x14ac:dyDescent="0.25">
      <c r="A22" s="9">
        <v>44701</v>
      </c>
      <c r="B22" s="30">
        <f t="shared" si="15"/>
        <v>47008</v>
      </c>
      <c r="C22" s="14">
        <f t="shared" si="9"/>
        <v>0</v>
      </c>
      <c r="D22" s="30">
        <f t="shared" si="16"/>
        <v>40583</v>
      </c>
      <c r="E22" s="14">
        <f t="shared" si="1"/>
        <v>0</v>
      </c>
      <c r="F22" s="30">
        <f t="shared" si="17"/>
        <v>21631</v>
      </c>
      <c r="G22" s="14">
        <f t="shared" si="2"/>
        <v>0</v>
      </c>
      <c r="H22" s="30">
        <f t="shared" si="18"/>
        <v>254967</v>
      </c>
      <c r="I22" s="14">
        <f t="shared" si="3"/>
        <v>0</v>
      </c>
      <c r="J22" s="30">
        <f t="shared" si="19"/>
        <v>313633</v>
      </c>
      <c r="K22" s="14">
        <f t="shared" si="4"/>
        <v>0</v>
      </c>
      <c r="L22" s="30">
        <f t="shared" si="20"/>
        <v>26118</v>
      </c>
      <c r="M22" s="14">
        <f t="shared" si="5"/>
        <v>0</v>
      </c>
      <c r="N22" s="30">
        <f t="shared" si="21"/>
        <v>225983</v>
      </c>
      <c r="O22" s="14">
        <f t="shared" si="6"/>
        <v>0</v>
      </c>
      <c r="P22" s="30">
        <f t="shared" si="22"/>
        <v>151688</v>
      </c>
      <c r="Q22" s="14">
        <f t="shared" si="0"/>
        <v>0</v>
      </c>
      <c r="R22" s="30">
        <f t="shared" si="10"/>
        <v>55047</v>
      </c>
      <c r="S22" s="14">
        <f t="shared" si="7"/>
        <v>0</v>
      </c>
      <c r="T22" s="30">
        <f t="shared" si="23"/>
        <v>3988</v>
      </c>
      <c r="U22" s="14">
        <f t="shared" si="8"/>
        <v>0</v>
      </c>
    </row>
    <row r="23" spans="1:23" ht="13.5" thickBot="1" x14ac:dyDescent="0.25">
      <c r="A23" s="9">
        <v>44702</v>
      </c>
      <c r="B23" s="30">
        <f t="shared" si="15"/>
        <v>47008</v>
      </c>
      <c r="C23" s="14">
        <f t="shared" si="9"/>
        <v>0</v>
      </c>
      <c r="D23" s="30">
        <f t="shared" si="16"/>
        <v>40583</v>
      </c>
      <c r="E23" s="14">
        <f t="shared" si="1"/>
        <v>0</v>
      </c>
      <c r="F23" s="30">
        <f t="shared" si="17"/>
        <v>21631</v>
      </c>
      <c r="G23" s="14">
        <f t="shared" si="2"/>
        <v>0</v>
      </c>
      <c r="H23" s="30">
        <f t="shared" si="18"/>
        <v>254967</v>
      </c>
      <c r="I23" s="14">
        <f t="shared" si="3"/>
        <v>0</v>
      </c>
      <c r="J23" s="30">
        <f t="shared" si="19"/>
        <v>313633</v>
      </c>
      <c r="K23" s="14">
        <f t="shared" si="4"/>
        <v>0</v>
      </c>
      <c r="L23" s="30">
        <f t="shared" si="20"/>
        <v>26118</v>
      </c>
      <c r="M23" s="14">
        <f t="shared" si="5"/>
        <v>0</v>
      </c>
      <c r="N23" s="30">
        <f t="shared" si="21"/>
        <v>225983</v>
      </c>
      <c r="O23" s="14">
        <f t="shared" si="6"/>
        <v>0</v>
      </c>
      <c r="P23" s="30">
        <f t="shared" si="22"/>
        <v>151688</v>
      </c>
      <c r="Q23" s="14">
        <f t="shared" si="0"/>
        <v>0</v>
      </c>
      <c r="R23" s="30">
        <f t="shared" si="10"/>
        <v>55047</v>
      </c>
      <c r="S23" s="14">
        <f t="shared" si="7"/>
        <v>0</v>
      </c>
      <c r="T23" s="30">
        <f t="shared" si="23"/>
        <v>3988</v>
      </c>
      <c r="U23" s="14">
        <f t="shared" si="8"/>
        <v>0</v>
      </c>
    </row>
    <row r="24" spans="1:23" s="130" customFormat="1" ht="13.5" thickBot="1" x14ac:dyDescent="0.25">
      <c r="A24" s="9">
        <v>44703</v>
      </c>
      <c r="B24" s="30">
        <f t="shared" si="15"/>
        <v>47008</v>
      </c>
      <c r="C24" s="14">
        <f t="shared" si="9"/>
        <v>0</v>
      </c>
      <c r="D24" s="30">
        <f t="shared" si="16"/>
        <v>40583</v>
      </c>
      <c r="E24" s="14">
        <f t="shared" si="1"/>
        <v>0</v>
      </c>
      <c r="F24" s="30">
        <f t="shared" si="17"/>
        <v>21631</v>
      </c>
      <c r="G24" s="14">
        <f t="shared" si="2"/>
        <v>0</v>
      </c>
      <c r="H24" s="30">
        <f t="shared" si="18"/>
        <v>254967</v>
      </c>
      <c r="I24" s="14">
        <f t="shared" si="3"/>
        <v>0</v>
      </c>
      <c r="J24" s="30">
        <f t="shared" si="19"/>
        <v>313633</v>
      </c>
      <c r="K24" s="14">
        <f t="shared" si="4"/>
        <v>0</v>
      </c>
      <c r="L24" s="30">
        <f t="shared" si="20"/>
        <v>26118</v>
      </c>
      <c r="M24" s="14">
        <f t="shared" si="5"/>
        <v>0</v>
      </c>
      <c r="N24" s="30">
        <f t="shared" si="21"/>
        <v>225983</v>
      </c>
      <c r="O24" s="14">
        <f t="shared" si="6"/>
        <v>0</v>
      </c>
      <c r="P24" s="30">
        <f t="shared" si="22"/>
        <v>151688</v>
      </c>
      <c r="Q24" s="14">
        <f t="shared" si="0"/>
        <v>0</v>
      </c>
      <c r="R24" s="30">
        <f t="shared" si="10"/>
        <v>55047</v>
      </c>
      <c r="S24" s="14">
        <f t="shared" si="7"/>
        <v>0</v>
      </c>
      <c r="T24" s="30">
        <f t="shared" si="23"/>
        <v>3988</v>
      </c>
      <c r="U24" s="14">
        <f t="shared" si="8"/>
        <v>0</v>
      </c>
    </row>
    <row r="25" spans="1:23" ht="13.5" thickBot="1" x14ac:dyDescent="0.25">
      <c r="A25" s="9">
        <v>44704</v>
      </c>
      <c r="B25" s="30">
        <f t="shared" si="15"/>
        <v>47008</v>
      </c>
      <c r="C25" s="14">
        <f t="shared" si="9"/>
        <v>0</v>
      </c>
      <c r="D25" s="30">
        <f t="shared" si="16"/>
        <v>40583</v>
      </c>
      <c r="E25" s="14">
        <f t="shared" si="1"/>
        <v>0</v>
      </c>
      <c r="F25" s="30">
        <f t="shared" si="17"/>
        <v>21631</v>
      </c>
      <c r="G25" s="14">
        <f t="shared" si="2"/>
        <v>0</v>
      </c>
      <c r="H25" s="30">
        <f t="shared" si="18"/>
        <v>254967</v>
      </c>
      <c r="I25" s="14">
        <f t="shared" si="3"/>
        <v>0</v>
      </c>
      <c r="J25" s="30">
        <f t="shared" si="19"/>
        <v>313633</v>
      </c>
      <c r="K25" s="14">
        <f t="shared" si="4"/>
        <v>0</v>
      </c>
      <c r="L25" s="30">
        <f t="shared" si="20"/>
        <v>26118</v>
      </c>
      <c r="M25" s="14">
        <f t="shared" si="5"/>
        <v>0</v>
      </c>
      <c r="N25" s="30">
        <f t="shared" si="21"/>
        <v>225983</v>
      </c>
      <c r="O25" s="14">
        <f t="shared" si="6"/>
        <v>0</v>
      </c>
      <c r="P25" s="30">
        <f t="shared" si="22"/>
        <v>151688</v>
      </c>
      <c r="Q25" s="14">
        <f t="shared" si="0"/>
        <v>0</v>
      </c>
      <c r="R25" s="30">
        <f t="shared" si="10"/>
        <v>55047</v>
      </c>
      <c r="S25" s="14">
        <f t="shared" si="7"/>
        <v>0</v>
      </c>
      <c r="T25" s="30">
        <f t="shared" si="23"/>
        <v>3988</v>
      </c>
      <c r="U25" s="14">
        <f t="shared" si="8"/>
        <v>0</v>
      </c>
      <c r="V25" t="s">
        <v>12</v>
      </c>
    </row>
    <row r="26" spans="1:23" ht="12.75" customHeight="1" thickBot="1" x14ac:dyDescent="0.25">
      <c r="A26" s="9">
        <v>44705</v>
      </c>
      <c r="B26" s="30">
        <f t="shared" si="15"/>
        <v>47008</v>
      </c>
      <c r="C26" s="14">
        <f t="shared" si="9"/>
        <v>0</v>
      </c>
      <c r="D26" s="30">
        <f t="shared" si="16"/>
        <v>40583</v>
      </c>
      <c r="E26" s="14">
        <f t="shared" si="1"/>
        <v>0</v>
      </c>
      <c r="F26" s="30">
        <f t="shared" si="17"/>
        <v>21631</v>
      </c>
      <c r="G26" s="14">
        <f t="shared" si="2"/>
        <v>0</v>
      </c>
      <c r="H26" s="30">
        <f t="shared" si="18"/>
        <v>254967</v>
      </c>
      <c r="I26" s="14">
        <f t="shared" si="3"/>
        <v>0</v>
      </c>
      <c r="J26" s="30">
        <f t="shared" si="19"/>
        <v>313633</v>
      </c>
      <c r="K26" s="14">
        <f t="shared" si="4"/>
        <v>0</v>
      </c>
      <c r="L26" s="30">
        <f t="shared" si="20"/>
        <v>26118</v>
      </c>
      <c r="M26" s="14">
        <f t="shared" si="5"/>
        <v>0</v>
      </c>
      <c r="N26" s="30">
        <f t="shared" si="21"/>
        <v>225983</v>
      </c>
      <c r="O26" s="14">
        <f t="shared" si="6"/>
        <v>0</v>
      </c>
      <c r="P26" s="30">
        <f t="shared" si="22"/>
        <v>151688</v>
      </c>
      <c r="Q26" s="14">
        <f t="shared" si="0"/>
        <v>0</v>
      </c>
      <c r="R26" s="30">
        <f t="shared" si="10"/>
        <v>55047</v>
      </c>
      <c r="S26" s="14">
        <f t="shared" si="7"/>
        <v>0</v>
      </c>
      <c r="T26" s="30">
        <f t="shared" si="23"/>
        <v>3988</v>
      </c>
      <c r="U26" s="14">
        <f t="shared" si="8"/>
        <v>0</v>
      </c>
      <c r="W26" t="s">
        <v>12</v>
      </c>
    </row>
    <row r="27" spans="1:23" ht="13.5" thickBot="1" x14ac:dyDescent="0.25">
      <c r="A27" s="9">
        <v>44706</v>
      </c>
      <c r="B27" s="30">
        <f t="shared" si="15"/>
        <v>47008</v>
      </c>
      <c r="C27" s="14">
        <f t="shared" si="9"/>
        <v>0</v>
      </c>
      <c r="D27" s="30">
        <f t="shared" si="16"/>
        <v>40583</v>
      </c>
      <c r="E27" s="14">
        <f t="shared" si="1"/>
        <v>0</v>
      </c>
      <c r="F27" s="30">
        <f t="shared" si="17"/>
        <v>21631</v>
      </c>
      <c r="G27" s="14">
        <f t="shared" si="2"/>
        <v>0</v>
      </c>
      <c r="H27" s="30">
        <f t="shared" si="18"/>
        <v>254967</v>
      </c>
      <c r="I27" s="14">
        <f t="shared" si="3"/>
        <v>0</v>
      </c>
      <c r="J27" s="30">
        <f t="shared" si="19"/>
        <v>313633</v>
      </c>
      <c r="K27" s="14">
        <f t="shared" si="4"/>
        <v>0</v>
      </c>
      <c r="L27" s="30">
        <f t="shared" si="20"/>
        <v>26118</v>
      </c>
      <c r="M27" s="14">
        <f t="shared" si="5"/>
        <v>0</v>
      </c>
      <c r="N27" s="30">
        <f t="shared" si="21"/>
        <v>225983</v>
      </c>
      <c r="O27" s="14">
        <f t="shared" si="6"/>
        <v>0</v>
      </c>
      <c r="P27" s="30">
        <f t="shared" si="22"/>
        <v>151688</v>
      </c>
      <c r="Q27" s="14">
        <f t="shared" si="0"/>
        <v>0</v>
      </c>
      <c r="R27" s="30">
        <f t="shared" si="10"/>
        <v>55047</v>
      </c>
      <c r="S27" s="14">
        <f t="shared" si="7"/>
        <v>0</v>
      </c>
      <c r="T27" s="30">
        <f t="shared" si="23"/>
        <v>3988</v>
      </c>
      <c r="U27" s="14">
        <f>(T27-T26)*800/5</f>
        <v>0</v>
      </c>
    </row>
    <row r="28" spans="1:23" ht="13.5" thickBot="1" x14ac:dyDescent="0.25">
      <c r="A28" s="9">
        <v>44707</v>
      </c>
      <c r="B28" s="30">
        <f t="shared" si="15"/>
        <v>47008</v>
      </c>
      <c r="C28" s="14">
        <f t="shared" si="9"/>
        <v>0</v>
      </c>
      <c r="D28" s="30">
        <f t="shared" si="16"/>
        <v>40583</v>
      </c>
      <c r="E28" s="14">
        <f t="shared" si="1"/>
        <v>0</v>
      </c>
      <c r="F28" s="30">
        <f t="shared" si="17"/>
        <v>21631</v>
      </c>
      <c r="G28" s="14">
        <f t="shared" si="2"/>
        <v>0</v>
      </c>
      <c r="H28" s="30">
        <f t="shared" si="18"/>
        <v>254967</v>
      </c>
      <c r="I28" s="14">
        <f t="shared" si="3"/>
        <v>0</v>
      </c>
      <c r="J28" s="30">
        <f t="shared" si="19"/>
        <v>313633</v>
      </c>
      <c r="K28" s="14">
        <f t="shared" si="4"/>
        <v>0</v>
      </c>
      <c r="L28" s="30">
        <f t="shared" si="20"/>
        <v>26118</v>
      </c>
      <c r="M28" s="14">
        <f t="shared" si="5"/>
        <v>0</v>
      </c>
      <c r="N28" s="30">
        <f t="shared" si="21"/>
        <v>225983</v>
      </c>
      <c r="O28" s="14">
        <f t="shared" si="6"/>
        <v>0</v>
      </c>
      <c r="P28" s="30">
        <f t="shared" si="22"/>
        <v>151688</v>
      </c>
      <c r="Q28" s="14">
        <f t="shared" si="0"/>
        <v>0</v>
      </c>
      <c r="R28" s="30">
        <f t="shared" si="10"/>
        <v>55047</v>
      </c>
      <c r="S28" s="15">
        <f t="shared" si="7"/>
        <v>0</v>
      </c>
      <c r="T28" s="30">
        <f t="shared" si="23"/>
        <v>3988</v>
      </c>
      <c r="U28" s="14">
        <f t="shared" si="8"/>
        <v>0</v>
      </c>
    </row>
    <row r="29" spans="1:23" ht="13.5" thickBot="1" x14ac:dyDescent="0.25">
      <c r="A29" s="9">
        <v>44708</v>
      </c>
      <c r="B29" s="30">
        <f t="shared" si="15"/>
        <v>47008</v>
      </c>
      <c r="C29" s="14">
        <f t="shared" si="9"/>
        <v>0</v>
      </c>
      <c r="D29" s="30">
        <f t="shared" si="16"/>
        <v>40583</v>
      </c>
      <c r="E29" s="14">
        <f t="shared" si="1"/>
        <v>0</v>
      </c>
      <c r="F29" s="30">
        <f t="shared" si="17"/>
        <v>21631</v>
      </c>
      <c r="G29" s="14">
        <f t="shared" si="2"/>
        <v>0</v>
      </c>
      <c r="H29" s="30">
        <f t="shared" si="18"/>
        <v>254967</v>
      </c>
      <c r="I29" s="14">
        <f t="shared" si="3"/>
        <v>0</v>
      </c>
      <c r="J29" s="30">
        <f t="shared" si="19"/>
        <v>313633</v>
      </c>
      <c r="K29" s="14">
        <f t="shared" si="4"/>
        <v>0</v>
      </c>
      <c r="L29" s="30">
        <f t="shared" si="20"/>
        <v>26118</v>
      </c>
      <c r="M29" s="14">
        <f t="shared" si="5"/>
        <v>0</v>
      </c>
      <c r="N29" s="30">
        <f t="shared" si="21"/>
        <v>225983</v>
      </c>
      <c r="O29" s="14">
        <f t="shared" si="6"/>
        <v>0</v>
      </c>
      <c r="P29" s="30">
        <f t="shared" si="22"/>
        <v>151688</v>
      </c>
      <c r="Q29" s="14">
        <f t="shared" si="0"/>
        <v>0</v>
      </c>
      <c r="R29" s="30">
        <f t="shared" si="10"/>
        <v>55047</v>
      </c>
      <c r="S29" s="14">
        <f t="shared" si="7"/>
        <v>0</v>
      </c>
      <c r="T29" s="30">
        <f t="shared" si="23"/>
        <v>3988</v>
      </c>
      <c r="U29" s="14">
        <f t="shared" si="8"/>
        <v>0</v>
      </c>
    </row>
    <row r="30" spans="1:23" ht="13.5" thickBot="1" x14ac:dyDescent="0.25">
      <c r="A30" s="9">
        <v>44709</v>
      </c>
      <c r="B30" s="30">
        <f t="shared" si="15"/>
        <v>47008</v>
      </c>
      <c r="C30" s="14">
        <f t="shared" si="9"/>
        <v>0</v>
      </c>
      <c r="D30" s="30">
        <f t="shared" si="16"/>
        <v>40583</v>
      </c>
      <c r="E30" s="14">
        <f t="shared" si="1"/>
        <v>0</v>
      </c>
      <c r="F30" s="30">
        <f t="shared" si="17"/>
        <v>21631</v>
      </c>
      <c r="G30" s="14">
        <f t="shared" si="2"/>
        <v>0</v>
      </c>
      <c r="H30" s="30">
        <f t="shared" si="18"/>
        <v>254967</v>
      </c>
      <c r="I30" s="14">
        <f t="shared" si="3"/>
        <v>0</v>
      </c>
      <c r="J30" s="30">
        <f t="shared" si="19"/>
        <v>313633</v>
      </c>
      <c r="K30" s="14">
        <f t="shared" si="4"/>
        <v>0</v>
      </c>
      <c r="L30" s="30">
        <f t="shared" si="20"/>
        <v>26118</v>
      </c>
      <c r="M30" s="14">
        <f t="shared" si="5"/>
        <v>0</v>
      </c>
      <c r="N30" s="30">
        <f t="shared" si="21"/>
        <v>225983</v>
      </c>
      <c r="O30" s="14">
        <f t="shared" si="6"/>
        <v>0</v>
      </c>
      <c r="P30" s="30">
        <f t="shared" si="22"/>
        <v>151688</v>
      </c>
      <c r="Q30" s="14">
        <f t="shared" si="0"/>
        <v>0</v>
      </c>
      <c r="R30" s="30">
        <f t="shared" si="10"/>
        <v>55047</v>
      </c>
      <c r="S30" s="14">
        <f t="shared" si="7"/>
        <v>0</v>
      </c>
      <c r="T30" s="30">
        <f t="shared" si="23"/>
        <v>3988</v>
      </c>
      <c r="U30" s="14">
        <f t="shared" si="8"/>
        <v>0</v>
      </c>
    </row>
    <row r="31" spans="1:23" ht="13.5" thickBot="1" x14ac:dyDescent="0.25">
      <c r="A31" s="9">
        <v>44710</v>
      </c>
      <c r="B31" s="30">
        <f t="shared" si="15"/>
        <v>47008</v>
      </c>
      <c r="C31" s="14">
        <f t="shared" si="9"/>
        <v>0</v>
      </c>
      <c r="D31" s="30">
        <f t="shared" si="16"/>
        <v>40583</v>
      </c>
      <c r="E31" s="14">
        <f t="shared" si="1"/>
        <v>0</v>
      </c>
      <c r="F31" s="30">
        <f t="shared" si="17"/>
        <v>21631</v>
      </c>
      <c r="G31" s="14">
        <f t="shared" si="2"/>
        <v>0</v>
      </c>
      <c r="H31" s="30">
        <f t="shared" si="18"/>
        <v>254967</v>
      </c>
      <c r="I31" s="14">
        <f t="shared" si="3"/>
        <v>0</v>
      </c>
      <c r="J31" s="30">
        <f t="shared" si="19"/>
        <v>313633</v>
      </c>
      <c r="K31" s="14">
        <f t="shared" si="4"/>
        <v>0</v>
      </c>
      <c r="L31" s="30">
        <f t="shared" si="20"/>
        <v>26118</v>
      </c>
      <c r="M31" s="14">
        <f t="shared" si="5"/>
        <v>0</v>
      </c>
      <c r="N31" s="30">
        <f t="shared" si="21"/>
        <v>225983</v>
      </c>
      <c r="O31" s="14">
        <f t="shared" si="6"/>
        <v>0</v>
      </c>
      <c r="P31" s="30">
        <f t="shared" si="22"/>
        <v>151688</v>
      </c>
      <c r="Q31" s="14">
        <f t="shared" si="0"/>
        <v>0</v>
      </c>
      <c r="R31" s="30">
        <f t="shared" si="10"/>
        <v>55047</v>
      </c>
      <c r="S31" s="14">
        <v>0</v>
      </c>
      <c r="T31" s="30">
        <f t="shared" si="23"/>
        <v>3988</v>
      </c>
      <c r="U31" s="14">
        <f t="shared" si="8"/>
        <v>0</v>
      </c>
    </row>
    <row r="32" spans="1:23" ht="13.5" thickBot="1" x14ac:dyDescent="0.25">
      <c r="A32" s="9">
        <v>44711</v>
      </c>
      <c r="B32" s="30">
        <f t="shared" si="15"/>
        <v>47008</v>
      </c>
      <c r="C32" s="14">
        <f t="shared" si="9"/>
        <v>0</v>
      </c>
      <c r="D32" s="30">
        <f t="shared" si="16"/>
        <v>40583</v>
      </c>
      <c r="E32" s="14">
        <f t="shared" si="1"/>
        <v>0</v>
      </c>
      <c r="F32" s="30">
        <f t="shared" si="17"/>
        <v>21631</v>
      </c>
      <c r="G32" s="14">
        <f t="shared" si="2"/>
        <v>0</v>
      </c>
      <c r="H32" s="30">
        <f t="shared" si="18"/>
        <v>254967</v>
      </c>
      <c r="I32" s="14">
        <f t="shared" si="3"/>
        <v>0</v>
      </c>
      <c r="J32" s="30">
        <f t="shared" si="19"/>
        <v>313633</v>
      </c>
      <c r="K32" s="14">
        <f t="shared" si="4"/>
        <v>0</v>
      </c>
      <c r="L32" s="30">
        <f t="shared" si="20"/>
        <v>26118</v>
      </c>
      <c r="M32" s="14">
        <f t="shared" si="5"/>
        <v>0</v>
      </c>
      <c r="N32" s="30">
        <f t="shared" si="21"/>
        <v>225983</v>
      </c>
      <c r="O32" s="14">
        <f t="shared" si="6"/>
        <v>0</v>
      </c>
      <c r="P32" s="30">
        <f t="shared" si="22"/>
        <v>151688</v>
      </c>
      <c r="Q32" s="14">
        <f t="shared" si="0"/>
        <v>0</v>
      </c>
      <c r="R32" s="30">
        <f t="shared" si="10"/>
        <v>55047</v>
      </c>
      <c r="S32" s="14">
        <f t="shared" si="7"/>
        <v>0</v>
      </c>
      <c r="T32" s="30">
        <f t="shared" si="23"/>
        <v>3988</v>
      </c>
      <c r="U32" s="14">
        <f t="shared" si="8"/>
        <v>0</v>
      </c>
    </row>
    <row r="33" spans="1:21" ht="13.5" thickBot="1" x14ac:dyDescent="0.25">
      <c r="A33" s="9">
        <v>44712</v>
      </c>
      <c r="B33" s="30">
        <f t="shared" si="15"/>
        <v>47008</v>
      </c>
      <c r="C33" s="14">
        <f t="shared" ref="C33" si="24">(B33-B32)*800/5</f>
        <v>0</v>
      </c>
      <c r="D33" s="30">
        <f t="shared" si="16"/>
        <v>40583</v>
      </c>
      <c r="E33" s="14">
        <f t="shared" ref="E33" si="25">(D33-D32)*800/5</f>
        <v>0</v>
      </c>
      <c r="F33" s="30">
        <f t="shared" si="17"/>
        <v>21631</v>
      </c>
      <c r="G33" s="14">
        <f t="shared" ref="G33" si="26">(F33-F32)*100/5</f>
        <v>0</v>
      </c>
      <c r="H33" s="30">
        <f t="shared" si="18"/>
        <v>254967</v>
      </c>
      <c r="I33" s="14">
        <f t="shared" ref="I33" si="27">(H33-H32)</f>
        <v>0</v>
      </c>
      <c r="J33" s="30">
        <f t="shared" si="19"/>
        <v>313633</v>
      </c>
      <c r="K33" s="14">
        <f t="shared" ref="K33" si="28">(J33-J32)</f>
        <v>0</v>
      </c>
      <c r="L33" s="30">
        <f t="shared" si="20"/>
        <v>26118</v>
      </c>
      <c r="M33" s="14">
        <f t="shared" ref="M33" si="29">(L33-L32)*300/5</f>
        <v>0</v>
      </c>
      <c r="N33" s="30">
        <f t="shared" si="21"/>
        <v>225983</v>
      </c>
      <c r="O33" s="14">
        <f t="shared" ref="O33" si="30">N33-N32</f>
        <v>0</v>
      </c>
      <c r="P33" s="30">
        <f t="shared" si="22"/>
        <v>151688</v>
      </c>
      <c r="Q33" s="14">
        <f t="shared" ref="Q33" si="31">P33-P32</f>
        <v>0</v>
      </c>
      <c r="R33" s="30">
        <f t="shared" si="10"/>
        <v>55047</v>
      </c>
      <c r="S33" s="14">
        <f t="shared" ref="S33" si="32">R33-R32</f>
        <v>0</v>
      </c>
      <c r="T33" s="30">
        <f t="shared" si="23"/>
        <v>3988</v>
      </c>
      <c r="U33" s="14">
        <f t="shared" ref="U33" si="33">(T33-T32)*800/5</f>
        <v>0</v>
      </c>
    </row>
    <row r="34" spans="1:21" ht="16.5" thickBot="1" x14ac:dyDescent="0.3">
      <c r="A34" s="14" t="s">
        <v>23</v>
      </c>
      <c r="B34" s="1"/>
      <c r="C34" s="14">
        <f>SUM(C3:C33)</f>
        <v>10240</v>
      </c>
      <c r="D34" s="11"/>
      <c r="E34" s="14">
        <f>SUM(E3:E33)</f>
        <v>7200</v>
      </c>
      <c r="F34" s="11"/>
      <c r="G34" s="14">
        <f>SUM(G3:G33)</f>
        <v>920</v>
      </c>
      <c r="H34" s="11"/>
      <c r="I34" s="14">
        <f>SUM(I3:I33)</f>
        <v>238</v>
      </c>
      <c r="J34" s="11"/>
      <c r="K34" s="14">
        <f>SUM(K3:K33)</f>
        <v>1952</v>
      </c>
      <c r="L34" s="11"/>
      <c r="M34" s="14">
        <f>SUM(M3:M33)</f>
        <v>2280</v>
      </c>
      <c r="N34" s="31"/>
      <c r="O34" s="14">
        <f>SUM(O3:O33)</f>
        <v>47</v>
      </c>
      <c r="P34" s="30"/>
      <c r="Q34" s="14">
        <f>SUM(Q3:Q33)</f>
        <v>1513</v>
      </c>
      <c r="R34" s="1"/>
      <c r="S34" s="14">
        <f>SUM(S3:S33)</f>
        <v>0</v>
      </c>
      <c r="T34" s="1"/>
      <c r="U34" s="14">
        <f>SUM(U3:U33)</f>
        <v>1120</v>
      </c>
    </row>
    <row r="35" spans="1:21" x14ac:dyDescent="0.2">
      <c r="N35" s="17"/>
    </row>
    <row r="36" spans="1:21" x14ac:dyDescent="0.2">
      <c r="N36" s="17"/>
    </row>
    <row r="37" spans="1:21" x14ac:dyDescent="0.2">
      <c r="N37" s="17"/>
    </row>
    <row r="38" spans="1:21" x14ac:dyDescent="0.2">
      <c r="I38" s="17"/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N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M70" s="17"/>
      <c r="N70" s="18"/>
      <c r="O70" s="17"/>
    </row>
    <row r="71" spans="12:15" x14ac:dyDescent="0.2">
      <c r="L71" s="18"/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  <row r="416" spans="14:14" x14ac:dyDescent="0.2">
      <c r="N416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zoomScaleNormal="100" zoomScaleSheetLayoutView="110" workbookViewId="0">
      <pane ySplit="1" topLeftCell="A2" activePane="bottomLeft" state="frozen"/>
      <selection pane="bottomLeft" activeCell="A16" sqref="A16:XFD16"/>
    </sheetView>
  </sheetViews>
  <sheetFormatPr defaultColWidth="23" defaultRowHeight="15.75" x14ac:dyDescent="0.25"/>
  <cols>
    <col min="1" max="1" width="20.7109375" style="22" bestFit="1" customWidth="1"/>
    <col min="2" max="2" width="14.85546875" style="39" bestFit="1" customWidth="1"/>
    <col min="3" max="3" width="15.28515625" style="39" bestFit="1" customWidth="1"/>
    <col min="4" max="4" width="11.5703125" style="39" bestFit="1" customWidth="1"/>
    <col min="5" max="5" width="12.85546875" style="21" bestFit="1" customWidth="1"/>
    <col min="6" max="6" width="11.5703125" style="21" bestFit="1" customWidth="1"/>
    <col min="7" max="7" width="14.28515625" style="21" bestFit="1" customWidth="1"/>
    <col min="8" max="8" width="16.5703125" style="21" bestFit="1" customWidth="1"/>
    <col min="9" max="9" width="11.85546875" style="21" customWidth="1"/>
    <col min="10" max="10" width="11.5703125" style="21" customWidth="1"/>
    <col min="11" max="11" width="10.28515625" style="21" bestFit="1" customWidth="1"/>
    <col min="12" max="12" width="11.5703125" style="21" bestFit="1" customWidth="1"/>
    <col min="13" max="13" width="10.28515625" style="21" bestFit="1" customWidth="1"/>
    <col min="14" max="17" width="11.5703125" style="21" bestFit="1" customWidth="1"/>
    <col min="18" max="18" width="12.85546875" style="21" bestFit="1" customWidth="1"/>
    <col min="19" max="19" width="9" style="21" bestFit="1" customWidth="1"/>
    <col min="20" max="20" width="4.7109375" style="21" bestFit="1" customWidth="1"/>
    <col min="21" max="21" width="10.28515625" style="21" bestFit="1" customWidth="1"/>
    <col min="22" max="22" width="11.5703125" style="21" bestFit="1" customWidth="1"/>
    <col min="23" max="23" width="9" style="21" bestFit="1" customWidth="1"/>
    <col min="24" max="24" width="10.7109375" style="21" bestFit="1" customWidth="1"/>
    <col min="25" max="25" width="12.28515625" style="21" customWidth="1"/>
    <col min="26" max="26" width="27.140625" style="170" bestFit="1" customWidth="1"/>
    <col min="27" max="27" width="26.85546875" style="170" bestFit="1" customWidth="1"/>
    <col min="28" max="16384" width="23" style="21"/>
  </cols>
  <sheetData>
    <row r="1" spans="1:27" ht="16.5" thickBot="1" x14ac:dyDescent="0.3">
      <c r="A1" s="6" t="s">
        <v>0</v>
      </c>
      <c r="B1" s="37" t="s">
        <v>54</v>
      </c>
      <c r="C1" s="40" t="s">
        <v>63</v>
      </c>
      <c r="D1" s="40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166" t="s">
        <v>40</v>
      </c>
      <c r="AA1" s="166" t="s">
        <v>41</v>
      </c>
    </row>
    <row r="2" spans="1:27" ht="16.5" thickBot="1" x14ac:dyDescent="0.3">
      <c r="A2" s="9">
        <v>44681</v>
      </c>
      <c r="B2" s="37">
        <v>130</v>
      </c>
      <c r="C2" s="143">
        <v>19567</v>
      </c>
      <c r="D2" s="37"/>
      <c r="E2" s="144">
        <v>30652456</v>
      </c>
      <c r="F2" s="37"/>
      <c r="G2" s="145">
        <v>98165441</v>
      </c>
      <c r="H2" s="37"/>
      <c r="I2" s="146">
        <f t="shared" ref="I2" si="0">F2+H2</f>
        <v>0</v>
      </c>
      <c r="J2" s="144">
        <v>9787141</v>
      </c>
      <c r="K2" s="37"/>
      <c r="L2" s="147">
        <v>9901747</v>
      </c>
      <c r="M2" s="37"/>
      <c r="N2" s="144">
        <v>6523661</v>
      </c>
      <c r="O2" s="37"/>
      <c r="P2" s="147">
        <v>6324810</v>
      </c>
      <c r="Q2" s="37"/>
      <c r="R2" s="144">
        <v>20895623</v>
      </c>
      <c r="S2" s="37"/>
      <c r="T2" s="144">
        <v>0</v>
      </c>
      <c r="U2" s="148"/>
      <c r="V2" s="144">
        <v>8826767</v>
      </c>
      <c r="W2" s="37"/>
      <c r="X2" s="19">
        <f t="shared" ref="X2" si="1">K2+M2+O2+Q2+S2+U2+W2</f>
        <v>0</v>
      </c>
      <c r="Y2" s="149">
        <f t="shared" ref="Y2" si="2">I2-X2</f>
        <v>0</v>
      </c>
      <c r="Z2" s="167">
        <f t="shared" ref="Z2" si="3">(0.93352*(W2+S2)+0.5568*(Q2+O2))*0.26</f>
        <v>0</v>
      </c>
      <c r="AA2" s="167"/>
    </row>
    <row r="3" spans="1:27" ht="16.5" thickBot="1" x14ac:dyDescent="0.3">
      <c r="A3" s="9">
        <v>44682</v>
      </c>
      <c r="B3" s="37">
        <v>160</v>
      </c>
      <c r="C3" s="143">
        <v>19572</v>
      </c>
      <c r="D3" s="37">
        <f>IF((C3-C2)&lt;0,"0",(C3-C2))*160</f>
        <v>800</v>
      </c>
      <c r="E3" s="144">
        <v>30661189</v>
      </c>
      <c r="F3" s="37">
        <f>IF((E3-E2)&lt;0,"0",(E3-E2))</f>
        <v>8733</v>
      </c>
      <c r="G3" s="145">
        <v>98207267</v>
      </c>
      <c r="H3" s="37">
        <f>IF((G3-G2)&lt;0,"0",(G3-G2))</f>
        <v>41826</v>
      </c>
      <c r="I3" s="19">
        <f>F3+H3</f>
        <v>50559</v>
      </c>
      <c r="J3" s="144">
        <v>9790954</v>
      </c>
      <c r="K3" s="37">
        <f>(IF((J3-J2)&lt;L91,"0",(J3-J2)))*2</f>
        <v>7626</v>
      </c>
      <c r="L3" s="147">
        <v>9906952</v>
      </c>
      <c r="M3" s="37">
        <f>IF((L3-L2)&lt;0,"0",(L3-L2))</f>
        <v>5205</v>
      </c>
      <c r="N3" s="144">
        <v>6525360</v>
      </c>
      <c r="O3" s="37">
        <f>(IF((N3-N2)&lt;P91,"0",(N3-N2)))*2</f>
        <v>3398</v>
      </c>
      <c r="P3" s="147">
        <v>6335274</v>
      </c>
      <c r="Q3" s="37">
        <f>IF((P3-P2)&lt;0,"0",(P3-P2))</f>
        <v>10464</v>
      </c>
      <c r="R3" s="144">
        <v>20904820</v>
      </c>
      <c r="S3" s="37">
        <f>IF((R3-R2)&lt;0,"0",(R3-R2))</f>
        <v>9197</v>
      </c>
      <c r="T3" s="144">
        <v>0</v>
      </c>
      <c r="U3" s="148"/>
      <c r="V3" s="144">
        <v>8835473</v>
      </c>
      <c r="W3" s="37">
        <f>IF((V3-V2)&lt;0,"0",(V3-V2))</f>
        <v>8706</v>
      </c>
      <c r="X3" s="19">
        <f>K3+M3+O3+Q3+S3+U3+W3</f>
        <v>44596</v>
      </c>
      <c r="Y3" s="149">
        <f>I3-X3</f>
        <v>5963</v>
      </c>
      <c r="Z3" s="167">
        <f>(0.93352*(W3+S3)+0.5568*(Q3+O3))*0.26</f>
        <v>6352.1042416000009</v>
      </c>
      <c r="AA3" s="167">
        <f>SUM(Z1:Z3)</f>
        <v>6352.1042416000009</v>
      </c>
    </row>
    <row r="4" spans="1:27" ht="16.5" thickBot="1" x14ac:dyDescent="0.3">
      <c r="A4" s="9">
        <v>44683</v>
      </c>
      <c r="B4" s="37">
        <v>150</v>
      </c>
      <c r="C4" s="143">
        <v>19575</v>
      </c>
      <c r="D4" s="37">
        <f t="shared" ref="D4:D29" si="4">IF((C4-C3)&lt;0,"0",(C4-C3))*160</f>
        <v>480</v>
      </c>
      <c r="E4" s="144">
        <v>30672925</v>
      </c>
      <c r="F4" s="37">
        <f t="shared" ref="F4:F29" si="5">IF((E4-E3)&lt;0,"0",(E4-E3))</f>
        <v>11736</v>
      </c>
      <c r="G4" s="145">
        <v>98261837</v>
      </c>
      <c r="H4" s="37">
        <f t="shared" ref="H4:H33" si="6">IF((G4-G3)&lt;0,"0",(G4-G3))</f>
        <v>54570</v>
      </c>
      <c r="I4" s="146">
        <f t="shared" ref="I4:I30" si="7">F4+H4</f>
        <v>66306</v>
      </c>
      <c r="J4" s="144">
        <v>9795800</v>
      </c>
      <c r="K4" s="37">
        <f>(IF((J4-J3)&lt;L93,"0",(J4-J3)))*2</f>
        <v>9692</v>
      </c>
      <c r="L4" s="147">
        <v>9914104</v>
      </c>
      <c r="M4" s="37">
        <f t="shared" ref="M4:M29" si="8">IF((L4-L3)&lt;0,"0",(L4-L3))</f>
        <v>7152</v>
      </c>
      <c r="N4" s="144">
        <v>6527564</v>
      </c>
      <c r="O4" s="37">
        <f>(IF((N4-N3)&lt;P93,"0",(N4-N3)))*2</f>
        <v>4408</v>
      </c>
      <c r="P4" s="147">
        <v>6348971</v>
      </c>
      <c r="Q4" s="37">
        <f t="shared" ref="Q4:Q29" si="9">IF((P4-P3)&lt;0,"0",(P4-P3))</f>
        <v>13697</v>
      </c>
      <c r="R4" s="144">
        <v>20916453</v>
      </c>
      <c r="S4" s="37">
        <f t="shared" ref="S4:S29" si="10">IF((R4-R3)&lt;0,"0",(R4-R3))</f>
        <v>11633</v>
      </c>
      <c r="T4" s="144">
        <v>0</v>
      </c>
      <c r="U4" s="148"/>
      <c r="V4" s="144">
        <v>8847023</v>
      </c>
      <c r="W4" s="37">
        <f t="shared" ref="W4:W29" si="11">IF((V4-V3)&lt;0,"0",(V4-V3))</f>
        <v>11550</v>
      </c>
      <c r="X4" s="19">
        <f t="shared" ref="X4:X30" si="12">K4+M4+O4+Q4+S4+U4+W4</f>
        <v>58132</v>
      </c>
      <c r="Y4" s="149">
        <f t="shared" ref="Y4:Y30" si="13">I4-X4</f>
        <v>8174</v>
      </c>
      <c r="Z4" s="167">
        <f t="shared" ref="Z4:Z30" si="14">(0.93352*(W4+S4)+0.5568*(Q4+O4))*0.26</f>
        <v>8247.8911215999997</v>
      </c>
      <c r="AA4" s="167">
        <f>SUM(Z1:Z4)</f>
        <v>14599.9953632</v>
      </c>
    </row>
    <row r="5" spans="1:27" ht="16.5" thickBot="1" x14ac:dyDescent="0.3">
      <c r="A5" s="9">
        <v>44684</v>
      </c>
      <c r="B5" s="37">
        <v>319</v>
      </c>
      <c r="C5" s="143">
        <v>19579</v>
      </c>
      <c r="D5" s="37">
        <f t="shared" si="4"/>
        <v>640</v>
      </c>
      <c r="E5" s="144">
        <v>30682155</v>
      </c>
      <c r="F5" s="37">
        <f t="shared" si="5"/>
        <v>9230</v>
      </c>
      <c r="G5" s="145">
        <v>98304955</v>
      </c>
      <c r="H5" s="37">
        <f t="shared" si="6"/>
        <v>43118</v>
      </c>
      <c r="I5" s="146">
        <f t="shared" si="7"/>
        <v>52348</v>
      </c>
      <c r="J5" s="144">
        <v>9799666</v>
      </c>
      <c r="K5" s="37">
        <f t="shared" ref="K5:K29" si="15">(IF((J5-J4)&lt;0,"0",(J5-J4)))*2</f>
        <v>7732</v>
      </c>
      <c r="L5" s="147">
        <v>9919946</v>
      </c>
      <c r="M5" s="37">
        <f t="shared" si="8"/>
        <v>5842</v>
      </c>
      <c r="N5" s="144">
        <v>6529197</v>
      </c>
      <c r="O5" s="37">
        <f t="shared" ref="O5:O29" si="16">(IF((N5-N4)&lt;0,"0",(N5-N4)))*2</f>
        <v>3266</v>
      </c>
      <c r="P5" s="147">
        <v>6360140</v>
      </c>
      <c r="Q5" s="37">
        <f t="shared" si="9"/>
        <v>11169</v>
      </c>
      <c r="R5" s="144">
        <v>20925495</v>
      </c>
      <c r="S5" s="37">
        <f t="shared" si="10"/>
        <v>9042</v>
      </c>
      <c r="T5" s="144">
        <v>0</v>
      </c>
      <c r="U5" s="148"/>
      <c r="V5" s="144">
        <v>8856081</v>
      </c>
      <c r="W5" s="37">
        <f t="shared" si="11"/>
        <v>9058</v>
      </c>
      <c r="X5" s="19">
        <f t="shared" si="12"/>
        <v>46109</v>
      </c>
      <c r="Y5" s="149">
        <f t="shared" si="13"/>
        <v>6239</v>
      </c>
      <c r="Z5" s="167">
        <f t="shared" si="14"/>
        <v>6482.8711999999996</v>
      </c>
      <c r="AA5" s="167">
        <f>SUM(Z2:Z5)</f>
        <v>21082.866563199997</v>
      </c>
    </row>
    <row r="6" spans="1:27" ht="16.5" thickBot="1" x14ac:dyDescent="0.3">
      <c r="A6" s="9">
        <v>44685</v>
      </c>
      <c r="B6" s="37">
        <v>240</v>
      </c>
      <c r="C6" s="143">
        <v>19583</v>
      </c>
      <c r="D6" s="37">
        <f t="shared" si="4"/>
        <v>640</v>
      </c>
      <c r="E6" s="144">
        <v>30690357</v>
      </c>
      <c r="F6" s="37">
        <f t="shared" si="5"/>
        <v>8202</v>
      </c>
      <c r="G6" s="145">
        <v>98344958</v>
      </c>
      <c r="H6" s="37">
        <f t="shared" si="6"/>
        <v>40003</v>
      </c>
      <c r="I6" s="146">
        <f t="shared" si="7"/>
        <v>48205</v>
      </c>
      <c r="J6" s="144">
        <v>9802957</v>
      </c>
      <c r="K6" s="37">
        <f t="shared" si="15"/>
        <v>6582</v>
      </c>
      <c r="L6" s="147">
        <v>9924945</v>
      </c>
      <c r="M6" s="37">
        <f t="shared" si="8"/>
        <v>4999</v>
      </c>
      <c r="N6" s="144">
        <v>6530735</v>
      </c>
      <c r="O6" s="37">
        <f t="shared" si="16"/>
        <v>3076</v>
      </c>
      <c r="P6" s="147">
        <v>6369943</v>
      </c>
      <c r="Q6" s="37">
        <f t="shared" si="9"/>
        <v>9803</v>
      </c>
      <c r="R6" s="144">
        <v>20934170</v>
      </c>
      <c r="S6" s="37">
        <f t="shared" si="10"/>
        <v>8675</v>
      </c>
      <c r="T6" s="144">
        <v>0</v>
      </c>
      <c r="U6" s="148"/>
      <c r="V6" s="144">
        <v>8864741</v>
      </c>
      <c r="W6" s="37">
        <f t="shared" si="11"/>
        <v>8660</v>
      </c>
      <c r="X6" s="19">
        <f t="shared" si="12"/>
        <v>41795</v>
      </c>
      <c r="Y6" s="149">
        <f t="shared" si="13"/>
        <v>6410</v>
      </c>
      <c r="Z6" s="167">
        <f t="shared" si="14"/>
        <v>6071.9350640000002</v>
      </c>
      <c r="AA6" s="167">
        <f>SUM(Z3:Z6)</f>
        <v>27154.801627199999</v>
      </c>
    </row>
    <row r="7" spans="1:27" ht="16.5" thickBot="1" x14ac:dyDescent="0.3">
      <c r="A7" s="9">
        <v>44686</v>
      </c>
      <c r="B7" s="37">
        <v>258</v>
      </c>
      <c r="C7" s="143">
        <v>19586</v>
      </c>
      <c r="D7" s="37">
        <f t="shared" si="4"/>
        <v>480</v>
      </c>
      <c r="E7" s="144">
        <v>30700308</v>
      </c>
      <c r="F7" s="37">
        <f t="shared" si="5"/>
        <v>9951</v>
      </c>
      <c r="G7" s="145">
        <v>98393334</v>
      </c>
      <c r="H7" s="37">
        <f t="shared" si="6"/>
        <v>48376</v>
      </c>
      <c r="I7" s="146">
        <f t="shared" si="7"/>
        <v>58327</v>
      </c>
      <c r="J7" s="144">
        <v>9806835</v>
      </c>
      <c r="K7" s="37">
        <f t="shared" si="15"/>
        <v>7756</v>
      </c>
      <c r="L7" s="147">
        <v>9931113</v>
      </c>
      <c r="M7" s="37">
        <f t="shared" si="8"/>
        <v>6168</v>
      </c>
      <c r="N7" s="144">
        <v>6532546</v>
      </c>
      <c r="O7" s="37">
        <f t="shared" si="16"/>
        <v>3622</v>
      </c>
      <c r="P7" s="147">
        <v>6381480</v>
      </c>
      <c r="Q7" s="37">
        <f t="shared" si="9"/>
        <v>11537</v>
      </c>
      <c r="R7" s="144">
        <v>20944569</v>
      </c>
      <c r="S7" s="37">
        <f t="shared" si="10"/>
        <v>10399</v>
      </c>
      <c r="T7" s="144">
        <v>0</v>
      </c>
      <c r="U7" s="148"/>
      <c r="V7" s="144">
        <v>8875490</v>
      </c>
      <c r="W7" s="37">
        <f t="shared" si="11"/>
        <v>10749</v>
      </c>
      <c r="X7" s="19">
        <f t="shared" si="12"/>
        <v>50231</v>
      </c>
      <c r="Y7" s="149">
        <f t="shared" si="13"/>
        <v>8096</v>
      </c>
      <c r="Z7" s="167">
        <f t="shared" si="14"/>
        <v>7327.4791615999993</v>
      </c>
      <c r="AA7" s="167">
        <f t="shared" ref="AA7:AA29" si="17">SUM(Z4:Z7)</f>
        <v>28130.176547200001</v>
      </c>
    </row>
    <row r="8" spans="1:27" ht="16.5" thickBot="1" x14ac:dyDescent="0.3">
      <c r="A8" s="9">
        <v>44687</v>
      </c>
      <c r="B8" s="37">
        <v>325</v>
      </c>
      <c r="C8" s="143">
        <v>19589</v>
      </c>
      <c r="D8" s="37">
        <f t="shared" si="4"/>
        <v>480</v>
      </c>
      <c r="E8" s="144">
        <v>30713909</v>
      </c>
      <c r="F8" s="37">
        <f t="shared" si="5"/>
        <v>13601</v>
      </c>
      <c r="G8" s="145">
        <v>98434908</v>
      </c>
      <c r="H8" s="37">
        <f t="shared" si="6"/>
        <v>41574</v>
      </c>
      <c r="I8" s="146">
        <f t="shared" si="7"/>
        <v>55175</v>
      </c>
      <c r="J8" s="144">
        <v>9810306</v>
      </c>
      <c r="K8" s="37">
        <f t="shared" si="15"/>
        <v>6942</v>
      </c>
      <c r="L8" s="147">
        <v>9936959</v>
      </c>
      <c r="M8" s="37">
        <f t="shared" si="8"/>
        <v>5846</v>
      </c>
      <c r="N8" s="144">
        <v>6536345</v>
      </c>
      <c r="O8" s="37">
        <f t="shared" si="16"/>
        <v>7598</v>
      </c>
      <c r="P8" s="147">
        <v>6387732</v>
      </c>
      <c r="Q8" s="37">
        <f t="shared" si="9"/>
        <v>6252</v>
      </c>
      <c r="R8" s="144">
        <v>20954835</v>
      </c>
      <c r="S8" s="37">
        <f t="shared" si="10"/>
        <v>10266</v>
      </c>
      <c r="T8" s="144">
        <v>0</v>
      </c>
      <c r="U8" s="148"/>
      <c r="V8" s="144">
        <v>8885839</v>
      </c>
      <c r="W8" s="37">
        <f t="shared" si="11"/>
        <v>10349</v>
      </c>
      <c r="X8" s="19">
        <f t="shared" si="12"/>
        <v>47253</v>
      </c>
      <c r="Y8" s="149">
        <f t="shared" si="13"/>
        <v>7922</v>
      </c>
      <c r="Z8" s="167">
        <f t="shared" si="14"/>
        <v>7008.6106480000008</v>
      </c>
      <c r="AA8" s="167">
        <f t="shared" si="17"/>
        <v>26890.896073600001</v>
      </c>
    </row>
    <row r="9" spans="1:27" ht="16.5" thickBot="1" x14ac:dyDescent="0.3">
      <c r="A9" s="9">
        <v>44688</v>
      </c>
      <c r="B9" s="37">
        <v>275</v>
      </c>
      <c r="C9" s="143">
        <v>19592</v>
      </c>
      <c r="D9" s="37">
        <f t="shared" si="4"/>
        <v>480</v>
      </c>
      <c r="E9" s="144">
        <v>30732057</v>
      </c>
      <c r="F9" s="37">
        <f t="shared" si="5"/>
        <v>18148</v>
      </c>
      <c r="G9" s="145">
        <v>98477564</v>
      </c>
      <c r="H9" s="37">
        <f t="shared" si="6"/>
        <v>42656</v>
      </c>
      <c r="I9" s="146">
        <f t="shared" si="7"/>
        <v>60804</v>
      </c>
      <c r="J9" s="144">
        <v>9814222</v>
      </c>
      <c r="K9" s="37">
        <f t="shared" si="15"/>
        <v>7832</v>
      </c>
      <c r="L9" s="147">
        <v>9943124</v>
      </c>
      <c r="M9" s="37">
        <f t="shared" si="8"/>
        <v>6165</v>
      </c>
      <c r="N9" s="144">
        <v>6542249</v>
      </c>
      <c r="O9" s="37">
        <f t="shared" si="16"/>
        <v>11808</v>
      </c>
      <c r="P9" s="147">
        <v>6390905</v>
      </c>
      <c r="Q9" s="37">
        <f t="shared" si="9"/>
        <v>3173</v>
      </c>
      <c r="R9" s="144">
        <v>20966274</v>
      </c>
      <c r="S9" s="37">
        <f t="shared" si="10"/>
        <v>11439</v>
      </c>
      <c r="T9" s="144">
        <v>0</v>
      </c>
      <c r="U9" s="148"/>
      <c r="V9" s="144">
        <v>8897329</v>
      </c>
      <c r="W9" s="37">
        <f t="shared" si="11"/>
        <v>11490</v>
      </c>
      <c r="X9" s="19">
        <f t="shared" si="12"/>
        <v>51907</v>
      </c>
      <c r="Y9" s="149">
        <f t="shared" si="13"/>
        <v>8897</v>
      </c>
      <c r="Z9" s="167">
        <f t="shared" si="14"/>
        <v>7733.9862288000004</v>
      </c>
      <c r="AA9" s="167">
        <f t="shared" si="17"/>
        <v>28142.0111024</v>
      </c>
    </row>
    <row r="10" spans="1:27" ht="16.5" thickBot="1" x14ac:dyDescent="0.3">
      <c r="A10" s="9">
        <v>44689</v>
      </c>
      <c r="B10" s="37">
        <v>292</v>
      </c>
      <c r="C10" s="143">
        <v>19594</v>
      </c>
      <c r="D10" s="37">
        <f t="shared" si="4"/>
        <v>320</v>
      </c>
      <c r="E10" s="144">
        <v>30750612</v>
      </c>
      <c r="F10" s="37">
        <f t="shared" si="5"/>
        <v>18555</v>
      </c>
      <c r="G10" s="145">
        <v>98518788</v>
      </c>
      <c r="H10" s="37">
        <f t="shared" si="6"/>
        <v>41224</v>
      </c>
      <c r="I10" s="146">
        <f t="shared" si="7"/>
        <v>59779</v>
      </c>
      <c r="J10" s="144">
        <v>9818814</v>
      </c>
      <c r="K10" s="37">
        <f t="shared" si="15"/>
        <v>9184</v>
      </c>
      <c r="L10" s="147">
        <v>9949452</v>
      </c>
      <c r="M10" s="37">
        <f t="shared" si="8"/>
        <v>6328</v>
      </c>
      <c r="N10" s="144">
        <v>6548280</v>
      </c>
      <c r="O10" s="37">
        <f t="shared" si="16"/>
        <v>12062</v>
      </c>
      <c r="P10" s="147">
        <v>6393982</v>
      </c>
      <c r="Q10" s="37">
        <f t="shared" si="9"/>
        <v>3077</v>
      </c>
      <c r="R10" s="144">
        <v>20977113</v>
      </c>
      <c r="S10" s="37">
        <f t="shared" si="10"/>
        <v>10839</v>
      </c>
      <c r="T10" s="144">
        <v>0</v>
      </c>
      <c r="U10" s="148"/>
      <c r="V10" s="144">
        <v>8908079</v>
      </c>
      <c r="W10" s="37">
        <f t="shared" si="11"/>
        <v>10750</v>
      </c>
      <c r="X10" s="19">
        <f t="shared" si="12"/>
        <v>52240</v>
      </c>
      <c r="Y10" s="149">
        <f t="shared" si="13"/>
        <v>7539</v>
      </c>
      <c r="Z10" s="167">
        <f t="shared" si="14"/>
        <v>7431.6212047999998</v>
      </c>
      <c r="AA10" s="167">
        <f t="shared" si="17"/>
        <v>29501.697243200004</v>
      </c>
    </row>
    <row r="11" spans="1:27" ht="15.75" customHeight="1" thickBot="1" x14ac:dyDescent="0.3">
      <c r="A11" s="9">
        <v>44690</v>
      </c>
      <c r="B11" s="37">
        <v>301</v>
      </c>
      <c r="C11" s="143">
        <v>19597</v>
      </c>
      <c r="D11" s="37">
        <f t="shared" si="4"/>
        <v>480</v>
      </c>
      <c r="E11" s="144">
        <v>30764172</v>
      </c>
      <c r="F11" s="37">
        <f t="shared" si="5"/>
        <v>13560</v>
      </c>
      <c r="G11" s="145">
        <v>98549771</v>
      </c>
      <c r="H11" s="37">
        <f t="shared" si="6"/>
        <v>30983</v>
      </c>
      <c r="I11" s="146">
        <f t="shared" si="7"/>
        <v>44543</v>
      </c>
      <c r="J11" s="144">
        <v>9822357</v>
      </c>
      <c r="K11" s="37">
        <f t="shared" si="15"/>
        <v>7086</v>
      </c>
      <c r="L11" s="147">
        <v>9954310</v>
      </c>
      <c r="M11" s="37">
        <f t="shared" si="8"/>
        <v>4858</v>
      </c>
      <c r="N11" s="144">
        <v>6552556</v>
      </c>
      <c r="O11" s="37">
        <f t="shared" si="16"/>
        <v>8552</v>
      </c>
      <c r="P11" s="147">
        <v>6396658</v>
      </c>
      <c r="Q11" s="37">
        <f t="shared" si="9"/>
        <v>2676</v>
      </c>
      <c r="R11" s="144">
        <v>20985071</v>
      </c>
      <c r="S11" s="37">
        <f t="shared" si="10"/>
        <v>7958</v>
      </c>
      <c r="T11" s="144">
        <v>0</v>
      </c>
      <c r="U11" s="148"/>
      <c r="V11" s="144">
        <v>8915947</v>
      </c>
      <c r="W11" s="37">
        <f t="shared" si="11"/>
        <v>7868</v>
      </c>
      <c r="X11" s="19">
        <f t="shared" si="12"/>
        <v>38998</v>
      </c>
      <c r="Y11" s="149">
        <f t="shared" si="13"/>
        <v>5545</v>
      </c>
      <c r="Z11" s="167">
        <f t="shared" si="14"/>
        <v>5466.6658592000003</v>
      </c>
      <c r="AA11" s="167">
        <f t="shared" si="17"/>
        <v>27640.883940800006</v>
      </c>
    </row>
    <row r="12" spans="1:27" ht="16.5" thickBot="1" x14ac:dyDescent="0.3">
      <c r="A12" s="9">
        <v>44691</v>
      </c>
      <c r="B12" s="37">
        <v>284</v>
      </c>
      <c r="C12" s="143">
        <v>19601</v>
      </c>
      <c r="D12" s="37">
        <f t="shared" si="4"/>
        <v>640</v>
      </c>
      <c r="E12" s="144">
        <v>30775957</v>
      </c>
      <c r="F12" s="37">
        <f t="shared" si="5"/>
        <v>11785</v>
      </c>
      <c r="G12" s="145">
        <v>98604634</v>
      </c>
      <c r="H12" s="37">
        <f t="shared" si="6"/>
        <v>54863</v>
      </c>
      <c r="I12" s="146">
        <f t="shared" si="7"/>
        <v>66648</v>
      </c>
      <c r="J12" s="144">
        <v>9827515</v>
      </c>
      <c r="K12" s="37">
        <f t="shared" si="15"/>
        <v>10316</v>
      </c>
      <c r="L12" s="147">
        <v>9961502</v>
      </c>
      <c r="M12" s="37">
        <f t="shared" si="8"/>
        <v>7192</v>
      </c>
      <c r="N12" s="144">
        <v>6554759</v>
      </c>
      <c r="O12" s="37">
        <f t="shared" si="16"/>
        <v>4406</v>
      </c>
      <c r="P12" s="147">
        <v>6409999</v>
      </c>
      <c r="Q12" s="37">
        <f t="shared" si="9"/>
        <v>13341</v>
      </c>
      <c r="R12" s="144">
        <v>20996770</v>
      </c>
      <c r="S12" s="37">
        <f t="shared" si="10"/>
        <v>11699</v>
      </c>
      <c r="T12" s="144">
        <v>0</v>
      </c>
      <c r="U12" s="148"/>
      <c r="V12" s="144">
        <v>8927565</v>
      </c>
      <c r="W12" s="37">
        <f t="shared" si="11"/>
        <v>11618</v>
      </c>
      <c r="X12" s="19">
        <f t="shared" si="12"/>
        <v>58572</v>
      </c>
      <c r="Y12" s="149">
        <f t="shared" si="13"/>
        <v>8076</v>
      </c>
      <c r="Z12" s="167">
        <f t="shared" si="14"/>
        <v>8228.5880144000002</v>
      </c>
      <c r="AA12" s="167">
        <f t="shared" si="17"/>
        <v>28860.861307200001</v>
      </c>
    </row>
    <row r="13" spans="1:27" ht="16.5" thickBot="1" x14ac:dyDescent="0.3">
      <c r="A13" s="9">
        <v>44692</v>
      </c>
      <c r="B13" s="37">
        <v>304</v>
      </c>
      <c r="C13" s="143">
        <v>19604</v>
      </c>
      <c r="D13" s="37">
        <f t="shared" ref="D13" si="18">IF((C13-C12)&lt;0,"0",(C13-C12))*160</f>
        <v>480</v>
      </c>
      <c r="E13" s="144">
        <v>30787549</v>
      </c>
      <c r="F13" s="37">
        <f t="shared" ref="F13" si="19">IF((E13-E12)&lt;0,"0",(E13-E12))</f>
        <v>11592</v>
      </c>
      <c r="G13" s="145">
        <v>98651563</v>
      </c>
      <c r="H13" s="37">
        <f t="shared" si="6"/>
        <v>46929</v>
      </c>
      <c r="I13" s="146">
        <f t="shared" ref="I13" si="20">F13+H13</f>
        <v>58521</v>
      </c>
      <c r="J13" s="144">
        <v>9831801</v>
      </c>
      <c r="K13" s="37">
        <f t="shared" ref="K13" si="21">(IF((J13-J12)&lt;0,"0",(J13-J12)))*2</f>
        <v>8572</v>
      </c>
      <c r="L13" s="147">
        <v>9967373</v>
      </c>
      <c r="M13" s="37">
        <f t="shared" ref="M13" si="22">IF((L13-L12)&lt;0,"0",(L13-L12))</f>
        <v>5871</v>
      </c>
      <c r="N13" s="144">
        <v>6556528</v>
      </c>
      <c r="O13" s="37">
        <f t="shared" ref="O13" si="23">(IF((N13-N12)&lt;0,"0",(N13-N12)))*2</f>
        <v>3538</v>
      </c>
      <c r="P13" s="147">
        <v>6421162</v>
      </c>
      <c r="Q13" s="37">
        <f t="shared" ref="Q13" si="24">IF((P13-P12)&lt;0,"0",(P13-P12))</f>
        <v>11163</v>
      </c>
      <c r="R13" s="144">
        <v>21007012</v>
      </c>
      <c r="S13" s="37">
        <f t="shared" ref="S13" si="25">IF((R13-R12)&lt;0,"0",(R13-R12))</f>
        <v>10242</v>
      </c>
      <c r="T13" s="144">
        <v>0</v>
      </c>
      <c r="U13" s="148"/>
      <c r="V13" s="144">
        <v>8937536</v>
      </c>
      <c r="W13" s="37">
        <f t="shared" ref="W13" si="26">IF((V13-V12)&lt;0,"0",(V13-V12))</f>
        <v>9971</v>
      </c>
      <c r="X13" s="19">
        <f t="shared" ref="X13" si="27">K13+M13+O13+Q13+S13+U13+W13</f>
        <v>49357</v>
      </c>
      <c r="Y13" s="149">
        <f t="shared" ref="Y13" si="28">I13-X13</f>
        <v>9164</v>
      </c>
      <c r="Z13" s="167">
        <f t="shared" ref="Z13" si="29">(0.93352*(W13+S13)+0.5568*(Q13+O13))*0.26</f>
        <v>7034.2367056000003</v>
      </c>
      <c r="AA13" s="167">
        <f t="shared" si="17"/>
        <v>28161.111784000001</v>
      </c>
    </row>
    <row r="14" spans="1:27" ht="16.5" thickBot="1" x14ac:dyDescent="0.3">
      <c r="A14" s="9">
        <v>44693</v>
      </c>
      <c r="B14" s="37">
        <v>290</v>
      </c>
      <c r="C14" s="143">
        <v>19608</v>
      </c>
      <c r="D14" s="37">
        <f t="shared" si="4"/>
        <v>640</v>
      </c>
      <c r="E14" s="144">
        <v>30797377</v>
      </c>
      <c r="F14" s="37">
        <f t="shared" si="5"/>
        <v>9828</v>
      </c>
      <c r="G14" s="145">
        <v>98708092</v>
      </c>
      <c r="H14" s="37">
        <f t="shared" si="6"/>
        <v>56529</v>
      </c>
      <c r="I14" s="146">
        <f t="shared" si="7"/>
        <v>66357</v>
      </c>
      <c r="J14" s="144">
        <v>9836692</v>
      </c>
      <c r="K14" s="37">
        <f t="shared" si="15"/>
        <v>9782</v>
      </c>
      <c r="L14" s="147">
        <v>9974751</v>
      </c>
      <c r="M14" s="37">
        <f t="shared" si="8"/>
        <v>7378</v>
      </c>
      <c r="N14" s="144">
        <v>6558708</v>
      </c>
      <c r="O14" s="37">
        <f t="shared" si="16"/>
        <v>4360</v>
      </c>
      <c r="P14" s="147">
        <v>6434352</v>
      </c>
      <c r="Q14" s="37">
        <f t="shared" si="9"/>
        <v>13190</v>
      </c>
      <c r="R14" s="144">
        <v>21019235</v>
      </c>
      <c r="S14" s="37">
        <f>IF((R14-R13)&lt;0,"0",(R14-R13))</f>
        <v>12223</v>
      </c>
      <c r="T14" s="144">
        <v>0</v>
      </c>
      <c r="U14" s="148"/>
      <c r="V14" s="144">
        <v>8949858</v>
      </c>
      <c r="W14" s="37">
        <f t="shared" si="11"/>
        <v>12322</v>
      </c>
      <c r="X14" s="19">
        <f t="shared" si="12"/>
        <v>59255</v>
      </c>
      <c r="Y14" s="149">
        <f t="shared" si="13"/>
        <v>7102</v>
      </c>
      <c r="Z14" s="167">
        <f t="shared" si="14"/>
        <v>8498.1229839999996</v>
      </c>
      <c r="AA14" s="167">
        <f t="shared" si="17"/>
        <v>29227.6135632</v>
      </c>
    </row>
    <row r="15" spans="1:27" ht="16.5" thickBot="1" x14ac:dyDescent="0.3">
      <c r="A15" s="9">
        <v>44694</v>
      </c>
      <c r="B15" s="37">
        <v>265</v>
      </c>
      <c r="C15" s="143">
        <v>19611</v>
      </c>
      <c r="D15" s="37">
        <f t="shared" si="4"/>
        <v>480</v>
      </c>
      <c r="E15" s="144">
        <v>30806512</v>
      </c>
      <c r="F15" s="37">
        <f t="shared" si="5"/>
        <v>9135</v>
      </c>
      <c r="G15" s="145">
        <v>98754640</v>
      </c>
      <c r="H15" s="37">
        <f t="shared" si="6"/>
        <v>46548</v>
      </c>
      <c r="I15" s="146">
        <f t="shared" si="7"/>
        <v>55683</v>
      </c>
      <c r="J15" s="144">
        <v>9840390</v>
      </c>
      <c r="K15" s="37">
        <f t="shared" si="15"/>
        <v>7396</v>
      </c>
      <c r="L15" s="147">
        <v>9980260</v>
      </c>
      <c r="M15" s="37">
        <f t="shared" si="8"/>
        <v>5509</v>
      </c>
      <c r="N15" s="144">
        <v>6560446</v>
      </c>
      <c r="O15" s="37">
        <f t="shared" si="16"/>
        <v>3476</v>
      </c>
      <c r="P15" s="147">
        <v>6445525</v>
      </c>
      <c r="Q15" s="37">
        <f t="shared" si="9"/>
        <v>11173</v>
      </c>
      <c r="R15" s="144">
        <v>21029571</v>
      </c>
      <c r="S15" s="37">
        <f>IF((R15-R14)&lt;0,"0",(R15-R14))</f>
        <v>10336</v>
      </c>
      <c r="T15" s="144">
        <v>0</v>
      </c>
      <c r="U15" s="148"/>
      <c r="V15" s="144">
        <v>8959884</v>
      </c>
      <c r="W15" s="37">
        <f t="shared" si="11"/>
        <v>10026</v>
      </c>
      <c r="X15" s="19">
        <f t="shared" si="12"/>
        <v>47916</v>
      </c>
      <c r="Y15" s="149">
        <f t="shared" si="13"/>
        <v>7767</v>
      </c>
      <c r="Z15" s="167">
        <f t="shared" si="14"/>
        <v>7062.8733344000002</v>
      </c>
      <c r="AA15" s="167">
        <f t="shared" si="17"/>
        <v>30823.821038399998</v>
      </c>
    </row>
    <row r="16" spans="1:27" ht="16.5" thickBot="1" x14ac:dyDescent="0.3">
      <c r="A16" s="9">
        <v>44695</v>
      </c>
      <c r="B16" s="37">
        <v>285</v>
      </c>
      <c r="C16" s="143">
        <v>19615</v>
      </c>
      <c r="D16" s="37">
        <f t="shared" si="4"/>
        <v>640</v>
      </c>
      <c r="E16" s="144">
        <v>30815011</v>
      </c>
      <c r="F16" s="37">
        <f t="shared" si="5"/>
        <v>8499</v>
      </c>
      <c r="G16" s="145">
        <v>98796799</v>
      </c>
      <c r="H16" s="37">
        <f t="shared" si="6"/>
        <v>42159</v>
      </c>
      <c r="I16" s="146">
        <f t="shared" si="7"/>
        <v>50658</v>
      </c>
      <c r="J16" s="144">
        <v>9843984</v>
      </c>
      <c r="K16" s="37">
        <f t="shared" si="15"/>
        <v>7188</v>
      </c>
      <c r="L16" s="147">
        <v>9985302</v>
      </c>
      <c r="M16" s="37">
        <f t="shared" si="8"/>
        <v>5042</v>
      </c>
      <c r="N16" s="144">
        <v>6562112</v>
      </c>
      <c r="O16" s="37">
        <f t="shared" si="16"/>
        <v>3332</v>
      </c>
      <c r="P16" s="147">
        <v>6456692</v>
      </c>
      <c r="Q16" s="37">
        <f t="shared" si="9"/>
        <v>11167</v>
      </c>
      <c r="R16" s="144">
        <v>21308941</v>
      </c>
      <c r="S16" s="37">
        <f t="shared" si="10"/>
        <v>279370</v>
      </c>
      <c r="T16" s="144">
        <v>0</v>
      </c>
      <c r="U16" s="148"/>
      <c r="V16" s="144">
        <v>8965776</v>
      </c>
      <c r="W16" s="37">
        <f t="shared" si="11"/>
        <v>5892</v>
      </c>
      <c r="X16" s="19">
        <f t="shared" si="12"/>
        <v>311991</v>
      </c>
      <c r="Y16" s="149">
        <f t="shared" si="13"/>
        <v>-261333</v>
      </c>
      <c r="Z16" s="167">
        <f t="shared" si="14"/>
        <v>71336.414614400011</v>
      </c>
      <c r="AA16" s="167">
        <f t="shared" si="17"/>
        <v>93931.647638400013</v>
      </c>
    </row>
    <row r="17" spans="1:27" s="129" customFormat="1" ht="16.5" thickBot="1" x14ac:dyDescent="0.3">
      <c r="A17" s="9">
        <v>44696</v>
      </c>
      <c r="B17" s="37"/>
      <c r="C17" s="143"/>
      <c r="D17" s="37">
        <f t="shared" si="4"/>
        <v>0</v>
      </c>
      <c r="E17" s="144"/>
      <c r="F17" s="37" t="str">
        <f t="shared" si="5"/>
        <v>0</v>
      </c>
      <c r="G17" s="145"/>
      <c r="H17" s="37" t="str">
        <f t="shared" si="6"/>
        <v>0</v>
      </c>
      <c r="I17" s="150">
        <f t="shared" si="7"/>
        <v>0</v>
      </c>
      <c r="J17" s="144"/>
      <c r="K17" s="128">
        <f t="shared" si="15"/>
        <v>0</v>
      </c>
      <c r="L17" s="147"/>
      <c r="M17" s="128" t="str">
        <f t="shared" si="8"/>
        <v>0</v>
      </c>
      <c r="N17" s="144"/>
      <c r="O17" s="128">
        <f t="shared" si="16"/>
        <v>0</v>
      </c>
      <c r="P17" s="147"/>
      <c r="Q17" s="128" t="str">
        <f t="shared" si="9"/>
        <v>0</v>
      </c>
      <c r="R17" s="144"/>
      <c r="S17" s="128" t="str">
        <f t="shared" si="10"/>
        <v>0</v>
      </c>
      <c r="T17" s="151">
        <v>0</v>
      </c>
      <c r="U17" s="148"/>
      <c r="V17" s="144"/>
      <c r="W17" s="128" t="str">
        <f t="shared" si="11"/>
        <v>0</v>
      </c>
      <c r="X17" s="19">
        <f t="shared" si="12"/>
        <v>0</v>
      </c>
      <c r="Y17" s="152">
        <f t="shared" si="13"/>
        <v>0</v>
      </c>
      <c r="Z17" s="168">
        <f t="shared" si="14"/>
        <v>0</v>
      </c>
      <c r="AA17" s="167">
        <f t="shared" si="17"/>
        <v>86897.410932800005</v>
      </c>
    </row>
    <row r="18" spans="1:27" s="129" customFormat="1" ht="16.5" thickBot="1" x14ac:dyDescent="0.3">
      <c r="A18" s="9">
        <v>44697</v>
      </c>
      <c r="B18" s="37"/>
      <c r="C18" s="143"/>
      <c r="D18" s="37">
        <f t="shared" si="4"/>
        <v>0</v>
      </c>
      <c r="E18" s="144"/>
      <c r="F18" s="37">
        <f t="shared" si="5"/>
        <v>0</v>
      </c>
      <c r="G18" s="145"/>
      <c r="H18" s="37">
        <f t="shared" si="6"/>
        <v>0</v>
      </c>
      <c r="I18" s="150">
        <f t="shared" si="7"/>
        <v>0</v>
      </c>
      <c r="J18" s="144"/>
      <c r="K18" s="128">
        <f t="shared" si="15"/>
        <v>0</v>
      </c>
      <c r="L18" s="147"/>
      <c r="M18" s="128">
        <f t="shared" si="8"/>
        <v>0</v>
      </c>
      <c r="N18" s="144"/>
      <c r="O18" s="128">
        <f t="shared" si="16"/>
        <v>0</v>
      </c>
      <c r="P18" s="147"/>
      <c r="Q18" s="128">
        <f t="shared" si="9"/>
        <v>0</v>
      </c>
      <c r="R18" s="144"/>
      <c r="S18" s="128">
        <f t="shared" si="10"/>
        <v>0</v>
      </c>
      <c r="T18" s="151">
        <v>0</v>
      </c>
      <c r="U18" s="148"/>
      <c r="V18" s="144"/>
      <c r="W18" s="128">
        <f t="shared" si="11"/>
        <v>0</v>
      </c>
      <c r="X18" s="19">
        <f t="shared" si="12"/>
        <v>0</v>
      </c>
      <c r="Y18" s="152">
        <f t="shared" si="13"/>
        <v>0</v>
      </c>
      <c r="Z18" s="168">
        <f t="shared" si="14"/>
        <v>0</v>
      </c>
      <c r="AA18" s="167">
        <f t="shared" si="17"/>
        <v>78399.287948800018</v>
      </c>
    </row>
    <row r="19" spans="1:27" s="129" customFormat="1" ht="16.5" thickBot="1" x14ac:dyDescent="0.3">
      <c r="A19" s="9">
        <v>44698</v>
      </c>
      <c r="B19" s="37"/>
      <c r="C19" s="143"/>
      <c r="D19" s="37">
        <f t="shared" si="4"/>
        <v>0</v>
      </c>
      <c r="E19" s="144"/>
      <c r="F19" s="37">
        <f t="shared" si="5"/>
        <v>0</v>
      </c>
      <c r="G19" s="145"/>
      <c r="H19" s="37">
        <f t="shared" si="6"/>
        <v>0</v>
      </c>
      <c r="I19" s="150">
        <f t="shared" si="7"/>
        <v>0</v>
      </c>
      <c r="J19" s="144"/>
      <c r="K19" s="128">
        <f t="shared" si="15"/>
        <v>0</v>
      </c>
      <c r="L19" s="147"/>
      <c r="M19" s="128">
        <f t="shared" si="8"/>
        <v>0</v>
      </c>
      <c r="N19" s="144"/>
      <c r="O19" s="128">
        <f t="shared" si="16"/>
        <v>0</v>
      </c>
      <c r="P19" s="147"/>
      <c r="Q19" s="128">
        <f t="shared" si="9"/>
        <v>0</v>
      </c>
      <c r="R19" s="144"/>
      <c r="S19" s="128">
        <f t="shared" si="10"/>
        <v>0</v>
      </c>
      <c r="T19" s="151">
        <v>0</v>
      </c>
      <c r="U19" s="148"/>
      <c r="V19" s="144"/>
      <c r="W19" s="128">
        <f t="shared" si="11"/>
        <v>0</v>
      </c>
      <c r="X19" s="19">
        <f t="shared" si="12"/>
        <v>0</v>
      </c>
      <c r="Y19" s="152">
        <f t="shared" si="13"/>
        <v>0</v>
      </c>
      <c r="Z19" s="168">
        <f t="shared" si="14"/>
        <v>0</v>
      </c>
      <c r="AA19" s="167">
        <f t="shared" si="17"/>
        <v>71336.414614400011</v>
      </c>
    </row>
    <row r="20" spans="1:27" s="129" customFormat="1" ht="16.5" thickBot="1" x14ac:dyDescent="0.3">
      <c r="A20" s="9">
        <v>44699</v>
      </c>
      <c r="B20" s="37"/>
      <c r="C20" s="143"/>
      <c r="D20" s="37">
        <f t="shared" si="4"/>
        <v>0</v>
      </c>
      <c r="E20" s="144"/>
      <c r="F20" s="37">
        <f t="shared" si="5"/>
        <v>0</v>
      </c>
      <c r="G20" s="145"/>
      <c r="H20" s="37">
        <f t="shared" si="6"/>
        <v>0</v>
      </c>
      <c r="I20" s="150">
        <f t="shared" si="7"/>
        <v>0</v>
      </c>
      <c r="J20" s="144"/>
      <c r="K20" s="128">
        <f t="shared" si="15"/>
        <v>0</v>
      </c>
      <c r="L20" s="147"/>
      <c r="M20" s="128">
        <f t="shared" si="8"/>
        <v>0</v>
      </c>
      <c r="N20" s="144"/>
      <c r="O20" s="128">
        <f t="shared" si="16"/>
        <v>0</v>
      </c>
      <c r="P20" s="147"/>
      <c r="Q20" s="128">
        <f t="shared" si="9"/>
        <v>0</v>
      </c>
      <c r="R20" s="144"/>
      <c r="S20" s="128">
        <f t="shared" si="10"/>
        <v>0</v>
      </c>
      <c r="T20" s="151">
        <v>0</v>
      </c>
      <c r="U20" s="148"/>
      <c r="V20" s="144"/>
      <c r="W20" s="128">
        <f t="shared" si="11"/>
        <v>0</v>
      </c>
      <c r="X20" s="19">
        <f t="shared" si="12"/>
        <v>0</v>
      </c>
      <c r="Y20" s="152">
        <f t="shared" si="13"/>
        <v>0</v>
      </c>
      <c r="Z20" s="168">
        <f t="shared" si="14"/>
        <v>0</v>
      </c>
      <c r="AA20" s="167">
        <f t="shared" si="17"/>
        <v>0</v>
      </c>
    </row>
    <row r="21" spans="1:27" s="129" customFormat="1" ht="16.5" thickBot="1" x14ac:dyDescent="0.3">
      <c r="A21" s="9">
        <v>44700</v>
      </c>
      <c r="B21" s="37"/>
      <c r="C21" s="143"/>
      <c r="D21" s="37">
        <f t="shared" si="4"/>
        <v>0</v>
      </c>
      <c r="E21" s="144"/>
      <c r="F21" s="37">
        <f t="shared" si="5"/>
        <v>0</v>
      </c>
      <c r="G21" s="145"/>
      <c r="H21" s="37">
        <f t="shared" si="6"/>
        <v>0</v>
      </c>
      <c r="I21" s="150">
        <f t="shared" si="7"/>
        <v>0</v>
      </c>
      <c r="J21" s="144"/>
      <c r="K21" s="128">
        <f t="shared" si="15"/>
        <v>0</v>
      </c>
      <c r="L21" s="147"/>
      <c r="M21" s="128">
        <f t="shared" si="8"/>
        <v>0</v>
      </c>
      <c r="N21" s="144"/>
      <c r="O21" s="128">
        <f t="shared" si="16"/>
        <v>0</v>
      </c>
      <c r="P21" s="147"/>
      <c r="Q21" s="128">
        <f t="shared" si="9"/>
        <v>0</v>
      </c>
      <c r="R21" s="144"/>
      <c r="S21" s="128">
        <f t="shared" si="10"/>
        <v>0</v>
      </c>
      <c r="T21" s="151">
        <v>0</v>
      </c>
      <c r="U21" s="148"/>
      <c r="V21" s="144"/>
      <c r="W21" s="128">
        <f t="shared" si="11"/>
        <v>0</v>
      </c>
      <c r="X21" s="19">
        <f t="shared" si="12"/>
        <v>0</v>
      </c>
      <c r="Y21" s="152">
        <f t="shared" si="13"/>
        <v>0</v>
      </c>
      <c r="Z21" s="168">
        <f t="shared" si="14"/>
        <v>0</v>
      </c>
      <c r="AA21" s="167">
        <f t="shared" si="17"/>
        <v>0</v>
      </c>
    </row>
    <row r="22" spans="1:27" ht="16.5" thickBot="1" x14ac:dyDescent="0.3">
      <c r="A22" s="9">
        <v>44701</v>
      </c>
      <c r="B22" s="37"/>
      <c r="C22" s="143"/>
      <c r="D22" s="37">
        <f t="shared" si="4"/>
        <v>0</v>
      </c>
      <c r="E22" s="144"/>
      <c r="F22" s="37">
        <f t="shared" si="5"/>
        <v>0</v>
      </c>
      <c r="G22" s="145"/>
      <c r="H22" s="37">
        <f t="shared" si="6"/>
        <v>0</v>
      </c>
      <c r="I22" s="146">
        <f t="shared" si="7"/>
        <v>0</v>
      </c>
      <c r="J22" s="144"/>
      <c r="K22" s="37">
        <f t="shared" si="15"/>
        <v>0</v>
      </c>
      <c r="L22" s="147"/>
      <c r="M22" s="37">
        <f t="shared" si="8"/>
        <v>0</v>
      </c>
      <c r="N22" s="144"/>
      <c r="O22" s="37">
        <f t="shared" si="16"/>
        <v>0</v>
      </c>
      <c r="P22" s="147"/>
      <c r="Q22" s="37">
        <f t="shared" si="9"/>
        <v>0</v>
      </c>
      <c r="R22" s="144"/>
      <c r="S22" s="37">
        <f t="shared" si="10"/>
        <v>0</v>
      </c>
      <c r="T22" s="144">
        <v>0</v>
      </c>
      <c r="U22" s="148"/>
      <c r="V22" s="144"/>
      <c r="W22" s="37">
        <f t="shared" si="11"/>
        <v>0</v>
      </c>
      <c r="X22" s="19">
        <f t="shared" si="12"/>
        <v>0</v>
      </c>
      <c r="Y22" s="149">
        <f t="shared" si="13"/>
        <v>0</v>
      </c>
      <c r="Z22" s="167">
        <f t="shared" si="14"/>
        <v>0</v>
      </c>
      <c r="AA22" s="167">
        <f t="shared" si="17"/>
        <v>0</v>
      </c>
    </row>
    <row r="23" spans="1:27" ht="16.5" thickBot="1" x14ac:dyDescent="0.3">
      <c r="A23" s="9">
        <v>44702</v>
      </c>
      <c r="B23" s="37"/>
      <c r="C23" s="143"/>
      <c r="D23" s="37">
        <f t="shared" si="4"/>
        <v>0</v>
      </c>
      <c r="E23" s="144"/>
      <c r="F23" s="37">
        <f t="shared" si="5"/>
        <v>0</v>
      </c>
      <c r="G23" s="145"/>
      <c r="H23" s="37">
        <f t="shared" si="6"/>
        <v>0</v>
      </c>
      <c r="I23" s="146">
        <f t="shared" si="7"/>
        <v>0</v>
      </c>
      <c r="J23" s="144"/>
      <c r="K23" s="37">
        <f t="shared" si="15"/>
        <v>0</v>
      </c>
      <c r="L23" s="147"/>
      <c r="M23" s="37">
        <f t="shared" si="8"/>
        <v>0</v>
      </c>
      <c r="N23" s="144"/>
      <c r="O23" s="37">
        <f t="shared" si="16"/>
        <v>0</v>
      </c>
      <c r="P23" s="147"/>
      <c r="Q23" s="37">
        <f t="shared" si="9"/>
        <v>0</v>
      </c>
      <c r="R23" s="144"/>
      <c r="S23" s="37">
        <f t="shared" si="10"/>
        <v>0</v>
      </c>
      <c r="T23" s="144">
        <v>0</v>
      </c>
      <c r="U23" s="148"/>
      <c r="V23" s="144"/>
      <c r="W23" s="37">
        <f t="shared" si="11"/>
        <v>0</v>
      </c>
      <c r="X23" s="19">
        <f t="shared" si="12"/>
        <v>0</v>
      </c>
      <c r="Y23" s="149">
        <f t="shared" si="13"/>
        <v>0</v>
      </c>
      <c r="Z23" s="167">
        <f t="shared" si="14"/>
        <v>0</v>
      </c>
      <c r="AA23" s="167">
        <f t="shared" si="17"/>
        <v>0</v>
      </c>
    </row>
    <row r="24" spans="1:27" ht="16.5" thickBot="1" x14ac:dyDescent="0.3">
      <c r="A24" s="9">
        <v>44703</v>
      </c>
      <c r="B24" s="37"/>
      <c r="C24" s="143"/>
      <c r="D24" s="37">
        <f t="shared" si="4"/>
        <v>0</v>
      </c>
      <c r="E24" s="144"/>
      <c r="F24" s="37">
        <f t="shared" si="5"/>
        <v>0</v>
      </c>
      <c r="G24" s="145"/>
      <c r="H24" s="37">
        <f t="shared" si="6"/>
        <v>0</v>
      </c>
      <c r="I24" s="146">
        <f t="shared" si="7"/>
        <v>0</v>
      </c>
      <c r="J24" s="144"/>
      <c r="K24" s="37">
        <f t="shared" si="15"/>
        <v>0</v>
      </c>
      <c r="L24" s="147"/>
      <c r="M24" s="37">
        <f t="shared" si="8"/>
        <v>0</v>
      </c>
      <c r="N24" s="144"/>
      <c r="O24" s="37">
        <f t="shared" si="16"/>
        <v>0</v>
      </c>
      <c r="P24" s="147"/>
      <c r="Q24" s="37">
        <f t="shared" si="9"/>
        <v>0</v>
      </c>
      <c r="R24" s="144"/>
      <c r="S24" s="37">
        <f t="shared" si="10"/>
        <v>0</v>
      </c>
      <c r="T24" s="144">
        <v>0</v>
      </c>
      <c r="U24" s="148"/>
      <c r="V24" s="144"/>
      <c r="W24" s="37">
        <f t="shared" si="11"/>
        <v>0</v>
      </c>
      <c r="X24" s="19">
        <f t="shared" si="12"/>
        <v>0</v>
      </c>
      <c r="Y24" s="149">
        <f t="shared" si="13"/>
        <v>0</v>
      </c>
      <c r="Z24" s="167">
        <f t="shared" si="14"/>
        <v>0</v>
      </c>
      <c r="AA24" s="167">
        <f t="shared" si="17"/>
        <v>0</v>
      </c>
    </row>
    <row r="25" spans="1:27" ht="16.5" thickBot="1" x14ac:dyDescent="0.3">
      <c r="A25" s="9">
        <v>44704</v>
      </c>
      <c r="B25" s="37"/>
      <c r="C25" s="143"/>
      <c r="D25" s="37">
        <f t="shared" si="4"/>
        <v>0</v>
      </c>
      <c r="E25" s="144"/>
      <c r="F25" s="37">
        <f t="shared" si="5"/>
        <v>0</v>
      </c>
      <c r="G25" s="145"/>
      <c r="H25" s="37">
        <f t="shared" si="6"/>
        <v>0</v>
      </c>
      <c r="I25" s="146">
        <f t="shared" si="7"/>
        <v>0</v>
      </c>
      <c r="J25" s="144"/>
      <c r="K25" s="37">
        <f t="shared" si="15"/>
        <v>0</v>
      </c>
      <c r="L25" s="147"/>
      <c r="M25" s="37">
        <f t="shared" si="8"/>
        <v>0</v>
      </c>
      <c r="N25" s="144"/>
      <c r="O25" s="37">
        <f t="shared" si="16"/>
        <v>0</v>
      </c>
      <c r="P25" s="147"/>
      <c r="Q25" s="37">
        <f t="shared" si="9"/>
        <v>0</v>
      </c>
      <c r="R25" s="144"/>
      <c r="S25" s="37">
        <f t="shared" si="10"/>
        <v>0</v>
      </c>
      <c r="T25" s="144">
        <v>0</v>
      </c>
      <c r="U25" s="148"/>
      <c r="V25" s="144"/>
      <c r="W25" s="37">
        <f t="shared" si="11"/>
        <v>0</v>
      </c>
      <c r="X25" s="19">
        <f t="shared" si="12"/>
        <v>0</v>
      </c>
      <c r="Y25" s="149">
        <f t="shared" si="13"/>
        <v>0</v>
      </c>
      <c r="Z25" s="167">
        <f t="shared" si="14"/>
        <v>0</v>
      </c>
      <c r="AA25" s="167">
        <f t="shared" si="17"/>
        <v>0</v>
      </c>
    </row>
    <row r="26" spans="1:27" ht="16.5" thickBot="1" x14ac:dyDescent="0.3">
      <c r="A26" s="9">
        <v>44705</v>
      </c>
      <c r="B26" s="37"/>
      <c r="C26" s="143"/>
      <c r="D26" s="37">
        <f t="shared" si="4"/>
        <v>0</v>
      </c>
      <c r="E26" s="144"/>
      <c r="F26" s="37">
        <f t="shared" si="5"/>
        <v>0</v>
      </c>
      <c r="G26" s="145"/>
      <c r="H26" s="37">
        <f t="shared" si="6"/>
        <v>0</v>
      </c>
      <c r="I26" s="146">
        <f t="shared" si="7"/>
        <v>0</v>
      </c>
      <c r="J26" s="144"/>
      <c r="K26" s="37">
        <f t="shared" si="15"/>
        <v>0</v>
      </c>
      <c r="L26" s="147"/>
      <c r="M26" s="37">
        <f t="shared" si="8"/>
        <v>0</v>
      </c>
      <c r="N26" s="144"/>
      <c r="O26" s="37">
        <f t="shared" si="16"/>
        <v>0</v>
      </c>
      <c r="P26" s="147"/>
      <c r="Q26" s="37">
        <f t="shared" si="9"/>
        <v>0</v>
      </c>
      <c r="R26" s="144"/>
      <c r="S26" s="37">
        <f t="shared" si="10"/>
        <v>0</v>
      </c>
      <c r="T26" s="144">
        <v>0</v>
      </c>
      <c r="U26" s="148"/>
      <c r="V26" s="144"/>
      <c r="W26" s="37">
        <f t="shared" si="11"/>
        <v>0</v>
      </c>
      <c r="X26" s="19">
        <f t="shared" si="12"/>
        <v>0</v>
      </c>
      <c r="Y26" s="149">
        <f t="shared" si="13"/>
        <v>0</v>
      </c>
      <c r="Z26" s="167">
        <f t="shared" si="14"/>
        <v>0</v>
      </c>
      <c r="AA26" s="167">
        <f t="shared" si="17"/>
        <v>0</v>
      </c>
    </row>
    <row r="27" spans="1:27" ht="16.5" thickBot="1" x14ac:dyDescent="0.3">
      <c r="A27" s="9">
        <v>44706</v>
      </c>
      <c r="B27" s="37"/>
      <c r="C27" s="143"/>
      <c r="D27" s="37">
        <f t="shared" si="4"/>
        <v>0</v>
      </c>
      <c r="E27" s="144"/>
      <c r="F27" s="37">
        <f t="shared" si="5"/>
        <v>0</v>
      </c>
      <c r="G27" s="145"/>
      <c r="H27" s="37">
        <f t="shared" si="6"/>
        <v>0</v>
      </c>
      <c r="I27" s="146">
        <f t="shared" si="7"/>
        <v>0</v>
      </c>
      <c r="J27" s="144"/>
      <c r="K27" s="37">
        <f t="shared" si="15"/>
        <v>0</v>
      </c>
      <c r="L27" s="147"/>
      <c r="M27" s="37">
        <f t="shared" si="8"/>
        <v>0</v>
      </c>
      <c r="N27" s="144"/>
      <c r="O27" s="37">
        <f t="shared" si="16"/>
        <v>0</v>
      </c>
      <c r="P27" s="147"/>
      <c r="Q27" s="37">
        <f t="shared" si="9"/>
        <v>0</v>
      </c>
      <c r="R27" s="144"/>
      <c r="S27" s="37">
        <f t="shared" si="10"/>
        <v>0</v>
      </c>
      <c r="T27" s="144">
        <v>0</v>
      </c>
      <c r="U27" s="148"/>
      <c r="V27" s="144"/>
      <c r="W27" s="37">
        <f t="shared" si="11"/>
        <v>0</v>
      </c>
      <c r="X27" s="19">
        <f t="shared" si="12"/>
        <v>0</v>
      </c>
      <c r="Y27" s="149">
        <f t="shared" si="13"/>
        <v>0</v>
      </c>
      <c r="Z27" s="167">
        <f t="shared" si="14"/>
        <v>0</v>
      </c>
      <c r="AA27" s="167">
        <f t="shared" si="17"/>
        <v>0</v>
      </c>
    </row>
    <row r="28" spans="1:27" ht="16.5" thickBot="1" x14ac:dyDescent="0.3">
      <c r="A28" s="9">
        <v>44707</v>
      </c>
      <c r="B28" s="37"/>
      <c r="C28" s="143"/>
      <c r="D28" s="37">
        <f t="shared" si="4"/>
        <v>0</v>
      </c>
      <c r="E28" s="144"/>
      <c r="F28" s="37">
        <f t="shared" si="5"/>
        <v>0</v>
      </c>
      <c r="G28" s="145"/>
      <c r="H28" s="37">
        <f t="shared" si="6"/>
        <v>0</v>
      </c>
      <c r="I28" s="146">
        <f t="shared" si="7"/>
        <v>0</v>
      </c>
      <c r="J28" s="144"/>
      <c r="K28" s="37">
        <f t="shared" si="15"/>
        <v>0</v>
      </c>
      <c r="L28" s="147"/>
      <c r="M28" s="37">
        <f t="shared" si="8"/>
        <v>0</v>
      </c>
      <c r="N28" s="144"/>
      <c r="O28" s="37">
        <f t="shared" si="16"/>
        <v>0</v>
      </c>
      <c r="P28" s="147"/>
      <c r="Q28" s="37">
        <f t="shared" si="9"/>
        <v>0</v>
      </c>
      <c r="R28" s="144"/>
      <c r="S28" s="37">
        <f t="shared" si="10"/>
        <v>0</v>
      </c>
      <c r="T28" s="144">
        <v>0</v>
      </c>
      <c r="U28" s="148"/>
      <c r="V28" s="144"/>
      <c r="W28" s="37">
        <f t="shared" si="11"/>
        <v>0</v>
      </c>
      <c r="X28" s="19">
        <f t="shared" si="12"/>
        <v>0</v>
      </c>
      <c r="Y28" s="149">
        <f t="shared" si="13"/>
        <v>0</v>
      </c>
      <c r="Z28" s="167">
        <f t="shared" si="14"/>
        <v>0</v>
      </c>
      <c r="AA28" s="167">
        <f t="shared" si="17"/>
        <v>0</v>
      </c>
    </row>
    <row r="29" spans="1:27" ht="16.5" thickBot="1" x14ac:dyDescent="0.3">
      <c r="A29" s="9">
        <v>44708</v>
      </c>
      <c r="B29" s="37"/>
      <c r="C29" s="143"/>
      <c r="D29" s="37">
        <f t="shared" si="4"/>
        <v>0</v>
      </c>
      <c r="E29" s="144"/>
      <c r="F29" s="37">
        <f t="shared" si="5"/>
        <v>0</v>
      </c>
      <c r="G29" s="145"/>
      <c r="H29" s="37">
        <f t="shared" si="6"/>
        <v>0</v>
      </c>
      <c r="I29" s="146">
        <f t="shared" si="7"/>
        <v>0</v>
      </c>
      <c r="J29" s="144"/>
      <c r="K29" s="37">
        <f t="shared" si="15"/>
        <v>0</v>
      </c>
      <c r="L29" s="147"/>
      <c r="M29" s="37">
        <f t="shared" si="8"/>
        <v>0</v>
      </c>
      <c r="N29" s="144"/>
      <c r="O29" s="37">
        <f t="shared" si="16"/>
        <v>0</v>
      </c>
      <c r="P29" s="147"/>
      <c r="Q29" s="37">
        <f t="shared" si="9"/>
        <v>0</v>
      </c>
      <c r="R29" s="144"/>
      <c r="S29" s="37">
        <f t="shared" si="10"/>
        <v>0</v>
      </c>
      <c r="T29" s="144">
        <v>0</v>
      </c>
      <c r="U29" s="148"/>
      <c r="V29" s="144"/>
      <c r="W29" s="37">
        <f t="shared" si="11"/>
        <v>0</v>
      </c>
      <c r="X29" s="19">
        <f t="shared" si="12"/>
        <v>0</v>
      </c>
      <c r="Y29" s="149">
        <f t="shared" si="13"/>
        <v>0</v>
      </c>
      <c r="Z29" s="167">
        <f t="shared" si="14"/>
        <v>0</v>
      </c>
      <c r="AA29" s="167">
        <f t="shared" si="17"/>
        <v>0</v>
      </c>
    </row>
    <row r="30" spans="1:27" ht="16.5" thickBot="1" x14ac:dyDescent="0.3">
      <c r="A30" s="9">
        <v>44709</v>
      </c>
      <c r="B30" s="37"/>
      <c r="C30" s="143"/>
      <c r="D30" s="37">
        <f>IF((C30-C29)&lt;0,"0",(C30-C29))*160</f>
        <v>0</v>
      </c>
      <c r="E30" s="144"/>
      <c r="F30" s="37">
        <f>IF((E30-E29)&lt;0,"0",(E30-E29))</f>
        <v>0</v>
      </c>
      <c r="G30" s="145"/>
      <c r="H30" s="37">
        <f t="shared" si="6"/>
        <v>0</v>
      </c>
      <c r="I30" s="146">
        <f t="shared" si="7"/>
        <v>0</v>
      </c>
      <c r="J30" s="144"/>
      <c r="K30" s="37">
        <f>(IF((J30-J29)&lt;0,"0",(J30-J29)))*2</f>
        <v>0</v>
      </c>
      <c r="L30" s="147"/>
      <c r="M30" s="37">
        <f>IF((L30-L29)&lt;0,"0",(L30-L29))</f>
        <v>0</v>
      </c>
      <c r="N30" s="144"/>
      <c r="O30" s="37">
        <f>(IF((N30-N29)&lt;0,"0",(N30-N29)))*2</f>
        <v>0</v>
      </c>
      <c r="P30" s="147"/>
      <c r="Q30" s="37">
        <f>IF((P30-P29)&lt;0,"0",(P30-P29))</f>
        <v>0</v>
      </c>
      <c r="R30" s="144"/>
      <c r="S30" s="37">
        <f>IF((R30-R29)&lt;0,"0",(R30-R29))</f>
        <v>0</v>
      </c>
      <c r="T30" s="144">
        <v>0</v>
      </c>
      <c r="U30" s="148"/>
      <c r="V30" s="144"/>
      <c r="W30" s="37">
        <f>IF((V30-V29)&lt;0,"0",(V30-V29))</f>
        <v>0</v>
      </c>
      <c r="X30" s="19">
        <f t="shared" si="12"/>
        <v>0</v>
      </c>
      <c r="Y30" s="149">
        <f t="shared" si="13"/>
        <v>0</v>
      </c>
      <c r="Z30" s="167">
        <f t="shared" si="14"/>
        <v>0</v>
      </c>
      <c r="AA30" s="167">
        <f>SUM(Z27:Z30)</f>
        <v>0</v>
      </c>
    </row>
    <row r="31" spans="1:27" ht="16.5" thickBot="1" x14ac:dyDescent="0.3">
      <c r="A31" s="9">
        <v>44710</v>
      </c>
      <c r="B31" s="37"/>
      <c r="C31" s="143"/>
      <c r="D31" s="37">
        <f t="shared" ref="D31:D33" si="30">IF((C31-C30)&lt;0,"0",(C31-C30))*160</f>
        <v>0</v>
      </c>
      <c r="E31" s="144"/>
      <c r="F31" s="37">
        <f t="shared" ref="F31:F33" si="31">IF((E31-E30)&lt;0,"0",(E31-E30))</f>
        <v>0</v>
      </c>
      <c r="G31" s="145"/>
      <c r="H31" s="37">
        <f t="shared" si="6"/>
        <v>0</v>
      </c>
      <c r="I31" s="146">
        <f t="shared" ref="I31:I33" si="32">F31+H31</f>
        <v>0</v>
      </c>
      <c r="J31" s="144"/>
      <c r="K31" s="37">
        <f t="shared" ref="K31:K33" si="33">(IF((J31-J30)&lt;0,"0",(J31-J30)))*2</f>
        <v>0</v>
      </c>
      <c r="L31" s="147"/>
      <c r="M31" s="37">
        <f t="shared" ref="M31:M33" si="34">IF((L31-L30)&lt;0,"0",(L31-L30))</f>
        <v>0</v>
      </c>
      <c r="N31" s="144"/>
      <c r="O31" s="37">
        <f t="shared" ref="O31:O33" si="35">(IF((N31-N30)&lt;0,"0",(N31-N30)))*2</f>
        <v>0</v>
      </c>
      <c r="P31" s="147"/>
      <c r="Q31" s="37">
        <f t="shared" ref="Q31:Q33" si="36">IF((P31-P30)&lt;0,"0",(P31-P30))</f>
        <v>0</v>
      </c>
      <c r="R31" s="144"/>
      <c r="S31" s="37">
        <f t="shared" ref="S31:S33" si="37">IF((R31-R30)&lt;0,"0",(R31-R30))</f>
        <v>0</v>
      </c>
      <c r="T31" s="144">
        <v>0</v>
      </c>
      <c r="U31" s="148"/>
      <c r="V31" s="144"/>
      <c r="W31" s="37">
        <f t="shared" ref="W31:W32" si="38">IF((V31-V30)&lt;0,"0",(V31-V30))</f>
        <v>0</v>
      </c>
      <c r="X31" s="19">
        <f t="shared" ref="X31:X32" si="39">K31+M31+O31+Q31+S31+U31+W31</f>
        <v>0</v>
      </c>
      <c r="Y31" s="149">
        <f t="shared" ref="Y31:Y32" si="40">I31-X31</f>
        <v>0</v>
      </c>
      <c r="Z31" s="167">
        <f t="shared" ref="Z31:Z32" si="41">(0.93352*(W31+S31)+0.5568*(Q31+O31))*0.26</f>
        <v>0</v>
      </c>
      <c r="AA31" s="167">
        <f t="shared" ref="AA31:AA32" si="42">SUM(Z28:Z31)</f>
        <v>0</v>
      </c>
    </row>
    <row r="32" spans="1:27" ht="16.5" thickBot="1" x14ac:dyDescent="0.3">
      <c r="A32" s="9">
        <v>44711</v>
      </c>
      <c r="B32" s="37"/>
      <c r="C32" s="143"/>
      <c r="D32" s="37">
        <f t="shared" si="30"/>
        <v>0</v>
      </c>
      <c r="E32" s="144"/>
      <c r="F32" s="37">
        <f t="shared" si="31"/>
        <v>0</v>
      </c>
      <c r="G32" s="145"/>
      <c r="H32" s="37">
        <f t="shared" si="6"/>
        <v>0</v>
      </c>
      <c r="I32" s="146">
        <f t="shared" si="32"/>
        <v>0</v>
      </c>
      <c r="J32" s="144"/>
      <c r="K32" s="37">
        <f t="shared" si="33"/>
        <v>0</v>
      </c>
      <c r="L32" s="147"/>
      <c r="M32" s="37">
        <f t="shared" si="34"/>
        <v>0</v>
      </c>
      <c r="N32" s="144"/>
      <c r="O32" s="37">
        <f t="shared" si="35"/>
        <v>0</v>
      </c>
      <c r="P32" s="147"/>
      <c r="Q32" s="37">
        <f t="shared" si="36"/>
        <v>0</v>
      </c>
      <c r="R32" s="144"/>
      <c r="S32" s="37">
        <f t="shared" si="37"/>
        <v>0</v>
      </c>
      <c r="T32" s="144">
        <v>0</v>
      </c>
      <c r="U32" s="148"/>
      <c r="V32" s="144"/>
      <c r="W32" s="37">
        <f t="shared" si="38"/>
        <v>0</v>
      </c>
      <c r="X32" s="19">
        <f t="shared" si="39"/>
        <v>0</v>
      </c>
      <c r="Y32" s="149">
        <f t="shared" si="40"/>
        <v>0</v>
      </c>
      <c r="Z32" s="167">
        <f t="shared" si="41"/>
        <v>0</v>
      </c>
      <c r="AA32" s="167">
        <f t="shared" si="42"/>
        <v>0</v>
      </c>
    </row>
    <row r="33" spans="1:27" ht="16.5" thickBot="1" x14ac:dyDescent="0.3">
      <c r="A33" s="9">
        <v>44712</v>
      </c>
      <c r="B33" s="37"/>
      <c r="C33" s="143"/>
      <c r="D33" s="37">
        <f t="shared" si="30"/>
        <v>0</v>
      </c>
      <c r="E33" s="144"/>
      <c r="F33" s="37">
        <f t="shared" si="31"/>
        <v>0</v>
      </c>
      <c r="G33" s="145"/>
      <c r="H33" s="37">
        <f t="shared" si="6"/>
        <v>0</v>
      </c>
      <c r="I33" s="146">
        <f t="shared" si="32"/>
        <v>0</v>
      </c>
      <c r="J33" s="144"/>
      <c r="K33" s="37">
        <f t="shared" si="33"/>
        <v>0</v>
      </c>
      <c r="L33" s="147"/>
      <c r="M33" s="37">
        <f t="shared" si="34"/>
        <v>0</v>
      </c>
      <c r="N33" s="144"/>
      <c r="O33" s="37">
        <f t="shared" si="35"/>
        <v>0</v>
      </c>
      <c r="P33" s="147"/>
      <c r="Q33" s="37">
        <f t="shared" si="36"/>
        <v>0</v>
      </c>
      <c r="R33" s="144"/>
      <c r="S33" s="37">
        <f t="shared" si="37"/>
        <v>0</v>
      </c>
      <c r="T33" s="144">
        <v>0</v>
      </c>
      <c r="U33" s="148"/>
      <c r="V33" s="144"/>
      <c r="W33" s="37"/>
      <c r="X33" s="19"/>
      <c r="Y33" s="149"/>
      <c r="Z33" s="167"/>
      <c r="AA33" s="167"/>
    </row>
    <row r="34" spans="1:27" ht="16.5" thickBot="1" x14ac:dyDescent="0.3">
      <c r="A34" s="135" t="s">
        <v>23</v>
      </c>
      <c r="B34" s="54">
        <f>SUM(B3:B33)</f>
        <v>3748</v>
      </c>
      <c r="C34" s="135">
        <v>0</v>
      </c>
      <c r="D34" s="54">
        <f>SUM(D3:D33)</f>
        <v>7680</v>
      </c>
      <c r="E34" s="54">
        <v>0</v>
      </c>
      <c r="F34" s="54">
        <f>SUM(F3:F33)</f>
        <v>162555</v>
      </c>
      <c r="G34" s="54">
        <v>0</v>
      </c>
      <c r="H34" s="54">
        <f>SUM(H3:H33)</f>
        <v>631358</v>
      </c>
      <c r="I34" s="54">
        <f>SUM(I3:I33)</f>
        <v>793913</v>
      </c>
      <c r="J34" s="54">
        <v>0</v>
      </c>
      <c r="K34" s="54">
        <f>SUM(K2:K33)</f>
        <v>113686</v>
      </c>
      <c r="L34" s="54">
        <v>0</v>
      </c>
      <c r="M34" s="54">
        <f>SUM(M3:M33)</f>
        <v>83555</v>
      </c>
      <c r="N34" s="54">
        <v>0</v>
      </c>
      <c r="O34" s="54">
        <f>SUM(O3:O33)</f>
        <v>76902</v>
      </c>
      <c r="P34" s="54">
        <v>0</v>
      </c>
      <c r="Q34" s="54">
        <f>SUM(Q3:Q33)</f>
        <v>131882</v>
      </c>
      <c r="R34" s="54">
        <v>0</v>
      </c>
      <c r="S34" s="54">
        <f>SUM(S3:S33)</f>
        <v>413318</v>
      </c>
      <c r="T34" s="54">
        <f>SUM(T3:T32)</f>
        <v>0</v>
      </c>
      <c r="U34" s="54">
        <f>SUM(U3:U33)</f>
        <v>0</v>
      </c>
      <c r="V34" s="54">
        <v>0</v>
      </c>
      <c r="W34" s="54">
        <f>SUM(W3:W33)</f>
        <v>139009</v>
      </c>
      <c r="X34" s="54">
        <f>SUM(X3:X33)</f>
        <v>958352</v>
      </c>
      <c r="Y34" s="54">
        <f>SUM(Y3:Y32)</f>
        <v>-164439</v>
      </c>
      <c r="Z34" s="169">
        <f>SUM(Z3:Z32)</f>
        <v>164283.40038240002</v>
      </c>
      <c r="AA34" s="169">
        <f>SUM(AA3:AA32)</f>
        <v>657133.6015296001</v>
      </c>
    </row>
    <row r="36" spans="1:27" x14ac:dyDescent="0.25">
      <c r="H36" s="163"/>
    </row>
    <row r="37" spans="1:27" x14ac:dyDescent="0.25">
      <c r="D37" s="161"/>
      <c r="H37" s="163"/>
    </row>
    <row r="38" spans="1:27" x14ac:dyDescent="0.25">
      <c r="E38" s="163"/>
      <c r="F38" s="163"/>
    </row>
    <row r="40" spans="1:27" x14ac:dyDescent="0.25">
      <c r="E40" s="163"/>
      <c r="H40" s="163"/>
      <c r="L40" s="163"/>
    </row>
    <row r="43" spans="1:27" x14ac:dyDescent="0.25">
      <c r="J43" s="163"/>
    </row>
    <row r="45" spans="1:27" ht="15" x14ac:dyDescent="0.2">
      <c r="A45" s="21"/>
      <c r="B45" s="38"/>
      <c r="C45" s="38"/>
      <c r="D45" s="38"/>
      <c r="Z45" s="171"/>
      <c r="AA45" s="171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16" sqref="A16:XFD16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4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1" t="s">
        <v>25</v>
      </c>
      <c r="J1" s="3" t="s">
        <v>23</v>
      </c>
      <c r="K1" s="3" t="s">
        <v>29</v>
      </c>
    </row>
    <row r="2" spans="1:14" ht="16.5" thickBot="1" x14ac:dyDescent="0.3">
      <c r="A2" s="9">
        <v>44681</v>
      </c>
      <c r="B2" s="3">
        <v>447002</v>
      </c>
      <c r="C2" s="37"/>
      <c r="D2" s="3">
        <v>7313</v>
      </c>
      <c r="E2" s="37"/>
      <c r="F2" s="3">
        <v>8751200</v>
      </c>
      <c r="G2" s="37"/>
      <c r="H2" s="3">
        <v>787957</v>
      </c>
      <c r="I2" s="42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44682</v>
      </c>
      <c r="B3" s="3">
        <v>447074</v>
      </c>
      <c r="C3" s="37">
        <f t="shared" ref="C3:E18" si="2">(IF((B3-B2)&lt;0,"0",(B3-B2)))*10</f>
        <v>720</v>
      </c>
      <c r="D3" s="3">
        <v>7353</v>
      </c>
      <c r="E3" s="37">
        <f t="shared" si="2"/>
        <v>400</v>
      </c>
      <c r="F3" s="3">
        <v>8763500</v>
      </c>
      <c r="G3" s="37">
        <f>(IF((F3-F2)&lt;0,"0",(F3-F2)))*0.027</f>
        <v>332.1</v>
      </c>
      <c r="H3" s="3">
        <v>788123</v>
      </c>
      <c r="I3" s="42">
        <f>(IF((H3-H2)&lt;0,"0",(H3-H2)))*0.027</f>
        <v>4.4820000000000002</v>
      </c>
      <c r="J3" s="19">
        <f>C3+E3+G3+I3</f>
        <v>1456.5819999999999</v>
      </c>
      <c r="K3" s="20">
        <f>J3*5.86</f>
        <v>8535.5705199999993</v>
      </c>
    </row>
    <row r="4" spans="1:14" ht="16.5" thickBot="1" x14ac:dyDescent="0.3">
      <c r="A4" s="9">
        <v>44683</v>
      </c>
      <c r="B4" s="3">
        <v>447146</v>
      </c>
      <c r="C4" s="37">
        <f t="shared" si="2"/>
        <v>720</v>
      </c>
      <c r="D4" s="3">
        <v>7399</v>
      </c>
      <c r="E4" s="37">
        <f t="shared" si="2"/>
        <v>460</v>
      </c>
      <c r="F4" s="3">
        <v>8779500</v>
      </c>
      <c r="G4" s="37">
        <f>(IF((F4-F3)&lt;0,"0",(F4-F3)))*0.027</f>
        <v>432</v>
      </c>
      <c r="H4" s="3">
        <v>788275</v>
      </c>
      <c r="I4" s="42">
        <f>(IF((H4-H3)&lt;0,"0",(H4-H3)))*0.027</f>
        <v>4.1040000000000001</v>
      </c>
      <c r="J4" s="19">
        <f t="shared" ref="J4:J33" si="3">C4+E4+G4+I4</f>
        <v>1616.104</v>
      </c>
      <c r="K4" s="20">
        <f t="shared" ref="K4:K33" si="4">J4*5.86</f>
        <v>9470.3694400000004</v>
      </c>
    </row>
    <row r="5" spans="1:14" ht="16.5" thickBot="1" x14ac:dyDescent="0.3">
      <c r="A5" s="9">
        <v>44684</v>
      </c>
      <c r="B5" s="3">
        <v>447206</v>
      </c>
      <c r="C5" s="37">
        <f t="shared" si="2"/>
        <v>600</v>
      </c>
      <c r="D5" s="3">
        <v>7445</v>
      </c>
      <c r="E5" s="37">
        <f t="shared" si="2"/>
        <v>460</v>
      </c>
      <c r="F5" s="3">
        <v>8798100</v>
      </c>
      <c r="G5" s="37">
        <f t="shared" ref="G5:G33" si="5">(IF((F5-F4)&lt;0,"0",(F5-F4)))*0.027</f>
        <v>502.2</v>
      </c>
      <c r="H5" s="3">
        <v>788390</v>
      </c>
      <c r="I5" s="42">
        <f t="shared" ref="I5:I33" si="6">(IF((H5-H4)&lt;0,"0",(H5-H4)))*0.027</f>
        <v>3.105</v>
      </c>
      <c r="J5" s="19">
        <f t="shared" si="3"/>
        <v>1565.3050000000001</v>
      </c>
      <c r="K5" s="20">
        <f t="shared" si="4"/>
        <v>9172.6873000000014</v>
      </c>
    </row>
    <row r="6" spans="1:14" ht="16.5" thickBot="1" x14ac:dyDescent="0.3">
      <c r="A6" s="9">
        <v>44685</v>
      </c>
      <c r="B6" s="3">
        <v>447261</v>
      </c>
      <c r="C6" s="37">
        <f t="shared" si="2"/>
        <v>550</v>
      </c>
      <c r="D6" s="3">
        <v>7489</v>
      </c>
      <c r="E6" s="37">
        <f t="shared" si="2"/>
        <v>440</v>
      </c>
      <c r="F6" s="3">
        <v>8816200</v>
      </c>
      <c r="G6" s="37">
        <f t="shared" si="5"/>
        <v>488.7</v>
      </c>
      <c r="H6" s="3">
        <v>788514</v>
      </c>
      <c r="I6" s="42">
        <f t="shared" si="6"/>
        <v>3.3479999999999999</v>
      </c>
      <c r="J6" s="19">
        <f t="shared" si="3"/>
        <v>1482.048</v>
      </c>
      <c r="K6" s="20">
        <f t="shared" si="4"/>
        <v>8684.8012799999997</v>
      </c>
    </row>
    <row r="7" spans="1:14" ht="16.5" thickBot="1" x14ac:dyDescent="0.3">
      <c r="A7" s="9">
        <v>44686</v>
      </c>
      <c r="B7" s="3">
        <v>447315</v>
      </c>
      <c r="C7" s="37">
        <f t="shared" si="2"/>
        <v>540</v>
      </c>
      <c r="D7" s="3">
        <v>7535</v>
      </c>
      <c r="E7" s="37">
        <f t="shared" si="2"/>
        <v>460</v>
      </c>
      <c r="F7" s="3">
        <v>8836600</v>
      </c>
      <c r="G7" s="37">
        <f t="shared" si="5"/>
        <v>550.79999999999995</v>
      </c>
      <c r="H7" s="3">
        <v>788657</v>
      </c>
      <c r="I7" s="42">
        <f t="shared" si="6"/>
        <v>3.8609999999999998</v>
      </c>
      <c r="J7" s="19">
        <f t="shared" si="3"/>
        <v>1554.6610000000001</v>
      </c>
      <c r="K7" s="20">
        <f t="shared" si="4"/>
        <v>9110.3134600000012</v>
      </c>
      <c r="L7" t="s">
        <v>12</v>
      </c>
      <c r="N7" t="s">
        <v>12</v>
      </c>
    </row>
    <row r="8" spans="1:14" ht="16.5" thickBot="1" x14ac:dyDescent="0.3">
      <c r="A8" s="9">
        <v>44687</v>
      </c>
      <c r="B8" s="3">
        <v>447559</v>
      </c>
      <c r="C8" s="37">
        <f t="shared" si="2"/>
        <v>2440</v>
      </c>
      <c r="D8" s="3">
        <v>7579</v>
      </c>
      <c r="E8" s="37">
        <f t="shared" si="2"/>
        <v>440</v>
      </c>
      <c r="F8" s="3">
        <v>8854400</v>
      </c>
      <c r="G8" s="37">
        <f t="shared" si="5"/>
        <v>480.6</v>
      </c>
      <c r="H8" s="3">
        <v>788798</v>
      </c>
      <c r="I8" s="42">
        <f t="shared" si="6"/>
        <v>3.8069999999999999</v>
      </c>
      <c r="J8" s="19">
        <f t="shared" si="3"/>
        <v>3364.4069999999997</v>
      </c>
      <c r="K8" s="20">
        <f t="shared" si="4"/>
        <v>19715.425019999999</v>
      </c>
    </row>
    <row r="9" spans="1:14" ht="16.5" thickBot="1" x14ac:dyDescent="0.3">
      <c r="A9" s="9">
        <v>44688</v>
      </c>
      <c r="B9" s="3">
        <v>447669</v>
      </c>
      <c r="C9" s="37">
        <f t="shared" ref="C9:C33" si="7">(IF((B9-B8)&lt;0,"0",(B9-B8)))*10</f>
        <v>1100</v>
      </c>
      <c r="D9" s="3">
        <v>7629</v>
      </c>
      <c r="E9" s="37">
        <f t="shared" si="2"/>
        <v>500</v>
      </c>
      <c r="F9" s="3">
        <v>8871700</v>
      </c>
      <c r="G9" s="37">
        <f t="shared" si="5"/>
        <v>467.1</v>
      </c>
      <c r="H9" s="3">
        <v>788975</v>
      </c>
      <c r="I9" s="42">
        <f t="shared" si="6"/>
        <v>4.7789999999999999</v>
      </c>
      <c r="J9" s="19">
        <f t="shared" si="3"/>
        <v>2071.8789999999999</v>
      </c>
      <c r="K9" s="20">
        <f t="shared" si="4"/>
        <v>12141.210940000001</v>
      </c>
    </row>
    <row r="10" spans="1:14" ht="16.5" thickBot="1" x14ac:dyDescent="0.3">
      <c r="A10" s="9">
        <v>44689</v>
      </c>
      <c r="B10" s="3">
        <v>447779</v>
      </c>
      <c r="C10" s="37">
        <f>(IF((B10-B9)&lt;0,"0",(B10-B9)))*10</f>
        <v>1100</v>
      </c>
      <c r="D10" s="3">
        <v>7678</v>
      </c>
      <c r="E10" s="37">
        <f t="shared" si="2"/>
        <v>490</v>
      </c>
      <c r="F10" s="3">
        <v>8890000</v>
      </c>
      <c r="G10" s="37">
        <f t="shared" si="5"/>
        <v>494.1</v>
      </c>
      <c r="H10" s="3">
        <v>789195</v>
      </c>
      <c r="I10" s="42">
        <f t="shared" si="6"/>
        <v>5.9399999999999995</v>
      </c>
      <c r="J10" s="19">
        <f t="shared" si="3"/>
        <v>2090.04</v>
      </c>
      <c r="K10" s="20">
        <f t="shared" si="4"/>
        <v>12247.634400000001</v>
      </c>
    </row>
    <row r="11" spans="1:14" ht="16.5" thickBot="1" x14ac:dyDescent="0.3">
      <c r="A11" s="9">
        <v>44690</v>
      </c>
      <c r="B11" s="3">
        <v>447874</v>
      </c>
      <c r="C11" s="37">
        <f t="shared" si="7"/>
        <v>950</v>
      </c>
      <c r="D11" s="3">
        <v>7724</v>
      </c>
      <c r="E11" s="37">
        <f t="shared" si="2"/>
        <v>460</v>
      </c>
      <c r="F11" s="3">
        <v>8905300</v>
      </c>
      <c r="G11" s="37">
        <f t="shared" si="5"/>
        <v>413.1</v>
      </c>
      <c r="H11" s="3">
        <v>789377</v>
      </c>
      <c r="I11" s="42">
        <f t="shared" si="6"/>
        <v>4.9139999999999997</v>
      </c>
      <c r="J11" s="19">
        <f t="shared" si="3"/>
        <v>1828.0139999999999</v>
      </c>
      <c r="K11" s="20">
        <f t="shared" si="4"/>
        <v>10712.162039999999</v>
      </c>
      <c r="N11" t="s">
        <v>12</v>
      </c>
    </row>
    <row r="12" spans="1:14" ht="16.5" thickBot="1" x14ac:dyDescent="0.3">
      <c r="A12" s="9">
        <v>44691</v>
      </c>
      <c r="B12" s="3">
        <v>447977</v>
      </c>
      <c r="C12" s="37">
        <f t="shared" si="7"/>
        <v>1030</v>
      </c>
      <c r="D12" s="3">
        <v>7773</v>
      </c>
      <c r="E12" s="37">
        <f t="shared" si="2"/>
        <v>490</v>
      </c>
      <c r="F12" s="3">
        <v>8923300</v>
      </c>
      <c r="G12" s="37">
        <f t="shared" si="5"/>
        <v>486</v>
      </c>
      <c r="H12" s="3">
        <v>789580</v>
      </c>
      <c r="I12" s="42">
        <f t="shared" si="6"/>
        <v>5.4809999999999999</v>
      </c>
      <c r="J12" s="19">
        <f t="shared" si="3"/>
        <v>2011.481</v>
      </c>
      <c r="K12" s="20">
        <f t="shared" si="4"/>
        <v>11787.27866</v>
      </c>
    </row>
    <row r="13" spans="1:14" ht="16.5" thickBot="1" x14ac:dyDescent="0.3">
      <c r="A13" s="9">
        <v>44692</v>
      </c>
      <c r="B13" s="3">
        <v>448085</v>
      </c>
      <c r="C13" s="37">
        <f t="shared" si="7"/>
        <v>1080</v>
      </c>
      <c r="D13" s="3">
        <v>7823</v>
      </c>
      <c r="E13" s="37">
        <f t="shared" si="2"/>
        <v>500</v>
      </c>
      <c r="F13" s="3">
        <v>8939800</v>
      </c>
      <c r="G13" s="37">
        <f t="shared" si="5"/>
        <v>445.5</v>
      </c>
      <c r="H13" s="3">
        <v>789831</v>
      </c>
      <c r="I13" s="42">
        <f t="shared" si="6"/>
        <v>6.7770000000000001</v>
      </c>
      <c r="J13" s="19">
        <f t="shared" si="3"/>
        <v>2032.277</v>
      </c>
      <c r="K13" s="20">
        <f t="shared" si="4"/>
        <v>11909.143220000002</v>
      </c>
    </row>
    <row r="14" spans="1:14" ht="16.5" thickBot="1" x14ac:dyDescent="0.3">
      <c r="A14" s="9">
        <v>44693</v>
      </c>
      <c r="B14" s="3">
        <v>448180</v>
      </c>
      <c r="C14" s="37">
        <f t="shared" si="7"/>
        <v>950</v>
      </c>
      <c r="D14" s="3">
        <v>7870</v>
      </c>
      <c r="E14" s="37">
        <f t="shared" si="2"/>
        <v>470</v>
      </c>
      <c r="F14" s="3">
        <v>8956800</v>
      </c>
      <c r="G14" s="37">
        <f t="shared" si="5"/>
        <v>459</v>
      </c>
      <c r="H14" s="3">
        <v>790072</v>
      </c>
      <c r="I14" s="42">
        <f t="shared" si="6"/>
        <v>6.5069999999999997</v>
      </c>
      <c r="J14" s="19">
        <f t="shared" si="3"/>
        <v>1885.5070000000001</v>
      </c>
      <c r="K14" s="20">
        <f t="shared" si="4"/>
        <v>11049.071020000001</v>
      </c>
    </row>
    <row r="15" spans="1:14" ht="16.5" thickBot="1" x14ac:dyDescent="0.3">
      <c r="A15" s="9">
        <v>44694</v>
      </c>
      <c r="B15" s="3">
        <v>448280</v>
      </c>
      <c r="C15" s="37">
        <f t="shared" si="7"/>
        <v>1000</v>
      </c>
      <c r="D15" s="3">
        <v>7915</v>
      </c>
      <c r="E15" s="37">
        <f t="shared" si="2"/>
        <v>450</v>
      </c>
      <c r="F15" s="3">
        <v>8974100</v>
      </c>
      <c r="G15" s="37">
        <f t="shared" si="5"/>
        <v>467.1</v>
      </c>
      <c r="H15" s="3">
        <v>790298</v>
      </c>
      <c r="I15" s="42">
        <f t="shared" si="6"/>
        <v>6.1020000000000003</v>
      </c>
      <c r="J15" s="19">
        <f t="shared" si="3"/>
        <v>1923.202</v>
      </c>
      <c r="K15" s="20">
        <f t="shared" si="4"/>
        <v>11269.96372</v>
      </c>
    </row>
    <row r="16" spans="1:14" ht="16.5" thickBot="1" x14ac:dyDescent="0.3">
      <c r="A16" s="9">
        <v>44695</v>
      </c>
      <c r="B16" s="3">
        <v>448381</v>
      </c>
      <c r="C16" s="37">
        <f t="shared" si="7"/>
        <v>1010</v>
      </c>
      <c r="D16" s="3">
        <v>7961</v>
      </c>
      <c r="E16" s="37">
        <f t="shared" si="2"/>
        <v>460</v>
      </c>
      <c r="F16" s="3">
        <v>8992000</v>
      </c>
      <c r="G16" s="37">
        <f t="shared" si="5"/>
        <v>483.3</v>
      </c>
      <c r="H16" s="3">
        <v>790477</v>
      </c>
      <c r="I16" s="42">
        <f t="shared" si="6"/>
        <v>4.8330000000000002</v>
      </c>
      <c r="J16" s="19">
        <f t="shared" si="3"/>
        <v>1958.133</v>
      </c>
      <c r="K16" s="20">
        <f t="shared" si="4"/>
        <v>11474.659380000001</v>
      </c>
    </row>
    <row r="17" spans="1:25" ht="16.5" thickBot="1" x14ac:dyDescent="0.3">
      <c r="A17" s="9">
        <v>44696</v>
      </c>
      <c r="B17" s="3"/>
      <c r="C17" s="37">
        <f t="shared" si="7"/>
        <v>0</v>
      </c>
      <c r="D17" s="3"/>
      <c r="E17" s="37">
        <f t="shared" si="2"/>
        <v>0</v>
      </c>
      <c r="F17" s="3"/>
      <c r="G17" s="37">
        <f t="shared" si="5"/>
        <v>0</v>
      </c>
      <c r="H17" s="3"/>
      <c r="I17" s="42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44697</v>
      </c>
      <c r="B18" s="3"/>
      <c r="C18" s="37">
        <f t="shared" si="7"/>
        <v>0</v>
      </c>
      <c r="D18" s="3"/>
      <c r="E18" s="37">
        <f t="shared" si="2"/>
        <v>0</v>
      </c>
      <c r="F18" s="3"/>
      <c r="G18" s="37">
        <f t="shared" si="5"/>
        <v>0</v>
      </c>
      <c r="H18" s="3"/>
      <c r="I18" s="42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44698</v>
      </c>
      <c r="B19" s="3"/>
      <c r="C19" s="37">
        <f t="shared" si="7"/>
        <v>0</v>
      </c>
      <c r="D19" s="3"/>
      <c r="E19" s="37">
        <f t="shared" ref="E19:E33" si="8">(IF((D19-D18)&lt;0,"0",(D19-D18)))*10</f>
        <v>0</v>
      </c>
      <c r="F19" s="3"/>
      <c r="G19" s="37">
        <f t="shared" si="5"/>
        <v>0</v>
      </c>
      <c r="H19" s="3"/>
      <c r="I19" s="42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44699</v>
      </c>
      <c r="B20" s="3"/>
      <c r="C20" s="37">
        <f t="shared" si="7"/>
        <v>0</v>
      </c>
      <c r="D20" s="3"/>
      <c r="E20" s="37">
        <f t="shared" si="8"/>
        <v>0</v>
      </c>
      <c r="F20" s="3"/>
      <c r="G20" s="37">
        <f t="shared" si="5"/>
        <v>0</v>
      </c>
      <c r="H20" s="3"/>
      <c r="I20" s="42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44700</v>
      </c>
      <c r="B21" s="3"/>
      <c r="C21" s="37">
        <f t="shared" si="7"/>
        <v>0</v>
      </c>
      <c r="D21" s="3"/>
      <c r="E21" s="37">
        <f t="shared" si="8"/>
        <v>0</v>
      </c>
      <c r="F21" s="3"/>
      <c r="G21" s="37">
        <f t="shared" si="5"/>
        <v>0</v>
      </c>
      <c r="H21" s="3"/>
      <c r="I21" s="42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44701</v>
      </c>
      <c r="B22" s="3"/>
      <c r="C22" s="37">
        <f t="shared" si="7"/>
        <v>0</v>
      </c>
      <c r="D22" s="3"/>
      <c r="E22" s="37">
        <f t="shared" si="8"/>
        <v>0</v>
      </c>
      <c r="F22" s="3"/>
      <c r="G22" s="37">
        <f t="shared" si="5"/>
        <v>0</v>
      </c>
      <c r="H22" s="3"/>
      <c r="I22" s="42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4" t="s">
        <v>12</v>
      </c>
    </row>
    <row r="23" spans="1:25" ht="16.5" thickBot="1" x14ac:dyDescent="0.3">
      <c r="A23" s="9">
        <v>44702</v>
      </c>
      <c r="B23" s="3"/>
      <c r="C23" s="37">
        <f t="shared" si="7"/>
        <v>0</v>
      </c>
      <c r="D23" s="3"/>
      <c r="E23" s="37">
        <f t="shared" si="8"/>
        <v>0</v>
      </c>
      <c r="F23" s="3"/>
      <c r="G23" s="37">
        <f t="shared" si="5"/>
        <v>0</v>
      </c>
      <c r="H23" s="3"/>
      <c r="I23" s="42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44703</v>
      </c>
      <c r="B24" s="3"/>
      <c r="C24" s="37">
        <f t="shared" si="7"/>
        <v>0</v>
      </c>
      <c r="D24" s="3"/>
      <c r="E24" s="37">
        <f t="shared" si="8"/>
        <v>0</v>
      </c>
      <c r="F24" s="3"/>
      <c r="G24" s="37">
        <f t="shared" si="5"/>
        <v>0</v>
      </c>
      <c r="H24" s="3"/>
      <c r="I24" s="42">
        <f t="shared" si="6"/>
        <v>0</v>
      </c>
      <c r="J24" s="19">
        <f t="shared" si="3"/>
        <v>0</v>
      </c>
      <c r="K24" s="20">
        <f t="shared" si="4"/>
        <v>0</v>
      </c>
    </row>
    <row r="25" spans="1:25" ht="17.25" customHeight="1" thickBot="1" x14ac:dyDescent="0.4">
      <c r="A25" s="9">
        <v>44704</v>
      </c>
      <c r="B25" s="3"/>
      <c r="C25" s="37">
        <f t="shared" si="7"/>
        <v>0</v>
      </c>
      <c r="D25" s="3"/>
      <c r="E25" s="37">
        <f t="shared" si="8"/>
        <v>0</v>
      </c>
      <c r="F25" s="3"/>
      <c r="G25" s="37">
        <f t="shared" si="5"/>
        <v>0</v>
      </c>
      <c r="H25" s="3"/>
      <c r="I25" s="42">
        <f t="shared" si="6"/>
        <v>0</v>
      </c>
      <c r="J25" s="19">
        <f t="shared" si="3"/>
        <v>0</v>
      </c>
      <c r="K25" s="20">
        <f t="shared" si="4"/>
        <v>0</v>
      </c>
      <c r="Y25" s="53"/>
    </row>
    <row r="26" spans="1:25" ht="16.5" thickBot="1" x14ac:dyDescent="0.3">
      <c r="A26" s="9">
        <v>44705</v>
      </c>
      <c r="B26" s="3"/>
      <c r="C26" s="37">
        <f t="shared" si="7"/>
        <v>0</v>
      </c>
      <c r="D26" s="3"/>
      <c r="E26" s="37">
        <f t="shared" si="8"/>
        <v>0</v>
      </c>
      <c r="F26" s="3"/>
      <c r="G26" s="37">
        <f t="shared" si="5"/>
        <v>0</v>
      </c>
      <c r="H26" s="3"/>
      <c r="I26" s="42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44706</v>
      </c>
      <c r="B27" s="3"/>
      <c r="C27" s="37">
        <f t="shared" si="7"/>
        <v>0</v>
      </c>
      <c r="D27" s="3"/>
      <c r="E27" s="37">
        <f t="shared" si="8"/>
        <v>0</v>
      </c>
      <c r="F27" s="3"/>
      <c r="G27" s="37">
        <f t="shared" si="5"/>
        <v>0</v>
      </c>
      <c r="H27" s="3"/>
      <c r="I27" s="42">
        <f t="shared" si="6"/>
        <v>0</v>
      </c>
      <c r="J27" s="19">
        <f t="shared" si="3"/>
        <v>0</v>
      </c>
      <c r="K27" s="20">
        <f t="shared" si="4"/>
        <v>0</v>
      </c>
      <c r="O27" t="s">
        <v>12</v>
      </c>
    </row>
    <row r="28" spans="1:25" ht="16.5" thickBot="1" x14ac:dyDescent="0.3">
      <c r="A28" s="9">
        <v>44707</v>
      </c>
      <c r="B28" s="3"/>
      <c r="C28" s="37">
        <f t="shared" si="7"/>
        <v>0</v>
      </c>
      <c r="D28" s="3"/>
      <c r="E28" s="37">
        <f t="shared" si="8"/>
        <v>0</v>
      </c>
      <c r="F28" s="3"/>
      <c r="G28" s="37">
        <f t="shared" si="5"/>
        <v>0</v>
      </c>
      <c r="H28" s="3"/>
      <c r="I28" s="42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44708</v>
      </c>
      <c r="B29" s="3"/>
      <c r="C29" s="37">
        <f t="shared" si="7"/>
        <v>0</v>
      </c>
      <c r="D29" s="3"/>
      <c r="E29" s="37">
        <f t="shared" si="8"/>
        <v>0</v>
      </c>
      <c r="F29" s="3"/>
      <c r="G29" s="37">
        <f t="shared" si="5"/>
        <v>0</v>
      </c>
      <c r="H29" s="3"/>
      <c r="I29" s="42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44709</v>
      </c>
      <c r="B30" s="3"/>
      <c r="C30" s="37">
        <f t="shared" si="7"/>
        <v>0</v>
      </c>
      <c r="D30" s="3"/>
      <c r="E30" s="37">
        <f t="shared" si="8"/>
        <v>0</v>
      </c>
      <c r="F30" s="3"/>
      <c r="G30" s="37">
        <f t="shared" si="5"/>
        <v>0</v>
      </c>
      <c r="H30" s="3"/>
      <c r="I30" s="42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44710</v>
      </c>
      <c r="B31" s="3"/>
      <c r="C31" s="37">
        <f t="shared" si="7"/>
        <v>0</v>
      </c>
      <c r="D31" s="3"/>
      <c r="E31" s="37">
        <f t="shared" si="8"/>
        <v>0</v>
      </c>
      <c r="F31" s="3"/>
      <c r="G31" s="37">
        <f t="shared" si="5"/>
        <v>0</v>
      </c>
      <c r="H31" s="3"/>
      <c r="I31" s="42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44711</v>
      </c>
      <c r="B32" s="3"/>
      <c r="C32" s="37">
        <f t="shared" si="7"/>
        <v>0</v>
      </c>
      <c r="D32" s="3"/>
      <c r="E32" s="37">
        <f t="shared" si="8"/>
        <v>0</v>
      </c>
      <c r="F32" s="3"/>
      <c r="G32" s="37">
        <f t="shared" si="5"/>
        <v>0</v>
      </c>
      <c r="H32" s="3"/>
      <c r="I32" s="42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44712</v>
      </c>
      <c r="B33" s="3"/>
      <c r="C33" s="37">
        <f t="shared" si="7"/>
        <v>0</v>
      </c>
      <c r="D33" s="3"/>
      <c r="E33" s="37">
        <f t="shared" si="8"/>
        <v>0</v>
      </c>
      <c r="F33" s="3"/>
      <c r="G33" s="37">
        <f t="shared" si="5"/>
        <v>0</v>
      </c>
      <c r="H33" s="3"/>
      <c r="I33" s="42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4" t="s">
        <v>23</v>
      </c>
      <c r="B34" s="3"/>
      <c r="C34" s="54">
        <f>SUM(C3:C33)</f>
        <v>13790</v>
      </c>
      <c r="D34" s="3"/>
      <c r="E34" s="54">
        <f>SUM(E3:E33)</f>
        <v>6480</v>
      </c>
      <c r="F34" s="3"/>
      <c r="G34" s="54">
        <f>SUM(G3:G33)</f>
        <v>6501.6</v>
      </c>
      <c r="H34" s="3"/>
      <c r="I34" s="54">
        <f>SUM(I3:I33)</f>
        <v>68.040000000000006</v>
      </c>
      <c r="J34" s="54">
        <f>SUM(J3:J33)</f>
        <v>26839.640000000007</v>
      </c>
      <c r="K34" s="54">
        <f>SUM(K3:K33)</f>
        <v>157280.29039999997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A16" sqref="A16:XFD16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4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3" t="s">
        <v>0</v>
      </c>
      <c r="B1" s="23" t="s">
        <v>42</v>
      </c>
      <c r="C1" s="23" t="s">
        <v>25</v>
      </c>
    </row>
    <row r="2" spans="1:9" ht="24" thickBot="1" x14ac:dyDescent="0.4">
      <c r="A2" s="9">
        <v>44681</v>
      </c>
      <c r="B2" s="131">
        <v>18229230</v>
      </c>
      <c r="C2" s="43"/>
    </row>
    <row r="3" spans="1:9" ht="24" thickBot="1" x14ac:dyDescent="0.4">
      <c r="A3" s="9">
        <v>44682</v>
      </c>
      <c r="B3" s="131">
        <v>18232012</v>
      </c>
      <c r="C3" s="43">
        <f>IF((B3-B2)&lt;0,"0",(B3-B2))</f>
        <v>2782</v>
      </c>
    </row>
    <row r="4" spans="1:9" ht="24" thickBot="1" x14ac:dyDescent="0.4">
      <c r="A4" s="9">
        <v>44683</v>
      </c>
      <c r="B4" s="131">
        <v>18233350</v>
      </c>
      <c r="C4" s="43">
        <f t="shared" ref="C4:C32" si="0">IF((B4-B3)&lt;0,"0",(B4-B3))</f>
        <v>1338</v>
      </c>
    </row>
    <row r="5" spans="1:9" ht="24" thickBot="1" x14ac:dyDescent="0.4">
      <c r="A5" s="9">
        <v>44684</v>
      </c>
      <c r="B5" s="131">
        <v>18235489</v>
      </c>
      <c r="C5" s="43">
        <f t="shared" si="0"/>
        <v>2139</v>
      </c>
    </row>
    <row r="6" spans="1:9" ht="24" thickBot="1" x14ac:dyDescent="0.4">
      <c r="A6" s="9">
        <v>44685</v>
      </c>
      <c r="B6" s="131">
        <v>18237842</v>
      </c>
      <c r="C6" s="43">
        <f t="shared" si="0"/>
        <v>2353</v>
      </c>
    </row>
    <row r="7" spans="1:9" ht="24" thickBot="1" x14ac:dyDescent="0.4">
      <c r="A7" s="9">
        <v>44686</v>
      </c>
      <c r="B7" s="131">
        <v>18239873</v>
      </c>
      <c r="C7" s="43">
        <f t="shared" si="0"/>
        <v>2031</v>
      </c>
    </row>
    <row r="8" spans="1:9" ht="24" thickBot="1" x14ac:dyDescent="0.4">
      <c r="A8" s="9">
        <v>44687</v>
      </c>
      <c r="B8" s="131">
        <v>18242166</v>
      </c>
      <c r="C8" s="43">
        <f t="shared" si="0"/>
        <v>2293</v>
      </c>
    </row>
    <row r="9" spans="1:9" ht="24" thickBot="1" x14ac:dyDescent="0.4">
      <c r="A9" s="9">
        <v>44688</v>
      </c>
      <c r="B9" s="131">
        <v>18245010</v>
      </c>
      <c r="C9" s="43">
        <f t="shared" si="0"/>
        <v>2844</v>
      </c>
    </row>
    <row r="10" spans="1:9" ht="24" thickBot="1" x14ac:dyDescent="0.4">
      <c r="A10" s="9">
        <v>44689</v>
      </c>
      <c r="B10" s="131">
        <v>18246806</v>
      </c>
      <c r="C10" s="43">
        <f t="shared" si="0"/>
        <v>1796</v>
      </c>
    </row>
    <row r="11" spans="1:9" ht="24" thickBot="1" x14ac:dyDescent="0.4">
      <c r="A11" s="9">
        <v>44690</v>
      </c>
      <c r="B11" s="131">
        <v>18248821</v>
      </c>
      <c r="C11" s="43">
        <f t="shared" si="0"/>
        <v>2015</v>
      </c>
    </row>
    <row r="12" spans="1:9" ht="24" thickBot="1" x14ac:dyDescent="0.4">
      <c r="A12" s="9">
        <v>44691</v>
      </c>
      <c r="B12" s="131">
        <v>18251380</v>
      </c>
      <c r="C12" s="43">
        <f t="shared" si="0"/>
        <v>2559</v>
      </c>
    </row>
    <row r="13" spans="1:9" ht="24" thickBot="1" x14ac:dyDescent="0.4">
      <c r="A13" s="9">
        <v>44692</v>
      </c>
      <c r="B13" s="131">
        <v>18253398</v>
      </c>
      <c r="C13" s="43">
        <f t="shared" si="0"/>
        <v>2018</v>
      </c>
    </row>
    <row r="14" spans="1:9" ht="24" thickBot="1" x14ac:dyDescent="0.4">
      <c r="A14" s="9">
        <v>44693</v>
      </c>
      <c r="B14" s="131">
        <v>18255606</v>
      </c>
      <c r="C14" s="43">
        <f t="shared" si="0"/>
        <v>2208</v>
      </c>
    </row>
    <row r="15" spans="1:9" ht="24" thickBot="1" x14ac:dyDescent="0.4">
      <c r="A15" s="9">
        <v>44694</v>
      </c>
      <c r="B15" s="131">
        <v>18257702</v>
      </c>
      <c r="C15" s="43">
        <f t="shared" si="0"/>
        <v>2096</v>
      </c>
      <c r="I15" t="s">
        <v>12</v>
      </c>
    </row>
    <row r="16" spans="1:9" ht="26.25" customHeight="1" thickBot="1" x14ac:dyDescent="0.4">
      <c r="A16" s="9">
        <v>44695</v>
      </c>
      <c r="B16" s="131">
        <v>18259694</v>
      </c>
      <c r="C16" s="43">
        <f t="shared" si="0"/>
        <v>1992</v>
      </c>
      <c r="F16" s="153"/>
    </row>
    <row r="17" spans="1:9" ht="25.5" customHeight="1" thickBot="1" x14ac:dyDescent="0.4">
      <c r="A17" s="9">
        <v>44696</v>
      </c>
      <c r="B17" s="131"/>
      <c r="C17" s="43" t="str">
        <f t="shared" si="0"/>
        <v>0</v>
      </c>
    </row>
    <row r="18" spans="1:9" ht="24" thickBot="1" x14ac:dyDescent="0.4">
      <c r="A18" s="9">
        <v>44697</v>
      </c>
      <c r="B18" s="131"/>
      <c r="C18" s="43">
        <f t="shared" si="0"/>
        <v>0</v>
      </c>
      <c r="I18" s="33"/>
    </row>
    <row r="19" spans="1:9" ht="24" thickBot="1" x14ac:dyDescent="0.4">
      <c r="A19" s="9">
        <v>44698</v>
      </c>
      <c r="B19" s="131"/>
      <c r="C19" s="43">
        <f t="shared" si="0"/>
        <v>0</v>
      </c>
    </row>
    <row r="20" spans="1:9" ht="24" thickBot="1" x14ac:dyDescent="0.4">
      <c r="A20" s="9">
        <v>44699</v>
      </c>
      <c r="B20" s="131"/>
      <c r="C20" s="43">
        <f t="shared" si="0"/>
        <v>0</v>
      </c>
    </row>
    <row r="21" spans="1:9" ht="24" thickBot="1" x14ac:dyDescent="0.4">
      <c r="A21" s="9">
        <v>44700</v>
      </c>
      <c r="B21" s="131"/>
      <c r="C21" s="43">
        <f t="shared" si="0"/>
        <v>0</v>
      </c>
    </row>
    <row r="22" spans="1:9" ht="24" thickBot="1" x14ac:dyDescent="0.4">
      <c r="A22" s="9">
        <v>44701</v>
      </c>
      <c r="B22" s="131"/>
      <c r="C22" s="43">
        <f t="shared" si="0"/>
        <v>0</v>
      </c>
    </row>
    <row r="23" spans="1:9" ht="24" thickBot="1" x14ac:dyDescent="0.4">
      <c r="A23" s="9">
        <v>44702</v>
      </c>
      <c r="B23" s="131"/>
      <c r="C23" s="43">
        <f t="shared" si="0"/>
        <v>0</v>
      </c>
      <c r="F23" t="s">
        <v>12</v>
      </c>
    </row>
    <row r="24" spans="1:9" ht="24" thickBot="1" x14ac:dyDescent="0.4">
      <c r="A24" s="9">
        <v>44703</v>
      </c>
      <c r="B24" s="131"/>
      <c r="C24" s="43">
        <f t="shared" si="0"/>
        <v>0</v>
      </c>
      <c r="E24" t="s">
        <v>12</v>
      </c>
    </row>
    <row r="25" spans="1:9" ht="24" thickBot="1" x14ac:dyDescent="0.4">
      <c r="A25" s="9">
        <v>44704</v>
      </c>
      <c r="B25" s="131"/>
      <c r="C25" s="43">
        <f t="shared" si="0"/>
        <v>0</v>
      </c>
    </row>
    <row r="26" spans="1:9" ht="24" thickBot="1" x14ac:dyDescent="0.4">
      <c r="A26" s="9">
        <v>44705</v>
      </c>
      <c r="B26" s="131"/>
      <c r="C26" s="43">
        <f t="shared" si="0"/>
        <v>0</v>
      </c>
    </row>
    <row r="27" spans="1:9" ht="24" thickBot="1" x14ac:dyDescent="0.4">
      <c r="A27" s="9">
        <v>44706</v>
      </c>
      <c r="B27" s="131"/>
      <c r="C27" s="43">
        <f t="shared" si="0"/>
        <v>0</v>
      </c>
    </row>
    <row r="28" spans="1:9" ht="24" thickBot="1" x14ac:dyDescent="0.4">
      <c r="A28" s="9">
        <v>44707</v>
      </c>
      <c r="B28" s="131"/>
      <c r="C28" s="43">
        <f t="shared" si="0"/>
        <v>0</v>
      </c>
      <c r="I28" t="s">
        <v>12</v>
      </c>
    </row>
    <row r="29" spans="1:9" ht="24" thickBot="1" x14ac:dyDescent="0.4">
      <c r="A29" s="9">
        <v>44708</v>
      </c>
      <c r="B29" s="131"/>
      <c r="C29" s="43">
        <f t="shared" si="0"/>
        <v>0</v>
      </c>
    </row>
    <row r="30" spans="1:9" ht="24" thickBot="1" x14ac:dyDescent="0.4">
      <c r="A30" s="9">
        <v>44709</v>
      </c>
      <c r="B30" s="131"/>
      <c r="C30" s="43">
        <f t="shared" si="0"/>
        <v>0</v>
      </c>
    </row>
    <row r="31" spans="1:9" ht="24" thickBot="1" x14ac:dyDescent="0.4">
      <c r="A31" s="9">
        <v>44710</v>
      </c>
      <c r="B31" s="131"/>
      <c r="C31" s="43">
        <f t="shared" si="0"/>
        <v>0</v>
      </c>
    </row>
    <row r="32" spans="1:9" ht="24" thickBot="1" x14ac:dyDescent="0.4">
      <c r="A32" s="9">
        <v>44711</v>
      </c>
      <c r="B32" s="131"/>
      <c r="C32" s="43">
        <f t="shared" si="0"/>
        <v>0</v>
      </c>
    </row>
    <row r="33" spans="1:3" ht="24" thickBot="1" x14ac:dyDescent="0.4">
      <c r="A33" s="9">
        <v>44712</v>
      </c>
      <c r="B33" s="131"/>
      <c r="C33" s="43">
        <f>IF((B33-B32)&lt;0,"0",(B33-B32))</f>
        <v>0</v>
      </c>
    </row>
    <row r="34" spans="1:3" ht="24" thickBot="1" x14ac:dyDescent="0.4">
      <c r="A34" s="133" t="s">
        <v>138</v>
      </c>
      <c r="B34" s="133"/>
      <c r="C34" s="133">
        <f>SUM(C3:C33)</f>
        <v>30464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zoomScale="90" zoomScaleNormal="90" workbookViewId="0">
      <pane ySplit="1" topLeftCell="A2" activePane="bottomLeft" state="frozen"/>
      <selection pane="bottomLeft" activeCell="A16" sqref="A16:XFD16"/>
    </sheetView>
  </sheetViews>
  <sheetFormatPr defaultRowHeight="12.75" x14ac:dyDescent="0.2"/>
  <cols>
    <col min="1" max="1" width="20.85546875" bestFit="1" customWidth="1"/>
    <col min="2" max="2" width="12.85546875" style="159" bestFit="1" customWidth="1"/>
    <col min="3" max="3" width="14.85546875" style="34" customWidth="1"/>
    <col min="4" max="4" width="10.7109375" customWidth="1"/>
    <col min="5" max="5" width="11.28515625" customWidth="1"/>
    <col min="6" max="6" width="14.5703125" style="34" customWidth="1"/>
    <col min="7" max="7" width="10.7109375" customWidth="1"/>
    <col min="8" max="8" width="13.5703125" customWidth="1"/>
    <col min="9" max="9" width="12.85546875" style="34" bestFit="1" customWidth="1"/>
    <col min="10" max="10" width="10.7109375" customWidth="1"/>
    <col min="11" max="11" width="13.42578125" customWidth="1"/>
    <col min="12" max="12" width="12.42578125" style="34" customWidth="1"/>
    <col min="13" max="13" width="10.7109375" customWidth="1"/>
    <col min="14" max="14" width="11.28515625" bestFit="1" customWidth="1"/>
    <col min="15" max="15" width="12.42578125" style="34" customWidth="1"/>
    <col min="16" max="16" width="10.7109375" customWidth="1"/>
    <col min="17" max="17" width="11.7109375" customWidth="1"/>
    <col min="18" max="18" width="11.28515625" style="34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3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6" t="s">
        <v>1</v>
      </c>
      <c r="C1" s="41" t="s">
        <v>2</v>
      </c>
      <c r="D1" s="25" t="s">
        <v>3</v>
      </c>
      <c r="E1" s="3" t="s">
        <v>4</v>
      </c>
      <c r="F1" s="41" t="s">
        <v>2</v>
      </c>
      <c r="G1" s="25" t="s">
        <v>3</v>
      </c>
      <c r="H1" s="3" t="s">
        <v>5</v>
      </c>
      <c r="I1" s="41" t="s">
        <v>6</v>
      </c>
      <c r="J1" s="25" t="s">
        <v>3</v>
      </c>
      <c r="K1" s="3" t="s">
        <v>7</v>
      </c>
      <c r="L1" s="41" t="s">
        <v>6</v>
      </c>
      <c r="M1" s="25" t="s">
        <v>3</v>
      </c>
      <c r="N1" s="4" t="s">
        <v>8</v>
      </c>
      <c r="O1" s="41" t="s">
        <v>6</v>
      </c>
      <c r="P1" s="25" t="s">
        <v>3</v>
      </c>
      <c r="Q1" s="4" t="s">
        <v>9</v>
      </c>
      <c r="R1" s="41" t="s">
        <v>6</v>
      </c>
      <c r="S1" s="25" t="s">
        <v>3</v>
      </c>
      <c r="T1" s="5" t="s">
        <v>10</v>
      </c>
      <c r="U1" s="27" t="s">
        <v>11</v>
      </c>
      <c r="W1" s="172" t="s">
        <v>140</v>
      </c>
      <c r="X1" s="173"/>
      <c r="Y1" s="173"/>
      <c r="Z1" s="173"/>
      <c r="AA1" s="174"/>
      <c r="AB1" s="175" t="s">
        <v>142</v>
      </c>
      <c r="AC1" s="173"/>
      <c r="AD1" s="175" t="s">
        <v>143</v>
      </c>
      <c r="AE1" s="173"/>
      <c r="AF1" s="172" t="s">
        <v>144</v>
      </c>
      <c r="AG1" s="173"/>
    </row>
    <row r="2" spans="1:33" ht="16.5" thickBot="1" x14ac:dyDescent="0.25">
      <c r="A2" s="9">
        <v>44681</v>
      </c>
      <c r="B2" s="157">
        <v>23215.487000000001</v>
      </c>
      <c r="C2" s="42"/>
      <c r="D2" s="26">
        <f t="shared" ref="D2" si="0">C2*1.9*1000</f>
        <v>0</v>
      </c>
      <c r="E2" s="1">
        <v>4179.6180000000004</v>
      </c>
      <c r="F2" s="42"/>
      <c r="G2" s="26">
        <f t="shared" ref="G2" si="1">F2*1.9*1000</f>
        <v>0</v>
      </c>
      <c r="H2" s="1">
        <v>5107</v>
      </c>
      <c r="I2" s="42"/>
      <c r="J2" s="26">
        <f t="shared" ref="J2" si="2">I2*1.9*1000</f>
        <v>0</v>
      </c>
      <c r="K2" s="7">
        <v>13926.12</v>
      </c>
      <c r="L2" s="42"/>
      <c r="M2" s="26">
        <f t="shared" ref="M2" si="3">L2*1.9*1000</f>
        <v>0</v>
      </c>
      <c r="N2" s="7">
        <v>3510.5</v>
      </c>
      <c r="O2" s="42"/>
      <c r="P2" s="26">
        <f t="shared" ref="P2" si="4">O2*1.9*1000</f>
        <v>0</v>
      </c>
      <c r="Q2" s="7">
        <v>5313.8</v>
      </c>
      <c r="R2" s="42"/>
      <c r="S2" s="26">
        <f t="shared" ref="S2" si="5">R2*1.9*1000</f>
        <v>0</v>
      </c>
      <c r="T2" s="8">
        <f t="shared" ref="T2" si="6">C2+F2+I2+L2+O2+R2</f>
        <v>0</v>
      </c>
      <c r="U2" s="28">
        <f t="shared" ref="U2" si="7">T2*1.9*1000</f>
        <v>0</v>
      </c>
      <c r="W2" s="154">
        <v>44681</v>
      </c>
      <c r="X2" s="155">
        <v>171161</v>
      </c>
      <c r="Y2" s="165"/>
      <c r="Z2" s="155">
        <v>9077</v>
      </c>
      <c r="AA2" s="165"/>
      <c r="AB2" s="155">
        <v>27</v>
      </c>
      <c r="AC2" s="165"/>
      <c r="AD2" s="155">
        <v>425</v>
      </c>
      <c r="AE2" s="165"/>
      <c r="AF2" s="155">
        <v>7144</v>
      </c>
      <c r="AG2" s="165"/>
    </row>
    <row r="3" spans="1:33" ht="16.5" thickBot="1" x14ac:dyDescent="0.25">
      <c r="A3" s="9">
        <v>44682</v>
      </c>
      <c r="B3" s="157">
        <v>23224.205999999998</v>
      </c>
      <c r="C3" s="42">
        <f t="shared" ref="C3" si="8">IF((B3-B2)&lt;0,"0",(B3-B2))</f>
        <v>8.7189999999973224</v>
      </c>
      <c r="D3" s="26">
        <f t="shared" ref="D3" si="9">C3*1.9*1000</f>
        <v>16566.099999994913</v>
      </c>
      <c r="E3" s="1">
        <v>4177.2569999999996</v>
      </c>
      <c r="F3" s="42" t="str">
        <f t="shared" ref="F3" si="10">IF((E3-E2)&lt;0,"0",(E3-E2))</f>
        <v>0</v>
      </c>
      <c r="G3" s="26">
        <f t="shared" ref="G3" si="11">F3*1.9*1000</f>
        <v>0</v>
      </c>
      <c r="H3" s="1">
        <v>5112</v>
      </c>
      <c r="I3" s="42">
        <f t="shared" ref="I3" si="12">IF((H3-H2)&lt;0,"0",(H3-H2))</f>
        <v>5</v>
      </c>
      <c r="J3" s="26">
        <f t="shared" ref="J3" si="13">I3*1.9*1000</f>
        <v>9500</v>
      </c>
      <c r="K3" s="7">
        <v>13927.72</v>
      </c>
      <c r="L3" s="42">
        <f t="shared" ref="L3" si="14">IF((K3-K2)&lt;0,"0",(K3-K2))</f>
        <v>1.5999999999985448</v>
      </c>
      <c r="M3" s="26">
        <f t="shared" ref="M3" si="15">L3*1.9*1000</f>
        <v>3039.9999999972351</v>
      </c>
      <c r="N3" s="7">
        <v>3512</v>
      </c>
      <c r="O3" s="42">
        <f t="shared" ref="O3" si="16">IF((N3-N2)&lt;0,"0",(N3-N2))</f>
        <v>1.5</v>
      </c>
      <c r="P3" s="26">
        <f t="shared" ref="P3" si="17">O3*1.9*1000</f>
        <v>2849.9999999999995</v>
      </c>
      <c r="Q3" s="7">
        <v>5315.17</v>
      </c>
      <c r="R3" s="42">
        <f t="shared" ref="R3" si="18">IF((Q3-Q2)&lt;0,"0",(Q3-Q2))</f>
        <v>1.3699999999998909</v>
      </c>
      <c r="S3" s="26">
        <f t="shared" ref="S3" si="19">R3*1.9*1000</f>
        <v>2602.9999999997922</v>
      </c>
      <c r="T3" s="8">
        <f>C3+F3+I3+L3+O3+R3</f>
        <v>18.188999999995758</v>
      </c>
      <c r="U3" s="28">
        <f t="shared" ref="U3" si="20">T3*1.9*1000</f>
        <v>34559.099999991937</v>
      </c>
      <c r="W3" s="154">
        <v>44682</v>
      </c>
      <c r="X3" s="155">
        <v>171294</v>
      </c>
      <c r="Y3" s="160">
        <f t="shared" ref="Y3:AG31" si="21">IF((X3-X2)&lt;0,"0",(X3-X2))</f>
        <v>133</v>
      </c>
      <c r="Z3" s="155">
        <v>9081</v>
      </c>
      <c r="AA3" s="160">
        <f t="shared" si="21"/>
        <v>4</v>
      </c>
      <c r="AB3" s="155">
        <v>27</v>
      </c>
      <c r="AC3" s="160">
        <f t="shared" si="21"/>
        <v>0</v>
      </c>
      <c r="AD3" s="155">
        <v>429</v>
      </c>
      <c r="AE3" s="160">
        <f t="shared" si="21"/>
        <v>4</v>
      </c>
      <c r="AF3" s="155">
        <v>6511</v>
      </c>
      <c r="AG3" s="160" t="str">
        <f t="shared" si="21"/>
        <v>0</v>
      </c>
    </row>
    <row r="4" spans="1:33" ht="16.5" thickBot="1" x14ac:dyDescent="0.25">
      <c r="A4" s="9">
        <v>44683</v>
      </c>
      <c r="B4" s="157">
        <v>23232.722000000002</v>
      </c>
      <c r="C4" s="42">
        <f t="shared" ref="C4:C32" si="22">IF((B4-B3)&lt;0,"0",(B4-B3))</f>
        <v>8.5160000000032596</v>
      </c>
      <c r="D4" s="26">
        <f t="shared" ref="D4:D32" si="23">C4*1.9*1000</f>
        <v>16180.400000006191</v>
      </c>
      <c r="E4" s="157">
        <v>4178.3109999999997</v>
      </c>
      <c r="F4" s="42">
        <f t="shared" ref="F4:F32" si="24">IF((E4-E3)&lt;0,"0",(E4-E3))</f>
        <v>1.0540000000000873</v>
      </c>
      <c r="G4" s="26">
        <f t="shared" ref="G4:G32" si="25">F4*1.9*1000</f>
        <v>2002.6000000001659</v>
      </c>
      <c r="H4" s="157">
        <v>5117</v>
      </c>
      <c r="I4" s="42">
        <f t="shared" ref="I4:I32" si="26">IF((H4-H3)&lt;0,"0",(H4-H3))</f>
        <v>5</v>
      </c>
      <c r="J4" s="26">
        <f t="shared" ref="J4:J32" si="27">I4*1.9*1000</f>
        <v>9500</v>
      </c>
      <c r="K4" s="7">
        <v>13929.17</v>
      </c>
      <c r="L4" s="42">
        <f t="shared" ref="L4:L32" si="28">IF((K4-K3)&lt;0,"0",(K4-K3))</f>
        <v>1.4500000000007276</v>
      </c>
      <c r="M4" s="26">
        <f t="shared" ref="M4:M32" si="29">L4*1.9*1000</f>
        <v>2755.0000000013824</v>
      </c>
      <c r="N4" s="157">
        <v>3513.4720000000002</v>
      </c>
      <c r="O4" s="42">
        <f t="shared" ref="O4:O32" si="30">IF((N4-N3)&lt;0,"0",(N4-N3))</f>
        <v>1.4720000000002074</v>
      </c>
      <c r="P4" s="26">
        <f t="shared" ref="P4:P32" si="31">O4*1.9*1000</f>
        <v>2796.800000000394</v>
      </c>
      <c r="Q4" s="157">
        <v>5316.74</v>
      </c>
      <c r="R4" s="42">
        <f t="shared" ref="R4:R32" si="32">IF((Q4-Q3)&lt;0,"0",(Q4-Q3))</f>
        <v>1.569999999999709</v>
      </c>
      <c r="S4" s="26">
        <f t="shared" ref="S4:S32" si="33">R4*1.9*1000</f>
        <v>2982.9999999994466</v>
      </c>
      <c r="T4" s="8">
        <f>C4+F4+I4+L4+O4+R4</f>
        <v>19.062000000003991</v>
      </c>
      <c r="U4" s="28">
        <f t="shared" ref="U4:U32" si="34">T4*1.9*1000</f>
        <v>36217.800000007577</v>
      </c>
      <c r="W4" s="154">
        <v>44683</v>
      </c>
      <c r="X4" s="155">
        <v>171460</v>
      </c>
      <c r="Y4" s="160">
        <f t="shared" si="21"/>
        <v>166</v>
      </c>
      <c r="Z4" s="155">
        <v>9088</v>
      </c>
      <c r="AA4" s="160">
        <f t="shared" si="21"/>
        <v>7</v>
      </c>
      <c r="AB4" s="155">
        <v>27</v>
      </c>
      <c r="AC4" s="160">
        <f t="shared" si="21"/>
        <v>0</v>
      </c>
      <c r="AD4" s="155">
        <v>429</v>
      </c>
      <c r="AE4" s="160">
        <f t="shared" si="21"/>
        <v>0</v>
      </c>
      <c r="AF4" s="155">
        <v>7167</v>
      </c>
      <c r="AG4" s="160">
        <f t="shared" si="21"/>
        <v>656</v>
      </c>
    </row>
    <row r="5" spans="1:33" ht="16.5" thickBot="1" x14ac:dyDescent="0.25">
      <c r="A5" s="9">
        <v>44684</v>
      </c>
      <c r="B5" s="157">
        <v>23241.609</v>
      </c>
      <c r="C5" s="42">
        <f t="shared" si="22"/>
        <v>8.8869999999988067</v>
      </c>
      <c r="D5" s="26">
        <f t="shared" si="23"/>
        <v>16885.299999997729</v>
      </c>
      <c r="E5" s="157">
        <v>4178.9629999999997</v>
      </c>
      <c r="F5" s="42">
        <f t="shared" si="24"/>
        <v>0.65200000000004366</v>
      </c>
      <c r="G5" s="26">
        <f t="shared" si="25"/>
        <v>1238.8000000000829</v>
      </c>
      <c r="H5" s="157">
        <v>5121</v>
      </c>
      <c r="I5" s="42">
        <f t="shared" si="26"/>
        <v>4</v>
      </c>
      <c r="J5" s="26">
        <f t="shared" si="27"/>
        <v>7600</v>
      </c>
      <c r="K5" s="7">
        <v>13930.85</v>
      </c>
      <c r="L5" s="42">
        <f t="shared" si="28"/>
        <v>1.680000000000291</v>
      </c>
      <c r="M5" s="26">
        <f t="shared" si="29"/>
        <v>3192.0000000005525</v>
      </c>
      <c r="N5" s="157">
        <v>3515.1320000000001</v>
      </c>
      <c r="O5" s="42">
        <f t="shared" si="30"/>
        <v>1.6599999999998545</v>
      </c>
      <c r="P5" s="26">
        <f t="shared" si="31"/>
        <v>3153.9999999997231</v>
      </c>
      <c r="Q5" s="157">
        <v>5318.22</v>
      </c>
      <c r="R5" s="42">
        <f t="shared" si="32"/>
        <v>1.4800000000004729</v>
      </c>
      <c r="S5" s="26">
        <f t="shared" si="33"/>
        <v>2812.0000000008986</v>
      </c>
      <c r="T5" s="8">
        <f>C5+F5+I5+L5+O5+R5</f>
        <v>18.358999999999469</v>
      </c>
      <c r="U5" s="28">
        <f t="shared" si="34"/>
        <v>34882.099999998994</v>
      </c>
      <c r="W5" s="154">
        <v>44684</v>
      </c>
      <c r="X5" s="155">
        <v>171636</v>
      </c>
      <c r="Y5" s="160">
        <f t="shared" si="21"/>
        <v>176</v>
      </c>
      <c r="Z5" s="155">
        <v>9094</v>
      </c>
      <c r="AA5" s="160">
        <f t="shared" si="21"/>
        <v>6</v>
      </c>
      <c r="AB5" s="155">
        <v>27</v>
      </c>
      <c r="AC5" s="160">
        <f t="shared" si="21"/>
        <v>0</v>
      </c>
      <c r="AD5" s="155">
        <v>431</v>
      </c>
      <c r="AE5" s="160">
        <f t="shared" si="21"/>
        <v>2</v>
      </c>
      <c r="AF5" s="155">
        <v>7182</v>
      </c>
      <c r="AG5" s="160">
        <f t="shared" si="21"/>
        <v>15</v>
      </c>
    </row>
    <row r="6" spans="1:33" ht="16.5" thickBot="1" x14ac:dyDescent="0.25">
      <c r="A6" s="9">
        <v>44685</v>
      </c>
      <c r="B6" s="157">
        <v>23250.550999999999</v>
      </c>
      <c r="C6" s="42">
        <f t="shared" si="22"/>
        <v>8.9419999999990978</v>
      </c>
      <c r="D6" s="26">
        <f t="shared" si="23"/>
        <v>16989.799999998286</v>
      </c>
      <c r="E6" s="157">
        <v>4180.5370000000003</v>
      </c>
      <c r="F6" s="42">
        <f t="shared" si="24"/>
        <v>1.5740000000005239</v>
      </c>
      <c r="G6" s="26">
        <f t="shared" si="25"/>
        <v>2990.6000000009954</v>
      </c>
      <c r="H6" s="157">
        <v>5126</v>
      </c>
      <c r="I6" s="42">
        <f t="shared" si="26"/>
        <v>5</v>
      </c>
      <c r="J6" s="26">
        <f t="shared" si="27"/>
        <v>9500</v>
      </c>
      <c r="K6" s="7">
        <v>13932.61</v>
      </c>
      <c r="L6" s="42">
        <f t="shared" si="28"/>
        <v>1.7600000000002183</v>
      </c>
      <c r="M6" s="26">
        <f t="shared" si="29"/>
        <v>3344.0000000004147</v>
      </c>
      <c r="N6" s="157">
        <v>3516.6550000000002</v>
      </c>
      <c r="O6" s="42">
        <f t="shared" si="30"/>
        <v>1.5230000000001382</v>
      </c>
      <c r="P6" s="26">
        <f t="shared" si="31"/>
        <v>2893.7000000002622</v>
      </c>
      <c r="Q6" s="157">
        <v>5319.49</v>
      </c>
      <c r="R6" s="42">
        <f t="shared" si="32"/>
        <v>1.2699999999995271</v>
      </c>
      <c r="S6" s="26">
        <f t="shared" si="33"/>
        <v>2412.9999999991014</v>
      </c>
      <c r="T6" s="8">
        <f t="shared" ref="T6:T32" si="35">C6+F6+I6+L6+O6+R6</f>
        <v>20.068999999999505</v>
      </c>
      <c r="U6" s="28">
        <f t="shared" si="34"/>
        <v>38131.09999999906</v>
      </c>
      <c r="W6" s="154">
        <v>44685</v>
      </c>
      <c r="X6" s="155">
        <v>171764</v>
      </c>
      <c r="Y6" s="160">
        <f t="shared" si="21"/>
        <v>128</v>
      </c>
      <c r="Z6" s="155">
        <v>9099</v>
      </c>
      <c r="AA6" s="160">
        <f t="shared" si="21"/>
        <v>5</v>
      </c>
      <c r="AB6" s="155">
        <v>27</v>
      </c>
      <c r="AC6" s="160">
        <f t="shared" si="21"/>
        <v>0</v>
      </c>
      <c r="AD6" s="155">
        <v>433</v>
      </c>
      <c r="AE6" s="160">
        <f t="shared" si="21"/>
        <v>2</v>
      </c>
      <c r="AF6" s="155">
        <v>7194</v>
      </c>
      <c r="AG6" s="160">
        <f t="shared" si="21"/>
        <v>12</v>
      </c>
    </row>
    <row r="7" spans="1:33" ht="16.5" thickBot="1" x14ac:dyDescent="0.25">
      <c r="A7" s="9">
        <v>44686</v>
      </c>
      <c r="B7" s="157">
        <v>23258.182000000001</v>
      </c>
      <c r="C7" s="42">
        <f t="shared" si="22"/>
        <v>7.6310000000012224</v>
      </c>
      <c r="D7" s="26">
        <f t="shared" si="23"/>
        <v>14498.900000002322</v>
      </c>
      <c r="E7" s="157">
        <v>4182.1490000000003</v>
      </c>
      <c r="F7" s="42">
        <f t="shared" si="24"/>
        <v>1.61200000000008</v>
      </c>
      <c r="G7" s="26">
        <f t="shared" si="25"/>
        <v>3062.8000000001521</v>
      </c>
      <c r="H7" s="157">
        <v>5131</v>
      </c>
      <c r="I7" s="42">
        <f t="shared" si="26"/>
        <v>5</v>
      </c>
      <c r="J7" s="26">
        <f t="shared" si="27"/>
        <v>9500</v>
      </c>
      <c r="K7" s="7">
        <v>13934.04</v>
      </c>
      <c r="L7" s="42">
        <f t="shared" si="28"/>
        <v>1.430000000000291</v>
      </c>
      <c r="M7" s="26">
        <f t="shared" si="29"/>
        <v>2717.000000000553</v>
      </c>
      <c r="N7" s="157">
        <v>3518.54</v>
      </c>
      <c r="O7" s="42">
        <f t="shared" si="30"/>
        <v>1.8849999999997635</v>
      </c>
      <c r="P7" s="26">
        <f t="shared" si="31"/>
        <v>3581.4999999995507</v>
      </c>
      <c r="Q7" s="157">
        <v>5320.45</v>
      </c>
      <c r="R7" s="42">
        <f t="shared" si="32"/>
        <v>0.96000000000003638</v>
      </c>
      <c r="S7" s="26">
        <f t="shared" si="33"/>
        <v>1824.0000000000691</v>
      </c>
      <c r="T7" s="8">
        <f t="shared" si="35"/>
        <v>18.518000000001393</v>
      </c>
      <c r="U7" s="28">
        <f t="shared" si="34"/>
        <v>35184.200000002646</v>
      </c>
      <c r="W7" s="154">
        <v>44686</v>
      </c>
      <c r="X7" s="155">
        <v>171898</v>
      </c>
      <c r="Y7" s="160">
        <f t="shared" si="21"/>
        <v>134</v>
      </c>
      <c r="Z7" s="155">
        <v>9111</v>
      </c>
      <c r="AA7" s="160">
        <f t="shared" si="21"/>
        <v>12</v>
      </c>
      <c r="AB7" s="155">
        <v>27</v>
      </c>
      <c r="AC7" s="160">
        <f t="shared" si="21"/>
        <v>0</v>
      </c>
      <c r="AD7" s="155">
        <v>435</v>
      </c>
      <c r="AE7" s="160">
        <f t="shared" si="21"/>
        <v>2</v>
      </c>
      <c r="AF7" s="155">
        <v>7210</v>
      </c>
      <c r="AG7" s="160">
        <f t="shared" si="21"/>
        <v>16</v>
      </c>
    </row>
    <row r="8" spans="1:33" ht="16.5" thickBot="1" x14ac:dyDescent="0.25">
      <c r="A8" s="9">
        <v>44687</v>
      </c>
      <c r="B8" s="157">
        <v>23265.814999999999</v>
      </c>
      <c r="C8" s="42">
        <f t="shared" si="22"/>
        <v>7.6329999999979918</v>
      </c>
      <c r="D8" s="26">
        <f t="shared" si="23"/>
        <v>14502.699999996183</v>
      </c>
      <c r="E8" s="157">
        <v>4183.3620000000001</v>
      </c>
      <c r="F8" s="42">
        <f t="shared" si="24"/>
        <v>1.2129999999997381</v>
      </c>
      <c r="G8" s="26">
        <f t="shared" si="25"/>
        <v>2304.6999999995023</v>
      </c>
      <c r="H8" s="157">
        <v>5135</v>
      </c>
      <c r="I8" s="42">
        <f t="shared" si="26"/>
        <v>4</v>
      </c>
      <c r="J8" s="26">
        <f t="shared" si="27"/>
        <v>7600</v>
      </c>
      <c r="K8" s="7">
        <v>13935.38</v>
      </c>
      <c r="L8" s="42">
        <f t="shared" si="28"/>
        <v>1.3399999999983265</v>
      </c>
      <c r="M8" s="26">
        <f t="shared" si="29"/>
        <v>2545.99999999682</v>
      </c>
      <c r="N8" s="157">
        <v>3519.7269999999999</v>
      </c>
      <c r="O8" s="42">
        <f t="shared" si="30"/>
        <v>1.1869999999998981</v>
      </c>
      <c r="P8" s="26">
        <f t="shared" si="31"/>
        <v>2255.2999999998065</v>
      </c>
      <c r="Q8" s="157">
        <v>5321.27</v>
      </c>
      <c r="R8" s="42">
        <f t="shared" si="32"/>
        <v>0.82000000000061846</v>
      </c>
      <c r="S8" s="26">
        <f t="shared" si="33"/>
        <v>1558.0000000011748</v>
      </c>
      <c r="T8" s="8">
        <f t="shared" si="35"/>
        <v>16.192999999996573</v>
      </c>
      <c r="U8" s="28">
        <f t="shared" si="34"/>
        <v>30766.699999993489</v>
      </c>
      <c r="W8" s="154">
        <v>44687</v>
      </c>
      <c r="X8" s="155">
        <v>172035</v>
      </c>
      <c r="Y8" s="160">
        <f t="shared" si="21"/>
        <v>137</v>
      </c>
      <c r="Z8" s="155">
        <v>9137</v>
      </c>
      <c r="AA8" s="160">
        <f t="shared" si="21"/>
        <v>26</v>
      </c>
      <c r="AB8" s="155">
        <v>27</v>
      </c>
      <c r="AC8" s="160">
        <f t="shared" si="21"/>
        <v>0</v>
      </c>
      <c r="AD8" s="155">
        <v>436</v>
      </c>
      <c r="AE8" s="160">
        <f t="shared" si="21"/>
        <v>1</v>
      </c>
      <c r="AF8" s="155">
        <v>7228</v>
      </c>
      <c r="AG8" s="160">
        <f t="shared" si="21"/>
        <v>18</v>
      </c>
    </row>
    <row r="9" spans="1:33" ht="16.5" thickBot="1" x14ac:dyDescent="0.25">
      <c r="A9" s="9">
        <v>44688</v>
      </c>
      <c r="B9" s="157">
        <v>23273.269</v>
      </c>
      <c r="C9" s="42">
        <f t="shared" si="22"/>
        <v>7.4540000000015425</v>
      </c>
      <c r="D9" s="26">
        <f t="shared" si="23"/>
        <v>14162.600000002931</v>
      </c>
      <c r="E9" s="157">
        <v>4184.3630000000003</v>
      </c>
      <c r="F9" s="42">
        <f t="shared" si="24"/>
        <v>1.0010000000002037</v>
      </c>
      <c r="G9" s="26">
        <f t="shared" si="25"/>
        <v>1901.9000000003869</v>
      </c>
      <c r="H9" s="157">
        <v>5141</v>
      </c>
      <c r="I9" s="42">
        <f t="shared" si="26"/>
        <v>6</v>
      </c>
      <c r="J9" s="26">
        <f t="shared" si="27"/>
        <v>11399.999999999998</v>
      </c>
      <c r="K9" s="7">
        <v>13936.68</v>
      </c>
      <c r="L9" s="42">
        <f t="shared" si="28"/>
        <v>1.3000000000010914</v>
      </c>
      <c r="M9" s="26">
        <f t="shared" si="29"/>
        <v>2470.0000000020736</v>
      </c>
      <c r="N9" s="157">
        <v>3521.2829999999999</v>
      </c>
      <c r="O9" s="42">
        <f t="shared" si="30"/>
        <v>1.55600000000004</v>
      </c>
      <c r="P9" s="26">
        <f t="shared" si="31"/>
        <v>2956.400000000076</v>
      </c>
      <c r="Q9" s="157">
        <v>5322.28</v>
      </c>
      <c r="R9" s="42">
        <f t="shared" si="32"/>
        <v>1.0099999999993088</v>
      </c>
      <c r="S9" s="26">
        <f t="shared" si="33"/>
        <v>1918.9999999986867</v>
      </c>
      <c r="T9" s="8">
        <f t="shared" si="35"/>
        <v>18.321000000002186</v>
      </c>
      <c r="U9" s="28">
        <f t="shared" si="34"/>
        <v>34809.900000004156</v>
      </c>
      <c r="W9" s="154">
        <v>44688</v>
      </c>
      <c r="X9" s="155">
        <v>172174</v>
      </c>
      <c r="Y9" s="160">
        <f t="shared" si="21"/>
        <v>139</v>
      </c>
      <c r="Z9" s="155">
        <v>9141</v>
      </c>
      <c r="AA9" s="160">
        <f t="shared" si="21"/>
        <v>4</v>
      </c>
      <c r="AB9" s="155">
        <v>27</v>
      </c>
      <c r="AC9" s="160">
        <f t="shared" si="21"/>
        <v>0</v>
      </c>
      <c r="AD9" s="155">
        <v>439</v>
      </c>
      <c r="AE9" s="160">
        <f t="shared" si="21"/>
        <v>3</v>
      </c>
      <c r="AF9" s="155">
        <v>7242</v>
      </c>
      <c r="AG9" s="160">
        <f t="shared" si="21"/>
        <v>14</v>
      </c>
    </row>
    <row r="10" spans="1:33" ht="16.5" thickBot="1" x14ac:dyDescent="0.25">
      <c r="A10" s="9">
        <v>44689</v>
      </c>
      <c r="B10" s="157">
        <v>23280.332999999999</v>
      </c>
      <c r="C10" s="42">
        <f t="shared" si="22"/>
        <v>7.0639999999984866</v>
      </c>
      <c r="D10" s="26">
        <f t="shared" si="23"/>
        <v>13421.599999997125</v>
      </c>
      <c r="E10" s="157">
        <v>4186.0209999999997</v>
      </c>
      <c r="F10" s="42">
        <f t="shared" si="24"/>
        <v>1.657999999999447</v>
      </c>
      <c r="G10" s="26">
        <f t="shared" si="25"/>
        <v>3150.1999999989494</v>
      </c>
      <c r="H10" s="157">
        <v>5147</v>
      </c>
      <c r="I10" s="42">
        <f t="shared" si="26"/>
        <v>6</v>
      </c>
      <c r="J10" s="26">
        <f t="shared" si="27"/>
        <v>11399.999999999998</v>
      </c>
      <c r="K10" s="7">
        <v>13937.73</v>
      </c>
      <c r="L10" s="42">
        <f t="shared" si="28"/>
        <v>1.0499999999992724</v>
      </c>
      <c r="M10" s="26">
        <f t="shared" si="29"/>
        <v>1994.9999999986173</v>
      </c>
      <c r="N10" s="157">
        <v>3522.9259999999999</v>
      </c>
      <c r="O10" s="42">
        <f>IF((N10-N9)&lt;0,"0",(N10-N9))</f>
        <v>1.6430000000000291</v>
      </c>
      <c r="P10" s="26">
        <f t="shared" si="31"/>
        <v>3121.7000000000553</v>
      </c>
      <c r="Q10" s="157">
        <v>5322.95</v>
      </c>
      <c r="R10" s="42">
        <f t="shared" si="32"/>
        <v>0.67000000000007276</v>
      </c>
      <c r="S10" s="26">
        <f t="shared" si="33"/>
        <v>1273.0000000001382</v>
      </c>
      <c r="T10" s="8">
        <f t="shared" si="35"/>
        <v>18.084999999997308</v>
      </c>
      <c r="U10" s="28">
        <f t="shared" si="34"/>
        <v>34361.499999994885</v>
      </c>
      <c r="W10" s="154">
        <v>44689</v>
      </c>
      <c r="X10" s="155">
        <v>172326</v>
      </c>
      <c r="Y10" s="160">
        <f t="shared" si="21"/>
        <v>152</v>
      </c>
      <c r="Z10" s="155">
        <v>9158</v>
      </c>
      <c r="AA10" s="160">
        <f t="shared" si="21"/>
        <v>17</v>
      </c>
      <c r="AB10" s="155">
        <v>27</v>
      </c>
      <c r="AC10" s="160">
        <f t="shared" si="21"/>
        <v>0</v>
      </c>
      <c r="AD10" s="155">
        <v>441</v>
      </c>
      <c r="AE10" s="160">
        <f t="shared" si="21"/>
        <v>2</v>
      </c>
      <c r="AF10" s="155">
        <v>7259</v>
      </c>
      <c r="AG10" s="160">
        <f t="shared" si="21"/>
        <v>17</v>
      </c>
    </row>
    <row r="11" spans="1:33" ht="16.5" thickBot="1" x14ac:dyDescent="0.25">
      <c r="A11" s="9">
        <v>44690</v>
      </c>
      <c r="B11" s="157">
        <v>23287.868999999999</v>
      </c>
      <c r="C11" s="42">
        <f t="shared" si="22"/>
        <v>7.5360000000000582</v>
      </c>
      <c r="D11" s="26">
        <f t="shared" si="23"/>
        <v>14318.400000000111</v>
      </c>
      <c r="E11" s="157">
        <v>4188.3249999999998</v>
      </c>
      <c r="F11" s="42">
        <f t="shared" si="24"/>
        <v>2.3040000000000873</v>
      </c>
      <c r="G11" s="26">
        <f t="shared" si="25"/>
        <v>4377.600000000165</v>
      </c>
      <c r="H11" s="157">
        <v>5153</v>
      </c>
      <c r="I11" s="42">
        <f t="shared" si="26"/>
        <v>6</v>
      </c>
      <c r="J11" s="26">
        <f t="shared" si="27"/>
        <v>11399.999999999998</v>
      </c>
      <c r="K11" s="7">
        <v>13938.89</v>
      </c>
      <c r="L11" s="42">
        <f t="shared" si="28"/>
        <v>1.1599999999998545</v>
      </c>
      <c r="M11" s="26">
        <f t="shared" si="29"/>
        <v>2203.9999999997235</v>
      </c>
      <c r="N11" s="157">
        <v>3524.4740000000002</v>
      </c>
      <c r="O11" s="42">
        <f t="shared" si="30"/>
        <v>1.5480000000002292</v>
      </c>
      <c r="P11" s="26">
        <f t="shared" si="31"/>
        <v>2941.2000000004355</v>
      </c>
      <c r="Q11" s="157">
        <v>5324.2</v>
      </c>
      <c r="R11" s="42">
        <f t="shared" si="32"/>
        <v>1.25</v>
      </c>
      <c r="S11" s="26">
        <f t="shared" si="33"/>
        <v>2375</v>
      </c>
      <c r="T11" s="8">
        <f t="shared" si="35"/>
        <v>19.798000000000229</v>
      </c>
      <c r="U11" s="28">
        <f t="shared" si="34"/>
        <v>37616.200000000434</v>
      </c>
      <c r="W11" s="154">
        <v>44690</v>
      </c>
      <c r="X11" s="155">
        <v>172498</v>
      </c>
      <c r="Y11" s="160">
        <f t="shared" si="21"/>
        <v>172</v>
      </c>
      <c r="Z11" s="155">
        <v>9167</v>
      </c>
      <c r="AA11" s="160">
        <f t="shared" si="21"/>
        <v>9</v>
      </c>
      <c r="AB11" s="155">
        <v>27</v>
      </c>
      <c r="AC11" s="160">
        <f t="shared" si="21"/>
        <v>0</v>
      </c>
      <c r="AD11" s="155">
        <v>444</v>
      </c>
      <c r="AE11" s="160">
        <f t="shared" si="21"/>
        <v>3</v>
      </c>
      <c r="AF11" s="155">
        <v>7272</v>
      </c>
      <c r="AG11" s="160">
        <f t="shared" si="21"/>
        <v>13</v>
      </c>
    </row>
    <row r="12" spans="1:33" ht="16.5" thickBot="1" x14ac:dyDescent="0.25">
      <c r="A12" s="9">
        <v>44691</v>
      </c>
      <c r="B12" s="157">
        <v>23296.245999999999</v>
      </c>
      <c r="C12" s="42">
        <f t="shared" si="22"/>
        <v>8.3770000000004075</v>
      </c>
      <c r="D12" s="26">
        <f t="shared" si="23"/>
        <v>15916.300000000774</v>
      </c>
      <c r="E12" s="157">
        <v>4190.88</v>
      </c>
      <c r="F12" s="42">
        <f t="shared" si="24"/>
        <v>2.555000000000291</v>
      </c>
      <c r="G12" s="26">
        <f t="shared" si="25"/>
        <v>4854.500000000553</v>
      </c>
      <c r="H12" s="157">
        <v>5159</v>
      </c>
      <c r="I12" s="42">
        <f t="shared" si="26"/>
        <v>6</v>
      </c>
      <c r="J12" s="26">
        <f t="shared" si="27"/>
        <v>11399.999999999998</v>
      </c>
      <c r="K12" s="7">
        <v>13940.36</v>
      </c>
      <c r="L12" s="42">
        <f t="shared" si="28"/>
        <v>1.4700000000011642</v>
      </c>
      <c r="M12" s="26">
        <f t="shared" si="29"/>
        <v>2793.0000000022119</v>
      </c>
      <c r="N12" s="157">
        <v>3525.9749999999999</v>
      </c>
      <c r="O12" s="42">
        <f t="shared" si="30"/>
        <v>1.500999999999749</v>
      </c>
      <c r="P12" s="26">
        <f t="shared" si="31"/>
        <v>2851.8999999995226</v>
      </c>
      <c r="Q12" s="157">
        <v>5326.42</v>
      </c>
      <c r="R12" s="42">
        <f t="shared" si="32"/>
        <v>2.2200000000002547</v>
      </c>
      <c r="S12" s="26">
        <f t="shared" si="33"/>
        <v>4218.0000000004839</v>
      </c>
      <c r="T12" s="8">
        <f t="shared" si="35"/>
        <v>22.123000000001866</v>
      </c>
      <c r="U12" s="28">
        <f t="shared" si="34"/>
        <v>42033.70000000354</v>
      </c>
      <c r="W12" s="154">
        <v>44691</v>
      </c>
      <c r="X12" s="155">
        <v>172663</v>
      </c>
      <c r="Y12" s="160">
        <f t="shared" si="21"/>
        <v>165</v>
      </c>
      <c r="Z12" s="155">
        <v>9173</v>
      </c>
      <c r="AA12" s="160">
        <f t="shared" si="21"/>
        <v>6</v>
      </c>
      <c r="AB12" s="155">
        <v>27</v>
      </c>
      <c r="AC12" s="160">
        <f t="shared" si="21"/>
        <v>0</v>
      </c>
      <c r="AD12" s="155">
        <v>447</v>
      </c>
      <c r="AE12" s="160">
        <f t="shared" si="21"/>
        <v>3</v>
      </c>
      <c r="AF12" s="155">
        <v>7284</v>
      </c>
      <c r="AG12" s="160">
        <f t="shared" si="21"/>
        <v>12</v>
      </c>
    </row>
    <row r="13" spans="1:33" ht="16.5" thickBot="1" x14ac:dyDescent="0.25">
      <c r="A13" s="9">
        <v>44692</v>
      </c>
      <c r="B13" s="157">
        <v>23304.421999999999</v>
      </c>
      <c r="C13" s="42">
        <f t="shared" si="22"/>
        <v>8.1759999999994761</v>
      </c>
      <c r="D13" s="26">
        <f t="shared" si="23"/>
        <v>15534.399999999003</v>
      </c>
      <c r="E13" s="157">
        <v>4193.3029999999999</v>
      </c>
      <c r="F13" s="42">
        <f t="shared" si="24"/>
        <v>2.4229999999997744</v>
      </c>
      <c r="G13" s="26">
        <f t="shared" si="25"/>
        <v>4603.6999999995705</v>
      </c>
      <c r="H13" s="157">
        <v>5166</v>
      </c>
      <c r="I13" s="42">
        <f t="shared" si="26"/>
        <v>7</v>
      </c>
      <c r="J13" s="26">
        <f t="shared" si="27"/>
        <v>13299.999999999998</v>
      </c>
      <c r="K13" s="7">
        <v>13941.83</v>
      </c>
      <c r="L13" s="42">
        <f t="shared" si="28"/>
        <v>1.4699999999993452</v>
      </c>
      <c r="M13" s="26">
        <f t="shared" si="29"/>
        <v>2792.9999999987558</v>
      </c>
      <c r="N13" s="157">
        <v>3527.442</v>
      </c>
      <c r="O13" s="42">
        <f t="shared" si="30"/>
        <v>1.4670000000000982</v>
      </c>
      <c r="P13" s="26">
        <f t="shared" si="31"/>
        <v>2787.3000000001866</v>
      </c>
      <c r="Q13" s="157">
        <v>5327.7</v>
      </c>
      <c r="R13" s="42">
        <f t="shared" si="32"/>
        <v>1.2799999999997453</v>
      </c>
      <c r="S13" s="26">
        <f t="shared" si="33"/>
        <v>2431.9999999995157</v>
      </c>
      <c r="T13" s="8">
        <f t="shared" si="35"/>
        <v>21.815999999998439</v>
      </c>
      <c r="U13" s="28">
        <f t="shared" si="34"/>
        <v>41450.399999997033</v>
      </c>
      <c r="W13" s="154">
        <v>44692</v>
      </c>
      <c r="X13" s="155">
        <v>172810</v>
      </c>
      <c r="Y13" s="160">
        <f t="shared" si="21"/>
        <v>147</v>
      </c>
      <c r="Z13" s="155">
        <v>9179</v>
      </c>
      <c r="AA13" s="160">
        <f t="shared" si="21"/>
        <v>6</v>
      </c>
      <c r="AB13" s="155">
        <v>27</v>
      </c>
      <c r="AC13" s="160">
        <f t="shared" si="21"/>
        <v>0</v>
      </c>
      <c r="AD13" s="155">
        <v>450</v>
      </c>
      <c r="AE13" s="160">
        <f t="shared" si="21"/>
        <v>3</v>
      </c>
      <c r="AF13" s="155">
        <v>7298</v>
      </c>
      <c r="AG13" s="160">
        <f t="shared" si="21"/>
        <v>14</v>
      </c>
    </row>
    <row r="14" spans="1:33" ht="16.5" thickBot="1" x14ac:dyDescent="0.25">
      <c r="A14" s="9">
        <v>44693</v>
      </c>
      <c r="B14" s="157">
        <v>23312.850999999999</v>
      </c>
      <c r="C14" s="42">
        <f t="shared" si="22"/>
        <v>8.4290000000000873</v>
      </c>
      <c r="D14" s="26">
        <f t="shared" si="23"/>
        <v>16015.100000000164</v>
      </c>
      <c r="E14" s="157">
        <v>4195.6319999999996</v>
      </c>
      <c r="F14" s="42">
        <f t="shared" si="24"/>
        <v>2.3289999999997235</v>
      </c>
      <c r="G14" s="26">
        <f t="shared" si="25"/>
        <v>4425.0999999994747</v>
      </c>
      <c r="H14" s="157">
        <v>5172</v>
      </c>
      <c r="I14" s="42">
        <f t="shared" si="26"/>
        <v>6</v>
      </c>
      <c r="J14" s="26">
        <f t="shared" si="27"/>
        <v>11399.999999999998</v>
      </c>
      <c r="K14" s="7">
        <v>13943.34</v>
      </c>
      <c r="L14" s="42">
        <f t="shared" si="28"/>
        <v>1.5100000000002183</v>
      </c>
      <c r="M14" s="26">
        <f t="shared" si="29"/>
        <v>2869.0000000004147</v>
      </c>
      <c r="N14" s="157">
        <v>3529.0680000000002</v>
      </c>
      <c r="O14" s="42">
        <f>IF((N14-N13)&lt;0,"0",(N14-N13))</f>
        <v>1.6260000000002037</v>
      </c>
      <c r="P14" s="26">
        <f t="shared" si="31"/>
        <v>3089.4000000003866</v>
      </c>
      <c r="Q14" s="157">
        <v>5328.97</v>
      </c>
      <c r="R14" s="42">
        <f t="shared" si="32"/>
        <v>1.2700000000004366</v>
      </c>
      <c r="S14" s="26">
        <f t="shared" si="33"/>
        <v>2413.0000000008295</v>
      </c>
      <c r="T14" s="8">
        <f t="shared" si="35"/>
        <v>21.164000000000669</v>
      </c>
      <c r="U14" s="28">
        <f t="shared" si="34"/>
        <v>40211.600000001272</v>
      </c>
      <c r="W14" s="154">
        <v>44693</v>
      </c>
      <c r="X14" s="155">
        <v>172956</v>
      </c>
      <c r="Y14" s="160">
        <f t="shared" si="21"/>
        <v>146</v>
      </c>
      <c r="Z14" s="155">
        <v>9184</v>
      </c>
      <c r="AA14" s="160">
        <f t="shared" si="21"/>
        <v>5</v>
      </c>
      <c r="AB14" s="155">
        <v>27.1</v>
      </c>
      <c r="AC14" s="160">
        <f t="shared" si="21"/>
        <v>0.10000000000000142</v>
      </c>
      <c r="AD14" s="155">
        <v>453</v>
      </c>
      <c r="AE14" s="160">
        <f t="shared" si="21"/>
        <v>3</v>
      </c>
      <c r="AF14" s="155">
        <v>7309</v>
      </c>
      <c r="AG14" s="160">
        <f t="shared" si="21"/>
        <v>11</v>
      </c>
    </row>
    <row r="15" spans="1:33" ht="16.5" thickBot="1" x14ac:dyDescent="0.25">
      <c r="A15" s="9">
        <v>44694</v>
      </c>
      <c r="B15" s="157">
        <v>23321.511999999999</v>
      </c>
      <c r="C15" s="42">
        <f t="shared" ref="C15" si="36">IF((B15-B14)&lt;0,"0",(B15-B14))</f>
        <v>8.6610000000000582</v>
      </c>
      <c r="D15" s="26">
        <f t="shared" ref="D15" si="37">C15*1.9*1000</f>
        <v>16455.900000000111</v>
      </c>
      <c r="E15" s="157">
        <v>4197.29</v>
      </c>
      <c r="F15" s="42">
        <f t="shared" ref="F15" si="38">IF((E15-E14)&lt;0,"0",(E15-E14))</f>
        <v>1.6580000000003565</v>
      </c>
      <c r="G15" s="26">
        <f t="shared" ref="G15" si="39">F15*1.9*1000</f>
        <v>3150.2000000006769</v>
      </c>
      <c r="H15" s="157">
        <v>5178</v>
      </c>
      <c r="I15" s="42">
        <f t="shared" ref="I15" si="40">IF((H15-H14)&lt;0,"0",(H15-H14))</f>
        <v>6</v>
      </c>
      <c r="J15" s="26">
        <f t="shared" ref="J15" si="41">I15*1.9*1000</f>
        <v>11399.999999999998</v>
      </c>
      <c r="K15" s="7">
        <v>13944.86</v>
      </c>
      <c r="L15" s="42">
        <f t="shared" ref="L15" si="42">IF((K15-K14)&lt;0,"0",(K15-K14))</f>
        <v>1.5200000000004366</v>
      </c>
      <c r="M15" s="26">
        <f t="shared" ref="M15" si="43">L15*1.9*1000</f>
        <v>2888.0000000008295</v>
      </c>
      <c r="N15" s="157">
        <v>3530.7130000000002</v>
      </c>
      <c r="O15" s="42">
        <f>IF((N15-N14)&lt;0,"0",(N15-N14))</f>
        <v>1.6449999999999818</v>
      </c>
      <c r="P15" s="26">
        <f t="shared" ref="P15" si="44">O15*1.9*1000</f>
        <v>3125.499999999965</v>
      </c>
      <c r="Q15" s="157">
        <v>5330.3</v>
      </c>
      <c r="R15" s="42">
        <f t="shared" ref="R15" si="45">IF((Q15-Q14)&lt;0,"0",(Q15-Q14))</f>
        <v>1.3299999999999272</v>
      </c>
      <c r="S15" s="26">
        <f t="shared" ref="S15" si="46">R15*1.9*1000</f>
        <v>2526.9999999998618</v>
      </c>
      <c r="T15" s="8">
        <f t="shared" ref="T15" si="47">C15+F15+I15+L15+O15+R15</f>
        <v>20.81400000000076</v>
      </c>
      <c r="U15" s="28">
        <f t="shared" ref="U15" si="48">T15*1.9*1000</f>
        <v>39546.600000001439</v>
      </c>
      <c r="W15" s="154">
        <v>44694</v>
      </c>
      <c r="X15" s="155">
        <v>173103</v>
      </c>
      <c r="Y15" s="160">
        <f t="shared" si="21"/>
        <v>147</v>
      </c>
      <c r="Z15" s="155">
        <v>9190</v>
      </c>
      <c r="AA15" s="160">
        <f t="shared" si="21"/>
        <v>6</v>
      </c>
      <c r="AB15" s="155">
        <v>27.1</v>
      </c>
      <c r="AC15" s="160">
        <f t="shared" si="21"/>
        <v>0</v>
      </c>
      <c r="AD15" s="155">
        <v>455</v>
      </c>
      <c r="AE15" s="160">
        <f t="shared" si="21"/>
        <v>2</v>
      </c>
      <c r="AF15" s="155">
        <v>7321</v>
      </c>
      <c r="AG15" s="160">
        <f t="shared" si="21"/>
        <v>12</v>
      </c>
    </row>
    <row r="16" spans="1:33" ht="16.5" thickBot="1" x14ac:dyDescent="0.25">
      <c r="A16" s="9">
        <v>44695</v>
      </c>
      <c r="B16" s="157">
        <v>23329.294000000002</v>
      </c>
      <c r="C16" s="42">
        <f t="shared" si="22"/>
        <v>7.7820000000028813</v>
      </c>
      <c r="D16" s="26">
        <f t="shared" si="23"/>
        <v>14785.800000005473</v>
      </c>
      <c r="E16" s="157">
        <v>4198.3469999999998</v>
      </c>
      <c r="F16" s="42">
        <f t="shared" si="24"/>
        <v>1.056999999999789</v>
      </c>
      <c r="G16" s="26">
        <f t="shared" si="25"/>
        <v>2008.2999999995991</v>
      </c>
      <c r="H16" s="157">
        <v>5185</v>
      </c>
      <c r="I16" s="42">
        <f t="shared" si="26"/>
        <v>7</v>
      </c>
      <c r="J16" s="26">
        <f t="shared" si="27"/>
        <v>13299.999999999998</v>
      </c>
      <c r="K16" s="7">
        <v>13946.45</v>
      </c>
      <c r="L16" s="42">
        <f t="shared" si="28"/>
        <v>1.5900000000001455</v>
      </c>
      <c r="M16" s="26">
        <f t="shared" si="29"/>
        <v>3021.000000000276</v>
      </c>
      <c r="N16" s="157">
        <v>3532.22</v>
      </c>
      <c r="O16" s="42">
        <f t="shared" si="30"/>
        <v>1.5069999999996071</v>
      </c>
      <c r="P16" s="26">
        <f t="shared" si="31"/>
        <v>2863.299999999253</v>
      </c>
      <c r="Q16" s="157">
        <v>5331.5</v>
      </c>
      <c r="R16" s="42">
        <f t="shared" si="32"/>
        <v>1.1999999999998181</v>
      </c>
      <c r="S16" s="26">
        <f t="shared" si="33"/>
        <v>2279.9999999996544</v>
      </c>
      <c r="T16" s="8">
        <f t="shared" si="35"/>
        <v>20.136000000002241</v>
      </c>
      <c r="U16" s="28">
        <f t="shared" si="34"/>
        <v>38258.400000004258</v>
      </c>
      <c r="W16" s="154">
        <v>44695</v>
      </c>
      <c r="X16" s="155">
        <v>173248</v>
      </c>
      <c r="Y16" s="160">
        <f t="shared" si="21"/>
        <v>145</v>
      </c>
      <c r="Z16" s="155">
        <v>9195</v>
      </c>
      <c r="AA16" s="160">
        <f t="shared" si="21"/>
        <v>5</v>
      </c>
      <c r="AB16" s="155">
        <v>27.1</v>
      </c>
      <c r="AC16" s="160">
        <f t="shared" si="21"/>
        <v>0</v>
      </c>
      <c r="AD16" s="155">
        <v>458</v>
      </c>
      <c r="AE16" s="160">
        <f t="shared" si="21"/>
        <v>3</v>
      </c>
      <c r="AF16" s="155">
        <v>7332</v>
      </c>
      <c r="AG16" s="160">
        <f t="shared" si="21"/>
        <v>11</v>
      </c>
    </row>
    <row r="17" spans="1:33" ht="16.5" thickBot="1" x14ac:dyDescent="0.25">
      <c r="A17" s="9">
        <v>44696</v>
      </c>
      <c r="B17" s="157"/>
      <c r="C17" s="42" t="str">
        <f t="shared" si="22"/>
        <v>0</v>
      </c>
      <c r="D17" s="26">
        <f t="shared" si="23"/>
        <v>0</v>
      </c>
      <c r="E17" s="157"/>
      <c r="F17" s="42" t="str">
        <f t="shared" si="24"/>
        <v>0</v>
      </c>
      <c r="G17" s="26">
        <f t="shared" si="25"/>
        <v>0</v>
      </c>
      <c r="H17" s="157"/>
      <c r="I17" s="42" t="str">
        <f t="shared" si="26"/>
        <v>0</v>
      </c>
      <c r="J17" s="26">
        <f t="shared" si="27"/>
        <v>0</v>
      </c>
      <c r="K17" s="7"/>
      <c r="L17" s="42" t="str">
        <f t="shared" si="28"/>
        <v>0</v>
      </c>
      <c r="M17" s="26">
        <f t="shared" si="29"/>
        <v>0</v>
      </c>
      <c r="N17" s="157"/>
      <c r="O17" s="42" t="str">
        <f t="shared" si="30"/>
        <v>0</v>
      </c>
      <c r="P17" s="26">
        <f t="shared" si="31"/>
        <v>0</v>
      </c>
      <c r="Q17" s="157"/>
      <c r="R17" s="42" t="str">
        <f t="shared" si="32"/>
        <v>0</v>
      </c>
      <c r="S17" s="26">
        <f t="shared" si="33"/>
        <v>0</v>
      </c>
      <c r="T17" s="8">
        <f t="shared" si="35"/>
        <v>0</v>
      </c>
      <c r="U17" s="28">
        <f t="shared" si="34"/>
        <v>0</v>
      </c>
      <c r="W17" s="154">
        <v>44696</v>
      </c>
      <c r="X17" s="155"/>
      <c r="Y17" s="160" t="str">
        <f t="shared" si="21"/>
        <v>0</v>
      </c>
      <c r="Z17" s="155"/>
      <c r="AA17" s="160" t="str">
        <f t="shared" si="21"/>
        <v>0</v>
      </c>
      <c r="AB17" s="155"/>
      <c r="AC17" s="160" t="str">
        <f t="shared" si="21"/>
        <v>0</v>
      </c>
      <c r="AD17" s="155"/>
      <c r="AE17" s="160" t="str">
        <f t="shared" si="21"/>
        <v>0</v>
      </c>
      <c r="AF17" s="155"/>
      <c r="AG17" s="160" t="str">
        <f t="shared" si="21"/>
        <v>0</v>
      </c>
    </row>
    <row r="18" spans="1:33" ht="16.5" thickBot="1" x14ac:dyDescent="0.25">
      <c r="A18" s="9">
        <v>44697</v>
      </c>
      <c r="B18" s="157"/>
      <c r="C18" s="42">
        <f t="shared" si="22"/>
        <v>0</v>
      </c>
      <c r="D18" s="26">
        <f t="shared" si="23"/>
        <v>0</v>
      </c>
      <c r="E18" s="157"/>
      <c r="F18" s="42">
        <f t="shared" si="24"/>
        <v>0</v>
      </c>
      <c r="G18" s="26">
        <f t="shared" si="25"/>
        <v>0</v>
      </c>
      <c r="H18" s="157"/>
      <c r="I18" s="42">
        <f t="shared" si="26"/>
        <v>0</v>
      </c>
      <c r="J18" s="26">
        <f t="shared" si="27"/>
        <v>0</v>
      </c>
      <c r="K18" s="7"/>
      <c r="L18" s="42">
        <f t="shared" si="28"/>
        <v>0</v>
      </c>
      <c r="M18" s="26">
        <f t="shared" si="29"/>
        <v>0</v>
      </c>
      <c r="N18" s="157"/>
      <c r="O18" s="42">
        <f t="shared" si="30"/>
        <v>0</v>
      </c>
      <c r="P18" s="26">
        <f t="shared" si="31"/>
        <v>0</v>
      </c>
      <c r="Q18" s="157"/>
      <c r="R18" s="42">
        <f t="shared" si="32"/>
        <v>0</v>
      </c>
      <c r="S18" s="26">
        <f t="shared" si="33"/>
        <v>0</v>
      </c>
      <c r="T18" s="8">
        <f t="shared" si="35"/>
        <v>0</v>
      </c>
      <c r="U18" s="28">
        <f t="shared" si="34"/>
        <v>0</v>
      </c>
      <c r="W18" s="154">
        <v>44697</v>
      </c>
      <c r="X18" s="155"/>
      <c r="Y18" s="160">
        <f t="shared" si="21"/>
        <v>0</v>
      </c>
      <c r="Z18" s="155"/>
      <c r="AA18" s="160">
        <f t="shared" si="21"/>
        <v>0</v>
      </c>
      <c r="AB18" s="155"/>
      <c r="AC18" s="160">
        <f t="shared" si="21"/>
        <v>0</v>
      </c>
      <c r="AD18" s="155"/>
      <c r="AE18" s="160">
        <f t="shared" si="21"/>
        <v>0</v>
      </c>
      <c r="AF18" s="155"/>
      <c r="AG18" s="160">
        <f t="shared" si="21"/>
        <v>0</v>
      </c>
    </row>
    <row r="19" spans="1:33" ht="16.5" thickBot="1" x14ac:dyDescent="0.25">
      <c r="A19" s="9">
        <v>44698</v>
      </c>
      <c r="B19" s="157"/>
      <c r="C19" s="42">
        <f t="shared" si="22"/>
        <v>0</v>
      </c>
      <c r="D19" s="26">
        <f t="shared" si="23"/>
        <v>0</v>
      </c>
      <c r="E19" s="157"/>
      <c r="F19" s="42">
        <f t="shared" si="24"/>
        <v>0</v>
      </c>
      <c r="G19" s="26">
        <f t="shared" si="25"/>
        <v>0</v>
      </c>
      <c r="H19" s="157"/>
      <c r="I19" s="42">
        <f t="shared" si="26"/>
        <v>0</v>
      </c>
      <c r="J19" s="26">
        <f t="shared" si="27"/>
        <v>0</v>
      </c>
      <c r="K19" s="7"/>
      <c r="L19" s="42">
        <f t="shared" si="28"/>
        <v>0</v>
      </c>
      <c r="M19" s="26">
        <f t="shared" si="29"/>
        <v>0</v>
      </c>
      <c r="N19" s="157"/>
      <c r="O19" s="42">
        <f t="shared" si="30"/>
        <v>0</v>
      </c>
      <c r="P19" s="26">
        <f t="shared" si="31"/>
        <v>0</v>
      </c>
      <c r="Q19" s="157"/>
      <c r="R19" s="42">
        <f t="shared" si="32"/>
        <v>0</v>
      </c>
      <c r="S19" s="26">
        <f t="shared" si="33"/>
        <v>0</v>
      </c>
      <c r="T19" s="8">
        <f t="shared" si="35"/>
        <v>0</v>
      </c>
      <c r="U19" s="28">
        <f t="shared" si="34"/>
        <v>0</v>
      </c>
      <c r="W19" s="154">
        <v>44698</v>
      </c>
      <c r="X19" s="155"/>
      <c r="Y19" s="160">
        <f t="shared" si="21"/>
        <v>0</v>
      </c>
      <c r="Z19" s="155"/>
      <c r="AA19" s="160">
        <f t="shared" si="21"/>
        <v>0</v>
      </c>
      <c r="AB19" s="155"/>
      <c r="AC19" s="160">
        <f t="shared" si="21"/>
        <v>0</v>
      </c>
      <c r="AD19" s="155"/>
      <c r="AE19" s="160">
        <f t="shared" si="21"/>
        <v>0</v>
      </c>
      <c r="AF19" s="155"/>
      <c r="AG19" s="160">
        <f t="shared" si="21"/>
        <v>0</v>
      </c>
    </row>
    <row r="20" spans="1:33" ht="16.5" thickBot="1" x14ac:dyDescent="0.25">
      <c r="A20" s="9">
        <v>44699</v>
      </c>
      <c r="B20" s="157"/>
      <c r="C20" s="42">
        <f t="shared" si="22"/>
        <v>0</v>
      </c>
      <c r="D20" s="26">
        <f t="shared" si="23"/>
        <v>0</v>
      </c>
      <c r="E20" s="157"/>
      <c r="F20" s="42">
        <f t="shared" si="24"/>
        <v>0</v>
      </c>
      <c r="G20" s="26">
        <f t="shared" si="25"/>
        <v>0</v>
      </c>
      <c r="H20" s="157"/>
      <c r="I20" s="42">
        <f t="shared" si="26"/>
        <v>0</v>
      </c>
      <c r="J20" s="26">
        <f t="shared" si="27"/>
        <v>0</v>
      </c>
      <c r="K20" s="7"/>
      <c r="L20" s="42">
        <f t="shared" si="28"/>
        <v>0</v>
      </c>
      <c r="M20" s="26">
        <f t="shared" si="29"/>
        <v>0</v>
      </c>
      <c r="N20" s="157"/>
      <c r="O20" s="42">
        <f t="shared" si="30"/>
        <v>0</v>
      </c>
      <c r="P20" s="26">
        <f t="shared" si="31"/>
        <v>0</v>
      </c>
      <c r="Q20" s="157"/>
      <c r="R20" s="42">
        <f t="shared" si="32"/>
        <v>0</v>
      </c>
      <c r="S20" s="26">
        <f t="shared" si="33"/>
        <v>0</v>
      </c>
      <c r="T20" s="8">
        <f t="shared" si="35"/>
        <v>0</v>
      </c>
      <c r="U20" s="28">
        <f t="shared" si="34"/>
        <v>0</v>
      </c>
      <c r="W20" s="154">
        <v>44699</v>
      </c>
      <c r="X20" s="155"/>
      <c r="Y20" s="160">
        <f t="shared" si="21"/>
        <v>0</v>
      </c>
      <c r="Z20" s="155"/>
      <c r="AA20" s="160">
        <f t="shared" si="21"/>
        <v>0</v>
      </c>
      <c r="AB20" s="155"/>
      <c r="AC20" s="160">
        <f t="shared" si="21"/>
        <v>0</v>
      </c>
      <c r="AD20" s="155"/>
      <c r="AE20" s="160">
        <f t="shared" si="21"/>
        <v>0</v>
      </c>
      <c r="AF20" s="155"/>
      <c r="AG20" s="160">
        <f t="shared" si="21"/>
        <v>0</v>
      </c>
    </row>
    <row r="21" spans="1:33" ht="16.5" thickBot="1" x14ac:dyDescent="0.25">
      <c r="A21" s="9">
        <v>44700</v>
      </c>
      <c r="B21" s="157"/>
      <c r="C21" s="42">
        <f t="shared" si="22"/>
        <v>0</v>
      </c>
      <c r="D21" s="26">
        <f t="shared" si="23"/>
        <v>0</v>
      </c>
      <c r="E21" s="157"/>
      <c r="F21" s="42">
        <f t="shared" si="24"/>
        <v>0</v>
      </c>
      <c r="G21" s="26">
        <f t="shared" si="25"/>
        <v>0</v>
      </c>
      <c r="H21" s="157"/>
      <c r="I21" s="42">
        <f t="shared" si="26"/>
        <v>0</v>
      </c>
      <c r="J21" s="26">
        <f t="shared" si="27"/>
        <v>0</v>
      </c>
      <c r="K21" s="7"/>
      <c r="L21" s="42">
        <f t="shared" si="28"/>
        <v>0</v>
      </c>
      <c r="M21" s="26">
        <f t="shared" si="29"/>
        <v>0</v>
      </c>
      <c r="N21" s="157"/>
      <c r="O21" s="42">
        <f t="shared" si="30"/>
        <v>0</v>
      </c>
      <c r="P21" s="26">
        <f t="shared" si="31"/>
        <v>0</v>
      </c>
      <c r="Q21" s="157"/>
      <c r="R21" s="42">
        <f t="shared" si="32"/>
        <v>0</v>
      </c>
      <c r="S21" s="26">
        <f t="shared" si="33"/>
        <v>0</v>
      </c>
      <c r="T21" s="8">
        <f t="shared" si="35"/>
        <v>0</v>
      </c>
      <c r="U21" s="28">
        <f t="shared" si="34"/>
        <v>0</v>
      </c>
      <c r="W21" s="154">
        <v>44700</v>
      </c>
      <c r="X21" s="155"/>
      <c r="Y21" s="160">
        <f t="shared" si="21"/>
        <v>0</v>
      </c>
      <c r="Z21" s="155"/>
      <c r="AA21" s="160">
        <f t="shared" si="21"/>
        <v>0</v>
      </c>
      <c r="AB21" s="155"/>
      <c r="AC21" s="160">
        <f t="shared" si="21"/>
        <v>0</v>
      </c>
      <c r="AD21" s="155"/>
      <c r="AE21" s="160">
        <f t="shared" si="21"/>
        <v>0</v>
      </c>
      <c r="AF21" s="155"/>
      <c r="AG21" s="160">
        <f t="shared" si="21"/>
        <v>0</v>
      </c>
    </row>
    <row r="22" spans="1:33" ht="16.5" thickBot="1" x14ac:dyDescent="0.25">
      <c r="A22" s="9">
        <v>44701</v>
      </c>
      <c r="B22" s="157"/>
      <c r="C22" s="42">
        <f t="shared" si="22"/>
        <v>0</v>
      </c>
      <c r="D22" s="26">
        <f t="shared" si="23"/>
        <v>0</v>
      </c>
      <c r="E22" s="157"/>
      <c r="F22" s="42">
        <f t="shared" si="24"/>
        <v>0</v>
      </c>
      <c r="G22" s="26">
        <f t="shared" si="25"/>
        <v>0</v>
      </c>
      <c r="H22" s="157"/>
      <c r="I22" s="42">
        <f t="shared" si="26"/>
        <v>0</v>
      </c>
      <c r="J22" s="26">
        <f t="shared" si="27"/>
        <v>0</v>
      </c>
      <c r="K22" s="7"/>
      <c r="L22" s="42">
        <f t="shared" si="28"/>
        <v>0</v>
      </c>
      <c r="M22" s="26">
        <f t="shared" si="29"/>
        <v>0</v>
      </c>
      <c r="N22" s="157"/>
      <c r="O22" s="42">
        <f t="shared" si="30"/>
        <v>0</v>
      </c>
      <c r="P22" s="26">
        <f t="shared" si="31"/>
        <v>0</v>
      </c>
      <c r="Q22" s="157"/>
      <c r="R22" s="42">
        <f t="shared" si="32"/>
        <v>0</v>
      </c>
      <c r="S22" s="26">
        <f t="shared" si="33"/>
        <v>0</v>
      </c>
      <c r="T22" s="8">
        <f t="shared" si="35"/>
        <v>0</v>
      </c>
      <c r="U22" s="28">
        <f t="shared" si="34"/>
        <v>0</v>
      </c>
      <c r="W22" s="154">
        <v>44701</v>
      </c>
      <c r="X22" s="155"/>
      <c r="Y22" s="160">
        <f t="shared" si="21"/>
        <v>0</v>
      </c>
      <c r="Z22" s="155"/>
      <c r="AA22" s="160">
        <f t="shared" si="21"/>
        <v>0</v>
      </c>
      <c r="AB22" s="155"/>
      <c r="AC22" s="160">
        <f t="shared" si="21"/>
        <v>0</v>
      </c>
      <c r="AD22" s="155"/>
      <c r="AE22" s="160">
        <f t="shared" si="21"/>
        <v>0</v>
      </c>
      <c r="AF22" s="155"/>
      <c r="AG22" s="160">
        <f t="shared" si="21"/>
        <v>0</v>
      </c>
    </row>
    <row r="23" spans="1:33" ht="16.5" thickBot="1" x14ac:dyDescent="0.25">
      <c r="A23" s="9">
        <v>44702</v>
      </c>
      <c r="B23" s="157"/>
      <c r="C23" s="42">
        <f t="shared" si="22"/>
        <v>0</v>
      </c>
      <c r="D23" s="26">
        <f t="shared" si="23"/>
        <v>0</v>
      </c>
      <c r="E23" s="157"/>
      <c r="F23" s="42">
        <f t="shared" si="24"/>
        <v>0</v>
      </c>
      <c r="G23" s="26">
        <f t="shared" si="25"/>
        <v>0</v>
      </c>
      <c r="H23" s="157"/>
      <c r="I23" s="42">
        <f t="shared" si="26"/>
        <v>0</v>
      </c>
      <c r="J23" s="26">
        <f t="shared" si="27"/>
        <v>0</v>
      </c>
      <c r="K23" s="7"/>
      <c r="L23" s="42">
        <f t="shared" si="28"/>
        <v>0</v>
      </c>
      <c r="M23" s="26">
        <f t="shared" si="29"/>
        <v>0</v>
      </c>
      <c r="N23" s="157"/>
      <c r="O23" s="42">
        <f t="shared" si="30"/>
        <v>0</v>
      </c>
      <c r="P23" s="26">
        <f t="shared" si="31"/>
        <v>0</v>
      </c>
      <c r="Q23" s="157"/>
      <c r="R23" s="42">
        <f t="shared" si="32"/>
        <v>0</v>
      </c>
      <c r="S23" s="26">
        <f t="shared" si="33"/>
        <v>0</v>
      </c>
      <c r="T23" s="8">
        <f t="shared" si="35"/>
        <v>0</v>
      </c>
      <c r="U23" s="28">
        <f t="shared" si="34"/>
        <v>0</v>
      </c>
      <c r="W23" s="154">
        <v>44702</v>
      </c>
      <c r="X23" s="155"/>
      <c r="Y23" s="160">
        <f t="shared" si="21"/>
        <v>0</v>
      </c>
      <c r="Z23" s="155"/>
      <c r="AA23" s="160">
        <f t="shared" si="21"/>
        <v>0</v>
      </c>
      <c r="AB23" s="155"/>
      <c r="AC23" s="160">
        <f t="shared" si="21"/>
        <v>0</v>
      </c>
      <c r="AD23" s="155"/>
      <c r="AE23" s="160">
        <f t="shared" si="21"/>
        <v>0</v>
      </c>
      <c r="AF23" s="155"/>
      <c r="AG23" s="160">
        <f t="shared" si="21"/>
        <v>0</v>
      </c>
    </row>
    <row r="24" spans="1:33" ht="16.5" thickBot="1" x14ac:dyDescent="0.25">
      <c r="A24" s="9">
        <v>44703</v>
      </c>
      <c r="B24" s="157"/>
      <c r="C24" s="42">
        <f t="shared" si="22"/>
        <v>0</v>
      </c>
      <c r="D24" s="26">
        <f t="shared" si="23"/>
        <v>0</v>
      </c>
      <c r="E24" s="157"/>
      <c r="F24" s="42">
        <f t="shared" si="24"/>
        <v>0</v>
      </c>
      <c r="G24" s="26">
        <f t="shared" si="25"/>
        <v>0</v>
      </c>
      <c r="H24" s="157"/>
      <c r="I24" s="42">
        <f t="shared" si="26"/>
        <v>0</v>
      </c>
      <c r="J24" s="26">
        <f t="shared" si="27"/>
        <v>0</v>
      </c>
      <c r="K24" s="7"/>
      <c r="L24" s="42">
        <f t="shared" si="28"/>
        <v>0</v>
      </c>
      <c r="M24" s="26">
        <f t="shared" si="29"/>
        <v>0</v>
      </c>
      <c r="N24" s="157"/>
      <c r="O24" s="42">
        <f t="shared" si="30"/>
        <v>0</v>
      </c>
      <c r="P24" s="26">
        <f t="shared" si="31"/>
        <v>0</v>
      </c>
      <c r="Q24" s="157"/>
      <c r="R24" s="42">
        <f t="shared" si="32"/>
        <v>0</v>
      </c>
      <c r="S24" s="26">
        <f t="shared" si="33"/>
        <v>0</v>
      </c>
      <c r="T24" s="8">
        <f t="shared" si="35"/>
        <v>0</v>
      </c>
      <c r="U24" s="28">
        <f t="shared" si="34"/>
        <v>0</v>
      </c>
      <c r="W24" s="154">
        <v>44703</v>
      </c>
      <c r="X24" s="155"/>
      <c r="Y24" s="160">
        <f t="shared" si="21"/>
        <v>0</v>
      </c>
      <c r="Z24" s="155"/>
      <c r="AA24" s="160">
        <f t="shared" si="21"/>
        <v>0</v>
      </c>
      <c r="AB24" s="155"/>
      <c r="AC24" s="160">
        <f t="shared" si="21"/>
        <v>0</v>
      </c>
      <c r="AD24" s="155"/>
      <c r="AE24" s="160">
        <f t="shared" si="21"/>
        <v>0</v>
      </c>
      <c r="AF24" s="155"/>
      <c r="AG24" s="160">
        <f t="shared" si="21"/>
        <v>0</v>
      </c>
    </row>
    <row r="25" spans="1:33" ht="16.5" thickBot="1" x14ac:dyDescent="0.25">
      <c r="A25" s="9">
        <v>44704</v>
      </c>
      <c r="B25" s="157"/>
      <c r="C25" s="42">
        <f t="shared" si="22"/>
        <v>0</v>
      </c>
      <c r="D25" s="26">
        <f t="shared" si="23"/>
        <v>0</v>
      </c>
      <c r="E25" s="157"/>
      <c r="F25" s="42">
        <f t="shared" si="24"/>
        <v>0</v>
      </c>
      <c r="G25" s="26">
        <f t="shared" si="25"/>
        <v>0</v>
      </c>
      <c r="H25" s="157"/>
      <c r="I25" s="42">
        <f t="shared" si="26"/>
        <v>0</v>
      </c>
      <c r="J25" s="26">
        <f t="shared" si="27"/>
        <v>0</v>
      </c>
      <c r="K25" s="7"/>
      <c r="L25" s="42">
        <f t="shared" si="28"/>
        <v>0</v>
      </c>
      <c r="M25" s="26">
        <f t="shared" si="29"/>
        <v>0</v>
      </c>
      <c r="N25" s="157"/>
      <c r="O25" s="42">
        <f t="shared" si="30"/>
        <v>0</v>
      </c>
      <c r="P25" s="26">
        <f t="shared" si="31"/>
        <v>0</v>
      </c>
      <c r="Q25" s="157"/>
      <c r="R25" s="42">
        <f t="shared" si="32"/>
        <v>0</v>
      </c>
      <c r="S25" s="26">
        <f t="shared" si="33"/>
        <v>0</v>
      </c>
      <c r="T25" s="8">
        <f t="shared" si="35"/>
        <v>0</v>
      </c>
      <c r="U25" s="28">
        <f t="shared" si="34"/>
        <v>0</v>
      </c>
      <c r="W25" s="154">
        <v>44704</v>
      </c>
      <c r="X25" s="155"/>
      <c r="Y25" s="160">
        <f t="shared" si="21"/>
        <v>0</v>
      </c>
      <c r="Z25" s="155"/>
      <c r="AA25" s="160">
        <f t="shared" si="21"/>
        <v>0</v>
      </c>
      <c r="AB25" s="155"/>
      <c r="AC25" s="160">
        <f t="shared" si="21"/>
        <v>0</v>
      </c>
      <c r="AD25" s="155"/>
      <c r="AE25" s="160">
        <f t="shared" si="21"/>
        <v>0</v>
      </c>
      <c r="AF25" s="155"/>
      <c r="AG25" s="160">
        <f t="shared" si="21"/>
        <v>0</v>
      </c>
    </row>
    <row r="26" spans="1:33" ht="16.5" thickBot="1" x14ac:dyDescent="0.25">
      <c r="A26" s="9">
        <v>44705</v>
      </c>
      <c r="B26" s="157"/>
      <c r="C26" s="42">
        <f t="shared" si="22"/>
        <v>0</v>
      </c>
      <c r="D26" s="26">
        <f t="shared" si="23"/>
        <v>0</v>
      </c>
      <c r="E26" s="157"/>
      <c r="F26" s="42">
        <f t="shared" si="24"/>
        <v>0</v>
      </c>
      <c r="G26" s="26">
        <f t="shared" si="25"/>
        <v>0</v>
      </c>
      <c r="H26" s="157"/>
      <c r="I26" s="42">
        <f t="shared" si="26"/>
        <v>0</v>
      </c>
      <c r="J26" s="26">
        <f t="shared" si="27"/>
        <v>0</v>
      </c>
      <c r="K26" s="7"/>
      <c r="L26" s="42">
        <f>IF((K26-K25)&lt;0,"0",(K26-K25))</f>
        <v>0</v>
      </c>
      <c r="M26" s="26">
        <f t="shared" si="29"/>
        <v>0</v>
      </c>
      <c r="N26" s="157"/>
      <c r="O26" s="42">
        <f t="shared" si="30"/>
        <v>0</v>
      </c>
      <c r="P26" s="26">
        <f t="shared" si="31"/>
        <v>0</v>
      </c>
      <c r="Q26" s="157"/>
      <c r="R26" s="42">
        <f t="shared" si="32"/>
        <v>0</v>
      </c>
      <c r="S26" s="26">
        <f t="shared" si="33"/>
        <v>0</v>
      </c>
      <c r="T26" s="8">
        <f t="shared" si="35"/>
        <v>0</v>
      </c>
      <c r="U26" s="28">
        <f t="shared" si="34"/>
        <v>0</v>
      </c>
      <c r="V26" t="s">
        <v>12</v>
      </c>
      <c r="W26" s="154">
        <v>44705</v>
      </c>
      <c r="X26" s="155"/>
      <c r="Y26" s="160">
        <f t="shared" si="21"/>
        <v>0</v>
      </c>
      <c r="Z26" s="155"/>
      <c r="AA26" s="160">
        <f t="shared" si="21"/>
        <v>0</v>
      </c>
      <c r="AB26" s="155"/>
      <c r="AC26" s="160">
        <f t="shared" si="21"/>
        <v>0</v>
      </c>
      <c r="AD26" s="155"/>
      <c r="AE26" s="160">
        <f t="shared" si="21"/>
        <v>0</v>
      </c>
      <c r="AF26" s="155"/>
      <c r="AG26" s="160">
        <f t="shared" si="21"/>
        <v>0</v>
      </c>
    </row>
    <row r="27" spans="1:33" ht="16.5" thickBot="1" x14ac:dyDescent="0.25">
      <c r="A27" s="9">
        <v>44706</v>
      </c>
      <c r="B27" s="157"/>
      <c r="C27" s="42">
        <f t="shared" si="22"/>
        <v>0</v>
      </c>
      <c r="D27" s="26">
        <f t="shared" si="23"/>
        <v>0</v>
      </c>
      <c r="E27" s="157"/>
      <c r="F27" s="42">
        <f t="shared" si="24"/>
        <v>0</v>
      </c>
      <c r="G27" s="26">
        <f t="shared" si="25"/>
        <v>0</v>
      </c>
      <c r="H27" s="157"/>
      <c r="I27" s="42">
        <f t="shared" si="26"/>
        <v>0</v>
      </c>
      <c r="J27" s="26">
        <f t="shared" si="27"/>
        <v>0</v>
      </c>
      <c r="K27" s="7"/>
      <c r="L27" s="42">
        <f t="shared" si="28"/>
        <v>0</v>
      </c>
      <c r="M27" s="26">
        <f t="shared" si="29"/>
        <v>0</v>
      </c>
      <c r="N27" s="157"/>
      <c r="O27" s="42">
        <f t="shared" si="30"/>
        <v>0</v>
      </c>
      <c r="P27" s="26">
        <f t="shared" si="31"/>
        <v>0</v>
      </c>
      <c r="Q27" s="157"/>
      <c r="R27" s="42">
        <f t="shared" si="32"/>
        <v>0</v>
      </c>
      <c r="S27" s="26">
        <f t="shared" si="33"/>
        <v>0</v>
      </c>
      <c r="T27" s="8">
        <f t="shared" si="35"/>
        <v>0</v>
      </c>
      <c r="U27" s="28">
        <f t="shared" si="34"/>
        <v>0</v>
      </c>
      <c r="V27" t="s">
        <v>12</v>
      </c>
      <c r="W27" s="154">
        <v>44706</v>
      </c>
      <c r="X27" s="155"/>
      <c r="Y27" s="160">
        <f t="shared" si="21"/>
        <v>0</v>
      </c>
      <c r="Z27" s="155"/>
      <c r="AA27" s="160">
        <f t="shared" si="21"/>
        <v>0</v>
      </c>
      <c r="AB27" s="155"/>
      <c r="AC27" s="160">
        <f t="shared" si="21"/>
        <v>0</v>
      </c>
      <c r="AD27" s="155"/>
      <c r="AE27" s="160">
        <f t="shared" si="21"/>
        <v>0</v>
      </c>
      <c r="AF27" s="155"/>
      <c r="AG27" s="160">
        <f t="shared" si="21"/>
        <v>0</v>
      </c>
    </row>
    <row r="28" spans="1:33" ht="16.5" thickBot="1" x14ac:dyDescent="0.25">
      <c r="A28" s="9">
        <v>44707</v>
      </c>
      <c r="B28" s="157"/>
      <c r="C28" s="42">
        <f t="shared" si="22"/>
        <v>0</v>
      </c>
      <c r="D28" s="26">
        <f t="shared" si="23"/>
        <v>0</v>
      </c>
      <c r="E28" s="157"/>
      <c r="F28" s="42">
        <f t="shared" si="24"/>
        <v>0</v>
      </c>
      <c r="G28" s="26">
        <f t="shared" si="25"/>
        <v>0</v>
      </c>
      <c r="H28" s="157"/>
      <c r="I28" s="42">
        <f t="shared" si="26"/>
        <v>0</v>
      </c>
      <c r="J28" s="26">
        <f t="shared" si="27"/>
        <v>0</v>
      </c>
      <c r="K28" s="7"/>
      <c r="L28" s="42">
        <f t="shared" si="28"/>
        <v>0</v>
      </c>
      <c r="M28" s="26">
        <f t="shared" si="29"/>
        <v>0</v>
      </c>
      <c r="N28" s="157"/>
      <c r="O28" s="42">
        <f t="shared" si="30"/>
        <v>0</v>
      </c>
      <c r="P28" s="26">
        <f t="shared" si="31"/>
        <v>0</v>
      </c>
      <c r="Q28" s="157"/>
      <c r="R28" s="42">
        <f t="shared" si="32"/>
        <v>0</v>
      </c>
      <c r="S28" s="26">
        <f t="shared" si="33"/>
        <v>0</v>
      </c>
      <c r="T28" s="8">
        <f t="shared" si="35"/>
        <v>0</v>
      </c>
      <c r="U28" s="28">
        <f t="shared" si="34"/>
        <v>0</v>
      </c>
      <c r="W28" s="154">
        <v>44707</v>
      </c>
      <c r="X28" s="155"/>
      <c r="Y28" s="160">
        <f t="shared" si="21"/>
        <v>0</v>
      </c>
      <c r="Z28" s="155"/>
      <c r="AA28" s="160">
        <f t="shared" si="21"/>
        <v>0</v>
      </c>
      <c r="AB28" s="155"/>
      <c r="AC28" s="160">
        <f t="shared" si="21"/>
        <v>0</v>
      </c>
      <c r="AD28" s="155"/>
      <c r="AE28" s="160">
        <f t="shared" si="21"/>
        <v>0</v>
      </c>
      <c r="AF28" s="155"/>
      <c r="AG28" s="160">
        <f t="shared" si="21"/>
        <v>0</v>
      </c>
    </row>
    <row r="29" spans="1:33" ht="16.5" thickBot="1" x14ac:dyDescent="0.25">
      <c r="A29" s="9">
        <v>44708</v>
      </c>
      <c r="B29" s="157"/>
      <c r="C29" s="42">
        <f t="shared" si="22"/>
        <v>0</v>
      </c>
      <c r="D29" s="26">
        <f t="shared" si="23"/>
        <v>0</v>
      </c>
      <c r="E29" s="157"/>
      <c r="F29" s="42">
        <f t="shared" si="24"/>
        <v>0</v>
      </c>
      <c r="G29" s="26">
        <f t="shared" si="25"/>
        <v>0</v>
      </c>
      <c r="H29" s="157"/>
      <c r="I29" s="42">
        <f t="shared" si="26"/>
        <v>0</v>
      </c>
      <c r="J29" s="26">
        <f t="shared" si="27"/>
        <v>0</v>
      </c>
      <c r="K29" s="7"/>
      <c r="L29" s="42">
        <f t="shared" si="28"/>
        <v>0</v>
      </c>
      <c r="M29" s="26">
        <f t="shared" si="29"/>
        <v>0</v>
      </c>
      <c r="N29" s="157"/>
      <c r="O29" s="42">
        <f t="shared" si="30"/>
        <v>0</v>
      </c>
      <c r="P29" s="26">
        <f t="shared" si="31"/>
        <v>0</v>
      </c>
      <c r="Q29" s="157"/>
      <c r="R29" s="42">
        <f t="shared" si="32"/>
        <v>0</v>
      </c>
      <c r="S29" s="26">
        <f t="shared" si="33"/>
        <v>0</v>
      </c>
      <c r="T29" s="8">
        <f t="shared" si="35"/>
        <v>0</v>
      </c>
      <c r="U29" s="28">
        <f t="shared" si="34"/>
        <v>0</v>
      </c>
      <c r="W29" s="154">
        <v>44708</v>
      </c>
      <c r="X29" s="155"/>
      <c r="Y29" s="160">
        <f t="shared" si="21"/>
        <v>0</v>
      </c>
      <c r="Z29" s="155"/>
      <c r="AA29" s="160">
        <f t="shared" si="21"/>
        <v>0</v>
      </c>
      <c r="AB29" s="155"/>
      <c r="AC29" s="160">
        <f t="shared" si="21"/>
        <v>0</v>
      </c>
      <c r="AD29" s="155"/>
      <c r="AE29" s="160">
        <f t="shared" si="21"/>
        <v>0</v>
      </c>
      <c r="AF29" s="155"/>
      <c r="AG29" s="160">
        <f t="shared" si="21"/>
        <v>0</v>
      </c>
    </row>
    <row r="30" spans="1:33" ht="16.5" thickBot="1" x14ac:dyDescent="0.25">
      <c r="A30" s="9">
        <v>44709</v>
      </c>
      <c r="B30" s="157"/>
      <c r="C30" s="42">
        <f t="shared" si="22"/>
        <v>0</v>
      </c>
      <c r="D30" s="26">
        <f t="shared" si="23"/>
        <v>0</v>
      </c>
      <c r="E30" s="157"/>
      <c r="F30" s="42">
        <f t="shared" si="24"/>
        <v>0</v>
      </c>
      <c r="G30" s="26">
        <f t="shared" si="25"/>
        <v>0</v>
      </c>
      <c r="H30" s="157"/>
      <c r="I30" s="42">
        <f t="shared" si="26"/>
        <v>0</v>
      </c>
      <c r="J30" s="26">
        <f t="shared" si="27"/>
        <v>0</v>
      </c>
      <c r="K30" s="7"/>
      <c r="L30" s="42">
        <f t="shared" si="28"/>
        <v>0</v>
      </c>
      <c r="M30" s="26">
        <f t="shared" si="29"/>
        <v>0</v>
      </c>
      <c r="N30" s="157"/>
      <c r="O30" s="42">
        <f t="shared" si="30"/>
        <v>0</v>
      </c>
      <c r="P30" s="26">
        <f t="shared" si="31"/>
        <v>0</v>
      </c>
      <c r="Q30" s="157"/>
      <c r="R30" s="42">
        <f t="shared" si="32"/>
        <v>0</v>
      </c>
      <c r="S30" s="26">
        <f t="shared" si="33"/>
        <v>0</v>
      </c>
      <c r="T30" s="8">
        <f t="shared" si="35"/>
        <v>0</v>
      </c>
      <c r="U30" s="28">
        <f t="shared" si="34"/>
        <v>0</v>
      </c>
      <c r="W30" s="154">
        <v>44709</v>
      </c>
      <c r="X30" s="155"/>
      <c r="Y30" s="160">
        <f t="shared" si="21"/>
        <v>0</v>
      </c>
      <c r="Z30" s="155"/>
      <c r="AA30" s="160">
        <f t="shared" si="21"/>
        <v>0</v>
      </c>
      <c r="AB30" s="155"/>
      <c r="AC30" s="160">
        <f t="shared" si="21"/>
        <v>0</v>
      </c>
      <c r="AD30" s="155"/>
      <c r="AE30" s="160">
        <f t="shared" si="21"/>
        <v>0</v>
      </c>
      <c r="AF30" s="155"/>
      <c r="AG30" s="160">
        <f t="shared" si="21"/>
        <v>0</v>
      </c>
    </row>
    <row r="31" spans="1:33" ht="16.5" thickBot="1" x14ac:dyDescent="0.25">
      <c r="A31" s="9">
        <v>44710</v>
      </c>
      <c r="B31" s="157"/>
      <c r="C31" s="42">
        <f t="shared" si="22"/>
        <v>0</v>
      </c>
      <c r="D31" s="26">
        <f t="shared" si="23"/>
        <v>0</v>
      </c>
      <c r="E31" s="157"/>
      <c r="F31" s="42">
        <f t="shared" si="24"/>
        <v>0</v>
      </c>
      <c r="G31" s="26">
        <f t="shared" si="25"/>
        <v>0</v>
      </c>
      <c r="H31" s="157"/>
      <c r="I31" s="42">
        <f t="shared" si="26"/>
        <v>0</v>
      </c>
      <c r="J31" s="26">
        <f t="shared" si="27"/>
        <v>0</v>
      </c>
      <c r="K31" s="7"/>
      <c r="L31" s="42">
        <f t="shared" si="28"/>
        <v>0</v>
      </c>
      <c r="M31" s="26">
        <f t="shared" si="29"/>
        <v>0</v>
      </c>
      <c r="N31" s="157"/>
      <c r="O31" s="42">
        <f t="shared" si="30"/>
        <v>0</v>
      </c>
      <c r="P31" s="26">
        <f t="shared" si="31"/>
        <v>0</v>
      </c>
      <c r="Q31" s="157"/>
      <c r="R31" s="42">
        <f t="shared" si="32"/>
        <v>0</v>
      </c>
      <c r="S31" s="26">
        <f t="shared" si="33"/>
        <v>0</v>
      </c>
      <c r="T31" s="8">
        <f t="shared" si="35"/>
        <v>0</v>
      </c>
      <c r="U31" s="28">
        <f t="shared" si="34"/>
        <v>0</v>
      </c>
      <c r="W31" s="154">
        <v>44710</v>
      </c>
      <c r="X31" s="155"/>
      <c r="Y31" s="160">
        <f t="shared" si="21"/>
        <v>0</v>
      </c>
      <c r="Z31" s="155"/>
      <c r="AA31" s="160">
        <f t="shared" si="21"/>
        <v>0</v>
      </c>
      <c r="AB31" s="155"/>
      <c r="AC31" s="160">
        <f t="shared" si="21"/>
        <v>0</v>
      </c>
      <c r="AD31" s="155"/>
      <c r="AE31" s="160">
        <f t="shared" si="21"/>
        <v>0</v>
      </c>
      <c r="AF31" s="155"/>
      <c r="AG31" s="160">
        <f t="shared" si="21"/>
        <v>0</v>
      </c>
    </row>
    <row r="32" spans="1:33" ht="16.5" thickBot="1" x14ac:dyDescent="0.25">
      <c r="A32" s="9">
        <v>44711</v>
      </c>
      <c r="B32" s="157"/>
      <c r="C32" s="42">
        <f t="shared" si="22"/>
        <v>0</v>
      </c>
      <c r="D32" s="26">
        <f t="shared" si="23"/>
        <v>0</v>
      </c>
      <c r="E32" s="157"/>
      <c r="F32" s="42">
        <f t="shared" si="24"/>
        <v>0</v>
      </c>
      <c r="G32" s="26">
        <f t="shared" si="25"/>
        <v>0</v>
      </c>
      <c r="H32" s="157"/>
      <c r="I32" s="42">
        <f t="shared" si="26"/>
        <v>0</v>
      </c>
      <c r="J32" s="26">
        <f t="shared" si="27"/>
        <v>0</v>
      </c>
      <c r="K32" s="7"/>
      <c r="L32" s="42">
        <f t="shared" si="28"/>
        <v>0</v>
      </c>
      <c r="M32" s="26">
        <f t="shared" si="29"/>
        <v>0</v>
      </c>
      <c r="N32" s="157"/>
      <c r="O32" s="42">
        <f t="shared" si="30"/>
        <v>0</v>
      </c>
      <c r="P32" s="26">
        <f t="shared" si="31"/>
        <v>0</v>
      </c>
      <c r="Q32" s="157"/>
      <c r="R32" s="42">
        <f t="shared" si="32"/>
        <v>0</v>
      </c>
      <c r="S32" s="26">
        <f t="shared" si="33"/>
        <v>0</v>
      </c>
      <c r="T32" s="8">
        <f t="shared" si="35"/>
        <v>0</v>
      </c>
      <c r="U32" s="28">
        <f t="shared" si="34"/>
        <v>0</v>
      </c>
      <c r="W32" s="154">
        <v>44711</v>
      </c>
      <c r="X32" s="155"/>
      <c r="Y32" s="160">
        <f t="shared" ref="Y32" si="49">IF((X32-X31)&lt;0,"0",(X32-X31))</f>
        <v>0</v>
      </c>
      <c r="Z32" s="155"/>
      <c r="AA32" s="160">
        <f t="shared" ref="AA32" si="50">IF((Z32-Z31)&lt;0,"0",(Z32-Z31))</f>
        <v>0</v>
      </c>
      <c r="AB32" s="155"/>
      <c r="AC32" s="160">
        <f t="shared" ref="AC32" si="51">IF((AB32-AB31)&lt;0,"0",(AB32-AB31))</f>
        <v>0</v>
      </c>
      <c r="AD32" s="155"/>
      <c r="AE32" s="160">
        <f t="shared" ref="AE32" si="52">IF((AD32-AD31)&lt;0,"0",(AD32-AD31))</f>
        <v>0</v>
      </c>
      <c r="AF32" s="155"/>
      <c r="AG32" s="160">
        <f t="shared" ref="AG32" si="53">IF((AF32-AF31)&lt;0,"0",(AF32-AF31))</f>
        <v>0</v>
      </c>
    </row>
    <row r="33" spans="1:33" ht="16.5" thickBot="1" x14ac:dyDescent="0.25">
      <c r="A33" s="9">
        <v>44712</v>
      </c>
      <c r="B33" s="157"/>
      <c r="C33" s="42">
        <f t="shared" ref="C33" si="54">IF((B33-B32)&lt;0,"0",(B33-B32))</f>
        <v>0</v>
      </c>
      <c r="D33" s="26">
        <f t="shared" ref="D33" si="55">C33*1.9*1000</f>
        <v>0</v>
      </c>
      <c r="E33" s="157"/>
      <c r="F33" s="42">
        <f t="shared" ref="F33" si="56">IF((E33-E32)&lt;0,"0",(E33-E32))</f>
        <v>0</v>
      </c>
      <c r="G33" s="26">
        <f t="shared" ref="G33" si="57">F33*1.9*1000</f>
        <v>0</v>
      </c>
      <c r="H33" s="157"/>
      <c r="I33" s="42">
        <f t="shared" ref="I33" si="58">IF((H33-H32)&lt;0,"0",(H33-H32))</f>
        <v>0</v>
      </c>
      <c r="J33" s="26">
        <f t="shared" ref="J33" si="59">I33*1.9*1000</f>
        <v>0</v>
      </c>
      <c r="K33" s="7"/>
      <c r="L33" s="42">
        <f t="shared" ref="L33" si="60">IF((K33-K32)&lt;0,"0",(K33-K32))</f>
        <v>0</v>
      </c>
      <c r="M33" s="26">
        <f t="shared" ref="M33" si="61">L33*1.9*1000</f>
        <v>0</v>
      </c>
      <c r="N33" s="157"/>
      <c r="O33" s="42">
        <f t="shared" ref="O33" si="62">IF((N33-N32)&lt;0,"0",(N33-N32))</f>
        <v>0</v>
      </c>
      <c r="P33" s="26">
        <f t="shared" ref="P33" si="63">O33*1.9*1000</f>
        <v>0</v>
      </c>
      <c r="Q33" s="157"/>
      <c r="R33" s="42">
        <f t="shared" ref="R33" si="64">IF((Q33-Q32)&lt;0,"0",(Q33-Q32))</f>
        <v>0</v>
      </c>
      <c r="S33" s="26">
        <f t="shared" ref="S33" si="65">R33*1.9*1000</f>
        <v>0</v>
      </c>
      <c r="T33" s="8">
        <f t="shared" ref="T33" si="66">C33+F33+I33+L33+O33+R33</f>
        <v>0</v>
      </c>
      <c r="U33" s="28">
        <f t="shared" ref="U33" si="67">T33*1.9*1000</f>
        <v>0</v>
      </c>
      <c r="W33" s="154">
        <v>44712</v>
      </c>
      <c r="X33" s="155"/>
      <c r="Y33" s="160">
        <f t="shared" ref="Y33" si="68">IF((X33-X32)&lt;0,"0",(X33-X32))</f>
        <v>0</v>
      </c>
      <c r="Z33" s="155"/>
      <c r="AA33" s="160">
        <f t="shared" ref="AA33" si="69">IF((Z33-Z32)&lt;0,"0",(Z33-Z32))</f>
        <v>0</v>
      </c>
      <c r="AB33" s="155"/>
      <c r="AC33" s="160">
        <f t="shared" ref="AC33" si="70">IF((AB33-AB32)&lt;0,"0",(AB33-AB32))</f>
        <v>0</v>
      </c>
      <c r="AD33" s="155"/>
      <c r="AE33" s="160">
        <f t="shared" ref="AE33" si="71">IF((AD33-AD32)&lt;0,"0",(AD33-AD32))</f>
        <v>0</v>
      </c>
      <c r="AF33" s="155"/>
      <c r="AG33" s="160">
        <f t="shared" ref="AG33" si="72">IF((AF33-AF32)&lt;0,"0",(AF33-AF32))</f>
        <v>0</v>
      </c>
    </row>
    <row r="34" spans="1:33" s="21" customFormat="1" ht="16.5" thickBot="1" x14ac:dyDescent="0.25">
      <c r="A34" s="158" t="s">
        <v>23</v>
      </c>
      <c r="B34" s="158"/>
      <c r="C34" s="42">
        <f>SUM(C2:C32)</f>
        <v>113.8070000000007</v>
      </c>
      <c r="D34" s="135">
        <f>SUM(D3:D32)</f>
        <v>216233.3000000013</v>
      </c>
      <c r="E34" s="135"/>
      <c r="F34" s="42">
        <f>SUM(F2:F32)</f>
        <v>21.090000000000146</v>
      </c>
      <c r="G34" s="135">
        <f>SUM(G3:G32)</f>
        <v>40071.000000000276</v>
      </c>
      <c r="H34" s="135"/>
      <c r="I34" s="42">
        <f>SUM(I2:I32)</f>
        <v>78</v>
      </c>
      <c r="J34" s="135">
        <f>SUM(J3:J32)</f>
        <v>148200</v>
      </c>
      <c r="K34" s="135"/>
      <c r="L34" s="42">
        <f>SUM(L2:L32)</f>
        <v>20.329999999999927</v>
      </c>
      <c r="M34" s="135">
        <f>SUM(M3:M32)</f>
        <v>38626.999999999862</v>
      </c>
      <c r="N34" s="135"/>
      <c r="O34" s="42">
        <f>SUM(O2:O32)</f>
        <v>21.7199999999998</v>
      </c>
      <c r="P34" s="135">
        <f>SUM(P3:P32)</f>
        <v>41267.999999999614</v>
      </c>
      <c r="Q34" s="135"/>
      <c r="R34" s="42">
        <f>SUM(R3:R32)</f>
        <v>17.699999999999818</v>
      </c>
      <c r="S34" s="135">
        <f>SUM(S3:S32)</f>
        <v>33629.999999999651</v>
      </c>
      <c r="T34" s="135">
        <f>SUM(T3:T32)</f>
        <v>272.64700000000039</v>
      </c>
      <c r="U34" s="135">
        <f>SUM(U3:U32)</f>
        <v>518029.30000000075</v>
      </c>
      <c r="V34"/>
      <c r="W34" s="135" t="s">
        <v>141</v>
      </c>
      <c r="X34" s="135"/>
      <c r="Y34" s="135">
        <f>SUM(Y2:Y33)</f>
        <v>2087</v>
      </c>
      <c r="Z34" s="135"/>
      <c r="AA34" s="135">
        <f>SUM(AA2:AA33)</f>
        <v>118</v>
      </c>
      <c r="AB34" s="135"/>
      <c r="AC34" s="135">
        <f>SUM(AC2:AC33)</f>
        <v>0.10000000000000142</v>
      </c>
      <c r="AD34" s="135"/>
      <c r="AE34" s="135">
        <f>SUM(AE2:AE33)</f>
        <v>33</v>
      </c>
      <c r="AF34" s="135">
        <v>0</v>
      </c>
      <c r="AG34" s="135">
        <f>SUM(AG2:AG33)</f>
        <v>821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pane ySplit="1" topLeftCell="A68" activePane="bottomLeft" state="frozen"/>
      <selection pane="bottomLeft" activeCell="I100" sqref="I100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55"/>
      <c r="C1" s="56" t="s">
        <v>77</v>
      </c>
      <c r="D1" s="57" t="s">
        <v>78</v>
      </c>
      <c r="E1" s="57" t="s">
        <v>146</v>
      </c>
      <c r="F1" s="57" t="s">
        <v>145</v>
      </c>
      <c r="G1" s="57" t="s">
        <v>91</v>
      </c>
      <c r="H1" s="58" t="s">
        <v>79</v>
      </c>
      <c r="J1" s="56" t="s">
        <v>77</v>
      </c>
      <c r="K1" s="57" t="s">
        <v>78</v>
      </c>
      <c r="L1" s="57" t="s">
        <v>145</v>
      </c>
      <c r="M1" s="57" t="s">
        <v>148</v>
      </c>
      <c r="N1" s="57" t="s">
        <v>91</v>
      </c>
      <c r="O1" s="58" t="s">
        <v>79</v>
      </c>
    </row>
    <row r="2" spans="2:15" ht="15" x14ac:dyDescent="0.2">
      <c r="B2" s="55"/>
      <c r="C2" s="176">
        <v>6</v>
      </c>
      <c r="D2" s="59" t="s">
        <v>80</v>
      </c>
      <c r="E2" s="60">
        <v>285244</v>
      </c>
      <c r="F2" s="60">
        <v>286287</v>
      </c>
      <c r="G2" s="61">
        <f>F2-E2</f>
        <v>1043</v>
      </c>
      <c r="H2" s="62"/>
      <c r="J2" s="176">
        <v>6</v>
      </c>
      <c r="K2" s="59" t="s">
        <v>80</v>
      </c>
      <c r="L2" s="60">
        <v>286287</v>
      </c>
      <c r="M2" s="60">
        <v>287220</v>
      </c>
      <c r="N2" s="61">
        <f>M2-L2</f>
        <v>933</v>
      </c>
      <c r="O2" s="62"/>
    </row>
    <row r="3" spans="2:15" ht="15" x14ac:dyDescent="0.2">
      <c r="B3" s="55"/>
      <c r="C3" s="178"/>
      <c r="D3" s="59" t="s">
        <v>81</v>
      </c>
      <c r="E3" s="60">
        <v>248873</v>
      </c>
      <c r="F3" s="60">
        <v>249821</v>
      </c>
      <c r="G3" s="61">
        <f t="shared" ref="G3:G43" si="0">F3-E3</f>
        <v>948</v>
      </c>
      <c r="H3" s="62"/>
      <c r="J3" s="178"/>
      <c r="K3" s="59" t="s">
        <v>81</v>
      </c>
      <c r="L3" s="60">
        <v>249821</v>
      </c>
      <c r="M3" s="60">
        <v>250379</v>
      </c>
      <c r="N3" s="61">
        <f t="shared" ref="N3:N60" si="1">M3-L3</f>
        <v>558</v>
      </c>
      <c r="O3" s="62"/>
    </row>
    <row r="4" spans="2:15" ht="15" x14ac:dyDescent="0.2">
      <c r="B4" s="55"/>
      <c r="C4" s="177"/>
      <c r="D4" s="59" t="s">
        <v>82</v>
      </c>
      <c r="E4" s="60">
        <v>194618</v>
      </c>
      <c r="F4" s="60">
        <v>195288</v>
      </c>
      <c r="G4" s="61">
        <f t="shared" si="0"/>
        <v>670</v>
      </c>
      <c r="H4" s="62"/>
      <c r="J4" s="177"/>
      <c r="K4" s="59" t="s">
        <v>82</v>
      </c>
      <c r="L4" s="60">
        <v>195288</v>
      </c>
      <c r="M4" s="60">
        <v>195771</v>
      </c>
      <c r="N4" s="61">
        <f t="shared" si="1"/>
        <v>483</v>
      </c>
      <c r="O4" s="62"/>
    </row>
    <row r="5" spans="2:15" ht="15" x14ac:dyDescent="0.2">
      <c r="B5" s="55"/>
      <c r="C5" s="176">
        <v>7</v>
      </c>
      <c r="D5" s="59" t="s">
        <v>80</v>
      </c>
      <c r="E5" s="60">
        <v>250252</v>
      </c>
      <c r="F5" s="60">
        <v>251254</v>
      </c>
      <c r="G5" s="61">
        <f t="shared" si="0"/>
        <v>1002</v>
      </c>
      <c r="H5" s="62"/>
      <c r="J5" s="176">
        <v>7</v>
      </c>
      <c r="K5" s="59" t="s">
        <v>80</v>
      </c>
      <c r="L5" s="60">
        <v>251254</v>
      </c>
      <c r="M5" s="60">
        <v>252555</v>
      </c>
      <c r="N5" s="61">
        <f t="shared" si="1"/>
        <v>1301</v>
      </c>
      <c r="O5" s="62"/>
    </row>
    <row r="6" spans="2:15" ht="15" x14ac:dyDescent="0.2">
      <c r="B6" s="55"/>
      <c r="C6" s="178"/>
      <c r="D6" s="59" t="s">
        <v>81</v>
      </c>
      <c r="E6" s="60">
        <v>155059</v>
      </c>
      <c r="F6" s="60">
        <v>156177</v>
      </c>
      <c r="G6" s="61">
        <f t="shared" si="0"/>
        <v>1118</v>
      </c>
      <c r="H6" s="62"/>
      <c r="J6" s="178"/>
      <c r="K6" s="59" t="s">
        <v>81</v>
      </c>
      <c r="L6" s="60">
        <v>156177</v>
      </c>
      <c r="M6" s="60">
        <v>156275</v>
      </c>
      <c r="N6" s="61">
        <f t="shared" si="1"/>
        <v>98</v>
      </c>
      <c r="O6" s="62"/>
    </row>
    <row r="7" spans="2:15" ht="15" x14ac:dyDescent="0.2">
      <c r="B7" s="55"/>
      <c r="C7" s="177"/>
      <c r="D7" s="59" t="s">
        <v>82</v>
      </c>
      <c r="E7" s="60">
        <v>129125</v>
      </c>
      <c r="F7" s="60">
        <v>129451</v>
      </c>
      <c r="G7" s="61">
        <f t="shared" si="0"/>
        <v>326</v>
      </c>
      <c r="H7" s="62"/>
      <c r="J7" s="177"/>
      <c r="K7" s="59" t="s">
        <v>82</v>
      </c>
      <c r="L7" s="60">
        <v>129451</v>
      </c>
      <c r="M7" s="60">
        <v>130019</v>
      </c>
      <c r="N7" s="61">
        <f t="shared" si="1"/>
        <v>568</v>
      </c>
      <c r="O7" s="62"/>
    </row>
    <row r="8" spans="2:15" ht="15" x14ac:dyDescent="0.2">
      <c r="B8" s="55"/>
      <c r="C8" s="176">
        <v>8</v>
      </c>
      <c r="D8" s="59" t="s">
        <v>80</v>
      </c>
      <c r="E8" s="60">
        <v>77730</v>
      </c>
      <c r="F8" s="60">
        <v>77947</v>
      </c>
      <c r="G8" s="61">
        <f t="shared" si="0"/>
        <v>217</v>
      </c>
      <c r="H8" s="62"/>
      <c r="J8" s="176">
        <v>8</v>
      </c>
      <c r="K8" s="59" t="s">
        <v>80</v>
      </c>
      <c r="L8" s="60">
        <v>77947</v>
      </c>
      <c r="M8" s="60">
        <v>78142</v>
      </c>
      <c r="N8" s="61">
        <f t="shared" si="1"/>
        <v>195</v>
      </c>
      <c r="O8" s="62"/>
    </row>
    <row r="9" spans="2:15" ht="15" x14ac:dyDescent="0.2">
      <c r="B9" s="55"/>
      <c r="C9" s="178"/>
      <c r="D9" s="59" t="s">
        <v>81</v>
      </c>
      <c r="E9" s="60">
        <v>158</v>
      </c>
      <c r="F9" s="60">
        <v>158</v>
      </c>
      <c r="G9" s="61">
        <f t="shared" si="0"/>
        <v>0</v>
      </c>
      <c r="H9" s="63" t="s">
        <v>12</v>
      </c>
      <c r="J9" s="178"/>
      <c r="K9" s="59" t="s">
        <v>81</v>
      </c>
      <c r="L9" s="60">
        <v>158</v>
      </c>
      <c r="M9" s="60">
        <v>158</v>
      </c>
      <c r="N9" s="61">
        <f t="shared" si="1"/>
        <v>0</v>
      </c>
      <c r="O9" s="63" t="s">
        <v>12</v>
      </c>
    </row>
    <row r="10" spans="2:15" ht="15" x14ac:dyDescent="0.2">
      <c r="B10" s="55"/>
      <c r="C10" s="177"/>
      <c r="D10" s="59" t="s">
        <v>82</v>
      </c>
      <c r="E10" s="60">
        <v>102300</v>
      </c>
      <c r="F10" s="60">
        <v>102920</v>
      </c>
      <c r="G10" s="61">
        <f t="shared" si="0"/>
        <v>620</v>
      </c>
      <c r="H10" s="62"/>
      <c r="J10" s="177"/>
      <c r="K10" s="59" t="s">
        <v>82</v>
      </c>
      <c r="L10" s="60">
        <v>102920</v>
      </c>
      <c r="M10" s="60">
        <v>103570</v>
      </c>
      <c r="N10" s="61">
        <f t="shared" si="1"/>
        <v>650</v>
      </c>
      <c r="O10" s="62"/>
    </row>
    <row r="11" spans="2:15" ht="15" x14ac:dyDescent="0.2">
      <c r="B11" s="55"/>
      <c r="C11" s="176">
        <v>9</v>
      </c>
      <c r="D11" s="59" t="s">
        <v>80</v>
      </c>
      <c r="E11" s="60">
        <v>34798</v>
      </c>
      <c r="F11" s="60">
        <v>34946</v>
      </c>
      <c r="G11" s="61">
        <f t="shared" si="0"/>
        <v>148</v>
      </c>
      <c r="H11" s="62"/>
      <c r="J11" s="176">
        <v>9</v>
      </c>
      <c r="K11" s="59" t="s">
        <v>80</v>
      </c>
      <c r="L11" s="60">
        <v>34946</v>
      </c>
      <c r="M11" s="60">
        <v>34981</v>
      </c>
      <c r="N11" s="61">
        <f t="shared" si="1"/>
        <v>35</v>
      </c>
      <c r="O11" s="62"/>
    </row>
    <row r="12" spans="2:15" ht="15" x14ac:dyDescent="0.2">
      <c r="B12" s="55"/>
      <c r="C12" s="178"/>
      <c r="D12" s="59" t="s">
        <v>81</v>
      </c>
      <c r="E12" s="60">
        <v>0</v>
      </c>
      <c r="F12" s="60">
        <v>0</v>
      </c>
      <c r="G12" s="61">
        <f t="shared" si="0"/>
        <v>0</v>
      </c>
      <c r="H12" s="63" t="s">
        <v>12</v>
      </c>
      <c r="J12" s="178"/>
      <c r="K12" s="59" t="s">
        <v>81</v>
      </c>
      <c r="L12" s="60">
        <v>0</v>
      </c>
      <c r="M12" s="60">
        <v>0</v>
      </c>
      <c r="N12" s="61">
        <f t="shared" si="1"/>
        <v>0</v>
      </c>
      <c r="O12" s="63" t="s">
        <v>12</v>
      </c>
    </row>
    <row r="13" spans="2:15" ht="15" x14ac:dyDescent="0.2">
      <c r="B13" s="55"/>
      <c r="C13" s="177"/>
      <c r="D13" s="59" t="s">
        <v>82</v>
      </c>
      <c r="E13" s="60">
        <v>29204</v>
      </c>
      <c r="F13" s="60">
        <v>29310</v>
      </c>
      <c r="G13" s="61">
        <f t="shared" si="0"/>
        <v>106</v>
      </c>
      <c r="H13" s="62"/>
      <c r="I13" s="64"/>
      <c r="J13" s="177"/>
      <c r="K13" s="59" t="s">
        <v>82</v>
      </c>
      <c r="L13" s="60">
        <v>29310</v>
      </c>
      <c r="M13" s="60">
        <v>103570</v>
      </c>
      <c r="N13" s="61">
        <f t="shared" si="1"/>
        <v>74260</v>
      </c>
      <c r="O13" s="62"/>
    </row>
    <row r="14" spans="2:15" ht="15" x14ac:dyDescent="0.2">
      <c r="B14" s="55"/>
      <c r="C14" s="176">
        <v>10</v>
      </c>
      <c r="D14" s="59" t="s">
        <v>80</v>
      </c>
      <c r="E14" s="60">
        <v>211813</v>
      </c>
      <c r="F14" s="60">
        <v>213986</v>
      </c>
      <c r="G14" s="61">
        <f t="shared" si="0"/>
        <v>2173</v>
      </c>
      <c r="H14" s="62"/>
      <c r="I14" s="65"/>
      <c r="J14" s="176">
        <v>10</v>
      </c>
      <c r="K14" s="59" t="s">
        <v>80</v>
      </c>
      <c r="L14" s="60">
        <v>213986</v>
      </c>
      <c r="M14" s="60">
        <v>216026</v>
      </c>
      <c r="N14" s="61">
        <f t="shared" si="1"/>
        <v>2040</v>
      </c>
      <c r="O14" s="62"/>
    </row>
    <row r="15" spans="2:15" ht="15" x14ac:dyDescent="0.2">
      <c r="B15" s="55"/>
      <c r="C15" s="178"/>
      <c r="D15" s="59" t="s">
        <v>81</v>
      </c>
      <c r="E15" s="60">
        <v>8006</v>
      </c>
      <c r="F15" s="60">
        <v>8006</v>
      </c>
      <c r="G15" s="61">
        <f t="shared" si="0"/>
        <v>0</v>
      </c>
      <c r="H15" s="62"/>
      <c r="I15" s="65"/>
      <c r="J15" s="178"/>
      <c r="K15" s="59" t="s">
        <v>81</v>
      </c>
      <c r="L15" s="60">
        <v>8006</v>
      </c>
      <c r="M15" s="60">
        <v>8006</v>
      </c>
      <c r="N15" s="61">
        <f t="shared" si="1"/>
        <v>0</v>
      </c>
      <c r="O15" s="62"/>
    </row>
    <row r="16" spans="2:15" ht="15" x14ac:dyDescent="0.2">
      <c r="B16" s="55"/>
      <c r="C16" s="177"/>
      <c r="D16" s="59" t="s">
        <v>82</v>
      </c>
      <c r="E16" s="60">
        <v>194420</v>
      </c>
      <c r="F16" s="60">
        <v>196282</v>
      </c>
      <c r="G16" s="61">
        <f t="shared" si="0"/>
        <v>1862</v>
      </c>
      <c r="H16" s="62"/>
      <c r="I16" s="65"/>
      <c r="J16" s="177"/>
      <c r="K16" s="59" t="s">
        <v>82</v>
      </c>
      <c r="L16" s="60">
        <v>196282</v>
      </c>
      <c r="M16" s="60">
        <v>197791</v>
      </c>
      <c r="N16" s="61">
        <f t="shared" si="1"/>
        <v>1509</v>
      </c>
      <c r="O16" s="62"/>
    </row>
    <row r="17" spans="2:15" ht="15" x14ac:dyDescent="0.2">
      <c r="B17" s="55"/>
      <c r="C17" s="176">
        <v>11</v>
      </c>
      <c r="D17" s="59" t="s">
        <v>80</v>
      </c>
      <c r="E17" s="61">
        <v>66985</v>
      </c>
      <c r="F17" s="61">
        <v>67492</v>
      </c>
      <c r="G17" s="61">
        <f t="shared" si="0"/>
        <v>507</v>
      </c>
      <c r="H17" s="62"/>
      <c r="I17" s="65"/>
      <c r="J17" s="176">
        <v>11</v>
      </c>
      <c r="K17" s="59" t="s">
        <v>80</v>
      </c>
      <c r="L17" s="61">
        <v>67492</v>
      </c>
      <c r="M17" s="61">
        <v>67541</v>
      </c>
      <c r="N17" s="61">
        <f t="shared" si="1"/>
        <v>49</v>
      </c>
      <c r="O17" s="62"/>
    </row>
    <row r="18" spans="2:15" ht="15" x14ac:dyDescent="0.2">
      <c r="B18" s="55"/>
      <c r="C18" s="178"/>
      <c r="D18" s="59" t="s">
        <v>81</v>
      </c>
      <c r="E18" s="61">
        <v>222780</v>
      </c>
      <c r="F18" s="61">
        <v>223502</v>
      </c>
      <c r="G18" s="61">
        <f t="shared" si="0"/>
        <v>722</v>
      </c>
      <c r="H18" s="62"/>
      <c r="I18" s="65"/>
      <c r="J18" s="178"/>
      <c r="K18" s="59" t="s">
        <v>81</v>
      </c>
      <c r="L18" s="61">
        <v>223502</v>
      </c>
      <c r="M18" s="61">
        <v>223502</v>
      </c>
      <c r="N18" s="61">
        <f t="shared" si="1"/>
        <v>0</v>
      </c>
      <c r="O18" s="62"/>
    </row>
    <row r="19" spans="2:15" ht="15" x14ac:dyDescent="0.2">
      <c r="B19" s="55"/>
      <c r="C19" s="177"/>
      <c r="D19" s="59" t="s">
        <v>82</v>
      </c>
      <c r="E19" s="60">
        <v>31138</v>
      </c>
      <c r="F19" s="60">
        <v>31204</v>
      </c>
      <c r="G19" s="61">
        <f t="shared" si="0"/>
        <v>66</v>
      </c>
      <c r="H19" s="62"/>
      <c r="I19" s="65"/>
      <c r="J19" s="177"/>
      <c r="K19" s="59" t="s">
        <v>82</v>
      </c>
      <c r="L19" s="60">
        <v>31204</v>
      </c>
      <c r="M19" s="60">
        <v>224068</v>
      </c>
      <c r="N19" s="61">
        <f t="shared" si="1"/>
        <v>192864</v>
      </c>
      <c r="O19" s="62"/>
    </row>
    <row r="20" spans="2:15" ht="15" x14ac:dyDescent="0.2">
      <c r="B20" s="55"/>
      <c r="C20" s="176">
        <v>12</v>
      </c>
      <c r="D20" s="59" t="s">
        <v>80</v>
      </c>
      <c r="E20" s="141">
        <v>146776</v>
      </c>
      <c r="F20" s="141">
        <v>146902</v>
      </c>
      <c r="G20" s="61">
        <f t="shared" si="0"/>
        <v>126</v>
      </c>
      <c r="H20" s="62"/>
      <c r="I20" s="65"/>
      <c r="J20" s="176">
        <v>12</v>
      </c>
      <c r="K20" s="59" t="s">
        <v>80</v>
      </c>
      <c r="L20" s="141">
        <v>146902</v>
      </c>
      <c r="M20" s="141">
        <v>147023</v>
      </c>
      <c r="N20" s="61">
        <f t="shared" si="1"/>
        <v>121</v>
      </c>
      <c r="O20" s="62"/>
    </row>
    <row r="21" spans="2:15" ht="15" x14ac:dyDescent="0.2">
      <c r="B21" s="55"/>
      <c r="C21" s="178"/>
      <c r="D21" s="59" t="s">
        <v>81</v>
      </c>
      <c r="E21" s="60">
        <v>22614</v>
      </c>
      <c r="F21" s="60">
        <v>23192</v>
      </c>
      <c r="G21" s="61">
        <f t="shared" si="0"/>
        <v>578</v>
      </c>
      <c r="H21" s="62"/>
      <c r="I21" s="66" t="s">
        <v>12</v>
      </c>
      <c r="J21" s="178"/>
      <c r="K21" s="59" t="s">
        <v>81</v>
      </c>
      <c r="L21" s="60">
        <v>23192</v>
      </c>
      <c r="M21" s="60">
        <v>23233</v>
      </c>
      <c r="N21" s="61">
        <f t="shared" si="1"/>
        <v>41</v>
      </c>
      <c r="O21" s="62"/>
    </row>
    <row r="22" spans="2:15" ht="15" x14ac:dyDescent="0.2">
      <c r="B22" s="55"/>
      <c r="C22" s="177"/>
      <c r="D22" s="59" t="s">
        <v>82</v>
      </c>
      <c r="E22" s="60">
        <v>252574</v>
      </c>
      <c r="F22" s="60">
        <v>254437</v>
      </c>
      <c r="G22" s="61">
        <f t="shared" si="0"/>
        <v>1863</v>
      </c>
      <c r="H22" s="62"/>
      <c r="I22" s="65"/>
      <c r="J22" s="177"/>
      <c r="K22" s="59" t="s">
        <v>82</v>
      </c>
      <c r="L22" s="60">
        <v>254437</v>
      </c>
      <c r="M22" s="60">
        <v>255794</v>
      </c>
      <c r="N22" s="61">
        <f t="shared" si="1"/>
        <v>1357</v>
      </c>
      <c r="O22" s="62"/>
    </row>
    <row r="23" spans="2:15" ht="15" x14ac:dyDescent="0.2">
      <c r="B23" s="55"/>
      <c r="C23" s="176">
        <v>14</v>
      </c>
      <c r="D23" s="59" t="s">
        <v>80</v>
      </c>
      <c r="E23" s="60">
        <v>118249</v>
      </c>
      <c r="F23" s="60">
        <v>118453</v>
      </c>
      <c r="G23" s="61">
        <f t="shared" si="0"/>
        <v>204</v>
      </c>
      <c r="H23" s="62"/>
      <c r="I23" s="65"/>
      <c r="J23" s="176">
        <v>14</v>
      </c>
      <c r="K23" s="59" t="s">
        <v>80</v>
      </c>
      <c r="L23" s="60">
        <v>118453</v>
      </c>
      <c r="M23" s="60">
        <v>118666</v>
      </c>
      <c r="N23" s="61">
        <f t="shared" si="1"/>
        <v>213</v>
      </c>
      <c r="O23" s="62"/>
    </row>
    <row r="24" spans="2:15" ht="15" x14ac:dyDescent="0.2">
      <c r="B24" s="55"/>
      <c r="C24" s="178"/>
      <c r="D24" s="59" t="s">
        <v>81</v>
      </c>
      <c r="E24" s="67">
        <v>32974</v>
      </c>
      <c r="F24" s="67">
        <v>34284</v>
      </c>
      <c r="G24" s="61">
        <f t="shared" si="0"/>
        <v>1310</v>
      </c>
      <c r="H24" s="62"/>
      <c r="I24" s="65"/>
      <c r="J24" s="178"/>
      <c r="K24" s="59" t="s">
        <v>81</v>
      </c>
      <c r="L24" s="67">
        <v>34284</v>
      </c>
      <c r="M24" s="67">
        <v>35057</v>
      </c>
      <c r="N24" s="61">
        <f t="shared" si="1"/>
        <v>773</v>
      </c>
      <c r="O24" s="62"/>
    </row>
    <row r="25" spans="2:15" ht="15" x14ac:dyDescent="0.2">
      <c r="B25" s="55"/>
      <c r="C25" s="177"/>
      <c r="D25" s="59" t="s">
        <v>82</v>
      </c>
      <c r="E25" s="60">
        <v>1884</v>
      </c>
      <c r="F25" s="60">
        <v>1911</v>
      </c>
      <c r="G25" s="61">
        <f t="shared" si="0"/>
        <v>27</v>
      </c>
      <c r="H25" s="62"/>
      <c r="I25" s="65"/>
      <c r="J25" s="177"/>
      <c r="K25" s="59" t="s">
        <v>82</v>
      </c>
      <c r="L25" s="60">
        <v>1911</v>
      </c>
      <c r="M25" s="60">
        <v>1935</v>
      </c>
      <c r="N25" s="61">
        <f t="shared" si="1"/>
        <v>24</v>
      </c>
      <c r="O25" s="62"/>
    </row>
    <row r="26" spans="2:15" ht="15" x14ac:dyDescent="0.2">
      <c r="B26" s="55"/>
      <c r="C26" s="176">
        <v>15</v>
      </c>
      <c r="D26" s="59" t="s">
        <v>80</v>
      </c>
      <c r="E26" s="141">
        <v>39352</v>
      </c>
      <c r="F26" s="141">
        <v>39352</v>
      </c>
      <c r="G26" s="61">
        <f t="shared" si="0"/>
        <v>0</v>
      </c>
      <c r="H26" s="62"/>
      <c r="I26" s="66" t="s">
        <v>12</v>
      </c>
      <c r="J26" s="176">
        <v>15</v>
      </c>
      <c r="K26" s="59" t="s">
        <v>80</v>
      </c>
      <c r="L26" s="141">
        <v>39352</v>
      </c>
      <c r="M26" s="141">
        <v>39352</v>
      </c>
      <c r="N26" s="61">
        <f t="shared" si="1"/>
        <v>0</v>
      </c>
      <c r="O26" s="62"/>
    </row>
    <row r="27" spans="2:15" ht="15" x14ac:dyDescent="0.2">
      <c r="B27" s="55"/>
      <c r="C27" s="178"/>
      <c r="D27" s="59" t="s">
        <v>81</v>
      </c>
      <c r="E27" s="60">
        <v>83536</v>
      </c>
      <c r="F27" s="60">
        <v>84078</v>
      </c>
      <c r="G27" s="61">
        <f t="shared" si="0"/>
        <v>542</v>
      </c>
      <c r="H27" s="62"/>
      <c r="I27" s="66" t="s">
        <v>12</v>
      </c>
      <c r="J27" s="178"/>
      <c r="K27" s="59" t="s">
        <v>81</v>
      </c>
      <c r="L27" s="60">
        <v>84078</v>
      </c>
      <c r="M27" s="60">
        <v>84612</v>
      </c>
      <c r="N27" s="61">
        <f t="shared" si="1"/>
        <v>534</v>
      </c>
      <c r="O27" s="62"/>
    </row>
    <row r="28" spans="2:15" ht="15" x14ac:dyDescent="0.2">
      <c r="B28" s="55"/>
      <c r="C28" s="177"/>
      <c r="D28" s="59" t="s">
        <v>82</v>
      </c>
      <c r="E28" s="60">
        <v>160978</v>
      </c>
      <c r="F28" s="60">
        <v>162112</v>
      </c>
      <c r="G28" s="61">
        <f t="shared" si="0"/>
        <v>1134</v>
      </c>
      <c r="H28" s="62"/>
      <c r="I28" s="65"/>
      <c r="J28" s="177"/>
      <c r="K28" s="59" t="s">
        <v>82</v>
      </c>
      <c r="L28" s="60">
        <v>162112</v>
      </c>
      <c r="M28" s="60">
        <v>163098</v>
      </c>
      <c r="N28" s="61">
        <f t="shared" si="1"/>
        <v>986</v>
      </c>
      <c r="O28" s="62"/>
    </row>
    <row r="29" spans="2:15" ht="15" x14ac:dyDescent="0.2">
      <c r="B29" s="55"/>
      <c r="C29" s="176">
        <v>16</v>
      </c>
      <c r="D29" s="59" t="s">
        <v>80</v>
      </c>
      <c r="E29" s="141">
        <v>97792</v>
      </c>
      <c r="F29" s="141">
        <v>97792</v>
      </c>
      <c r="G29" s="61">
        <f t="shared" si="0"/>
        <v>0</v>
      </c>
      <c r="H29" s="63" t="s">
        <v>12</v>
      </c>
      <c r="I29" s="65"/>
      <c r="J29" s="176">
        <v>16</v>
      </c>
      <c r="K29" s="59" t="s">
        <v>80</v>
      </c>
      <c r="L29" s="141">
        <v>97792</v>
      </c>
      <c r="M29" s="141">
        <v>97792</v>
      </c>
      <c r="N29" s="61">
        <f t="shared" si="1"/>
        <v>0</v>
      </c>
      <c r="O29" s="63" t="s">
        <v>12</v>
      </c>
    </row>
    <row r="30" spans="2:15" ht="15" x14ac:dyDescent="0.2">
      <c r="B30" s="55"/>
      <c r="C30" s="178"/>
      <c r="D30" s="59" t="s">
        <v>81</v>
      </c>
      <c r="E30" s="141">
        <v>62805</v>
      </c>
      <c r="F30" s="141">
        <v>63065</v>
      </c>
      <c r="G30" s="61">
        <f t="shared" si="0"/>
        <v>260</v>
      </c>
      <c r="H30" s="62"/>
      <c r="I30" s="65"/>
      <c r="J30" s="178"/>
      <c r="K30" s="59" t="s">
        <v>81</v>
      </c>
      <c r="L30" s="141">
        <v>63065</v>
      </c>
      <c r="M30" s="141">
        <v>63065</v>
      </c>
      <c r="N30" s="61">
        <f t="shared" si="1"/>
        <v>0</v>
      </c>
      <c r="O30" s="62"/>
    </row>
    <row r="31" spans="2:15" ht="15" x14ac:dyDescent="0.2">
      <c r="B31" s="55"/>
      <c r="C31" s="177"/>
      <c r="D31" s="59" t="s">
        <v>82</v>
      </c>
      <c r="E31" s="60">
        <v>68544</v>
      </c>
      <c r="F31" s="60">
        <v>68792</v>
      </c>
      <c r="G31" s="61">
        <f t="shared" si="0"/>
        <v>248</v>
      </c>
      <c r="H31" s="68"/>
      <c r="I31" s="65"/>
      <c r="J31" s="177"/>
      <c r="K31" s="59" t="s">
        <v>82</v>
      </c>
      <c r="L31" s="60">
        <v>68792</v>
      </c>
      <c r="M31" s="60">
        <v>69063</v>
      </c>
      <c r="N31" s="61">
        <f t="shared" si="1"/>
        <v>271</v>
      </c>
      <c r="O31" s="68"/>
    </row>
    <row r="32" spans="2:15" ht="15" x14ac:dyDescent="0.2">
      <c r="B32" s="55"/>
      <c r="C32" s="176">
        <v>17</v>
      </c>
      <c r="D32" s="59" t="s">
        <v>80</v>
      </c>
      <c r="E32" s="60">
        <v>35909</v>
      </c>
      <c r="F32" s="60">
        <v>36079</v>
      </c>
      <c r="G32" s="61">
        <f t="shared" si="0"/>
        <v>170</v>
      </c>
      <c r="H32" s="62"/>
      <c r="I32" s="65"/>
      <c r="J32" s="176">
        <v>17</v>
      </c>
      <c r="K32" s="59" t="s">
        <v>80</v>
      </c>
      <c r="L32" s="60">
        <v>36079</v>
      </c>
      <c r="M32" s="60">
        <v>36262</v>
      </c>
      <c r="N32" s="61">
        <f t="shared" si="1"/>
        <v>183</v>
      </c>
      <c r="O32" s="62"/>
    </row>
    <row r="33" spans="2:16" ht="15" x14ac:dyDescent="0.2">
      <c r="B33" s="55"/>
      <c r="C33" s="178"/>
      <c r="D33" s="59" t="s">
        <v>81</v>
      </c>
      <c r="E33" s="60">
        <v>64277</v>
      </c>
      <c r="F33" s="60">
        <v>64324</v>
      </c>
      <c r="G33" s="61">
        <f t="shared" si="0"/>
        <v>47</v>
      </c>
      <c r="H33" s="62"/>
      <c r="I33" s="65"/>
      <c r="J33" s="178"/>
      <c r="K33" s="59" t="s">
        <v>81</v>
      </c>
      <c r="L33" s="60">
        <v>64324</v>
      </c>
      <c r="M33" s="60">
        <v>64324</v>
      </c>
      <c r="N33" s="61">
        <f t="shared" si="1"/>
        <v>0</v>
      </c>
      <c r="O33" s="62"/>
    </row>
    <row r="34" spans="2:16" ht="15" x14ac:dyDescent="0.2">
      <c r="B34" s="55"/>
      <c r="C34" s="177"/>
      <c r="D34" s="59" t="s">
        <v>82</v>
      </c>
      <c r="E34" s="60">
        <v>11959</v>
      </c>
      <c r="F34" s="60">
        <v>12066</v>
      </c>
      <c r="G34" s="61">
        <f t="shared" si="0"/>
        <v>107</v>
      </c>
      <c r="H34" s="68"/>
      <c r="I34" s="65"/>
      <c r="J34" s="177"/>
      <c r="K34" s="59" t="s">
        <v>82</v>
      </c>
      <c r="L34" s="60">
        <v>12066</v>
      </c>
      <c r="M34" s="60">
        <v>12083</v>
      </c>
      <c r="N34" s="61">
        <f t="shared" si="1"/>
        <v>17</v>
      </c>
      <c r="O34" s="68"/>
    </row>
    <row r="35" spans="2:16" ht="15" x14ac:dyDescent="0.2">
      <c r="B35" s="55"/>
      <c r="C35" s="176">
        <v>18</v>
      </c>
      <c r="D35" s="59" t="s">
        <v>80</v>
      </c>
      <c r="E35" s="60">
        <v>250002</v>
      </c>
      <c r="F35" s="60">
        <v>250831</v>
      </c>
      <c r="G35" s="61">
        <f t="shared" si="0"/>
        <v>829</v>
      </c>
      <c r="H35" s="68"/>
      <c r="I35" s="65"/>
      <c r="J35" s="176">
        <v>18</v>
      </c>
      <c r="K35" s="59" t="s">
        <v>80</v>
      </c>
      <c r="L35" s="60">
        <v>250831</v>
      </c>
      <c r="M35" s="60">
        <v>252397</v>
      </c>
      <c r="N35" s="61">
        <f t="shared" si="1"/>
        <v>1566</v>
      </c>
      <c r="O35" s="68"/>
      <c r="P35" s="153"/>
    </row>
    <row r="36" spans="2:16" ht="15" x14ac:dyDescent="0.2">
      <c r="B36" s="55"/>
      <c r="C36" s="178"/>
      <c r="D36" s="59" t="s">
        <v>81</v>
      </c>
      <c r="E36" s="67">
        <v>18064</v>
      </c>
      <c r="F36" s="67">
        <v>19306</v>
      </c>
      <c r="G36" s="61">
        <f t="shared" si="0"/>
        <v>1242</v>
      </c>
      <c r="H36" s="62"/>
      <c r="I36" s="65"/>
      <c r="J36" s="178"/>
      <c r="K36" s="59" t="s">
        <v>81</v>
      </c>
      <c r="L36" s="67">
        <v>19306</v>
      </c>
      <c r="M36" s="67">
        <v>19306</v>
      </c>
      <c r="N36" s="61">
        <f t="shared" si="1"/>
        <v>0</v>
      </c>
      <c r="O36" s="62"/>
      <c r="P36" s="162"/>
    </row>
    <row r="37" spans="2:16" ht="15" x14ac:dyDescent="0.2">
      <c r="B37" s="55"/>
      <c r="C37" s="177"/>
      <c r="D37" s="59" t="s">
        <v>82</v>
      </c>
      <c r="E37" s="60">
        <v>89012</v>
      </c>
      <c r="F37" s="60">
        <v>90135</v>
      </c>
      <c r="G37" s="61">
        <f t="shared" si="0"/>
        <v>1123</v>
      </c>
      <c r="H37" s="62"/>
      <c r="I37" s="65"/>
      <c r="J37" s="177"/>
      <c r="K37" s="59" t="s">
        <v>82</v>
      </c>
      <c r="L37" s="60">
        <v>90135</v>
      </c>
      <c r="M37" s="60">
        <v>91798</v>
      </c>
      <c r="N37" s="61">
        <f t="shared" si="1"/>
        <v>1663</v>
      </c>
      <c r="O37" s="62"/>
    </row>
    <row r="38" spans="2:16" ht="15" x14ac:dyDescent="0.2">
      <c r="B38" s="55"/>
      <c r="C38" s="176">
        <v>19</v>
      </c>
      <c r="D38" s="59" t="s">
        <v>80</v>
      </c>
      <c r="E38" s="60">
        <v>22878</v>
      </c>
      <c r="F38" s="60">
        <v>23189</v>
      </c>
      <c r="G38" s="61">
        <f t="shared" si="0"/>
        <v>311</v>
      </c>
      <c r="H38" s="62"/>
      <c r="I38" s="65"/>
      <c r="J38" s="176">
        <v>19</v>
      </c>
      <c r="K38" s="59" t="s">
        <v>80</v>
      </c>
      <c r="L38" s="60">
        <v>23189</v>
      </c>
      <c r="M38" s="60">
        <v>23446</v>
      </c>
      <c r="N38" s="61">
        <f t="shared" si="1"/>
        <v>257</v>
      </c>
      <c r="O38" s="62"/>
    </row>
    <row r="39" spans="2:16" ht="15" x14ac:dyDescent="0.2">
      <c r="B39" s="55"/>
      <c r="C39" s="178"/>
      <c r="D39" s="59" t="s">
        <v>81</v>
      </c>
      <c r="E39" s="141">
        <v>84350</v>
      </c>
      <c r="F39" s="141">
        <v>84498</v>
      </c>
      <c r="G39" s="61">
        <f t="shared" si="0"/>
        <v>148</v>
      </c>
      <c r="H39" s="68"/>
      <c r="I39" s="65"/>
      <c r="J39" s="178"/>
      <c r="K39" s="59" t="s">
        <v>81</v>
      </c>
      <c r="L39" s="141">
        <v>84498</v>
      </c>
      <c r="M39" s="141">
        <v>84652</v>
      </c>
      <c r="N39" s="61">
        <f t="shared" si="1"/>
        <v>154</v>
      </c>
      <c r="O39" s="68"/>
    </row>
    <row r="40" spans="2:16" ht="15" x14ac:dyDescent="0.2">
      <c r="B40" s="55"/>
      <c r="C40" s="177"/>
      <c r="D40" s="59" t="s">
        <v>82</v>
      </c>
      <c r="E40" s="60">
        <v>53053</v>
      </c>
      <c r="F40" s="60">
        <v>53053</v>
      </c>
      <c r="G40" s="61">
        <f t="shared" si="0"/>
        <v>0</v>
      </c>
      <c r="H40" s="62"/>
      <c r="I40" s="65"/>
      <c r="J40" s="177"/>
      <c r="K40" s="59" t="s">
        <v>82</v>
      </c>
      <c r="L40" s="60">
        <v>53053</v>
      </c>
      <c r="M40" s="60">
        <v>53053</v>
      </c>
      <c r="N40" s="61">
        <f t="shared" si="1"/>
        <v>0</v>
      </c>
      <c r="O40" s="62"/>
    </row>
    <row r="41" spans="2:16" ht="15" x14ac:dyDescent="0.2">
      <c r="B41" s="55"/>
      <c r="C41" s="176">
        <v>20</v>
      </c>
      <c r="D41" s="59" t="s">
        <v>80</v>
      </c>
      <c r="E41" s="60">
        <v>120636</v>
      </c>
      <c r="F41" s="60">
        <v>121085</v>
      </c>
      <c r="G41" s="61">
        <f t="shared" si="0"/>
        <v>449</v>
      </c>
      <c r="H41" s="62"/>
      <c r="I41" s="65"/>
      <c r="J41" s="176">
        <v>20</v>
      </c>
      <c r="K41" s="59" t="s">
        <v>80</v>
      </c>
      <c r="L41" s="60">
        <v>121085</v>
      </c>
      <c r="M41" s="60">
        <v>121525</v>
      </c>
      <c r="N41" s="61">
        <f t="shared" si="1"/>
        <v>440</v>
      </c>
      <c r="O41" s="62"/>
    </row>
    <row r="42" spans="2:16" ht="15" x14ac:dyDescent="0.2">
      <c r="B42" s="55"/>
      <c r="C42" s="178"/>
      <c r="D42" s="59" t="s">
        <v>81</v>
      </c>
      <c r="E42" s="141">
        <v>70567</v>
      </c>
      <c r="F42" s="141">
        <v>70767</v>
      </c>
      <c r="G42" s="61">
        <f t="shared" si="0"/>
        <v>200</v>
      </c>
      <c r="H42" s="62"/>
      <c r="J42" s="178"/>
      <c r="K42" s="59" t="s">
        <v>81</v>
      </c>
      <c r="L42" s="141">
        <v>70767</v>
      </c>
      <c r="M42" s="141">
        <v>70914</v>
      </c>
      <c r="N42" s="61">
        <f t="shared" si="1"/>
        <v>147</v>
      </c>
      <c r="O42" s="62"/>
    </row>
    <row r="43" spans="2:16" ht="15" x14ac:dyDescent="0.2">
      <c r="B43" s="55"/>
      <c r="C43" s="177"/>
      <c r="D43" s="59" t="s">
        <v>82</v>
      </c>
      <c r="E43" s="60">
        <v>3402</v>
      </c>
      <c r="F43" s="60">
        <v>3416</v>
      </c>
      <c r="G43" s="61">
        <f t="shared" si="0"/>
        <v>14</v>
      </c>
      <c r="H43" s="62"/>
      <c r="J43" s="177"/>
      <c r="K43" s="59" t="s">
        <v>82</v>
      </c>
      <c r="L43" s="60">
        <v>3416</v>
      </c>
      <c r="M43" s="60">
        <v>3418</v>
      </c>
      <c r="N43" s="61">
        <f t="shared" si="1"/>
        <v>2</v>
      </c>
      <c r="O43" s="62"/>
    </row>
    <row r="44" spans="2:16" ht="15" x14ac:dyDescent="0.2">
      <c r="B44" s="55"/>
      <c r="C44" s="69"/>
      <c r="D44" s="70"/>
      <c r="E44" s="70"/>
      <c r="F44" s="70"/>
      <c r="G44" s="70"/>
      <c r="H44" s="72"/>
      <c r="J44" s="69"/>
      <c r="K44" s="70"/>
      <c r="L44" s="70"/>
      <c r="M44" s="70"/>
      <c r="N44" s="70"/>
      <c r="O44" s="72"/>
    </row>
    <row r="45" spans="2:16" ht="15" x14ac:dyDescent="0.2">
      <c r="B45" s="55"/>
      <c r="C45" s="176">
        <v>21</v>
      </c>
      <c r="D45" s="73" t="s">
        <v>83</v>
      </c>
      <c r="E45" s="60">
        <v>3769</v>
      </c>
      <c r="F45" s="60">
        <v>3779</v>
      </c>
      <c r="G45" s="61">
        <f t="shared" ref="G45:G50" si="2">F45-E45</f>
        <v>10</v>
      </c>
      <c r="H45" s="63" t="s">
        <v>12</v>
      </c>
      <c r="J45" s="176">
        <v>21</v>
      </c>
      <c r="K45" s="73" t="s">
        <v>83</v>
      </c>
      <c r="L45" s="60">
        <v>3779</v>
      </c>
      <c r="M45" s="60">
        <v>3792</v>
      </c>
      <c r="N45" s="61">
        <f t="shared" si="1"/>
        <v>13</v>
      </c>
      <c r="O45" s="63" t="s">
        <v>12</v>
      </c>
    </row>
    <row r="46" spans="2:16" ht="15" x14ac:dyDescent="0.2">
      <c r="B46" s="55"/>
      <c r="C46" s="178"/>
      <c r="D46" s="73" t="s">
        <v>82</v>
      </c>
      <c r="E46" s="60">
        <v>44244</v>
      </c>
      <c r="F46" s="60">
        <v>44962</v>
      </c>
      <c r="G46" s="61">
        <f t="shared" si="2"/>
        <v>718</v>
      </c>
      <c r="H46" s="62"/>
      <c r="J46" s="178"/>
      <c r="K46" s="73" t="s">
        <v>82</v>
      </c>
      <c r="L46" s="60">
        <v>44962</v>
      </c>
      <c r="M46" s="60">
        <v>45639</v>
      </c>
      <c r="N46" s="61">
        <f t="shared" si="1"/>
        <v>677</v>
      </c>
      <c r="O46" s="62"/>
    </row>
    <row r="47" spans="2:16" ht="15" x14ac:dyDescent="0.2">
      <c r="B47" s="55"/>
      <c r="C47" s="176">
        <v>22</v>
      </c>
      <c r="D47" s="73" t="s">
        <v>83</v>
      </c>
      <c r="E47" s="74">
        <v>13711</v>
      </c>
      <c r="F47" s="74">
        <v>13737</v>
      </c>
      <c r="G47" s="61">
        <f t="shared" si="2"/>
        <v>26</v>
      </c>
      <c r="H47" s="62"/>
      <c r="I47" t="s">
        <v>12</v>
      </c>
      <c r="J47" s="176">
        <v>22</v>
      </c>
      <c r="K47" s="73" t="s">
        <v>83</v>
      </c>
      <c r="L47" s="74">
        <v>13737</v>
      </c>
      <c r="M47" s="74">
        <v>13759</v>
      </c>
      <c r="N47" s="61">
        <f t="shared" si="1"/>
        <v>22</v>
      </c>
      <c r="O47" s="62"/>
    </row>
    <row r="48" spans="2:16" ht="15" x14ac:dyDescent="0.2">
      <c r="B48" s="55"/>
      <c r="C48" s="178"/>
      <c r="D48" s="73" t="s">
        <v>82</v>
      </c>
      <c r="E48" s="74">
        <v>20778</v>
      </c>
      <c r="F48" s="74">
        <v>20919</v>
      </c>
      <c r="G48" s="61">
        <f t="shared" si="2"/>
        <v>141</v>
      </c>
      <c r="H48" s="62"/>
      <c r="J48" s="178"/>
      <c r="K48" s="73" t="s">
        <v>82</v>
      </c>
      <c r="L48" s="74">
        <v>20919</v>
      </c>
      <c r="M48" s="74">
        <v>21064</v>
      </c>
      <c r="N48" s="61">
        <f t="shared" si="1"/>
        <v>145</v>
      </c>
      <c r="O48" s="62"/>
    </row>
    <row r="49" spans="1:15" ht="15" x14ac:dyDescent="0.2">
      <c r="B49" s="55"/>
      <c r="C49" s="176">
        <v>23</v>
      </c>
      <c r="D49" s="59" t="s">
        <v>83</v>
      </c>
      <c r="E49" s="60"/>
      <c r="F49" s="74"/>
      <c r="G49" s="61">
        <f t="shared" si="2"/>
        <v>0</v>
      </c>
      <c r="H49" s="62"/>
      <c r="J49" s="176">
        <v>23</v>
      </c>
      <c r="K49" s="59" t="s">
        <v>83</v>
      </c>
      <c r="L49" s="74"/>
      <c r="M49" s="74"/>
      <c r="N49" s="61">
        <f t="shared" si="1"/>
        <v>0</v>
      </c>
      <c r="O49" s="62"/>
    </row>
    <row r="50" spans="1:15" ht="15" x14ac:dyDescent="0.2">
      <c r="B50" s="55"/>
      <c r="C50" s="178"/>
      <c r="D50" s="59" t="s">
        <v>82</v>
      </c>
      <c r="E50" s="60"/>
      <c r="F50" s="74"/>
      <c r="G50" s="61">
        <f t="shared" si="2"/>
        <v>0</v>
      </c>
      <c r="H50" s="62"/>
      <c r="J50" s="178"/>
      <c r="K50" s="59" t="s">
        <v>82</v>
      </c>
      <c r="L50" s="74"/>
      <c r="M50" s="74"/>
      <c r="N50" s="61">
        <f t="shared" si="1"/>
        <v>0</v>
      </c>
      <c r="O50" s="62"/>
    </row>
    <row r="51" spans="1:15" ht="15" x14ac:dyDescent="0.2">
      <c r="B51" s="55"/>
      <c r="C51" s="75"/>
      <c r="D51" s="70"/>
      <c r="E51" s="71"/>
      <c r="F51" s="71"/>
      <c r="G51" s="71"/>
      <c r="H51" s="72"/>
      <c r="J51" s="75"/>
      <c r="K51" s="70"/>
      <c r="L51" s="71"/>
      <c r="M51" s="71"/>
      <c r="N51" s="71"/>
      <c r="O51" s="72"/>
    </row>
    <row r="52" spans="1:15" ht="15" x14ac:dyDescent="0.2">
      <c r="B52" s="55"/>
      <c r="C52" s="179">
        <v>24</v>
      </c>
      <c r="D52" s="59" t="s">
        <v>84</v>
      </c>
      <c r="E52" s="141">
        <v>251533</v>
      </c>
      <c r="F52" s="141">
        <v>252472</v>
      </c>
      <c r="G52" s="61">
        <f t="shared" ref="G52:G60" si="3">F52-E52</f>
        <v>939</v>
      </c>
      <c r="H52" s="76"/>
      <c r="J52" s="179">
        <v>24</v>
      </c>
      <c r="K52" s="59" t="s">
        <v>84</v>
      </c>
      <c r="L52" s="141">
        <v>252472</v>
      </c>
      <c r="M52" s="141">
        <v>253528</v>
      </c>
      <c r="N52" s="61">
        <f t="shared" si="1"/>
        <v>1056</v>
      </c>
      <c r="O52" s="76"/>
    </row>
    <row r="53" spans="1:15" ht="15" x14ac:dyDescent="0.2">
      <c r="B53" s="55"/>
      <c r="C53" s="180"/>
      <c r="D53" s="59" t="s">
        <v>85</v>
      </c>
      <c r="E53" s="141">
        <v>539540</v>
      </c>
      <c r="F53" s="141">
        <v>539991</v>
      </c>
      <c r="G53" s="61">
        <f t="shared" si="3"/>
        <v>451</v>
      </c>
      <c r="H53" s="68"/>
      <c r="J53" s="180"/>
      <c r="K53" s="59" t="s">
        <v>85</v>
      </c>
      <c r="L53" s="141">
        <v>539991</v>
      </c>
      <c r="M53" s="141">
        <v>540445</v>
      </c>
      <c r="N53" s="61">
        <f t="shared" si="1"/>
        <v>454</v>
      </c>
      <c r="O53" s="68"/>
    </row>
    <row r="54" spans="1:15" ht="15" x14ac:dyDescent="0.2">
      <c r="B54" s="55"/>
      <c r="C54" s="181"/>
      <c r="D54" s="59" t="s">
        <v>84</v>
      </c>
      <c r="E54" s="141">
        <v>34567</v>
      </c>
      <c r="F54" s="141">
        <v>34567</v>
      </c>
      <c r="G54" s="61">
        <f t="shared" si="3"/>
        <v>0</v>
      </c>
      <c r="H54" s="77" t="s">
        <v>12</v>
      </c>
      <c r="J54" s="181"/>
      <c r="K54" s="59" t="s">
        <v>84</v>
      </c>
      <c r="L54" s="141">
        <v>34567</v>
      </c>
      <c r="M54" s="141">
        <v>34567</v>
      </c>
      <c r="N54" s="61">
        <f t="shared" si="1"/>
        <v>0</v>
      </c>
      <c r="O54" s="77" t="s">
        <v>12</v>
      </c>
    </row>
    <row r="55" spans="1:15" ht="15" x14ac:dyDescent="0.2">
      <c r="B55" s="55"/>
      <c r="C55" s="176">
        <v>25</v>
      </c>
      <c r="D55" s="59" t="s">
        <v>84</v>
      </c>
      <c r="E55" s="74">
        <v>330</v>
      </c>
      <c r="F55" s="74">
        <v>330</v>
      </c>
      <c r="G55" s="61">
        <f t="shared" si="3"/>
        <v>0</v>
      </c>
      <c r="H55" s="62"/>
      <c r="J55" s="176">
        <v>25</v>
      </c>
      <c r="K55" s="59" t="s">
        <v>84</v>
      </c>
      <c r="L55" s="74">
        <v>330</v>
      </c>
      <c r="M55" s="74">
        <v>330</v>
      </c>
      <c r="N55" s="61">
        <f t="shared" si="1"/>
        <v>0</v>
      </c>
      <c r="O55" s="62"/>
    </row>
    <row r="56" spans="1:15" ht="15" x14ac:dyDescent="0.2">
      <c r="B56" s="55"/>
      <c r="C56" s="177"/>
      <c r="D56" s="59" t="s">
        <v>85</v>
      </c>
      <c r="E56" s="74">
        <v>3</v>
      </c>
      <c r="F56" s="74">
        <v>3</v>
      </c>
      <c r="G56" s="61">
        <f t="shared" si="3"/>
        <v>0</v>
      </c>
      <c r="H56" s="62"/>
      <c r="J56" s="177"/>
      <c r="K56" s="59" t="s">
        <v>85</v>
      </c>
      <c r="L56" s="74">
        <v>3</v>
      </c>
      <c r="M56" s="74">
        <v>3</v>
      </c>
      <c r="N56" s="61">
        <f t="shared" si="1"/>
        <v>0</v>
      </c>
      <c r="O56" s="62"/>
    </row>
    <row r="57" spans="1:15" ht="15" x14ac:dyDescent="0.2">
      <c r="B57" s="55"/>
      <c r="C57" s="176">
        <v>26</v>
      </c>
      <c r="D57" s="59" t="s">
        <v>84</v>
      </c>
      <c r="E57" s="60">
        <v>730301</v>
      </c>
      <c r="F57" s="60">
        <v>733920</v>
      </c>
      <c r="G57" s="61">
        <f t="shared" si="3"/>
        <v>3619</v>
      </c>
      <c r="H57" s="62"/>
      <c r="J57" s="176">
        <v>26</v>
      </c>
      <c r="K57" s="59" t="s">
        <v>84</v>
      </c>
      <c r="L57" s="60">
        <v>733920</v>
      </c>
      <c r="M57" s="60">
        <v>737028</v>
      </c>
      <c r="N57" s="61">
        <f t="shared" si="1"/>
        <v>3108</v>
      </c>
      <c r="O57" s="62"/>
    </row>
    <row r="58" spans="1:15" ht="15" x14ac:dyDescent="0.2">
      <c r="A58" s="65"/>
      <c r="B58" s="55"/>
      <c r="C58" s="177"/>
      <c r="D58" s="59" t="s">
        <v>85</v>
      </c>
      <c r="E58" s="60">
        <v>804405</v>
      </c>
      <c r="F58" s="60">
        <v>808835</v>
      </c>
      <c r="G58" s="61">
        <f t="shared" si="3"/>
        <v>4430</v>
      </c>
      <c r="H58" s="68"/>
      <c r="I58" s="65"/>
      <c r="J58" s="177"/>
      <c r="K58" s="59" t="s">
        <v>85</v>
      </c>
      <c r="L58" s="60">
        <v>808835</v>
      </c>
      <c r="M58" s="60">
        <v>812807</v>
      </c>
      <c r="N58" s="61">
        <f t="shared" si="1"/>
        <v>3972</v>
      </c>
      <c r="O58" s="68"/>
    </row>
    <row r="59" spans="1:15" ht="15" x14ac:dyDescent="0.2">
      <c r="A59" s="65"/>
      <c r="B59" s="55"/>
      <c r="C59" s="176">
        <v>27</v>
      </c>
      <c r="D59" s="59" t="s">
        <v>84</v>
      </c>
      <c r="E59" s="60">
        <v>247819</v>
      </c>
      <c r="F59" s="60">
        <v>249147</v>
      </c>
      <c r="G59" s="61">
        <f t="shared" si="3"/>
        <v>1328</v>
      </c>
      <c r="H59" s="62"/>
      <c r="I59" s="65"/>
      <c r="J59" s="176">
        <v>27</v>
      </c>
      <c r="K59" s="59" t="s">
        <v>84</v>
      </c>
      <c r="L59" s="60">
        <v>249147</v>
      </c>
      <c r="M59" s="60">
        <v>250138</v>
      </c>
      <c r="N59" s="61">
        <f t="shared" si="1"/>
        <v>991</v>
      </c>
      <c r="O59" s="62"/>
    </row>
    <row r="60" spans="1:15" ht="15" x14ac:dyDescent="0.2">
      <c r="A60" s="65"/>
      <c r="B60" s="55"/>
      <c r="C60" s="177"/>
      <c r="D60" s="59" t="s">
        <v>85</v>
      </c>
      <c r="E60" s="60">
        <v>104997</v>
      </c>
      <c r="F60" s="60">
        <v>106037</v>
      </c>
      <c r="G60" s="61">
        <f t="shared" si="3"/>
        <v>1040</v>
      </c>
      <c r="H60" s="62"/>
      <c r="I60" s="65"/>
      <c r="J60" s="177"/>
      <c r="K60" s="59" t="s">
        <v>85</v>
      </c>
      <c r="L60" s="60">
        <v>106037</v>
      </c>
      <c r="M60" s="60">
        <v>106368</v>
      </c>
      <c r="N60" s="61">
        <f t="shared" si="1"/>
        <v>331</v>
      </c>
      <c r="O60" s="62"/>
    </row>
    <row r="61" spans="1:15" ht="15" x14ac:dyDescent="0.2">
      <c r="A61" s="65"/>
      <c r="B61" s="55"/>
      <c r="C61" s="69"/>
      <c r="D61" s="70"/>
      <c r="E61" s="60"/>
      <c r="F61" s="60"/>
      <c r="G61" s="78"/>
      <c r="H61" s="72"/>
      <c r="I61" s="65"/>
      <c r="J61" s="69"/>
      <c r="K61" s="70"/>
      <c r="L61" s="60"/>
      <c r="M61" s="60"/>
      <c r="N61" s="78"/>
      <c r="O61" s="72"/>
    </row>
    <row r="62" spans="1:15" ht="15" x14ac:dyDescent="0.2">
      <c r="A62" s="65"/>
      <c r="B62" s="55"/>
      <c r="C62" s="176">
        <v>28</v>
      </c>
      <c r="D62" s="185" t="s">
        <v>86</v>
      </c>
      <c r="E62" s="60"/>
      <c r="F62" s="60"/>
      <c r="G62" s="61"/>
      <c r="H62" s="187" t="s">
        <v>87</v>
      </c>
      <c r="I62" s="65"/>
      <c r="J62" s="176">
        <v>28</v>
      </c>
      <c r="K62" s="185" t="s">
        <v>86</v>
      </c>
      <c r="L62" s="60"/>
      <c r="M62" s="60"/>
      <c r="N62" s="61"/>
      <c r="O62" s="187" t="s">
        <v>87</v>
      </c>
    </row>
    <row r="63" spans="1:15" ht="15" x14ac:dyDescent="0.2">
      <c r="A63" s="65"/>
      <c r="B63" s="55"/>
      <c r="C63" s="177"/>
      <c r="D63" s="186"/>
      <c r="E63" s="60"/>
      <c r="F63" s="60"/>
      <c r="G63" s="61"/>
      <c r="H63" s="188"/>
      <c r="I63" s="65"/>
      <c r="J63" s="177"/>
      <c r="K63" s="186"/>
      <c r="L63" s="60"/>
      <c r="M63" s="60"/>
      <c r="N63" s="61"/>
      <c r="O63" s="188"/>
    </row>
    <row r="64" spans="1:15" x14ac:dyDescent="0.2">
      <c r="A64" s="65"/>
      <c r="B64" s="55"/>
      <c r="C64" s="189" t="s">
        <v>88</v>
      </c>
      <c r="D64" s="189"/>
      <c r="E64" s="189"/>
      <c r="F64" s="189"/>
      <c r="G64" s="79">
        <f>SUM(G2:G63)</f>
        <v>35162</v>
      </c>
      <c r="H64" s="80"/>
      <c r="I64" s="65"/>
      <c r="J64" s="189" t="s">
        <v>88</v>
      </c>
      <c r="K64" s="189"/>
      <c r="L64" s="189"/>
      <c r="M64" s="189"/>
      <c r="N64" s="79">
        <f>SUM(N2:N63)</f>
        <v>295061</v>
      </c>
      <c r="O64" s="80"/>
    </row>
    <row r="68" spans="1:15" ht="13.5" thickBot="1" x14ac:dyDescent="0.25">
      <c r="A68" s="81"/>
      <c r="B68" s="81"/>
      <c r="C68" s="81"/>
      <c r="D68" s="82" t="s">
        <v>12</v>
      </c>
      <c r="E68" s="81"/>
      <c r="F68" s="81"/>
      <c r="G68" s="81"/>
      <c r="H68" s="81"/>
    </row>
    <row r="69" spans="1:15" ht="13.5" thickBot="1" x14ac:dyDescent="0.25">
      <c r="A69" s="83"/>
      <c r="B69" s="190">
        <v>44621</v>
      </c>
      <c r="C69" s="191"/>
      <c r="D69" s="191"/>
      <c r="E69" s="192"/>
      <c r="F69" s="83"/>
      <c r="G69" s="190">
        <v>44652</v>
      </c>
      <c r="H69" s="191"/>
      <c r="I69" s="191"/>
      <c r="J69" s="192"/>
      <c r="K69" s="83"/>
      <c r="L69" s="182" t="s">
        <v>25</v>
      </c>
      <c r="M69" s="183"/>
      <c r="N69" s="183"/>
      <c r="O69" s="184"/>
    </row>
    <row r="70" spans="1:15" ht="13.5" thickBot="1" x14ac:dyDescent="0.25">
      <c r="A70" s="81"/>
      <c r="B70" s="142" t="s">
        <v>139</v>
      </c>
      <c r="C70" s="142">
        <v>30</v>
      </c>
      <c r="D70" s="142" t="s">
        <v>89</v>
      </c>
      <c r="E70" s="142" t="s">
        <v>90</v>
      </c>
      <c r="F70" s="81"/>
      <c r="G70" s="142" t="s">
        <v>139</v>
      </c>
      <c r="H70" s="142">
        <v>30</v>
      </c>
      <c r="I70" s="142" t="s">
        <v>89</v>
      </c>
      <c r="J70" s="142" t="s">
        <v>90</v>
      </c>
      <c r="K70" s="81"/>
      <c r="L70" s="84" t="s">
        <v>77</v>
      </c>
      <c r="M70" s="84">
        <v>30</v>
      </c>
      <c r="N70" s="84" t="s">
        <v>89</v>
      </c>
      <c r="O70" s="84" t="s">
        <v>90</v>
      </c>
    </row>
    <row r="71" spans="1:15" ht="15.75" thickBot="1" x14ac:dyDescent="0.25">
      <c r="A71" s="81"/>
      <c r="B71" s="85">
        <v>6</v>
      </c>
      <c r="C71" s="86">
        <v>97486</v>
      </c>
      <c r="D71" s="87">
        <v>58986</v>
      </c>
      <c r="E71" s="88">
        <v>78917</v>
      </c>
      <c r="F71" s="81"/>
      <c r="G71" s="85">
        <v>6</v>
      </c>
      <c r="H71" s="86">
        <v>98168</v>
      </c>
      <c r="I71" s="87">
        <v>59277</v>
      </c>
      <c r="J71" s="88">
        <v>78918</v>
      </c>
      <c r="K71" s="81"/>
      <c r="L71" s="84">
        <v>6</v>
      </c>
      <c r="M71" s="89">
        <f>H71-C71</f>
        <v>682</v>
      </c>
      <c r="N71" s="89">
        <f>I71-D71</f>
        <v>291</v>
      </c>
      <c r="O71" s="89">
        <f>J71-E71</f>
        <v>1</v>
      </c>
    </row>
    <row r="72" spans="1:15" ht="15.75" thickBot="1" x14ac:dyDescent="0.25">
      <c r="A72" s="81"/>
      <c r="B72" s="85">
        <v>7</v>
      </c>
      <c r="C72" s="86">
        <v>101340</v>
      </c>
      <c r="D72" s="87">
        <v>105704</v>
      </c>
      <c r="E72" s="88">
        <v>67291</v>
      </c>
      <c r="F72" s="81"/>
      <c r="G72" s="85">
        <v>7</v>
      </c>
      <c r="H72" s="86">
        <v>101305</v>
      </c>
      <c r="I72" s="87">
        <v>105850</v>
      </c>
      <c r="J72" s="88">
        <v>67398</v>
      </c>
      <c r="K72" s="81"/>
      <c r="L72" s="84">
        <v>7</v>
      </c>
      <c r="M72" s="89">
        <f t="shared" ref="M72:O94" si="4">H72-C72</f>
        <v>-35</v>
      </c>
      <c r="N72" s="89">
        <f t="shared" si="4"/>
        <v>146</v>
      </c>
      <c r="O72" s="89">
        <f t="shared" si="4"/>
        <v>107</v>
      </c>
    </row>
    <row r="73" spans="1:15" ht="15.75" thickBot="1" x14ac:dyDescent="0.25">
      <c r="A73" s="81"/>
      <c r="B73" s="85">
        <v>8</v>
      </c>
      <c r="C73" s="86">
        <v>118672</v>
      </c>
      <c r="D73" s="87">
        <v>262723</v>
      </c>
      <c r="E73" s="88">
        <v>112805</v>
      </c>
      <c r="F73" s="81"/>
      <c r="G73" s="85">
        <v>8</v>
      </c>
      <c r="H73" s="86">
        <v>119911</v>
      </c>
      <c r="I73" s="87">
        <v>264475</v>
      </c>
      <c r="J73" s="88">
        <v>113232</v>
      </c>
      <c r="K73" s="81"/>
      <c r="L73" s="84">
        <v>8</v>
      </c>
      <c r="M73" s="89">
        <f t="shared" si="4"/>
        <v>1239</v>
      </c>
      <c r="N73" s="89">
        <f t="shared" si="4"/>
        <v>1752</v>
      </c>
      <c r="O73" s="89">
        <f t="shared" si="4"/>
        <v>427</v>
      </c>
    </row>
    <row r="74" spans="1:15" ht="15.75" thickBot="1" x14ac:dyDescent="0.25">
      <c r="A74" s="81"/>
      <c r="B74" s="85">
        <v>9</v>
      </c>
      <c r="C74" s="86">
        <v>69558</v>
      </c>
      <c r="D74" s="87">
        <v>156119</v>
      </c>
      <c r="E74" s="88">
        <v>163649</v>
      </c>
      <c r="F74" s="81"/>
      <c r="G74" s="85">
        <v>9</v>
      </c>
      <c r="H74" s="86">
        <v>69594</v>
      </c>
      <c r="I74" s="87">
        <v>156516</v>
      </c>
      <c r="J74" s="88">
        <v>164163</v>
      </c>
      <c r="K74" s="81"/>
      <c r="L74" s="84">
        <v>9</v>
      </c>
      <c r="M74" s="89">
        <f t="shared" si="4"/>
        <v>36</v>
      </c>
      <c r="N74" s="89">
        <f t="shared" si="4"/>
        <v>397</v>
      </c>
      <c r="O74" s="89">
        <f t="shared" si="4"/>
        <v>514</v>
      </c>
    </row>
    <row r="75" spans="1:15" ht="15.75" thickBot="1" x14ac:dyDescent="0.25">
      <c r="A75" s="81"/>
      <c r="B75" s="85">
        <v>10</v>
      </c>
      <c r="C75" s="86">
        <v>76770</v>
      </c>
      <c r="D75" s="87">
        <v>124735</v>
      </c>
      <c r="E75" s="88">
        <v>152526</v>
      </c>
      <c r="F75" s="81"/>
      <c r="G75" s="85">
        <v>10</v>
      </c>
      <c r="H75" s="86">
        <v>77326</v>
      </c>
      <c r="I75" s="87">
        <v>125459</v>
      </c>
      <c r="J75" s="88">
        <v>153548</v>
      </c>
      <c r="K75" s="81"/>
      <c r="L75" s="84">
        <v>10</v>
      </c>
      <c r="M75" s="89">
        <f t="shared" si="4"/>
        <v>556</v>
      </c>
      <c r="N75" s="89">
        <f t="shared" si="4"/>
        <v>724</v>
      </c>
      <c r="O75" s="89">
        <f t="shared" si="4"/>
        <v>1022</v>
      </c>
    </row>
    <row r="76" spans="1:15" ht="15.75" thickBot="1" x14ac:dyDescent="0.25">
      <c r="A76" s="81"/>
      <c r="B76" s="85">
        <v>11</v>
      </c>
      <c r="C76" s="86">
        <v>161458</v>
      </c>
      <c r="D76" s="87">
        <v>188097</v>
      </c>
      <c r="E76" s="88">
        <v>214320</v>
      </c>
      <c r="F76" s="81"/>
      <c r="G76" s="85">
        <v>11</v>
      </c>
      <c r="H76" s="86">
        <v>161862</v>
      </c>
      <c r="I76" s="87">
        <v>188559</v>
      </c>
      <c r="J76" s="88">
        <v>214407</v>
      </c>
      <c r="K76" s="81"/>
      <c r="L76" s="84">
        <v>11</v>
      </c>
      <c r="M76" s="89">
        <f t="shared" si="4"/>
        <v>404</v>
      </c>
      <c r="N76" s="89">
        <f t="shared" si="4"/>
        <v>462</v>
      </c>
      <c r="O76" s="89">
        <f t="shared" si="4"/>
        <v>87</v>
      </c>
    </row>
    <row r="77" spans="1:15" ht="15.75" thickBot="1" x14ac:dyDescent="0.25">
      <c r="A77" s="81"/>
      <c r="B77" s="85">
        <v>12</v>
      </c>
      <c r="C77" s="86">
        <v>155562</v>
      </c>
      <c r="D77" s="87">
        <v>98264</v>
      </c>
      <c r="E77" s="88">
        <v>101210</v>
      </c>
      <c r="F77" s="81"/>
      <c r="G77" s="85">
        <v>12</v>
      </c>
      <c r="H77" s="86">
        <v>156381</v>
      </c>
      <c r="I77" s="87">
        <v>98612</v>
      </c>
      <c r="J77" s="88">
        <v>101404</v>
      </c>
      <c r="K77" s="81"/>
      <c r="L77" s="84">
        <v>12</v>
      </c>
      <c r="M77" s="89">
        <f t="shared" si="4"/>
        <v>819</v>
      </c>
      <c r="N77" s="89">
        <f>I77-D77</f>
        <v>348</v>
      </c>
      <c r="O77" s="89">
        <f t="shared" si="4"/>
        <v>194</v>
      </c>
    </row>
    <row r="78" spans="1:15" ht="15.75" thickBot="1" x14ac:dyDescent="0.25">
      <c r="A78" s="81"/>
      <c r="B78" s="85">
        <v>14</v>
      </c>
      <c r="C78" s="86">
        <v>123670</v>
      </c>
      <c r="D78" s="87">
        <v>48946</v>
      </c>
      <c r="E78" s="88">
        <v>51812</v>
      </c>
      <c r="F78" s="81"/>
      <c r="G78" s="85">
        <v>14</v>
      </c>
      <c r="H78" s="86">
        <v>123678</v>
      </c>
      <c r="I78" s="87">
        <v>49048</v>
      </c>
      <c r="J78" s="88">
        <v>51872</v>
      </c>
      <c r="K78" s="81"/>
      <c r="L78" s="84">
        <v>14</v>
      </c>
      <c r="M78" s="89">
        <f t="shared" si="4"/>
        <v>8</v>
      </c>
      <c r="N78" s="89">
        <f t="shared" si="4"/>
        <v>102</v>
      </c>
      <c r="O78" s="89">
        <f t="shared" si="4"/>
        <v>60</v>
      </c>
    </row>
    <row r="79" spans="1:15" ht="15.75" thickBot="1" x14ac:dyDescent="0.25">
      <c r="A79" s="81"/>
      <c r="B79" s="85">
        <v>15</v>
      </c>
      <c r="C79" s="86">
        <v>175349</v>
      </c>
      <c r="D79" s="87">
        <v>152000</v>
      </c>
      <c r="E79" s="88">
        <v>163655</v>
      </c>
      <c r="F79" s="81"/>
      <c r="G79" s="85">
        <v>15</v>
      </c>
      <c r="H79" s="86">
        <v>175959</v>
      </c>
      <c r="I79" s="87">
        <v>152823</v>
      </c>
      <c r="J79" s="88">
        <v>164362</v>
      </c>
      <c r="K79" s="81"/>
      <c r="L79" s="84">
        <v>15</v>
      </c>
      <c r="M79" s="89">
        <f t="shared" si="4"/>
        <v>610</v>
      </c>
      <c r="N79" s="89">
        <f t="shared" si="4"/>
        <v>823</v>
      </c>
      <c r="O79" s="89">
        <f t="shared" si="4"/>
        <v>707</v>
      </c>
    </row>
    <row r="80" spans="1:15" ht="15.75" thickBot="1" x14ac:dyDescent="0.25">
      <c r="A80" s="81"/>
      <c r="B80" s="85">
        <v>16</v>
      </c>
      <c r="C80" s="86">
        <v>130240</v>
      </c>
      <c r="D80" s="87">
        <v>156516</v>
      </c>
      <c r="E80" s="88">
        <v>220362</v>
      </c>
      <c r="F80" s="81"/>
      <c r="G80" s="85">
        <v>16</v>
      </c>
      <c r="H80" s="86">
        <v>130643</v>
      </c>
      <c r="I80" s="87">
        <v>154261</v>
      </c>
      <c r="J80" s="88">
        <v>220645</v>
      </c>
      <c r="K80" s="81"/>
      <c r="L80" s="84">
        <v>16</v>
      </c>
      <c r="M80" s="89">
        <f t="shared" si="4"/>
        <v>403</v>
      </c>
      <c r="N80" s="89">
        <f t="shared" si="4"/>
        <v>-2255</v>
      </c>
      <c r="O80" s="89">
        <f t="shared" si="4"/>
        <v>283</v>
      </c>
    </row>
    <row r="81" spans="1:15" ht="15.75" thickBot="1" x14ac:dyDescent="0.25">
      <c r="A81" s="81"/>
      <c r="B81" s="85">
        <v>17</v>
      </c>
      <c r="C81" s="86">
        <v>38485</v>
      </c>
      <c r="D81" s="87">
        <v>88500</v>
      </c>
      <c r="E81" s="88">
        <v>203563</v>
      </c>
      <c r="F81" s="81"/>
      <c r="G81" s="85">
        <v>17</v>
      </c>
      <c r="H81" s="86">
        <v>38475</v>
      </c>
      <c r="I81" s="87">
        <v>88658</v>
      </c>
      <c r="J81" s="88">
        <v>303694</v>
      </c>
      <c r="K81" s="81"/>
      <c r="L81" s="84">
        <v>17</v>
      </c>
      <c r="M81" s="89">
        <f t="shared" si="4"/>
        <v>-10</v>
      </c>
      <c r="N81" s="89">
        <f t="shared" si="4"/>
        <v>158</v>
      </c>
      <c r="O81" s="89">
        <f t="shared" si="4"/>
        <v>100131</v>
      </c>
    </row>
    <row r="82" spans="1:15" ht="15.75" thickBot="1" x14ac:dyDescent="0.25">
      <c r="A82" s="81"/>
      <c r="B82" s="85">
        <v>18</v>
      </c>
      <c r="C82" s="86">
        <v>140316</v>
      </c>
      <c r="D82" s="87">
        <v>75400</v>
      </c>
      <c r="E82" s="88">
        <v>165882</v>
      </c>
      <c r="F82" s="81"/>
      <c r="G82" s="85">
        <v>18</v>
      </c>
      <c r="H82" s="86">
        <v>140551</v>
      </c>
      <c r="I82" s="87">
        <v>75529</v>
      </c>
      <c r="J82" s="88">
        <v>166010</v>
      </c>
      <c r="K82" s="81"/>
      <c r="L82" s="84">
        <v>18</v>
      </c>
      <c r="M82" s="89">
        <f t="shared" si="4"/>
        <v>235</v>
      </c>
      <c r="N82" s="89">
        <f t="shared" si="4"/>
        <v>129</v>
      </c>
      <c r="O82" s="89">
        <f t="shared" si="4"/>
        <v>128</v>
      </c>
    </row>
    <row r="83" spans="1:15" ht="15.75" thickBot="1" x14ac:dyDescent="0.25">
      <c r="A83" s="81"/>
      <c r="B83" s="85">
        <v>19</v>
      </c>
      <c r="C83" s="86">
        <v>78220</v>
      </c>
      <c r="D83" s="87">
        <v>175316</v>
      </c>
      <c r="E83" s="88">
        <v>129106</v>
      </c>
      <c r="F83" s="81"/>
      <c r="G83" s="85">
        <v>19</v>
      </c>
      <c r="H83" s="86">
        <v>78392</v>
      </c>
      <c r="I83" s="87">
        <v>175537</v>
      </c>
      <c r="J83" s="88">
        <v>129874</v>
      </c>
      <c r="K83" s="81"/>
      <c r="L83" s="84">
        <v>19</v>
      </c>
      <c r="M83" s="89">
        <f t="shared" si="4"/>
        <v>172</v>
      </c>
      <c r="N83" s="89">
        <f t="shared" si="4"/>
        <v>221</v>
      </c>
      <c r="O83" s="89">
        <f t="shared" si="4"/>
        <v>768</v>
      </c>
    </row>
    <row r="84" spans="1:15" ht="15.75" thickBot="1" x14ac:dyDescent="0.25">
      <c r="A84" s="81"/>
      <c r="B84" s="85">
        <v>20</v>
      </c>
      <c r="C84" s="86">
        <v>146544</v>
      </c>
      <c r="D84" s="87">
        <v>177878</v>
      </c>
      <c r="E84" s="88">
        <v>90767</v>
      </c>
      <c r="F84" s="81"/>
      <c r="G84" s="85">
        <v>20</v>
      </c>
      <c r="H84" s="86">
        <v>147197</v>
      </c>
      <c r="I84" s="87">
        <v>178278</v>
      </c>
      <c r="J84" s="88">
        <v>90916</v>
      </c>
      <c r="K84" s="81"/>
      <c r="L84" s="84">
        <v>20</v>
      </c>
      <c r="M84" s="89">
        <f>H84-C84</f>
        <v>653</v>
      </c>
      <c r="N84" s="89">
        <f t="shared" si="4"/>
        <v>400</v>
      </c>
      <c r="O84" s="89">
        <f t="shared" si="4"/>
        <v>149</v>
      </c>
    </row>
    <row r="85" spans="1:15" ht="15.75" thickBot="1" x14ac:dyDescent="0.25">
      <c r="A85" s="81"/>
      <c r="B85" s="85">
        <v>21</v>
      </c>
      <c r="C85" s="86">
        <v>193818</v>
      </c>
      <c r="D85" s="87">
        <v>92149</v>
      </c>
      <c r="E85" s="88">
        <v>117444</v>
      </c>
      <c r="F85" s="81"/>
      <c r="G85" s="85">
        <v>21</v>
      </c>
      <c r="H85" s="86">
        <v>194011</v>
      </c>
      <c r="I85" s="87">
        <v>92560</v>
      </c>
      <c r="J85" s="88">
        <v>117927</v>
      </c>
      <c r="K85" s="81"/>
      <c r="L85" s="84">
        <v>21</v>
      </c>
      <c r="M85" s="89">
        <f t="shared" si="4"/>
        <v>193</v>
      </c>
      <c r="N85" s="89">
        <f t="shared" si="4"/>
        <v>411</v>
      </c>
      <c r="O85" s="89">
        <f t="shared" si="4"/>
        <v>483</v>
      </c>
    </row>
    <row r="86" spans="1:15" ht="15.75" thickBot="1" x14ac:dyDescent="0.25">
      <c r="A86" s="81"/>
      <c r="B86" s="85">
        <v>22</v>
      </c>
      <c r="C86" s="86">
        <v>141394</v>
      </c>
      <c r="D86" s="87">
        <v>99867</v>
      </c>
      <c r="E86" s="88">
        <v>122717</v>
      </c>
      <c r="F86" s="81"/>
      <c r="G86" s="85">
        <v>22</v>
      </c>
      <c r="H86" s="86">
        <v>141829</v>
      </c>
      <c r="I86" s="87">
        <v>100057</v>
      </c>
      <c r="J86" s="88">
        <v>122868</v>
      </c>
      <c r="K86" s="81"/>
      <c r="L86" s="84">
        <v>22</v>
      </c>
      <c r="M86" s="89">
        <f t="shared" si="4"/>
        <v>435</v>
      </c>
      <c r="N86" s="89">
        <f t="shared" si="4"/>
        <v>190</v>
      </c>
      <c r="O86" s="89">
        <f t="shared" si="4"/>
        <v>151</v>
      </c>
    </row>
    <row r="87" spans="1:15" ht="15.75" thickBot="1" x14ac:dyDescent="0.25">
      <c r="A87" s="81"/>
      <c r="B87" s="85">
        <v>23</v>
      </c>
      <c r="C87" s="86">
        <v>130904</v>
      </c>
      <c r="D87" s="87">
        <v>158900</v>
      </c>
      <c r="E87" s="88">
        <v>297108</v>
      </c>
      <c r="F87" s="81"/>
      <c r="G87" s="85">
        <v>23</v>
      </c>
      <c r="H87" s="86">
        <v>131072</v>
      </c>
      <c r="I87" s="87">
        <v>159329</v>
      </c>
      <c r="J87" s="88">
        <v>298323</v>
      </c>
      <c r="K87" s="81"/>
      <c r="L87" s="84">
        <v>23</v>
      </c>
      <c r="M87" s="89">
        <f t="shared" si="4"/>
        <v>168</v>
      </c>
      <c r="N87" s="89">
        <f t="shared" si="4"/>
        <v>429</v>
      </c>
      <c r="O87" s="89">
        <f t="shared" si="4"/>
        <v>1215</v>
      </c>
    </row>
    <row r="88" spans="1:15" ht="15.75" thickBot="1" x14ac:dyDescent="0.25">
      <c r="A88" s="81"/>
      <c r="B88" s="85">
        <v>24</v>
      </c>
      <c r="C88" s="86">
        <v>81185</v>
      </c>
      <c r="D88" s="87">
        <v>154006</v>
      </c>
      <c r="E88" s="88">
        <v>102235</v>
      </c>
      <c r="F88" s="81"/>
      <c r="G88" s="85">
        <v>24</v>
      </c>
      <c r="H88" s="86">
        <v>81296</v>
      </c>
      <c r="I88" s="87">
        <v>154567</v>
      </c>
      <c r="J88" s="88">
        <v>102421</v>
      </c>
      <c r="K88" s="81"/>
      <c r="L88" s="84">
        <v>24</v>
      </c>
      <c r="M88" s="89">
        <f t="shared" si="4"/>
        <v>111</v>
      </c>
      <c r="N88" s="89">
        <f t="shared" si="4"/>
        <v>561</v>
      </c>
      <c r="O88" s="89">
        <f>J88-E88</f>
        <v>186</v>
      </c>
    </row>
    <row r="89" spans="1:15" ht="15.75" thickBot="1" x14ac:dyDescent="0.25">
      <c r="A89" s="81"/>
      <c r="B89" s="85">
        <v>25</v>
      </c>
      <c r="C89" s="86">
        <v>125230</v>
      </c>
      <c r="D89" s="87">
        <v>181500</v>
      </c>
      <c r="E89" s="88">
        <v>168900</v>
      </c>
      <c r="F89" s="81"/>
      <c r="G89" s="85">
        <v>25</v>
      </c>
      <c r="H89" s="86">
        <v>125845</v>
      </c>
      <c r="I89" s="87">
        <v>181702</v>
      </c>
      <c r="J89" s="88">
        <v>169525</v>
      </c>
      <c r="K89" s="81"/>
      <c r="L89" s="84">
        <v>25</v>
      </c>
      <c r="M89" s="89">
        <f t="shared" si="4"/>
        <v>615</v>
      </c>
      <c r="N89" s="89">
        <f t="shared" si="4"/>
        <v>202</v>
      </c>
      <c r="O89" s="89">
        <f>J89-E89</f>
        <v>625</v>
      </c>
    </row>
    <row r="90" spans="1:15" ht="15.75" thickBot="1" x14ac:dyDescent="0.25">
      <c r="A90" s="81"/>
      <c r="B90" s="85">
        <v>26</v>
      </c>
      <c r="C90" s="86">
        <v>120820</v>
      </c>
      <c r="D90" s="87">
        <v>55769</v>
      </c>
      <c r="E90" s="88">
        <v>58440</v>
      </c>
      <c r="F90" s="81"/>
      <c r="G90" s="85">
        <v>26</v>
      </c>
      <c r="H90" s="86">
        <v>121546</v>
      </c>
      <c r="I90" s="87">
        <v>56644</v>
      </c>
      <c r="J90" s="88">
        <v>59160</v>
      </c>
      <c r="K90" s="81"/>
      <c r="L90" s="84">
        <v>26</v>
      </c>
      <c r="M90" s="89">
        <f t="shared" si="4"/>
        <v>726</v>
      </c>
      <c r="N90" s="89">
        <f t="shared" si="4"/>
        <v>875</v>
      </c>
      <c r="O90" s="89">
        <f t="shared" si="4"/>
        <v>720</v>
      </c>
    </row>
    <row r="91" spans="1:15" ht="15.75" thickBot="1" x14ac:dyDescent="0.25">
      <c r="A91" s="81"/>
      <c r="B91" s="85">
        <v>27</v>
      </c>
      <c r="C91" s="86">
        <v>104462</v>
      </c>
      <c r="D91" s="87">
        <v>113351</v>
      </c>
      <c r="E91" s="88">
        <v>125962</v>
      </c>
      <c r="F91" s="81"/>
      <c r="G91" s="85">
        <v>27</v>
      </c>
      <c r="H91" s="86">
        <v>104060</v>
      </c>
      <c r="I91" s="87">
        <v>113499</v>
      </c>
      <c r="J91" s="88">
        <v>126621</v>
      </c>
      <c r="K91" s="81"/>
      <c r="L91" s="84">
        <v>27</v>
      </c>
      <c r="M91" s="89">
        <f t="shared" si="4"/>
        <v>-402</v>
      </c>
      <c r="N91" s="89">
        <f t="shared" si="4"/>
        <v>148</v>
      </c>
      <c r="O91" s="89">
        <f t="shared" si="4"/>
        <v>659</v>
      </c>
    </row>
    <row r="92" spans="1:15" ht="15.75" thickBot="1" x14ac:dyDescent="0.25">
      <c r="A92" s="81"/>
      <c r="B92" s="85">
        <v>28</v>
      </c>
      <c r="C92" s="86">
        <v>203620</v>
      </c>
      <c r="D92" s="87">
        <v>102988</v>
      </c>
      <c r="E92" s="88">
        <v>112717</v>
      </c>
      <c r="F92" s="81"/>
      <c r="G92" s="85">
        <v>28</v>
      </c>
      <c r="H92" s="86">
        <v>203813</v>
      </c>
      <c r="I92" s="87">
        <v>102210</v>
      </c>
      <c r="J92" s="88">
        <v>113052</v>
      </c>
      <c r="K92" s="81"/>
      <c r="L92" s="84">
        <v>28</v>
      </c>
      <c r="M92" s="89">
        <f t="shared" si="4"/>
        <v>193</v>
      </c>
      <c r="N92" s="89">
        <f t="shared" si="4"/>
        <v>-778</v>
      </c>
      <c r="O92" s="89">
        <f t="shared" si="4"/>
        <v>335</v>
      </c>
    </row>
    <row r="93" spans="1:15" ht="15.75" thickBot="1" x14ac:dyDescent="0.25">
      <c r="A93" s="81"/>
      <c r="B93" s="85">
        <v>29</v>
      </c>
      <c r="C93" s="86"/>
      <c r="D93" s="87">
        <v>86217</v>
      </c>
      <c r="E93" s="88"/>
      <c r="F93" s="81"/>
      <c r="G93" s="85">
        <v>29</v>
      </c>
      <c r="H93" s="86"/>
      <c r="I93" s="87">
        <v>86217</v>
      </c>
      <c r="J93" s="88"/>
      <c r="K93" s="81"/>
      <c r="L93" s="84">
        <v>29</v>
      </c>
      <c r="M93" s="89">
        <f>H93-C93</f>
        <v>0</v>
      </c>
      <c r="N93" s="89">
        <f t="shared" si="4"/>
        <v>0</v>
      </c>
      <c r="O93" s="89"/>
    </row>
    <row r="94" spans="1:15" ht="15.75" thickBot="1" x14ac:dyDescent="0.25">
      <c r="A94" s="81"/>
      <c r="B94" s="85">
        <v>30</v>
      </c>
      <c r="C94" s="86"/>
      <c r="D94" s="87">
        <v>14818</v>
      </c>
      <c r="E94" s="88"/>
      <c r="F94" s="81"/>
      <c r="G94" s="85">
        <v>30</v>
      </c>
      <c r="H94" s="86"/>
      <c r="I94" s="87">
        <v>14818</v>
      </c>
      <c r="J94" s="88"/>
      <c r="K94" s="81"/>
      <c r="L94" s="84">
        <v>30</v>
      </c>
      <c r="M94" s="89">
        <f>H94-C94</f>
        <v>0</v>
      </c>
      <c r="N94" s="89">
        <f t="shared" si="4"/>
        <v>0</v>
      </c>
      <c r="O94" s="81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K22" sqref="K22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93" t="s">
        <v>147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</row>
    <row r="2" spans="1:13" ht="13.5" thickBot="1" x14ac:dyDescent="0.25">
      <c r="A2" s="93"/>
      <c r="B2" s="94" t="s">
        <v>92</v>
      </c>
      <c r="C2" s="95">
        <f>K8+K9+K14</f>
        <v>-70579852</v>
      </c>
      <c r="D2" s="95">
        <f>C2*1.27</f>
        <v>-89636412.040000007</v>
      </c>
      <c r="E2" s="96"/>
      <c r="F2" s="93"/>
      <c r="G2" s="93"/>
      <c r="H2" s="97" t="s">
        <v>93</v>
      </c>
      <c r="I2" s="98"/>
      <c r="J2" s="98"/>
      <c r="K2" s="98"/>
    </row>
    <row r="3" spans="1:13" ht="13.5" thickBot="1" x14ac:dyDescent="0.25">
      <c r="A3" s="93"/>
      <c r="B3" s="93"/>
      <c r="C3" s="93"/>
      <c r="D3" s="93"/>
      <c r="E3" s="93"/>
      <c r="F3" s="93"/>
      <c r="G3" s="93"/>
      <c r="H3" s="99" t="s">
        <v>94</v>
      </c>
      <c r="I3" s="132">
        <f>ELECT.!E2</f>
        <v>30652456</v>
      </c>
      <c r="J3" s="132">
        <f>ELECT.!E32</f>
        <v>0</v>
      </c>
      <c r="K3" s="164">
        <f>J3-I3</f>
        <v>-30652456</v>
      </c>
    </row>
    <row r="4" spans="1:13" ht="13.5" thickBot="1" x14ac:dyDescent="0.25">
      <c r="A4" s="93"/>
      <c r="B4" s="101" t="s">
        <v>95</v>
      </c>
      <c r="C4" s="102" t="s">
        <v>96</v>
      </c>
      <c r="D4" s="102" t="s">
        <v>97</v>
      </c>
      <c r="E4" s="102"/>
      <c r="F4" s="93"/>
      <c r="G4" s="93"/>
      <c r="H4" s="99" t="s">
        <v>98</v>
      </c>
      <c r="I4" s="100">
        <f>ELECT.!G2</f>
        <v>98165441</v>
      </c>
      <c r="J4" s="132">
        <f>ELECT.!G32</f>
        <v>0</v>
      </c>
      <c r="K4" s="164">
        <f>J4-I4</f>
        <v>-98165441</v>
      </c>
    </row>
    <row r="5" spans="1:13" ht="13.5" thickBot="1" x14ac:dyDescent="0.25">
      <c r="A5" s="93"/>
      <c r="B5" s="99" t="s">
        <v>27</v>
      </c>
      <c r="C5" s="103">
        <f>(K10+K12)*0.842284+K26</f>
        <v>-35600058.154587999</v>
      </c>
      <c r="D5" s="103">
        <f t="shared" ref="D5:D11" si="0">C5*1.27</f>
        <v>-45212073.856326759</v>
      </c>
      <c r="E5" s="104"/>
      <c r="F5" s="93"/>
      <c r="G5" s="93"/>
      <c r="H5" s="99" t="s">
        <v>23</v>
      </c>
      <c r="I5" s="105"/>
      <c r="J5" s="105"/>
      <c r="K5" s="125">
        <f>K3+K4</f>
        <v>-128817897</v>
      </c>
    </row>
    <row r="6" spans="1:13" ht="13.5" thickBot="1" x14ac:dyDescent="0.25">
      <c r="A6" s="93"/>
      <c r="B6" s="99" t="s">
        <v>99</v>
      </c>
      <c r="C6" s="103">
        <f>(K10+K12+K26)*0.1488</f>
        <v>-6201965.6975999996</v>
      </c>
      <c r="D6" s="103">
        <f t="shared" si="0"/>
        <v>-7876496.4359519994</v>
      </c>
      <c r="E6" s="104"/>
      <c r="F6" s="93"/>
      <c r="G6" s="93"/>
      <c r="H6" s="99" t="s">
        <v>100</v>
      </c>
      <c r="I6" s="136">
        <f>ELECT.!J2</f>
        <v>9787141</v>
      </c>
      <c r="J6" s="132">
        <f>ELECT.!J32</f>
        <v>0</v>
      </c>
      <c r="K6" s="164">
        <f>J6-I6</f>
        <v>-9787141</v>
      </c>
      <c r="M6" s="33"/>
    </row>
    <row r="7" spans="1:13" ht="13.5" thickBot="1" x14ac:dyDescent="0.25">
      <c r="A7" s="93"/>
      <c r="B7" s="99" t="s">
        <v>101</v>
      </c>
      <c r="C7" s="103">
        <f>(K6+K7)-(C8+C9+C10+C11+K26)</f>
        <v>-16584918</v>
      </c>
      <c r="D7" s="103">
        <f t="shared" si="0"/>
        <v>-21062845.859999999</v>
      </c>
      <c r="E7" s="104"/>
      <c r="F7" s="93"/>
      <c r="G7" s="93"/>
      <c r="H7" s="99" t="s">
        <v>102</v>
      </c>
      <c r="I7" s="136">
        <f>ELECT.!L2</f>
        <v>9901747</v>
      </c>
      <c r="J7" s="132">
        <f>ELECT.!L32</f>
        <v>0</v>
      </c>
      <c r="K7" s="164">
        <f>J7-I7</f>
        <v>-9901747</v>
      </c>
    </row>
    <row r="8" spans="1:13" ht="13.5" thickBot="1" x14ac:dyDescent="0.25">
      <c r="A8" s="93"/>
      <c r="B8" s="99" t="s">
        <v>103</v>
      </c>
      <c r="C8" s="103">
        <f>K21+K22+K23+K24</f>
        <v>16038</v>
      </c>
      <c r="D8" s="103">
        <f t="shared" si="0"/>
        <v>20368.260000000002</v>
      </c>
      <c r="E8" s="104"/>
      <c r="F8" s="93"/>
      <c r="G8" s="93"/>
      <c r="H8" s="99" t="s">
        <v>104</v>
      </c>
      <c r="I8" s="136">
        <f>ELECT.!N2</f>
        <v>6523661</v>
      </c>
      <c r="J8" s="132">
        <f>ELECT.!N32</f>
        <v>0</v>
      </c>
      <c r="K8" s="90">
        <f>(J8-I8)*2</f>
        <v>-13047322</v>
      </c>
    </row>
    <row r="9" spans="1:13" ht="13.5" thickBot="1" x14ac:dyDescent="0.25">
      <c r="A9" s="93"/>
      <c r="B9" s="99" t="s">
        <v>137</v>
      </c>
      <c r="C9" s="103">
        <f>K25+K16+K17</f>
        <v>3119</v>
      </c>
      <c r="D9" s="103">
        <f t="shared" si="0"/>
        <v>3961.13</v>
      </c>
      <c r="E9" s="104"/>
      <c r="F9" s="93"/>
      <c r="G9" s="93"/>
      <c r="H9" s="99" t="s">
        <v>105</v>
      </c>
      <c r="I9" s="136">
        <f>ELECT.!P2</f>
        <v>6324810</v>
      </c>
      <c r="J9" s="132">
        <f>ELECT.!P32</f>
        <v>0</v>
      </c>
      <c r="K9" s="90">
        <f>J9-I9</f>
        <v>-6324810</v>
      </c>
    </row>
    <row r="10" spans="1:13" ht="13.5" thickBot="1" x14ac:dyDescent="0.25">
      <c r="A10" s="93"/>
      <c r="B10" s="99" t="s">
        <v>106</v>
      </c>
      <c r="C10" s="103">
        <f>K18</f>
        <v>6080</v>
      </c>
      <c r="D10" s="103">
        <f t="shared" si="0"/>
        <v>7721.6</v>
      </c>
      <c r="E10" s="104"/>
      <c r="F10" s="93"/>
      <c r="G10" s="93"/>
      <c r="H10" s="99" t="s">
        <v>107</v>
      </c>
      <c r="I10" s="136">
        <f>ELECT.!R2</f>
        <v>20895623</v>
      </c>
      <c r="J10" s="132">
        <f>ELECT.!R32</f>
        <v>0</v>
      </c>
      <c r="K10" s="90">
        <f>J10-I10</f>
        <v>-20895623</v>
      </c>
    </row>
    <row r="11" spans="1:13" ht="13.5" thickBot="1" x14ac:dyDescent="0.25">
      <c r="A11" s="93"/>
      <c r="B11" s="99" t="s">
        <v>108</v>
      </c>
      <c r="C11" s="103">
        <f>K19+K20</f>
        <v>1513</v>
      </c>
      <c r="D11" s="103">
        <f t="shared" si="0"/>
        <v>1921.51</v>
      </c>
      <c r="E11" s="104"/>
      <c r="F11" s="93"/>
      <c r="G11" s="93"/>
      <c r="H11" s="99" t="s">
        <v>109</v>
      </c>
      <c r="I11" s="106">
        <v>0</v>
      </c>
      <c r="J11" s="132">
        <f>ELECT.!G41</f>
        <v>0</v>
      </c>
      <c r="K11" s="90">
        <f>J11-I11</f>
        <v>0</v>
      </c>
    </row>
    <row r="12" spans="1:13" ht="13.5" thickBot="1" x14ac:dyDescent="0.25">
      <c r="A12" s="93"/>
      <c r="B12" s="93"/>
      <c r="C12" s="107"/>
      <c r="D12" s="107"/>
      <c r="E12" s="107"/>
      <c r="F12" s="93"/>
      <c r="G12" s="93"/>
      <c r="H12" s="99" t="s">
        <v>110</v>
      </c>
      <c r="I12" s="136">
        <f>ELECT.!V2</f>
        <v>8826767</v>
      </c>
      <c r="J12" s="132">
        <f>ELECT.!V32</f>
        <v>0</v>
      </c>
      <c r="K12" s="90">
        <f>(J12-I12)*2</f>
        <v>-17653534</v>
      </c>
    </row>
    <row r="13" spans="1:13" ht="13.5" thickBot="1" x14ac:dyDescent="0.25">
      <c r="A13" s="93"/>
      <c r="B13" s="97" t="s">
        <v>111</v>
      </c>
      <c r="C13" s="104" t="s">
        <v>112</v>
      </c>
      <c r="D13" s="104" t="s">
        <v>97</v>
      </c>
      <c r="E13" s="104"/>
      <c r="F13" s="93"/>
      <c r="G13" s="93"/>
      <c r="H13" s="99" t="s">
        <v>113</v>
      </c>
      <c r="I13" s="108"/>
      <c r="J13" s="109"/>
      <c r="K13" s="110">
        <f>SUM(K6:K12)</f>
        <v>-77610177</v>
      </c>
    </row>
    <row r="14" spans="1:13" ht="13.5" thickBot="1" x14ac:dyDescent="0.25">
      <c r="A14" s="93"/>
      <c r="B14" s="99" t="s">
        <v>42</v>
      </c>
      <c r="C14" s="103">
        <f>K29</f>
        <v>-4470020</v>
      </c>
      <c r="D14" s="111">
        <f t="shared" ref="D14:D22" si="1">C14*10.03</f>
        <v>-44834300.599999994</v>
      </c>
      <c r="E14" s="112"/>
      <c r="F14" s="93"/>
      <c r="G14" s="93"/>
      <c r="H14" s="99" t="s">
        <v>114</v>
      </c>
      <c r="I14" s="108"/>
      <c r="J14" s="109"/>
      <c r="K14" s="91">
        <f>K5-K13</f>
        <v>-51207720</v>
      </c>
    </row>
    <row r="15" spans="1:13" ht="13.5" thickBot="1" x14ac:dyDescent="0.25">
      <c r="A15" s="93"/>
      <c r="B15" s="99" t="s">
        <v>115</v>
      </c>
      <c r="C15" s="113">
        <f>K30</f>
        <v>-21274.839</v>
      </c>
      <c r="D15" s="111">
        <f t="shared" si="1"/>
        <v>-213386.63516999999</v>
      </c>
      <c r="E15" s="112"/>
      <c r="F15" s="93"/>
      <c r="G15" s="93"/>
      <c r="H15" s="93"/>
      <c r="I15" s="93"/>
      <c r="J15" s="93"/>
      <c r="K15" s="93"/>
    </row>
    <row r="16" spans="1:13" ht="13.5" thickBot="1" x14ac:dyDescent="0.25">
      <c r="A16" s="93"/>
      <c r="B16" s="99" t="s">
        <v>99</v>
      </c>
      <c r="C16" s="113">
        <f>(C14-C15-C17-C18-C19-C20-C21)*0.1318</f>
        <v>-587111.68821980001</v>
      </c>
      <c r="D16" s="111">
        <f t="shared" si="1"/>
        <v>-5888730.2328445939</v>
      </c>
      <c r="E16" s="112"/>
      <c r="F16" s="93"/>
      <c r="G16" s="93"/>
      <c r="H16" s="114" t="s">
        <v>136</v>
      </c>
      <c r="I16" s="115">
        <f>'Mall, Citadel, Rotana'!T2</f>
        <v>3981</v>
      </c>
      <c r="J16" s="115">
        <f>'Mall, Citadel, Rotana'!T32</f>
        <v>3988</v>
      </c>
      <c r="K16" s="92">
        <f>(J16-I16)*160</f>
        <v>1120</v>
      </c>
    </row>
    <row r="17" spans="1:11" ht="13.5" thickBot="1" x14ac:dyDescent="0.25">
      <c r="A17" s="93"/>
      <c r="B17" s="99" t="s">
        <v>103</v>
      </c>
      <c r="C17" s="113">
        <v>1420</v>
      </c>
      <c r="D17" s="111">
        <f t="shared" si="1"/>
        <v>14242.599999999999</v>
      </c>
      <c r="E17" s="112"/>
      <c r="F17" s="93"/>
      <c r="G17" s="93"/>
      <c r="H17" s="114" t="s">
        <v>19</v>
      </c>
      <c r="I17" s="115">
        <f>'Mall, Citadel, Rotana'!J2</f>
        <v>311681</v>
      </c>
      <c r="J17" s="115">
        <f>'Mall, Citadel, Rotana'!J32</f>
        <v>313633</v>
      </c>
      <c r="K17" s="92">
        <f>(J17-I17)</f>
        <v>1952</v>
      </c>
    </row>
    <row r="18" spans="1:11" ht="13.5" thickBot="1" x14ac:dyDescent="0.25">
      <c r="A18" s="93"/>
      <c r="B18" s="99" t="s">
        <v>108</v>
      </c>
      <c r="C18" s="113">
        <v>200</v>
      </c>
      <c r="D18" s="111">
        <f t="shared" si="1"/>
        <v>2005.9999999999998</v>
      </c>
      <c r="E18" s="112"/>
      <c r="F18" s="93"/>
      <c r="G18" s="93"/>
      <c r="H18" s="114" t="s">
        <v>20</v>
      </c>
      <c r="I18" s="115">
        <f>'Mall, Citadel, Rotana'!L2</f>
        <v>26080</v>
      </c>
      <c r="J18" s="115">
        <f>'Mall, Citadel, Rotana'!L32</f>
        <v>26118</v>
      </c>
      <c r="K18" s="92">
        <f>(J18-I18)*160</f>
        <v>6080</v>
      </c>
    </row>
    <row r="19" spans="1:11" ht="15.75" thickBot="1" x14ac:dyDescent="0.25">
      <c r="A19" s="93"/>
      <c r="B19" s="99" t="s">
        <v>137</v>
      </c>
      <c r="C19" s="113">
        <v>600</v>
      </c>
      <c r="D19" s="111">
        <f t="shared" si="1"/>
        <v>6018</v>
      </c>
      <c r="E19" s="194" t="s">
        <v>116</v>
      </c>
      <c r="F19" s="195"/>
      <c r="G19" s="93"/>
      <c r="H19" s="114" t="s">
        <v>117</v>
      </c>
      <c r="I19" s="115">
        <f>'Mall, Citadel, Rotana'!P2</f>
        <v>150175</v>
      </c>
      <c r="J19" s="115">
        <f>'Mall, Citadel, Rotana'!P32</f>
        <v>151688</v>
      </c>
      <c r="K19" s="92">
        <f>J19-I19</f>
        <v>1513</v>
      </c>
    </row>
    <row r="20" spans="1:11" ht="13.5" thickBot="1" x14ac:dyDescent="0.25">
      <c r="A20" s="93"/>
      <c r="B20" s="99" t="s">
        <v>106</v>
      </c>
      <c r="C20" s="113">
        <v>600</v>
      </c>
      <c r="D20" s="111">
        <f t="shared" si="1"/>
        <v>6018</v>
      </c>
      <c r="E20" s="112"/>
      <c r="F20" s="93"/>
      <c r="G20" s="93"/>
      <c r="H20" s="114" t="s">
        <v>118</v>
      </c>
      <c r="I20" s="115">
        <f>'Mall, Citadel, Rotana'!R2</f>
        <v>55047</v>
      </c>
      <c r="J20" s="115">
        <f>'Mall, Citadel, Rotana'!R32</f>
        <v>55047</v>
      </c>
      <c r="K20" s="92">
        <f>J20-I20</f>
        <v>0</v>
      </c>
    </row>
    <row r="21" spans="1:11" ht="13.5" thickBot="1" x14ac:dyDescent="0.25">
      <c r="A21" s="93"/>
      <c r="B21" s="99" t="s">
        <v>92</v>
      </c>
      <c r="C21" s="113">
        <v>3000</v>
      </c>
      <c r="D21" s="111">
        <f t="shared" si="1"/>
        <v>30089.999999999996</v>
      </c>
      <c r="E21" s="112"/>
      <c r="F21" s="93"/>
      <c r="G21" s="93"/>
      <c r="H21" s="114" t="s">
        <v>13</v>
      </c>
      <c r="I21" s="115">
        <f>'Mall, Citadel, Rotana'!B2</f>
        <v>46944</v>
      </c>
      <c r="J21" s="115">
        <f>'Mall, Citadel, Rotana'!B32</f>
        <v>47008</v>
      </c>
      <c r="K21" s="92">
        <f>(J21-I21)*120</f>
        <v>7680</v>
      </c>
    </row>
    <row r="22" spans="1:11" ht="13.5" thickBot="1" x14ac:dyDescent="0.25">
      <c r="A22" s="93"/>
      <c r="B22" s="99" t="s">
        <v>119</v>
      </c>
      <c r="C22" s="111">
        <f>C14-(C15+C16+C17+C18+C19+C20+C21)</f>
        <v>-3867453.4727801997</v>
      </c>
      <c r="D22" s="111">
        <f t="shared" si="1"/>
        <v>-38790558.331985399</v>
      </c>
      <c r="E22" s="112"/>
      <c r="F22" s="93"/>
      <c r="G22" s="93"/>
      <c r="H22" s="114" t="s">
        <v>15</v>
      </c>
      <c r="I22" s="115">
        <f>'Mall, Citadel, Rotana'!D2</f>
        <v>40538</v>
      </c>
      <c r="J22" s="115">
        <f>'Mall, Citadel, Rotana'!D32</f>
        <v>40583</v>
      </c>
      <c r="K22" s="92">
        <f>(J22-I22)*160</f>
        <v>7200</v>
      </c>
    </row>
    <row r="23" spans="1:11" x14ac:dyDescent="0.2">
      <c r="A23" s="93"/>
      <c r="B23" s="93"/>
      <c r="C23" s="107"/>
      <c r="D23" s="116"/>
      <c r="E23" s="112"/>
      <c r="F23" s="93"/>
      <c r="G23" s="93"/>
      <c r="H23" s="114" t="s">
        <v>17</v>
      </c>
      <c r="I23" s="115">
        <f>'Mall, Citadel, Rotana'!F2</f>
        <v>21585</v>
      </c>
      <c r="J23" s="115">
        <f>'Mall, Citadel, Rotana'!F32</f>
        <v>21631</v>
      </c>
      <c r="K23" s="92">
        <f>(J23-I23)*20</f>
        <v>920</v>
      </c>
    </row>
    <row r="24" spans="1:11" x14ac:dyDescent="0.2">
      <c r="A24" s="93"/>
      <c r="B24" s="97" t="s">
        <v>120</v>
      </c>
      <c r="C24" s="107"/>
      <c r="D24" s="107"/>
      <c r="E24" s="107"/>
      <c r="F24" s="93"/>
      <c r="G24" s="93"/>
      <c r="H24" s="114" t="s">
        <v>18</v>
      </c>
      <c r="I24" s="115">
        <f>'Mall, Citadel, Rotana'!H2</f>
        <v>254729</v>
      </c>
      <c r="J24" s="115">
        <f>'Mall, Citadel, Rotana'!H32</f>
        <v>254967</v>
      </c>
      <c r="K24" s="92">
        <f>J24-I24</f>
        <v>238</v>
      </c>
    </row>
    <row r="25" spans="1:11" ht="13.5" thickBot="1" x14ac:dyDescent="0.25">
      <c r="A25" s="93"/>
      <c r="B25" s="93"/>
      <c r="C25" s="104" t="s">
        <v>112</v>
      </c>
      <c r="D25" s="104" t="s">
        <v>121</v>
      </c>
      <c r="E25" s="104"/>
      <c r="F25" s="93"/>
      <c r="G25" s="93"/>
      <c r="H25" s="114" t="s">
        <v>122</v>
      </c>
      <c r="I25" s="115">
        <f>'Mall, Citadel, Rotana'!N2</f>
        <v>225936</v>
      </c>
      <c r="J25" s="115">
        <f>'Mall, Citadel, Rotana'!N32</f>
        <v>225983</v>
      </c>
      <c r="K25" s="92">
        <f>J25-I25</f>
        <v>47</v>
      </c>
    </row>
    <row r="26" spans="1:11" ht="13.5" thickBot="1" x14ac:dyDescent="0.25">
      <c r="A26" s="93"/>
      <c r="B26" s="99" t="s">
        <v>42</v>
      </c>
      <c r="C26" s="117">
        <f>K35</f>
        <v>-18229230</v>
      </c>
      <c r="D26" s="103">
        <f>C26*3.65</f>
        <v>-66536689.5</v>
      </c>
      <c r="E26" s="104"/>
      <c r="F26" s="93"/>
      <c r="G26" s="93"/>
      <c r="H26" s="114" t="s">
        <v>123</v>
      </c>
      <c r="I26" s="124">
        <f>ELECT.!C2</f>
        <v>19567</v>
      </c>
      <c r="J26" s="124">
        <f>ELECT.!C32</f>
        <v>0</v>
      </c>
      <c r="K26" s="92">
        <f>(J26-I26)*160</f>
        <v>-3130720</v>
      </c>
    </row>
    <row r="27" spans="1:11" ht="13.5" thickBot="1" x14ac:dyDescent="0.25">
      <c r="A27" s="93"/>
      <c r="B27" s="94" t="s">
        <v>124</v>
      </c>
      <c r="C27" s="117">
        <f>C26</f>
        <v>-18229230</v>
      </c>
      <c r="D27" s="103">
        <f>C27*3.65</f>
        <v>-66536689.5</v>
      </c>
      <c r="E27" s="104"/>
      <c r="F27" s="93"/>
      <c r="G27" s="93"/>
      <c r="H27" s="97"/>
      <c r="I27" s="118"/>
      <c r="J27" s="93"/>
      <c r="K27" s="93"/>
    </row>
    <row r="28" spans="1:11" x14ac:dyDescent="0.2">
      <c r="A28" s="93"/>
      <c r="B28" s="93"/>
      <c r="C28" s="93"/>
      <c r="D28" s="93"/>
      <c r="E28" s="93"/>
      <c r="F28" s="93"/>
      <c r="G28" s="93"/>
      <c r="H28" s="97" t="s">
        <v>111</v>
      </c>
      <c r="I28" s="118"/>
      <c r="J28" s="93"/>
      <c r="K28" s="93"/>
    </row>
    <row r="29" spans="1:11" x14ac:dyDescent="0.2">
      <c r="A29" s="93"/>
      <c r="B29" s="93"/>
      <c r="C29" s="93"/>
      <c r="D29" s="93"/>
      <c r="E29" s="93"/>
      <c r="F29" s="93"/>
      <c r="G29" s="93" t="s">
        <v>12</v>
      </c>
      <c r="H29" s="114" t="s">
        <v>24</v>
      </c>
      <c r="I29" s="115">
        <f>Water!B2</f>
        <v>447002</v>
      </c>
      <c r="J29" s="115">
        <f>Water!B32</f>
        <v>0</v>
      </c>
      <c r="K29" s="92">
        <f>(J29-I29)*10</f>
        <v>-4470020</v>
      </c>
    </row>
    <row r="30" spans="1:11" x14ac:dyDescent="0.2">
      <c r="A30" s="93"/>
      <c r="B30" s="93"/>
      <c r="C30" s="93"/>
      <c r="D30" s="93"/>
      <c r="E30" s="93"/>
      <c r="F30" s="93"/>
      <c r="G30" s="93"/>
      <c r="H30" s="114" t="s">
        <v>125</v>
      </c>
      <c r="I30" s="115">
        <f>Water!H2</f>
        <v>787957</v>
      </c>
      <c r="J30" s="115">
        <f>Water!H32</f>
        <v>0</v>
      </c>
      <c r="K30" s="92">
        <f>(J30-I30)*0.027</f>
        <v>-21274.839</v>
      </c>
    </row>
    <row r="31" spans="1:11" x14ac:dyDescent="0.2">
      <c r="A31" s="93"/>
      <c r="B31" s="93"/>
      <c r="C31" s="93"/>
      <c r="D31" s="93"/>
      <c r="E31" s="93"/>
      <c r="F31" s="93"/>
      <c r="G31" s="93"/>
      <c r="H31" s="114" t="s">
        <v>126</v>
      </c>
      <c r="I31" s="115">
        <f>Water!D2</f>
        <v>7313</v>
      </c>
      <c r="J31" s="115">
        <f>Water!D32</f>
        <v>0</v>
      </c>
      <c r="K31" s="92">
        <f>(J31-I31)*0.027</f>
        <v>-197.45099999999999</v>
      </c>
    </row>
    <row r="32" spans="1:11" x14ac:dyDescent="0.2">
      <c r="A32" s="93"/>
      <c r="B32" s="93"/>
      <c r="C32" s="93"/>
      <c r="D32" s="93"/>
      <c r="E32" s="93"/>
      <c r="F32" s="93"/>
      <c r="G32" s="93"/>
      <c r="H32" s="114" t="s">
        <v>127</v>
      </c>
      <c r="I32" s="115">
        <f>Water!F2</f>
        <v>8751200</v>
      </c>
      <c r="J32" s="115">
        <f>Water!F32</f>
        <v>0</v>
      </c>
      <c r="K32" s="92">
        <f>(J32-I32)*0.027</f>
        <v>-236282.4</v>
      </c>
    </row>
    <row r="33" spans="1:11" x14ac:dyDescent="0.2">
      <c r="A33" s="119"/>
      <c r="B33" s="119"/>
      <c r="C33" s="119"/>
      <c r="D33" s="119"/>
      <c r="E33" s="119"/>
      <c r="F33" s="119"/>
      <c r="G33" s="119"/>
      <c r="H33" s="119"/>
      <c r="I33" s="119"/>
      <c r="J33" s="119"/>
      <c r="K33" s="119"/>
    </row>
    <row r="34" spans="1:11" x14ac:dyDescent="0.2">
      <c r="A34" s="119"/>
      <c r="B34" s="119"/>
      <c r="C34" s="119"/>
      <c r="D34" s="119"/>
      <c r="E34" s="119"/>
      <c r="F34" s="119"/>
      <c r="G34" s="119"/>
      <c r="H34" s="119" t="s">
        <v>120</v>
      </c>
      <c r="I34" s="119"/>
      <c r="J34" s="119"/>
      <c r="K34" s="119"/>
    </row>
    <row r="35" spans="1:11" x14ac:dyDescent="0.2">
      <c r="A35" s="119"/>
      <c r="B35" s="119"/>
      <c r="C35" s="119"/>
      <c r="D35" s="119"/>
      <c r="E35" s="119"/>
      <c r="F35" s="119"/>
      <c r="G35" s="120"/>
      <c r="H35" s="121" t="s">
        <v>42</v>
      </c>
      <c r="I35" s="122">
        <f>Gas!B2</f>
        <v>18229230</v>
      </c>
      <c r="J35" s="134">
        <f>Gas!B32</f>
        <v>0</v>
      </c>
      <c r="K35" s="123">
        <f>J35-I35</f>
        <v>-18229230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2022-04-01T09:07:25Z</cp:lastPrinted>
  <dcterms:created xsi:type="dcterms:W3CDTF">2017-07-31T14:40:49Z</dcterms:created>
  <dcterms:modified xsi:type="dcterms:W3CDTF">2022-05-15T02:15:25Z</dcterms:modified>
</cp:coreProperties>
</file>