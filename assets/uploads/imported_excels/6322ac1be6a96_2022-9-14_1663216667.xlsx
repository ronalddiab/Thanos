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71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e El Khoury\Downloads\"/>
    </mc:Choice>
  </mc:AlternateContent>
  <xr:revisionPtr revIDLastSave="813" documentId="13_ncr:1_{76C55D63-F869-4AF5-AAA3-3D809A91432B}" xr6:coauthVersionLast="47" xr6:coauthVersionMax="47" xr10:uidLastSave="{9A96E439-7BA0-4C34-B788-E3440790FBDA}"/>
  <bookViews>
    <workbookView xWindow="-120" yWindow="-120" windowWidth="20730" windowHeight="11160" firstSheet="1" activeTab="1" xr2:uid="{00000000-000D-0000-FFFF-FFFF00000000}"/>
  </bookViews>
  <sheets>
    <sheet name="Total" sheetId="26" r:id="rId1"/>
    <sheet name="Electricity" sheetId="28" r:id="rId2"/>
    <sheet name="Water, Gas, Diesel" sheetId="27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9" i="27" l="1"/>
  <c r="J18" i="27"/>
  <c r="J17" i="27"/>
  <c r="J16" i="27"/>
  <c r="J15" i="27"/>
  <c r="J14" i="27"/>
  <c r="J13" i="27"/>
  <c r="J11" i="27"/>
  <c r="J12" i="27"/>
  <c r="J10" i="27"/>
  <c r="J9" i="27"/>
  <c r="J8" i="27"/>
  <c r="J7" i="27"/>
  <c r="J6" i="27"/>
  <c r="J5" i="27"/>
  <c r="L36" i="27"/>
  <c r="L35" i="27"/>
  <c r="L20" i="27"/>
  <c r="L21" i="27"/>
  <c r="L22" i="27"/>
  <c r="L23" i="27"/>
  <c r="L24" i="27"/>
  <c r="L25" i="27"/>
  <c r="L26" i="27"/>
  <c r="L27" i="27"/>
  <c r="L28" i="27"/>
  <c r="L29" i="27"/>
  <c r="L30" i="27"/>
  <c r="L31" i="27"/>
  <c r="L32" i="27"/>
  <c r="L33" i="27"/>
  <c r="L34" i="27"/>
  <c r="G22" i="28"/>
  <c r="G23" i="28"/>
  <c r="G24" i="28"/>
  <c r="G25" i="28"/>
  <c r="G26" i="28"/>
  <c r="G27" i="28"/>
  <c r="G28" i="28"/>
  <c r="G29" i="28"/>
  <c r="G30" i="28"/>
  <c r="G31" i="28"/>
  <c r="G32" i="28"/>
  <c r="G33" i="28"/>
  <c r="G34" i="28"/>
  <c r="G35" i="28"/>
  <c r="G36" i="28"/>
  <c r="G37" i="28"/>
  <c r="G38" i="28"/>
  <c r="C38" i="28"/>
  <c r="E38" i="28"/>
  <c r="F38" i="28"/>
  <c r="K36" i="27"/>
  <c r="F36" i="27"/>
  <c r="G36" i="27"/>
  <c r="H36" i="27"/>
  <c r="I36" i="27"/>
  <c r="C36" i="27"/>
  <c r="M3" i="26"/>
  <c r="M4" i="26"/>
  <c r="M5" i="26"/>
  <c r="M6" i="26"/>
  <c r="M7" i="26"/>
  <c r="M8" i="26"/>
  <c r="M9" i="26"/>
  <c r="M10" i="26"/>
  <c r="M11" i="26"/>
  <c r="M12" i="26"/>
  <c r="M13" i="26"/>
  <c r="M14" i="26"/>
  <c r="M15" i="26"/>
  <c r="M16" i="26"/>
  <c r="M17" i="26"/>
  <c r="M18" i="26"/>
  <c r="M19" i="26"/>
  <c r="M20" i="26"/>
  <c r="M21" i="26"/>
  <c r="M22" i="26"/>
  <c r="M23" i="26"/>
  <c r="M24" i="26"/>
  <c r="M25" i="26"/>
  <c r="M26" i="26"/>
  <c r="M27" i="26"/>
  <c r="M28" i="26"/>
  <c r="M29" i="26"/>
  <c r="M30" i="26"/>
  <c r="M31" i="26"/>
  <c r="M2" i="26"/>
  <c r="E37" i="28"/>
  <c r="C37" i="28"/>
  <c r="F37" i="28" s="1"/>
  <c r="E36" i="28"/>
  <c r="C36" i="28"/>
  <c r="F36" i="28" s="1"/>
  <c r="E35" i="28"/>
  <c r="C35" i="28"/>
  <c r="F35" i="28" s="1"/>
  <c r="E34" i="28"/>
  <c r="C34" i="28"/>
  <c r="F34" i="28" s="1"/>
  <c r="E33" i="28"/>
  <c r="C33" i="28"/>
  <c r="F33" i="28" s="1"/>
  <c r="E32" i="28"/>
  <c r="C32" i="28"/>
  <c r="F32" i="28" s="1"/>
  <c r="E31" i="28"/>
  <c r="C31" i="28"/>
  <c r="F31" i="28" s="1"/>
  <c r="E30" i="28"/>
  <c r="C30" i="28"/>
  <c r="F30" i="28" s="1"/>
  <c r="E29" i="28"/>
  <c r="C29" i="28"/>
  <c r="F29" i="28" s="1"/>
  <c r="E28" i="28"/>
  <c r="C28" i="28"/>
  <c r="F28" i="28" s="1"/>
  <c r="E27" i="28"/>
  <c r="C27" i="28"/>
  <c r="F27" i="28" s="1"/>
  <c r="E26" i="28"/>
  <c r="C26" i="28"/>
  <c r="F26" i="28" s="1"/>
  <c r="E25" i="28"/>
  <c r="C25" i="28"/>
  <c r="F25" i="28" s="1"/>
  <c r="E24" i="28"/>
  <c r="C24" i="28"/>
  <c r="F24" i="28" s="1"/>
  <c r="E23" i="28"/>
  <c r="C23" i="28"/>
  <c r="F23" i="28" s="1"/>
  <c r="E22" i="28"/>
  <c r="C22" i="28"/>
  <c r="F22" i="28" s="1"/>
  <c r="E21" i="28"/>
  <c r="C21" i="28"/>
  <c r="F21" i="28" s="1"/>
  <c r="G21" i="28" s="1"/>
  <c r="E20" i="28"/>
  <c r="C20" i="28"/>
  <c r="F20" i="28" s="1"/>
  <c r="G20" i="28" s="1"/>
  <c r="E19" i="28"/>
  <c r="C19" i="28"/>
  <c r="F19" i="28" s="1"/>
  <c r="G19" i="28" s="1"/>
  <c r="E18" i="28"/>
  <c r="C18" i="28"/>
  <c r="F18" i="28" s="1"/>
  <c r="G18" i="28" s="1"/>
  <c r="E17" i="28"/>
  <c r="C17" i="28"/>
  <c r="F17" i="28" s="1"/>
  <c r="G17" i="28" s="1"/>
  <c r="E16" i="28"/>
  <c r="C16" i="28"/>
  <c r="F16" i="28" s="1"/>
  <c r="G16" i="28" s="1"/>
  <c r="E15" i="28"/>
  <c r="C15" i="28"/>
  <c r="F15" i="28" s="1"/>
  <c r="G15" i="28" s="1"/>
  <c r="E14" i="28"/>
  <c r="C14" i="28"/>
  <c r="F14" i="28" s="1"/>
  <c r="G14" i="28" s="1"/>
  <c r="E13" i="28"/>
  <c r="C13" i="28"/>
  <c r="F13" i="28" s="1"/>
  <c r="G13" i="28" s="1"/>
  <c r="E12" i="28"/>
  <c r="C12" i="28"/>
  <c r="F12" i="28" s="1"/>
  <c r="G12" i="28" s="1"/>
  <c r="E11" i="28"/>
  <c r="C11" i="28"/>
  <c r="F11" i="28" s="1"/>
  <c r="G11" i="28" s="1"/>
  <c r="E10" i="28"/>
  <c r="C10" i="28"/>
  <c r="F10" i="28" s="1"/>
  <c r="G10" i="28" s="1"/>
  <c r="E9" i="28"/>
  <c r="C9" i="28"/>
  <c r="F9" i="28" s="1"/>
  <c r="G9" i="28" s="1"/>
  <c r="E8" i="28"/>
  <c r="C8" i="28"/>
  <c r="F8" i="28" s="1"/>
  <c r="G8" i="28" s="1"/>
  <c r="E7" i="28"/>
  <c r="C7" i="28"/>
  <c r="F7" i="28" s="1"/>
  <c r="G7" i="28" s="1"/>
  <c r="K35" i="27"/>
  <c r="F35" i="27"/>
  <c r="C35" i="27"/>
  <c r="D35" i="27" s="1"/>
  <c r="K34" i="27"/>
  <c r="F34" i="27"/>
  <c r="C34" i="27"/>
  <c r="D34" i="27" s="1"/>
  <c r="K33" i="27"/>
  <c r="F33" i="27"/>
  <c r="C33" i="27"/>
  <c r="D33" i="27" s="1"/>
  <c r="K32" i="27"/>
  <c r="F32" i="27"/>
  <c r="C32" i="27"/>
  <c r="D32" i="27" s="1"/>
  <c r="K31" i="27"/>
  <c r="F31" i="27"/>
  <c r="C31" i="27"/>
  <c r="D31" i="27" s="1"/>
  <c r="K30" i="27"/>
  <c r="G26" i="26" s="1"/>
  <c r="F30" i="27"/>
  <c r="C30" i="27"/>
  <c r="D30" i="27" s="1"/>
  <c r="K29" i="27"/>
  <c r="F29" i="27"/>
  <c r="C29" i="27"/>
  <c r="D29" i="27" s="1"/>
  <c r="K28" i="27"/>
  <c r="F28" i="27"/>
  <c r="C28" i="27"/>
  <c r="D28" i="27" s="1"/>
  <c r="K27" i="27"/>
  <c r="F27" i="27"/>
  <c r="C27" i="27"/>
  <c r="D27" i="27" s="1"/>
  <c r="K26" i="27"/>
  <c r="F26" i="27"/>
  <c r="C26" i="27"/>
  <c r="D26" i="27" s="1"/>
  <c r="K25" i="27"/>
  <c r="F25" i="27"/>
  <c r="C25" i="27"/>
  <c r="D25" i="27" s="1"/>
  <c r="K24" i="27"/>
  <c r="F24" i="27"/>
  <c r="C24" i="27"/>
  <c r="D24" i="27" s="1"/>
  <c r="K23" i="27"/>
  <c r="F23" i="27"/>
  <c r="C23" i="27"/>
  <c r="D23" i="27" s="1"/>
  <c r="K22" i="27"/>
  <c r="F22" i="27"/>
  <c r="C22" i="27"/>
  <c r="D22" i="27" s="1"/>
  <c r="K21" i="27"/>
  <c r="F21" i="27"/>
  <c r="C21" i="27"/>
  <c r="D21" i="27" s="1"/>
  <c r="K20" i="27"/>
  <c r="F20" i="27"/>
  <c r="C20" i="27"/>
  <c r="D20" i="27" s="1"/>
  <c r="K19" i="27"/>
  <c r="L19" i="27" s="1"/>
  <c r="F19" i="27"/>
  <c r="C19" i="27"/>
  <c r="D19" i="27" s="1"/>
  <c r="K18" i="27"/>
  <c r="L18" i="27" s="1"/>
  <c r="F18" i="27"/>
  <c r="C18" i="27"/>
  <c r="D18" i="27" s="1"/>
  <c r="K17" i="27"/>
  <c r="L17" i="27" s="1"/>
  <c r="F17" i="27"/>
  <c r="C17" i="27"/>
  <c r="D17" i="27" s="1"/>
  <c r="K16" i="27"/>
  <c r="L16" i="27" s="1"/>
  <c r="F16" i="27"/>
  <c r="C16" i="27"/>
  <c r="D16" i="27" s="1"/>
  <c r="K15" i="27"/>
  <c r="L15" i="27" s="1"/>
  <c r="F15" i="27"/>
  <c r="C15" i="27"/>
  <c r="D15" i="27" s="1"/>
  <c r="K14" i="27"/>
  <c r="L14" i="27" s="1"/>
  <c r="F14" i="27"/>
  <c r="C14" i="27"/>
  <c r="D14" i="27" s="1"/>
  <c r="K13" i="27"/>
  <c r="L13" i="27" s="1"/>
  <c r="F13" i="27"/>
  <c r="C13" i="27"/>
  <c r="D13" i="27" s="1"/>
  <c r="K12" i="27"/>
  <c r="L12" i="27" s="1"/>
  <c r="F12" i="27"/>
  <c r="C12" i="27"/>
  <c r="D12" i="27" s="1"/>
  <c r="K11" i="27"/>
  <c r="L11" i="27" s="1"/>
  <c r="F11" i="27"/>
  <c r="C11" i="27"/>
  <c r="D11" i="27" s="1"/>
  <c r="K10" i="27"/>
  <c r="L10" i="27" s="1"/>
  <c r="F10" i="27"/>
  <c r="C10" i="27"/>
  <c r="D10" i="27" s="1"/>
  <c r="K9" i="27"/>
  <c r="L9" i="27" s="1"/>
  <c r="F9" i="27"/>
  <c r="C9" i="27"/>
  <c r="D9" i="27" s="1"/>
  <c r="K8" i="27"/>
  <c r="L8" i="27" s="1"/>
  <c r="F8" i="27"/>
  <c r="C8" i="27"/>
  <c r="D8" i="27" s="1"/>
  <c r="F7" i="27"/>
  <c r="C7" i="27"/>
  <c r="D7" i="27" s="1"/>
  <c r="F6" i="27"/>
  <c r="C6" i="27"/>
  <c r="D6" i="27" s="1"/>
  <c r="K5" i="27"/>
  <c r="L5" i="27" s="1"/>
  <c r="F5" i="27"/>
  <c r="G5" i="27" s="1"/>
  <c r="C5" i="27"/>
  <c r="D5" i="27" s="1"/>
  <c r="D36" i="27" l="1"/>
  <c r="I2" i="26"/>
  <c r="H6" i="27"/>
  <c r="K2" i="26"/>
  <c r="I3" i="26"/>
  <c r="G7" i="27"/>
  <c r="K3" i="26"/>
  <c r="H7" i="27"/>
  <c r="K6" i="27"/>
  <c r="L6" i="27" s="1"/>
  <c r="I4" i="26"/>
  <c r="H8" i="27"/>
  <c r="K4" i="26"/>
  <c r="G8" i="27"/>
  <c r="G4" i="26"/>
  <c r="I5" i="26"/>
  <c r="G9" i="27"/>
  <c r="K5" i="26"/>
  <c r="H9" i="27"/>
  <c r="G5" i="26"/>
  <c r="I6" i="26"/>
  <c r="K6" i="26"/>
  <c r="H10" i="27"/>
  <c r="G10" i="27"/>
  <c r="I10" i="27" s="1"/>
  <c r="G6" i="26"/>
  <c r="I7" i="26"/>
  <c r="H11" i="27"/>
  <c r="K7" i="26"/>
  <c r="G7" i="26"/>
  <c r="I8" i="26"/>
  <c r="K8" i="26"/>
  <c r="H12" i="27"/>
  <c r="G12" i="27"/>
  <c r="I12" i="27" s="1"/>
  <c r="G8" i="26"/>
  <c r="I9" i="26"/>
  <c r="G13" i="27"/>
  <c r="K9" i="26"/>
  <c r="G9" i="26"/>
  <c r="I10" i="26"/>
  <c r="H14" i="27"/>
  <c r="K10" i="26"/>
  <c r="G10" i="26"/>
  <c r="I11" i="26"/>
  <c r="G15" i="27"/>
  <c r="K11" i="26"/>
  <c r="H15" i="27"/>
  <c r="G11" i="26"/>
  <c r="I12" i="26"/>
  <c r="H16" i="27"/>
  <c r="K12" i="26"/>
  <c r="G16" i="27"/>
  <c r="G12" i="26"/>
  <c r="I13" i="26"/>
  <c r="G17" i="27"/>
  <c r="K13" i="26"/>
  <c r="H17" i="27"/>
  <c r="G13" i="26"/>
  <c r="I14" i="26"/>
  <c r="K14" i="26"/>
  <c r="H18" i="27"/>
  <c r="G18" i="27"/>
  <c r="I18" i="27" s="1"/>
  <c r="G14" i="26"/>
  <c r="I15" i="26"/>
  <c r="H19" i="27"/>
  <c r="K15" i="26"/>
  <c r="G15" i="26"/>
  <c r="I16" i="26"/>
  <c r="K16" i="26"/>
  <c r="H20" i="27"/>
  <c r="G20" i="27"/>
  <c r="I20" i="27" s="1"/>
  <c r="G16" i="26"/>
  <c r="I17" i="26"/>
  <c r="H21" i="27"/>
  <c r="K17" i="26"/>
  <c r="G17" i="26"/>
  <c r="I18" i="26"/>
  <c r="H22" i="27"/>
  <c r="K18" i="26"/>
  <c r="G18" i="26"/>
  <c r="I19" i="26"/>
  <c r="H23" i="27"/>
  <c r="K19" i="26"/>
  <c r="G19" i="26"/>
  <c r="I20" i="26"/>
  <c r="H24" i="27"/>
  <c r="K20" i="26"/>
  <c r="G20" i="26"/>
  <c r="I21" i="26"/>
  <c r="H25" i="27"/>
  <c r="K21" i="26"/>
  <c r="G21" i="26"/>
  <c r="I22" i="26"/>
  <c r="H26" i="27"/>
  <c r="K22" i="26"/>
  <c r="G22" i="26"/>
  <c r="I23" i="26"/>
  <c r="H27" i="27"/>
  <c r="K23" i="26"/>
  <c r="G23" i="26"/>
  <c r="I24" i="26"/>
  <c r="H28" i="27"/>
  <c r="K24" i="26"/>
  <c r="G24" i="26"/>
  <c r="I25" i="26"/>
  <c r="H29" i="27"/>
  <c r="K25" i="26"/>
  <c r="G25" i="26"/>
  <c r="I26" i="26"/>
  <c r="H30" i="27"/>
  <c r="K26" i="26"/>
  <c r="I27" i="26"/>
  <c r="H31" i="27"/>
  <c r="K27" i="26"/>
  <c r="G27" i="26"/>
  <c r="I28" i="26"/>
  <c r="H32" i="27"/>
  <c r="K28" i="26"/>
  <c r="G28" i="26"/>
  <c r="I29" i="26"/>
  <c r="H33" i="27"/>
  <c r="K29" i="26"/>
  <c r="G29" i="26"/>
  <c r="I30" i="26"/>
  <c r="H34" i="27"/>
  <c r="K30" i="26"/>
  <c r="G30" i="26"/>
  <c r="I31" i="26"/>
  <c r="H35" i="27"/>
  <c r="K31" i="26"/>
  <c r="G31" i="26"/>
  <c r="E2" i="26"/>
  <c r="E3" i="26"/>
  <c r="E4" i="26"/>
  <c r="E5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K7" i="27"/>
  <c r="L7" i="27" s="1"/>
  <c r="G11" i="27"/>
  <c r="I11" i="27" s="1"/>
  <c r="G19" i="27"/>
  <c r="I19" i="27" s="1"/>
  <c r="G21" i="27"/>
  <c r="I21" i="27" s="1"/>
  <c r="G22" i="27"/>
  <c r="I22" i="27" s="1"/>
  <c r="G23" i="27"/>
  <c r="I23" i="27" s="1"/>
  <c r="G24" i="27"/>
  <c r="I24" i="27" s="1"/>
  <c r="G25" i="27"/>
  <c r="I25" i="27" s="1"/>
  <c r="G26" i="27"/>
  <c r="I26" i="27" s="1"/>
  <c r="G27" i="27"/>
  <c r="I27" i="27" s="1"/>
  <c r="G28" i="27"/>
  <c r="I28" i="27" s="1"/>
  <c r="G29" i="27"/>
  <c r="I29" i="27" s="1"/>
  <c r="G30" i="27"/>
  <c r="I30" i="27" s="1"/>
  <c r="G31" i="27"/>
  <c r="I31" i="27" s="1"/>
  <c r="G32" i="27"/>
  <c r="I32" i="27" s="1"/>
  <c r="G33" i="27"/>
  <c r="I33" i="27" s="1"/>
  <c r="G34" i="27"/>
  <c r="I34" i="27" s="1"/>
  <c r="G35" i="27"/>
  <c r="I35" i="27" s="1"/>
  <c r="H5" i="27"/>
  <c r="I5" i="27" s="1"/>
  <c r="G6" i="27"/>
  <c r="I6" i="27" s="1"/>
  <c r="H13" i="27"/>
  <c r="I13" i="27" s="1"/>
  <c r="G14" i="27"/>
  <c r="I14" i="27" s="1"/>
  <c r="B3" i="26"/>
  <c r="B4" i="26" s="1"/>
  <c r="B5" i="26" s="1"/>
  <c r="B6" i="26" s="1"/>
  <c r="B7" i="26" s="1"/>
  <c r="B8" i="26" s="1"/>
  <c r="B9" i="26" s="1"/>
  <c r="B10" i="26" s="1"/>
  <c r="B11" i="26" s="1"/>
  <c r="B12" i="26" s="1"/>
  <c r="B13" i="26" s="1"/>
  <c r="B14" i="26" s="1"/>
  <c r="B15" i="26" s="1"/>
  <c r="B16" i="26" s="1"/>
  <c r="B17" i="26" s="1"/>
  <c r="B18" i="26" s="1"/>
  <c r="B19" i="26" s="1"/>
  <c r="B20" i="26" s="1"/>
  <c r="B21" i="26" s="1"/>
  <c r="B22" i="26" s="1"/>
  <c r="B23" i="26" s="1"/>
  <c r="B24" i="26" s="1"/>
  <c r="B25" i="26" s="1"/>
  <c r="B26" i="26" s="1"/>
  <c r="B27" i="26" s="1"/>
  <c r="B28" i="26" s="1"/>
  <c r="B29" i="26" s="1"/>
  <c r="B30" i="26" s="1"/>
  <c r="B31" i="26" s="1"/>
  <c r="G3" i="26" l="1"/>
  <c r="I17" i="27"/>
  <c r="I16" i="27"/>
  <c r="I15" i="27"/>
  <c r="I9" i="27"/>
  <c r="I8" i="27"/>
  <c r="G2" i="26"/>
  <c r="I7" i="27"/>
</calcChain>
</file>

<file path=xl/sharedStrings.xml><?xml version="1.0" encoding="utf-8"?>
<sst xmlns="http://schemas.openxmlformats.org/spreadsheetml/2006/main" count="71" uniqueCount="33">
  <si>
    <t>Site Name</t>
  </si>
  <si>
    <t>Day</t>
  </si>
  <si>
    <t>Month</t>
  </si>
  <si>
    <t>Year</t>
  </si>
  <si>
    <t>Total Electricity Kwh</t>
  </si>
  <si>
    <t>Electricity Tariff ($/Kwh)</t>
  </si>
  <si>
    <t>Total Fuel Oil (Liters)</t>
  </si>
  <si>
    <t>Fuel Oil  $/Liter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</si>
  <si>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</si>
  <si>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</si>
  <si>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</si>
  <si>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</si>
  <si>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</si>
  <si>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>Baku</t>
  </si>
  <si>
    <t>Budget</t>
  </si>
  <si>
    <t xml:space="preserve">September </t>
  </si>
  <si>
    <t>Electric (kwh) / 0.0932</t>
  </si>
  <si>
    <t>Total consumption</t>
  </si>
  <si>
    <t>SUM</t>
  </si>
  <si>
    <t>Room Nights</t>
  </si>
  <si>
    <t xml:space="preserve">L 1 </t>
  </si>
  <si>
    <t xml:space="preserve">L 2 </t>
  </si>
  <si>
    <t>meter</t>
  </si>
  <si>
    <t>consumption</t>
  </si>
  <si>
    <t xml:space="preserve">Gas (m3) </t>
  </si>
  <si>
    <r>
      <t xml:space="preserve">Water (m3) </t>
    </r>
    <r>
      <rPr>
        <b/>
        <sz val="12"/>
        <color rgb="FF000000"/>
        <rFont val="Calibri"/>
        <family val="2"/>
        <scheme val="minor"/>
      </rPr>
      <t>(minimum 2000)</t>
    </r>
  </si>
  <si>
    <r>
      <t xml:space="preserve">Diesel </t>
    </r>
    <r>
      <rPr>
        <b/>
        <sz val="12"/>
        <color rgb="FF000000"/>
        <rFont val="Calibri"/>
        <family val="2"/>
        <scheme val="minor"/>
      </rPr>
      <t>(minimum 5000)</t>
    </r>
  </si>
  <si>
    <t xml:space="preserve">consumption </t>
  </si>
  <si>
    <t>SUM                     0.21186441</t>
  </si>
  <si>
    <t>SUM                           for clean water 0.84746</t>
  </si>
  <si>
    <t>SUM                      for dirty water 0.84746</t>
  </si>
  <si>
    <t>Total sum</t>
  </si>
  <si>
    <t>SUM                    0.70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</si>
</sst>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00"/>
    <numFmt numFmtId="165" formatCode="0.0000"/>
  </numFmts>
  <fonts count="15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0"/>
      <color rgb="FF00B050"/>
      <name val="Arial"/>
      <family val="2"/>
    </font>
    <font>
      <sz val="11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444444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7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indexed="64"/>
      </right>
      <top/>
      <bottom/>
      <diagonal/>
    </border>
    <border>
      <left style="medium">
        <color rgb="FF000000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indexed="64"/>
      </right>
      <top/>
      <bottom style="thin">
        <color indexed="64"/>
      </bottom>
      <diagonal/>
    </border>
    <border>
      <left style="medium">
        <color rgb="FF000000"/>
      </left>
      <right/>
      <top/>
      <bottom/>
      <diagonal/>
    </border>
    <border>
      <left style="medium">
        <color indexed="64"/>
      </left>
      <right style="medium">
        <color rgb="FF000000"/>
      </right>
      <top/>
      <bottom style="thin">
        <color indexed="64"/>
      </bottom>
      <diagonal/>
    </border>
    <border>
      <left style="medium">
        <color rgb="FF000000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rgb="FF000000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/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</borders>
  <cellStyleXfs count="7">
    <xf numFmtId="0" fontId="0" fillId="0" borderId="0"/>
    <xf numFmtId="43" fontId="4" fillId="0" borderId="0" applyFont="0" applyFill="0" applyBorder="0" applyAlignment="0" applyProtection="0"/>
    <xf numFmtId="0" fontId="4" fillId="0" borderId="0"/>
    <xf numFmtId="0" fontId="3" fillId="0" borderId="0"/>
    <xf numFmtId="0" fontId="2" fillId="0" borderId="0"/>
    <xf numFmtId="0" fontId="2" fillId="0" borderId="0"/>
    <xf numFmtId="0" fontId="1" fillId="0" borderId="0"/>
  </cellStyleXfs>
  <cellXfs count="166">
    <xf numFmtId="0" fontId="0" fillId="0" borderId="0" xfId="0"/>
    <xf numFmtId="0" fontId="0" fillId="0" borderId="0" xfId="0" applyAlignment="1">
      <alignment horizontal="center"/>
    </xf>
    <xf numFmtId="0" fontId="5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1" fontId="7" fillId="0" borderId="1" xfId="0" applyNumberFormat="1" applyFont="1" applyBorder="1" applyAlignment="1">
      <alignment horizontal="center"/>
    </xf>
    <xf numFmtId="1" fontId="5" fillId="0" borderId="1" xfId="0" applyNumberFormat="1" applyFont="1" applyBorder="1" applyAlignment="1">
      <alignment horizontal="center" wrapText="1"/>
    </xf>
    <xf numFmtId="0" fontId="5" fillId="0" borderId="1" xfId="0" applyFont="1" applyBorder="1" applyAlignment="1">
      <alignment horizontal="center" wrapText="1"/>
    </xf>
    <xf numFmtId="0" fontId="5" fillId="0" borderId="0" xfId="0" applyFont="1"/>
    <xf numFmtId="0" fontId="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8" fillId="0" borderId="1" xfId="0" applyFont="1" applyBorder="1" applyAlignment="1">
      <alignment horizontal="center" wrapText="1"/>
    </xf>
    <xf numFmtId="2" fontId="9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  <xf numFmtId="0" fontId="10" fillId="0" borderId="0" xfId="6" applyFont="1"/>
    <xf numFmtId="0" fontId="12" fillId="0" borderId="11" xfId="6" applyFont="1" applyBorder="1" applyAlignment="1">
      <alignment horizontal="center" vertical="center"/>
    </xf>
    <xf numFmtId="0" fontId="12" fillId="2" borderId="12" xfId="6" applyFont="1" applyFill="1" applyBorder="1" applyAlignment="1">
      <alignment horizontal="center" vertical="center" wrapText="1"/>
    </xf>
    <xf numFmtId="0" fontId="12" fillId="2" borderId="13" xfId="6" applyFont="1" applyFill="1" applyBorder="1" applyAlignment="1">
      <alignment horizontal="center" vertical="center" wrapText="1"/>
    </xf>
    <xf numFmtId="0" fontId="12" fillId="2" borderId="14" xfId="6" applyFont="1" applyFill="1" applyBorder="1" applyAlignment="1">
      <alignment horizontal="center" vertical="center"/>
    </xf>
    <xf numFmtId="0" fontId="12" fillId="0" borderId="12" xfId="6" applyFont="1" applyBorder="1" applyAlignment="1">
      <alignment horizontal="center" vertical="center" wrapText="1"/>
    </xf>
    <xf numFmtId="0" fontId="12" fillId="0" borderId="13" xfId="6" applyFont="1" applyBorder="1" applyAlignment="1">
      <alignment horizontal="center" vertical="center" wrapText="1"/>
    </xf>
    <xf numFmtId="0" fontId="10" fillId="0" borderId="15" xfId="6" applyFont="1" applyBorder="1" applyAlignment="1">
      <alignment horizontal="center" vertical="center"/>
    </xf>
    <xf numFmtId="0" fontId="12" fillId="0" borderId="15" xfId="6" applyFont="1" applyBorder="1" applyAlignment="1">
      <alignment horizontal="center" vertical="center"/>
    </xf>
    <xf numFmtId="0" fontId="12" fillId="2" borderId="16" xfId="6" applyFont="1" applyFill="1" applyBorder="1" applyAlignment="1">
      <alignment horizontal="center" vertical="center" wrapText="1"/>
    </xf>
    <xf numFmtId="0" fontId="12" fillId="2" borderId="17" xfId="6" applyFont="1" applyFill="1" applyBorder="1" applyAlignment="1">
      <alignment horizontal="center" vertical="center" wrapText="1"/>
    </xf>
    <xf numFmtId="0" fontId="12" fillId="2" borderId="15" xfId="6" applyFont="1" applyFill="1" applyBorder="1" applyAlignment="1">
      <alignment horizontal="center" vertical="center"/>
    </xf>
    <xf numFmtId="0" fontId="12" fillId="2" borderId="18" xfId="6" applyFont="1" applyFill="1" applyBorder="1" applyAlignment="1">
      <alignment horizontal="center" vertical="center"/>
    </xf>
    <xf numFmtId="0" fontId="12" fillId="0" borderId="16" xfId="6" applyFont="1" applyBorder="1" applyAlignment="1">
      <alignment horizontal="center" vertical="center" wrapText="1"/>
    </xf>
    <xf numFmtId="0" fontId="10" fillId="0" borderId="17" xfId="6" applyFont="1" applyBorder="1" applyAlignment="1">
      <alignment horizontal="center" vertical="center"/>
    </xf>
    <xf numFmtId="0" fontId="12" fillId="0" borderId="19" xfId="6" applyFont="1" applyBorder="1" applyAlignment="1">
      <alignment horizontal="center" vertical="center"/>
    </xf>
    <xf numFmtId="0" fontId="12" fillId="0" borderId="20" xfId="6" applyFont="1" applyBorder="1" applyAlignment="1">
      <alignment horizontal="center" vertical="center" wrapText="1"/>
    </xf>
    <xf numFmtId="0" fontId="12" fillId="0" borderId="21" xfId="6" applyFont="1" applyBorder="1" applyAlignment="1">
      <alignment horizontal="center" vertical="center" wrapText="1"/>
    </xf>
    <xf numFmtId="0" fontId="10" fillId="2" borderId="7" xfId="6" applyFont="1" applyFill="1" applyBorder="1" applyAlignment="1">
      <alignment horizontal="center" vertical="center"/>
    </xf>
    <xf numFmtId="0" fontId="10" fillId="2" borderId="23" xfId="6" applyFont="1" applyFill="1" applyBorder="1" applyAlignment="1">
      <alignment horizontal="center" vertical="center"/>
    </xf>
    <xf numFmtId="0" fontId="10" fillId="0" borderId="22" xfId="6" applyFont="1" applyBorder="1" applyAlignment="1">
      <alignment horizontal="center" vertical="center"/>
    </xf>
    <xf numFmtId="0" fontId="10" fillId="0" borderId="23" xfId="6" applyFont="1" applyBorder="1" applyAlignment="1">
      <alignment horizontal="center" vertical="center"/>
    </xf>
    <xf numFmtId="0" fontId="10" fillId="0" borderId="25" xfId="6" applyFont="1" applyBorder="1" applyAlignment="1">
      <alignment horizontal="center" vertical="center"/>
    </xf>
    <xf numFmtId="0" fontId="10" fillId="0" borderId="26" xfId="6" applyFont="1" applyBorder="1" applyAlignment="1">
      <alignment horizontal="center" vertical="center"/>
    </xf>
    <xf numFmtId="0" fontId="10" fillId="0" borderId="27" xfId="6" applyFont="1" applyBorder="1" applyAlignment="1">
      <alignment horizontal="center" vertical="center"/>
    </xf>
    <xf numFmtId="0" fontId="10" fillId="2" borderId="29" xfId="6" applyFont="1" applyFill="1" applyBorder="1" applyAlignment="1">
      <alignment horizontal="center" vertical="center"/>
    </xf>
    <xf numFmtId="0" fontId="10" fillId="2" borderId="5" xfId="6" applyFont="1" applyFill="1" applyBorder="1" applyAlignment="1">
      <alignment horizontal="center" vertical="center"/>
    </xf>
    <xf numFmtId="0" fontId="10" fillId="0" borderId="28" xfId="6" applyFont="1" applyBorder="1" applyAlignment="1">
      <alignment horizontal="center" vertical="center"/>
    </xf>
    <xf numFmtId="0" fontId="10" fillId="0" borderId="29" xfId="6" applyFont="1" applyBorder="1" applyAlignment="1">
      <alignment horizontal="center" vertical="center"/>
    </xf>
    <xf numFmtId="0" fontId="10" fillId="0" borderId="31" xfId="6" applyFont="1" applyBorder="1" applyAlignment="1">
      <alignment horizontal="center" vertical="center"/>
    </xf>
    <xf numFmtId="0" fontId="10" fillId="2" borderId="26" xfId="6" applyFont="1" applyFill="1" applyBorder="1" applyAlignment="1">
      <alignment horizontal="center" vertical="center"/>
    </xf>
    <xf numFmtId="0" fontId="10" fillId="2" borderId="31" xfId="6" applyFont="1" applyFill="1" applyBorder="1" applyAlignment="1">
      <alignment horizontal="center" vertical="center"/>
    </xf>
    <xf numFmtId="0" fontId="10" fillId="0" borderId="32" xfId="6" applyFont="1" applyBorder="1" applyAlignment="1">
      <alignment horizontal="center" vertical="center"/>
    </xf>
    <xf numFmtId="0" fontId="10" fillId="0" borderId="33" xfId="6" applyFont="1" applyBorder="1" applyAlignment="1">
      <alignment horizontal="center" vertical="center"/>
    </xf>
    <xf numFmtId="0" fontId="10" fillId="0" borderId="34" xfId="6" applyFont="1" applyBorder="1" applyAlignment="1">
      <alignment horizontal="center" vertical="center"/>
    </xf>
    <xf numFmtId="0" fontId="10" fillId="2" borderId="27" xfId="6" applyFont="1" applyFill="1" applyBorder="1" applyAlignment="1">
      <alignment horizontal="center" vertical="center"/>
    </xf>
    <xf numFmtId="0" fontId="10" fillId="2" borderId="34" xfId="6" applyFont="1" applyFill="1" applyBorder="1" applyAlignment="1">
      <alignment horizontal="center" vertical="center"/>
    </xf>
    <xf numFmtId="0" fontId="10" fillId="2" borderId="28" xfId="6" applyFont="1" applyFill="1" applyBorder="1" applyAlignment="1">
      <alignment horizontal="center" vertical="center"/>
    </xf>
    <xf numFmtId="0" fontId="10" fillId="2" borderId="30" xfId="6" applyFont="1" applyFill="1" applyBorder="1" applyAlignment="1">
      <alignment horizontal="center" vertical="center"/>
    </xf>
    <xf numFmtId="0" fontId="10" fillId="2" borderId="32" xfId="6" applyFont="1" applyFill="1" applyBorder="1" applyAlignment="1">
      <alignment horizontal="center" vertical="center"/>
    </xf>
    <xf numFmtId="0" fontId="10" fillId="2" borderId="25" xfId="6" applyFont="1" applyFill="1" applyBorder="1" applyAlignment="1">
      <alignment horizontal="center" vertical="center"/>
    </xf>
    <xf numFmtId="0" fontId="10" fillId="0" borderId="0" xfId="6" applyFont="1" applyAlignment="1">
      <alignment horizontal="center" vertical="center"/>
    </xf>
    <xf numFmtId="0" fontId="10" fillId="2" borderId="0" xfId="6" applyFont="1" applyFill="1" applyAlignment="1">
      <alignment horizontal="center" vertical="center"/>
    </xf>
    <xf numFmtId="0" fontId="10" fillId="2" borderId="0" xfId="6" applyFont="1" applyFill="1"/>
    <xf numFmtId="0" fontId="10" fillId="0" borderId="0" xfId="6" applyFont="1" applyAlignment="1">
      <alignment vertical="center"/>
    </xf>
    <xf numFmtId="0" fontId="10" fillId="0" borderId="0" xfId="6" applyFont="1" applyAlignment="1">
      <alignment horizontal="center"/>
    </xf>
    <xf numFmtId="0" fontId="12" fillId="0" borderId="35" xfId="6" applyFont="1" applyBorder="1" applyAlignment="1">
      <alignment horizontal="center" vertical="center"/>
    </xf>
    <xf numFmtId="0" fontId="12" fillId="0" borderId="36" xfId="6" applyFont="1" applyBorder="1" applyAlignment="1">
      <alignment horizontal="center" vertical="center"/>
    </xf>
    <xf numFmtId="0" fontId="12" fillId="0" borderId="38" xfId="6" applyFont="1" applyBorder="1" applyAlignment="1">
      <alignment horizontal="center" vertical="center"/>
    </xf>
    <xf numFmtId="0" fontId="12" fillId="0" borderId="39" xfId="6" applyFont="1" applyBorder="1" applyAlignment="1">
      <alignment horizontal="center" vertical="center"/>
    </xf>
    <xf numFmtId="0" fontId="12" fillId="0" borderId="37" xfId="6" applyFont="1" applyBorder="1" applyAlignment="1">
      <alignment horizontal="center" vertical="center"/>
    </xf>
    <xf numFmtId="0" fontId="10" fillId="0" borderId="40" xfId="6" applyFont="1" applyBorder="1" applyAlignment="1">
      <alignment horizontal="center" vertical="center"/>
    </xf>
    <xf numFmtId="164" fontId="10" fillId="0" borderId="23" xfId="6" applyNumberFormat="1" applyFont="1" applyBorder="1" applyAlignment="1">
      <alignment horizontal="center" vertical="center"/>
    </xf>
    <xf numFmtId="0" fontId="10" fillId="0" borderId="41" xfId="6" applyFont="1" applyBorder="1" applyAlignment="1">
      <alignment horizontal="center" vertical="center"/>
    </xf>
    <xf numFmtId="0" fontId="10" fillId="0" borderId="42" xfId="6" applyFont="1" applyBorder="1" applyAlignment="1">
      <alignment horizontal="center" vertical="center"/>
    </xf>
    <xf numFmtId="164" fontId="10" fillId="0" borderId="6" xfId="6" applyNumberFormat="1" applyFont="1" applyBorder="1" applyAlignment="1">
      <alignment horizontal="center" vertical="center"/>
    </xf>
    <xf numFmtId="0" fontId="10" fillId="3" borderId="5" xfId="6" applyFont="1" applyFill="1" applyBorder="1" applyAlignment="1">
      <alignment horizontal="center" vertical="center"/>
    </xf>
    <xf numFmtId="0" fontId="10" fillId="3" borderId="27" xfId="6" applyFont="1" applyFill="1" applyBorder="1" applyAlignment="1">
      <alignment horizontal="center" vertical="center"/>
    </xf>
    <xf numFmtId="164" fontId="10" fillId="0" borderId="27" xfId="6" applyNumberFormat="1" applyFont="1" applyBorder="1" applyAlignment="1">
      <alignment horizontal="center" vertical="center"/>
    </xf>
    <xf numFmtId="164" fontId="10" fillId="3" borderId="31" xfId="6" applyNumberFormat="1" applyFont="1" applyFill="1" applyBorder="1" applyAlignment="1">
      <alignment horizontal="center" vertical="center"/>
    </xf>
    <xf numFmtId="164" fontId="10" fillId="0" borderId="31" xfId="6" applyNumberFormat="1" applyFont="1" applyBorder="1" applyAlignment="1">
      <alignment horizontal="center" vertical="center"/>
    </xf>
    <xf numFmtId="164" fontId="10" fillId="3" borderId="27" xfId="6" applyNumberFormat="1" applyFont="1" applyFill="1" applyBorder="1" applyAlignment="1">
      <alignment horizontal="center" vertical="center"/>
    </xf>
    <xf numFmtId="164" fontId="10" fillId="0" borderId="43" xfId="6" applyNumberFormat="1" applyFont="1" applyBorder="1" applyAlignment="1">
      <alignment horizontal="center" vertical="center"/>
    </xf>
    <xf numFmtId="0" fontId="10" fillId="3" borderId="34" xfId="6" applyFont="1" applyFill="1" applyBorder="1" applyAlignment="1">
      <alignment horizontal="center" vertical="center"/>
    </xf>
    <xf numFmtId="164" fontId="10" fillId="0" borderId="34" xfId="6" applyNumberFormat="1" applyFont="1" applyBorder="1" applyAlignment="1">
      <alignment horizontal="center" vertical="center"/>
    </xf>
    <xf numFmtId="0" fontId="10" fillId="0" borderId="43" xfId="6" applyFont="1" applyBorder="1" applyAlignment="1">
      <alignment horizontal="center" vertical="center"/>
    </xf>
    <xf numFmtId="0" fontId="10" fillId="3" borderId="31" xfId="6" applyFont="1" applyFill="1" applyBorder="1" applyAlignment="1">
      <alignment horizontal="center" vertical="center"/>
    </xf>
    <xf numFmtId="165" fontId="9" fillId="0" borderId="0" xfId="0" applyNumberFormat="1" applyFont="1" applyAlignment="1">
      <alignment horizontal="center"/>
    </xf>
    <xf numFmtId="164" fontId="10" fillId="3" borderId="31" xfId="0" applyNumberFormat="1" applyFont="1" applyFill="1" applyBorder="1" applyAlignment="1">
      <alignment horizontal="center" vertical="center"/>
    </xf>
    <xf numFmtId="0" fontId="10" fillId="0" borderId="43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0" fontId="10" fillId="2" borderId="34" xfId="0" applyFont="1" applyFill="1" applyBorder="1" applyAlignment="1">
      <alignment horizontal="center" vertical="center"/>
    </xf>
    <xf numFmtId="0" fontId="10" fillId="0" borderId="34" xfId="0" applyFont="1" applyBorder="1" applyAlignment="1">
      <alignment horizontal="center" vertical="center"/>
    </xf>
    <xf numFmtId="0" fontId="10" fillId="0" borderId="10" xfId="6" applyFont="1" applyBorder="1" applyAlignment="1">
      <alignment horizontal="center" vertical="center"/>
    </xf>
    <xf numFmtId="0" fontId="12" fillId="2" borderId="9" xfId="6" applyFont="1" applyFill="1" applyBorder="1" applyAlignment="1">
      <alignment horizontal="center" vertical="center"/>
    </xf>
    <xf numFmtId="0" fontId="10" fillId="0" borderId="5" xfId="6" applyFont="1" applyBorder="1" applyAlignment="1">
      <alignment horizontal="center" vertical="center"/>
    </xf>
    <xf numFmtId="0" fontId="10" fillId="0" borderId="7" xfId="6" applyFont="1" applyBorder="1" applyAlignment="1">
      <alignment horizontal="center" vertical="center"/>
    </xf>
    <xf numFmtId="0" fontId="10" fillId="0" borderId="8" xfId="6" applyFont="1" applyBorder="1" applyAlignment="1">
      <alignment horizontal="center" vertical="center"/>
    </xf>
    <xf numFmtId="164" fontId="10" fillId="0" borderId="5" xfId="6" applyNumberFormat="1" applyFont="1" applyBorder="1" applyAlignment="1">
      <alignment horizontal="center" vertical="center"/>
    </xf>
    <xf numFmtId="0" fontId="10" fillId="2" borderId="40" xfId="6" applyFont="1" applyFill="1" applyBorder="1" applyAlignment="1">
      <alignment horizontal="center" vertical="center"/>
    </xf>
    <xf numFmtId="0" fontId="10" fillId="0" borderId="47" xfId="6" applyFont="1" applyBorder="1" applyAlignment="1">
      <alignment horizontal="center" vertical="center"/>
    </xf>
    <xf numFmtId="0" fontId="13" fillId="0" borderId="53" xfId="6" applyFont="1" applyBorder="1" applyAlignment="1">
      <alignment horizontal="center" vertical="center"/>
    </xf>
    <xf numFmtId="0" fontId="10" fillId="0" borderId="54" xfId="6" applyFont="1" applyBorder="1"/>
    <xf numFmtId="0" fontId="10" fillId="0" borderId="55" xfId="6" applyFont="1" applyBorder="1" applyAlignment="1">
      <alignment horizontal="center" vertical="center"/>
    </xf>
    <xf numFmtId="0" fontId="10" fillId="0" borderId="56" xfId="6" applyFont="1" applyBorder="1" applyAlignment="1">
      <alignment horizontal="center" vertical="center"/>
    </xf>
    <xf numFmtId="0" fontId="10" fillId="0" borderId="57" xfId="6" applyFont="1" applyBorder="1" applyAlignment="1">
      <alignment horizontal="center" vertical="center"/>
    </xf>
    <xf numFmtId="0" fontId="10" fillId="0" borderId="58" xfId="6" applyFont="1" applyBorder="1" applyAlignment="1">
      <alignment horizontal="center" vertical="center"/>
    </xf>
    <xf numFmtId="0" fontId="10" fillId="0" borderId="59" xfId="6" applyFont="1" applyBorder="1" applyAlignment="1">
      <alignment horizontal="center" vertical="center"/>
    </xf>
    <xf numFmtId="164" fontId="10" fillId="0" borderId="0" xfId="6" applyNumberFormat="1" applyFont="1" applyAlignment="1">
      <alignment horizontal="center" vertical="center"/>
    </xf>
    <xf numFmtId="0" fontId="10" fillId="2" borderId="22" xfId="6" applyFont="1" applyFill="1" applyBorder="1" applyAlignment="1">
      <alignment horizontal="center" vertical="center"/>
    </xf>
    <xf numFmtId="0" fontId="10" fillId="2" borderId="24" xfId="6" applyFont="1" applyFill="1" applyBorder="1" applyAlignment="1">
      <alignment horizontal="center" vertical="center"/>
    </xf>
    <xf numFmtId="0" fontId="14" fillId="0" borderId="0" xfId="0" applyFont="1"/>
    <xf numFmtId="0" fontId="10" fillId="0" borderId="44" xfId="6" applyFont="1" applyBorder="1" applyAlignment="1">
      <alignment horizontal="center" vertical="center"/>
    </xf>
    <xf numFmtId="0" fontId="10" fillId="0" borderId="62" xfId="6" applyFont="1" applyBorder="1" applyAlignment="1">
      <alignment horizontal="center" vertical="center"/>
    </xf>
    <xf numFmtId="0" fontId="10" fillId="0" borderId="61" xfId="6" applyFont="1" applyBorder="1" applyAlignment="1">
      <alignment horizontal="center" vertical="center"/>
    </xf>
    <xf numFmtId="0" fontId="10" fillId="0" borderId="63" xfId="6" applyFont="1" applyBorder="1" applyAlignment="1">
      <alignment horizontal="center" vertical="center"/>
    </xf>
    <xf numFmtId="164" fontId="10" fillId="0" borderId="45" xfId="6" applyNumberFormat="1" applyFont="1" applyBorder="1" applyAlignment="1">
      <alignment horizontal="center" vertical="center"/>
    </xf>
    <xf numFmtId="0" fontId="10" fillId="2" borderId="62" xfId="6" applyFont="1" applyFill="1" applyBorder="1" applyAlignment="1">
      <alignment horizontal="center" vertical="center"/>
    </xf>
    <xf numFmtId="0" fontId="10" fillId="0" borderId="64" xfId="6" applyFont="1" applyBorder="1" applyAlignment="1">
      <alignment horizontal="center" vertical="center"/>
    </xf>
    <xf numFmtId="0" fontId="10" fillId="0" borderId="65" xfId="6" applyFont="1" applyBorder="1" applyAlignment="1">
      <alignment horizontal="center" vertical="center"/>
    </xf>
    <xf numFmtId="0" fontId="10" fillId="0" borderId="66" xfId="6" applyFont="1" applyBorder="1" applyAlignment="1">
      <alignment horizontal="center" vertical="center"/>
    </xf>
    <xf numFmtId="164" fontId="10" fillId="3" borderId="67" xfId="6" applyNumberFormat="1" applyFont="1" applyFill="1" applyBorder="1" applyAlignment="1">
      <alignment horizontal="center" vertical="center"/>
    </xf>
    <xf numFmtId="0" fontId="10" fillId="0" borderId="68" xfId="6" applyFont="1" applyBorder="1" applyAlignment="1">
      <alignment horizontal="center" vertical="center"/>
    </xf>
    <xf numFmtId="164" fontId="10" fillId="0" borderId="69" xfId="6" applyNumberFormat="1" applyFont="1" applyBorder="1" applyAlignment="1">
      <alignment horizontal="center" vertical="center"/>
    </xf>
    <xf numFmtId="0" fontId="10" fillId="2" borderId="67" xfId="6" applyFont="1" applyFill="1" applyBorder="1" applyAlignment="1">
      <alignment horizontal="center" vertical="center"/>
    </xf>
    <xf numFmtId="0" fontId="10" fillId="0" borderId="70" xfId="6" applyFont="1" applyBorder="1" applyAlignment="1">
      <alignment horizontal="center" vertical="center"/>
    </xf>
    <xf numFmtId="0" fontId="10" fillId="2" borderId="71" xfId="6" applyFont="1" applyFill="1" applyBorder="1" applyAlignment="1">
      <alignment horizontal="center" vertical="center"/>
    </xf>
    <xf numFmtId="0" fontId="10" fillId="2" borderId="63" xfId="6" applyFont="1" applyFill="1" applyBorder="1" applyAlignment="1">
      <alignment horizontal="center" vertical="center"/>
    </xf>
    <xf numFmtId="0" fontId="10" fillId="0" borderId="71" xfId="6" applyFont="1" applyBorder="1" applyAlignment="1">
      <alignment horizontal="center" vertical="center"/>
    </xf>
    <xf numFmtId="0" fontId="10" fillId="0" borderId="72" xfId="6" applyFont="1" applyBorder="1" applyAlignment="1">
      <alignment horizontal="center" vertical="center"/>
    </xf>
    <xf numFmtId="0" fontId="10" fillId="0" borderId="73" xfId="6" applyFont="1" applyBorder="1" applyAlignment="1">
      <alignment horizontal="center" vertical="center"/>
    </xf>
    <xf numFmtId="0" fontId="10" fillId="0" borderId="74" xfId="6" applyFont="1" applyBorder="1" applyAlignment="1">
      <alignment horizontal="center" vertical="center"/>
    </xf>
    <xf numFmtId="0" fontId="10" fillId="0" borderId="67" xfId="6" applyFont="1" applyBorder="1" applyAlignment="1">
      <alignment horizontal="center" vertical="center"/>
    </xf>
    <xf numFmtId="0" fontId="10" fillId="3" borderId="67" xfId="6" applyFont="1" applyFill="1" applyBorder="1" applyAlignment="1">
      <alignment horizontal="center" vertical="center"/>
    </xf>
    <xf numFmtId="0" fontId="10" fillId="2" borderId="75" xfId="6" applyFont="1" applyFill="1" applyBorder="1" applyAlignment="1">
      <alignment horizontal="center" vertical="center"/>
    </xf>
    <xf numFmtId="0" fontId="10" fillId="2" borderId="68" xfId="6" applyFont="1" applyFill="1" applyBorder="1" applyAlignment="1">
      <alignment horizontal="center" vertical="center"/>
    </xf>
    <xf numFmtId="0" fontId="10" fillId="0" borderId="75" xfId="6" applyFont="1" applyBorder="1" applyAlignment="1">
      <alignment horizontal="center" vertical="center"/>
    </xf>
    <xf numFmtId="0" fontId="10" fillId="0" borderId="21" xfId="6" applyFont="1" applyBorder="1" applyAlignment="1">
      <alignment horizontal="center" vertical="center"/>
    </xf>
    <xf numFmtId="0" fontId="10" fillId="0" borderId="76" xfId="6" applyFont="1" applyBorder="1" applyAlignment="1">
      <alignment horizontal="center" vertical="center"/>
    </xf>
    <xf numFmtId="0" fontId="10" fillId="0" borderId="20" xfId="6" applyFont="1" applyBorder="1" applyAlignment="1">
      <alignment horizontal="center" vertical="center"/>
    </xf>
    <xf numFmtId="0" fontId="10" fillId="0" borderId="4" xfId="6" applyFont="1" applyBorder="1" applyAlignment="1">
      <alignment horizontal="center" vertical="center"/>
    </xf>
    <xf numFmtId="0" fontId="10" fillId="0" borderId="60" xfId="6" applyFont="1" applyBorder="1" applyAlignment="1">
      <alignment horizontal="center" vertical="center"/>
    </xf>
    <xf numFmtId="2" fontId="10" fillId="0" borderId="44" xfId="6" applyNumberFormat="1" applyFont="1" applyBorder="1" applyAlignment="1">
      <alignment horizontal="center" vertical="center"/>
    </xf>
    <xf numFmtId="2" fontId="10" fillId="0" borderId="45" xfId="6" applyNumberFormat="1" applyFont="1" applyBorder="1" applyAlignment="1">
      <alignment horizontal="center" vertical="center"/>
    </xf>
    <xf numFmtId="2" fontId="10" fillId="0" borderId="46" xfId="6" applyNumberFormat="1" applyFont="1" applyBorder="1" applyAlignment="1">
      <alignment horizontal="center" vertical="center"/>
    </xf>
    <xf numFmtId="0" fontId="12" fillId="0" borderId="49" xfId="6" applyFont="1" applyBorder="1" applyAlignment="1">
      <alignment horizontal="center" vertical="center"/>
    </xf>
    <xf numFmtId="0" fontId="12" fillId="0" borderId="52" xfId="6" applyFont="1" applyBorder="1" applyAlignment="1">
      <alignment horizontal="center" vertical="center"/>
    </xf>
    <xf numFmtId="0" fontId="13" fillId="0" borderId="48" xfId="6" applyFont="1" applyBorder="1" applyAlignment="1">
      <alignment horizontal="center" vertical="center"/>
    </xf>
    <xf numFmtId="0" fontId="13" fillId="0" borderId="50" xfId="6" applyFont="1" applyBorder="1" applyAlignment="1">
      <alignment horizontal="center" vertical="center"/>
    </xf>
    <xf numFmtId="0" fontId="13" fillId="0" borderId="51" xfId="6" applyFont="1" applyBorder="1" applyAlignment="1">
      <alignment horizontal="center" vertical="center"/>
    </xf>
    <xf numFmtId="0" fontId="10" fillId="0" borderId="9" xfId="6" applyFont="1" applyBorder="1" applyAlignment="1">
      <alignment horizontal="center" vertical="center"/>
    </xf>
    <xf numFmtId="0" fontId="10" fillId="0" borderId="1" xfId="6" applyFont="1" applyBorder="1" applyAlignment="1">
      <alignment horizontal="center" vertical="center"/>
    </xf>
    <xf numFmtId="0" fontId="10" fillId="0" borderId="10" xfId="6" applyFont="1" applyBorder="1" applyAlignment="1">
      <alignment horizontal="center" vertical="center"/>
    </xf>
    <xf numFmtId="0" fontId="12" fillId="2" borderId="27" xfId="6" applyFont="1" applyFill="1" applyBorder="1" applyAlignment="1">
      <alignment horizontal="center" vertical="center"/>
    </xf>
    <xf numFmtId="0" fontId="12" fillId="2" borderId="9" xfId="6" applyFont="1" applyFill="1" applyBorder="1" applyAlignment="1">
      <alignment horizontal="center" vertical="center"/>
    </xf>
    <xf numFmtId="0" fontId="12" fillId="0" borderId="4" xfId="6" applyFont="1" applyBorder="1" applyAlignment="1">
      <alignment horizontal="center" vertical="center"/>
    </xf>
    <xf numFmtId="0" fontId="12" fillId="0" borderId="8" xfId="6" applyFont="1" applyBorder="1" applyAlignment="1">
      <alignment horizontal="center" vertical="center"/>
    </xf>
    <xf numFmtId="0" fontId="10" fillId="0" borderId="2" xfId="6" applyFont="1" applyBorder="1" applyAlignment="1">
      <alignment horizontal="center" vertical="center"/>
    </xf>
    <xf numFmtId="0" fontId="10" fillId="0" borderId="3" xfId="6" applyFont="1" applyBorder="1" applyAlignment="1">
      <alignment horizontal="center" vertical="center"/>
    </xf>
    <xf numFmtId="0" fontId="10" fillId="0" borderId="5" xfId="6" applyFont="1" applyBorder="1" applyAlignment="1">
      <alignment horizontal="center" vertical="center"/>
    </xf>
    <xf numFmtId="0" fontId="10" fillId="0" borderId="7" xfId="6" applyFont="1" applyBorder="1" applyAlignment="1">
      <alignment horizontal="center" vertical="center"/>
    </xf>
    <xf numFmtId="0" fontId="10" fillId="0" borderId="8" xfId="6" applyFont="1" applyBorder="1" applyAlignment="1">
      <alignment horizontal="center" vertical="center"/>
    </xf>
    <xf numFmtId="0" fontId="10" fillId="0" borderId="44" xfId="6" applyFont="1" applyBorder="1" applyAlignment="1">
      <alignment horizontal="center" vertical="center"/>
    </xf>
    <xf numFmtId="0" fontId="10" fillId="0" borderId="45" xfId="6" applyFont="1" applyBorder="1" applyAlignment="1">
      <alignment horizontal="center" vertical="center"/>
    </xf>
    <xf numFmtId="0" fontId="10" fillId="0" borderId="61" xfId="6" applyFont="1" applyBorder="1" applyAlignment="1">
      <alignment horizontal="center" vertical="center"/>
    </xf>
    <xf numFmtId="0" fontId="10" fillId="0" borderId="62" xfId="6" applyFont="1" applyBorder="1" applyAlignment="1">
      <alignment horizontal="center" vertical="center"/>
    </xf>
    <xf numFmtId="0" fontId="10" fillId="0" borderId="46" xfId="6" applyFont="1" applyBorder="1" applyAlignment="1">
      <alignment horizontal="center" vertical="center"/>
    </xf>
    <xf numFmtId="2" fontId="10" fillId="0" borderId="9" xfId="0" applyNumberFormat="1" applyFont="1" applyBorder="1" applyAlignment="1">
      <alignment horizontal="center" vertical="center"/>
    </xf>
    <xf numFmtId="2" fontId="10" fillId="0" borderId="1" xfId="0" applyNumberFormat="1" applyFont="1" applyBorder="1" applyAlignment="1">
      <alignment horizontal="center" vertical="center"/>
    </xf>
    <xf numFmtId="2" fontId="10" fillId="0" borderId="10" xfId="0" applyNumberFormat="1" applyFont="1" applyBorder="1" applyAlignment="1">
      <alignment horizontal="center" vertical="center"/>
    </xf>
  </cellXfs>
  <cellStyles count="7">
    <cellStyle name="Comma 2" xfId="1" xr:uid="{00000000-0005-0000-0000-000000000000}"/>
    <cellStyle name="Normal" xfId="0" builtinId="0"/>
    <cellStyle name="Normal 2" xfId="2" xr:uid="{00000000-0005-0000-0000-000002000000}"/>
    <cellStyle name="Normal 2 4" xfId="3" xr:uid="{00000000-0005-0000-0000-000003000000}"/>
    <cellStyle name="Normal 3" xfId="4" xr:uid="{00000000-0005-0000-0000-000004000000}"/>
    <cellStyle name="Normal 4" xfId="5" xr:uid="{00000000-0005-0000-0000-000005000000}"/>
    <cellStyle name="Normal 5" xfId="6" xr:uid="{580CABD4-12C4-4836-A9CA-9785538120CF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O33"/>
  <sheetViews>
    <sheetView topLeftCell="A7" workbookViewId="0">
      <selection activeCell="F2" sqref="F2:F31"/>
    </sheetView>
  </sheetViews>
  <sheetFormatPr defaultColWidth="11.5703125" defaultRowHeight="12.75"/>
  <cols>
    <col min="1" max="1" width="12.42578125" style="1" customWidth="1"/>
    <col min="2" max="3" width="11.5703125" style="9"/>
    <col min="4" max="4" width="13.42578125" style="10" customWidth="1"/>
    <col min="5" max="5" width="12.5703125" style="11" customWidth="1"/>
    <col min="6" max="6" width="11.5703125" style="15"/>
    <col min="7" max="7" width="12.5703125" style="1" customWidth="1"/>
    <col min="8" max="8" width="11.5703125" style="15"/>
    <col min="9" max="9" width="11.5703125" style="1"/>
    <col min="10" max="10" width="11.5703125" style="15"/>
    <col min="11" max="11" width="11.5703125" style="1"/>
    <col min="12" max="12" width="11.5703125" style="15"/>
    <col min="13" max="13" width="11.5703125" style="11"/>
    <col min="257" max="257" width="12.42578125" customWidth="1"/>
    <col min="260" max="260" width="13.42578125" customWidth="1"/>
    <col min="261" max="262" width="12.5703125" customWidth="1"/>
    <col min="269" max="269" width="0" hidden="1" customWidth="1"/>
    <col min="513" max="513" width="12.42578125" customWidth="1"/>
    <col min="516" max="516" width="13.42578125" customWidth="1"/>
    <col min="517" max="518" width="12.5703125" customWidth="1"/>
    <col min="525" max="525" width="0" hidden="1" customWidth="1"/>
    <col min="769" max="769" width="12.42578125" customWidth="1"/>
    <col min="772" max="772" width="13.42578125" customWidth="1"/>
    <col min="773" max="774" width="12.5703125" customWidth="1"/>
    <col min="781" max="781" width="0" hidden="1" customWidth="1"/>
    <col min="1025" max="1025" width="12.42578125" customWidth="1"/>
    <col min="1028" max="1028" width="13.42578125" customWidth="1"/>
    <col min="1029" max="1030" width="12.5703125" customWidth="1"/>
    <col min="1037" max="1037" width="0" hidden="1" customWidth="1"/>
    <col min="1281" max="1281" width="12.42578125" customWidth="1"/>
    <col min="1284" max="1284" width="13.42578125" customWidth="1"/>
    <col min="1285" max="1286" width="12.5703125" customWidth="1"/>
    <col min="1293" max="1293" width="0" hidden="1" customWidth="1"/>
    <col min="1537" max="1537" width="12.42578125" customWidth="1"/>
    <col min="1540" max="1540" width="13.42578125" customWidth="1"/>
    <col min="1541" max="1542" width="12.5703125" customWidth="1"/>
    <col min="1549" max="1549" width="0" hidden="1" customWidth="1"/>
    <col min="1793" max="1793" width="12.42578125" customWidth="1"/>
    <col min="1796" max="1796" width="13.42578125" customWidth="1"/>
    <col min="1797" max="1798" width="12.5703125" customWidth="1"/>
    <col min="1805" max="1805" width="0" hidden="1" customWidth="1"/>
    <col min="2049" max="2049" width="12.42578125" customWidth="1"/>
    <col min="2052" max="2052" width="13.42578125" customWidth="1"/>
    <col min="2053" max="2054" width="12.5703125" customWidth="1"/>
    <col min="2061" max="2061" width="0" hidden="1" customWidth="1"/>
    <col min="2305" max="2305" width="12.42578125" customWidth="1"/>
    <col min="2308" max="2308" width="13.42578125" customWidth="1"/>
    <col min="2309" max="2310" width="12.5703125" customWidth="1"/>
    <col min="2317" max="2317" width="0" hidden="1" customWidth="1"/>
    <col min="2561" max="2561" width="12.42578125" customWidth="1"/>
    <col min="2564" max="2564" width="13.42578125" customWidth="1"/>
    <col min="2565" max="2566" width="12.5703125" customWidth="1"/>
    <col min="2573" max="2573" width="0" hidden="1" customWidth="1"/>
    <col min="2817" max="2817" width="12.42578125" customWidth="1"/>
    <col min="2820" max="2820" width="13.42578125" customWidth="1"/>
    <col min="2821" max="2822" width="12.5703125" customWidth="1"/>
    <col min="2829" max="2829" width="0" hidden="1" customWidth="1"/>
    <col min="3073" max="3073" width="12.42578125" customWidth="1"/>
    <col min="3076" max="3076" width="13.42578125" customWidth="1"/>
    <col min="3077" max="3078" width="12.5703125" customWidth="1"/>
    <col min="3085" max="3085" width="0" hidden="1" customWidth="1"/>
    <col min="3329" max="3329" width="12.42578125" customWidth="1"/>
    <col min="3332" max="3332" width="13.42578125" customWidth="1"/>
    <col min="3333" max="3334" width="12.5703125" customWidth="1"/>
    <col min="3341" max="3341" width="0" hidden="1" customWidth="1"/>
    <col min="3585" max="3585" width="12.42578125" customWidth="1"/>
    <col min="3588" max="3588" width="13.42578125" customWidth="1"/>
    <col min="3589" max="3590" width="12.5703125" customWidth="1"/>
    <col min="3597" max="3597" width="0" hidden="1" customWidth="1"/>
    <col min="3841" max="3841" width="12.42578125" customWidth="1"/>
    <col min="3844" max="3844" width="13.42578125" customWidth="1"/>
    <col min="3845" max="3846" width="12.5703125" customWidth="1"/>
    <col min="3853" max="3853" width="0" hidden="1" customWidth="1"/>
    <col min="4097" max="4097" width="12.42578125" customWidth="1"/>
    <col min="4100" max="4100" width="13.42578125" customWidth="1"/>
    <col min="4101" max="4102" width="12.5703125" customWidth="1"/>
    <col min="4109" max="4109" width="0" hidden="1" customWidth="1"/>
    <col min="4353" max="4353" width="12.42578125" customWidth="1"/>
    <col min="4356" max="4356" width="13.42578125" customWidth="1"/>
    <col min="4357" max="4358" width="12.5703125" customWidth="1"/>
    <col min="4365" max="4365" width="0" hidden="1" customWidth="1"/>
    <col min="4609" max="4609" width="12.42578125" customWidth="1"/>
    <col min="4612" max="4612" width="13.42578125" customWidth="1"/>
    <col min="4613" max="4614" width="12.5703125" customWidth="1"/>
    <col min="4621" max="4621" width="0" hidden="1" customWidth="1"/>
    <col min="4865" max="4865" width="12.42578125" customWidth="1"/>
    <col min="4868" max="4868" width="13.42578125" customWidth="1"/>
    <col min="4869" max="4870" width="12.5703125" customWidth="1"/>
    <col min="4877" max="4877" width="0" hidden="1" customWidth="1"/>
    <col min="5121" max="5121" width="12.42578125" customWidth="1"/>
    <col min="5124" max="5124" width="13.42578125" customWidth="1"/>
    <col min="5125" max="5126" width="12.5703125" customWidth="1"/>
    <col min="5133" max="5133" width="0" hidden="1" customWidth="1"/>
    <col min="5377" max="5377" width="12.42578125" customWidth="1"/>
    <col min="5380" max="5380" width="13.42578125" customWidth="1"/>
    <col min="5381" max="5382" width="12.5703125" customWidth="1"/>
    <col min="5389" max="5389" width="0" hidden="1" customWidth="1"/>
    <col min="5633" max="5633" width="12.42578125" customWidth="1"/>
    <col min="5636" max="5636" width="13.42578125" customWidth="1"/>
    <col min="5637" max="5638" width="12.5703125" customWidth="1"/>
    <col min="5645" max="5645" width="0" hidden="1" customWidth="1"/>
    <col min="5889" max="5889" width="12.42578125" customWidth="1"/>
    <col min="5892" max="5892" width="13.42578125" customWidth="1"/>
    <col min="5893" max="5894" width="12.5703125" customWidth="1"/>
    <col min="5901" max="5901" width="0" hidden="1" customWidth="1"/>
    <col min="6145" max="6145" width="12.42578125" customWidth="1"/>
    <col min="6148" max="6148" width="13.42578125" customWidth="1"/>
    <col min="6149" max="6150" width="12.5703125" customWidth="1"/>
    <col min="6157" max="6157" width="0" hidden="1" customWidth="1"/>
    <col min="6401" max="6401" width="12.42578125" customWidth="1"/>
    <col min="6404" max="6404" width="13.42578125" customWidth="1"/>
    <col min="6405" max="6406" width="12.5703125" customWidth="1"/>
    <col min="6413" max="6413" width="0" hidden="1" customWidth="1"/>
    <col min="6657" max="6657" width="12.42578125" customWidth="1"/>
    <col min="6660" max="6660" width="13.42578125" customWidth="1"/>
    <col min="6661" max="6662" width="12.5703125" customWidth="1"/>
    <col min="6669" max="6669" width="0" hidden="1" customWidth="1"/>
    <col min="6913" max="6913" width="12.42578125" customWidth="1"/>
    <col min="6916" max="6916" width="13.42578125" customWidth="1"/>
    <col min="6917" max="6918" width="12.5703125" customWidth="1"/>
    <col min="6925" max="6925" width="0" hidden="1" customWidth="1"/>
    <col min="7169" max="7169" width="12.42578125" customWidth="1"/>
    <col min="7172" max="7172" width="13.42578125" customWidth="1"/>
    <col min="7173" max="7174" width="12.5703125" customWidth="1"/>
    <col min="7181" max="7181" width="0" hidden="1" customWidth="1"/>
    <col min="7425" max="7425" width="12.42578125" customWidth="1"/>
    <col min="7428" max="7428" width="13.42578125" customWidth="1"/>
    <col min="7429" max="7430" width="12.5703125" customWidth="1"/>
    <col min="7437" max="7437" width="0" hidden="1" customWidth="1"/>
    <col min="7681" max="7681" width="12.42578125" customWidth="1"/>
    <col min="7684" max="7684" width="13.42578125" customWidth="1"/>
    <col min="7685" max="7686" width="12.5703125" customWidth="1"/>
    <col min="7693" max="7693" width="0" hidden="1" customWidth="1"/>
    <col min="7937" max="7937" width="12.42578125" customWidth="1"/>
    <col min="7940" max="7940" width="13.42578125" customWidth="1"/>
    <col min="7941" max="7942" width="12.5703125" customWidth="1"/>
    <col min="7949" max="7949" width="0" hidden="1" customWidth="1"/>
    <col min="8193" max="8193" width="12.42578125" customWidth="1"/>
    <col min="8196" max="8196" width="13.42578125" customWidth="1"/>
    <col min="8197" max="8198" width="12.5703125" customWidth="1"/>
    <col min="8205" max="8205" width="0" hidden="1" customWidth="1"/>
    <col min="8449" max="8449" width="12.42578125" customWidth="1"/>
    <col min="8452" max="8452" width="13.42578125" customWidth="1"/>
    <col min="8453" max="8454" width="12.5703125" customWidth="1"/>
    <col min="8461" max="8461" width="0" hidden="1" customWidth="1"/>
    <col min="8705" max="8705" width="12.42578125" customWidth="1"/>
    <col min="8708" max="8708" width="13.42578125" customWidth="1"/>
    <col min="8709" max="8710" width="12.5703125" customWidth="1"/>
    <col min="8717" max="8717" width="0" hidden="1" customWidth="1"/>
    <col min="8961" max="8961" width="12.42578125" customWidth="1"/>
    <col min="8964" max="8964" width="13.42578125" customWidth="1"/>
    <col min="8965" max="8966" width="12.5703125" customWidth="1"/>
    <col min="8973" max="8973" width="0" hidden="1" customWidth="1"/>
    <col min="9217" max="9217" width="12.42578125" customWidth="1"/>
    <col min="9220" max="9220" width="13.42578125" customWidth="1"/>
    <col min="9221" max="9222" width="12.5703125" customWidth="1"/>
    <col min="9229" max="9229" width="0" hidden="1" customWidth="1"/>
    <col min="9473" max="9473" width="12.42578125" customWidth="1"/>
    <col min="9476" max="9476" width="13.42578125" customWidth="1"/>
    <col min="9477" max="9478" width="12.5703125" customWidth="1"/>
    <col min="9485" max="9485" width="0" hidden="1" customWidth="1"/>
    <col min="9729" max="9729" width="12.42578125" customWidth="1"/>
    <col min="9732" max="9732" width="13.42578125" customWidth="1"/>
    <col min="9733" max="9734" width="12.5703125" customWidth="1"/>
    <col min="9741" max="9741" width="0" hidden="1" customWidth="1"/>
    <col min="9985" max="9985" width="12.42578125" customWidth="1"/>
    <col min="9988" max="9988" width="13.42578125" customWidth="1"/>
    <col min="9989" max="9990" width="12.5703125" customWidth="1"/>
    <col min="9997" max="9997" width="0" hidden="1" customWidth="1"/>
    <col min="10241" max="10241" width="12.42578125" customWidth="1"/>
    <col min="10244" max="10244" width="13.42578125" customWidth="1"/>
    <col min="10245" max="10246" width="12.5703125" customWidth="1"/>
    <col min="10253" max="10253" width="0" hidden="1" customWidth="1"/>
    <col min="10497" max="10497" width="12.42578125" customWidth="1"/>
    <col min="10500" max="10500" width="13.42578125" customWidth="1"/>
    <col min="10501" max="10502" width="12.5703125" customWidth="1"/>
    <col min="10509" max="10509" width="0" hidden="1" customWidth="1"/>
    <col min="10753" max="10753" width="12.42578125" customWidth="1"/>
    <col min="10756" max="10756" width="13.42578125" customWidth="1"/>
    <col min="10757" max="10758" width="12.5703125" customWidth="1"/>
    <col min="10765" max="10765" width="0" hidden="1" customWidth="1"/>
    <col min="11009" max="11009" width="12.42578125" customWidth="1"/>
    <col min="11012" max="11012" width="13.42578125" customWidth="1"/>
    <col min="11013" max="11014" width="12.5703125" customWidth="1"/>
    <col min="11021" max="11021" width="0" hidden="1" customWidth="1"/>
    <col min="11265" max="11265" width="12.42578125" customWidth="1"/>
    <col min="11268" max="11268" width="13.42578125" customWidth="1"/>
    <col min="11269" max="11270" width="12.5703125" customWidth="1"/>
    <col min="11277" max="11277" width="0" hidden="1" customWidth="1"/>
    <col min="11521" max="11521" width="12.42578125" customWidth="1"/>
    <col min="11524" max="11524" width="13.42578125" customWidth="1"/>
    <col min="11525" max="11526" width="12.5703125" customWidth="1"/>
    <col min="11533" max="11533" width="0" hidden="1" customWidth="1"/>
    <col min="11777" max="11777" width="12.42578125" customWidth="1"/>
    <col min="11780" max="11780" width="13.42578125" customWidth="1"/>
    <col min="11781" max="11782" width="12.5703125" customWidth="1"/>
    <col min="11789" max="11789" width="0" hidden="1" customWidth="1"/>
    <col min="12033" max="12033" width="12.42578125" customWidth="1"/>
    <col min="12036" max="12036" width="13.42578125" customWidth="1"/>
    <col min="12037" max="12038" width="12.5703125" customWidth="1"/>
    <col min="12045" max="12045" width="0" hidden="1" customWidth="1"/>
    <col min="12289" max="12289" width="12.42578125" customWidth="1"/>
    <col min="12292" max="12292" width="13.42578125" customWidth="1"/>
    <col min="12293" max="12294" width="12.5703125" customWidth="1"/>
    <col min="12301" max="12301" width="0" hidden="1" customWidth="1"/>
    <col min="12545" max="12545" width="12.42578125" customWidth="1"/>
    <col min="12548" max="12548" width="13.42578125" customWidth="1"/>
    <col min="12549" max="12550" width="12.5703125" customWidth="1"/>
    <col min="12557" max="12557" width="0" hidden="1" customWidth="1"/>
    <col min="12801" max="12801" width="12.42578125" customWidth="1"/>
    <col min="12804" max="12804" width="13.42578125" customWidth="1"/>
    <col min="12805" max="12806" width="12.5703125" customWidth="1"/>
    <col min="12813" max="12813" width="0" hidden="1" customWidth="1"/>
    <col min="13057" max="13057" width="12.42578125" customWidth="1"/>
    <col min="13060" max="13060" width="13.42578125" customWidth="1"/>
    <col min="13061" max="13062" width="12.5703125" customWidth="1"/>
    <col min="13069" max="13069" width="0" hidden="1" customWidth="1"/>
    <col min="13313" max="13313" width="12.42578125" customWidth="1"/>
    <col min="13316" max="13316" width="13.42578125" customWidth="1"/>
    <col min="13317" max="13318" width="12.5703125" customWidth="1"/>
    <col min="13325" max="13325" width="0" hidden="1" customWidth="1"/>
    <col min="13569" max="13569" width="12.42578125" customWidth="1"/>
    <col min="13572" max="13572" width="13.42578125" customWidth="1"/>
    <col min="13573" max="13574" width="12.5703125" customWidth="1"/>
    <col min="13581" max="13581" width="0" hidden="1" customWidth="1"/>
    <col min="13825" max="13825" width="12.42578125" customWidth="1"/>
    <col min="13828" max="13828" width="13.42578125" customWidth="1"/>
    <col min="13829" max="13830" width="12.5703125" customWidth="1"/>
    <col min="13837" max="13837" width="0" hidden="1" customWidth="1"/>
    <col min="14081" max="14081" width="12.42578125" customWidth="1"/>
    <col min="14084" max="14084" width="13.42578125" customWidth="1"/>
    <col min="14085" max="14086" width="12.5703125" customWidth="1"/>
    <col min="14093" max="14093" width="0" hidden="1" customWidth="1"/>
    <col min="14337" max="14337" width="12.42578125" customWidth="1"/>
    <col min="14340" max="14340" width="13.42578125" customWidth="1"/>
    <col min="14341" max="14342" width="12.5703125" customWidth="1"/>
    <col min="14349" max="14349" width="0" hidden="1" customWidth="1"/>
    <col min="14593" max="14593" width="12.42578125" customWidth="1"/>
    <col min="14596" max="14596" width="13.42578125" customWidth="1"/>
    <col min="14597" max="14598" width="12.5703125" customWidth="1"/>
    <col min="14605" max="14605" width="0" hidden="1" customWidth="1"/>
    <col min="14849" max="14849" width="12.42578125" customWidth="1"/>
    <col min="14852" max="14852" width="13.42578125" customWidth="1"/>
    <col min="14853" max="14854" width="12.5703125" customWidth="1"/>
    <col min="14861" max="14861" width="0" hidden="1" customWidth="1"/>
    <col min="15105" max="15105" width="12.42578125" customWidth="1"/>
    <col min="15108" max="15108" width="13.42578125" customWidth="1"/>
    <col min="15109" max="15110" width="12.5703125" customWidth="1"/>
    <col min="15117" max="15117" width="0" hidden="1" customWidth="1"/>
    <col min="15361" max="15361" width="12.42578125" customWidth="1"/>
    <col min="15364" max="15364" width="13.42578125" customWidth="1"/>
    <col min="15365" max="15366" width="12.5703125" customWidth="1"/>
    <col min="15373" max="15373" width="0" hidden="1" customWidth="1"/>
    <col min="15617" max="15617" width="12.42578125" customWidth="1"/>
    <col min="15620" max="15620" width="13.42578125" customWidth="1"/>
    <col min="15621" max="15622" width="12.5703125" customWidth="1"/>
    <col min="15629" max="15629" width="0" hidden="1" customWidth="1"/>
    <col min="15873" max="15873" width="12.42578125" customWidth="1"/>
    <col min="15876" max="15876" width="13.42578125" customWidth="1"/>
    <col min="15877" max="15878" width="12.5703125" customWidth="1"/>
    <col min="15885" max="15885" width="0" hidden="1" customWidth="1"/>
    <col min="16129" max="16129" width="12.42578125" customWidth="1"/>
    <col min="16132" max="16132" width="13.42578125" customWidth="1"/>
    <col min="16133" max="16134" width="12.5703125" customWidth="1"/>
    <col min="16141" max="16141" width="0" hidden="1" customWidth="1"/>
  </cols>
  <sheetData>
    <row r="1" spans="1:15" s="7" customFormat="1" ht="60.75" thickBot="1">
      <c r="A1" s="2" t="s">
        <v>0</v>
      </c>
      <c r="B1" s="3" t="s">
        <v>1</v>
      </c>
      <c r="C1" s="3" t="s">
        <v>2</v>
      </c>
      <c r="D1" s="4" t="s">
        <v>3</v>
      </c>
      <c r="E1" s="5" t="s">
        <v>4</v>
      </c>
      <c r="F1" s="13" t="s">
        <v>5</v>
      </c>
      <c r="G1" s="6" t="s">
        <v>6</v>
      </c>
      <c r="H1" s="13" t="s">
        <v>7</v>
      </c>
      <c r="I1" s="6" t="s">
        <v>8</v>
      </c>
      <c r="J1" s="13" t="s">
        <v>9</v>
      </c>
      <c r="K1" s="6" t="s">
        <v>10</v>
      </c>
      <c r="L1" s="13" t="s">
        <v>11</v>
      </c>
      <c r="M1" s="5" t="s">
        <v>12</v>
      </c>
    </row>
    <row r="2" spans="1:15" ht="15">
      <c r="A2" s="8" t="s">
        <v>13</v>
      </c>
      <c r="B2" s="9">
        <v>1</v>
      </c>
      <c r="C2" s="9">
        <v>9</v>
      </c>
      <c r="D2" s="10">
        <v>2022</v>
      </c>
      <c r="E2" s="11">
        <f>IF(Electricity!F8&lt;0,0,Electricity!F8)</f>
        <v>26142.500000000837</v>
      </c>
      <c r="F2" s="83">
        <v>9.3200000000000005E-2</v>
      </c>
      <c r="G2" s="11">
        <f>IF('Water, Gas, Diesel'!K6&lt;0,0,'Water, Gas, Diesel'!K6)</f>
        <v>0</v>
      </c>
      <c r="H2" s="83">
        <v>0.7</v>
      </c>
      <c r="I2" s="11">
        <f>IF('Water, Gas, Diesel'!C6&lt;0,0,'Water, Gas, Diesel'!C6)</f>
        <v>1487</v>
      </c>
      <c r="J2" s="83">
        <v>0.21186441</v>
      </c>
      <c r="K2" s="11">
        <f>IF('Water, Gas, Diesel'!F6&lt;0,0,'Water, Gas, Diesel'!F6)</f>
        <v>259</v>
      </c>
      <c r="L2" s="83">
        <v>1.6949000000000001</v>
      </c>
      <c r="M2" s="11">
        <f>Electricity!H8</f>
        <v>94</v>
      </c>
      <c r="O2" s="107"/>
    </row>
    <row r="3" spans="1:15">
      <c r="A3" s="8" t="s">
        <v>13</v>
      </c>
      <c r="B3" s="9">
        <f>B2+1</f>
        <v>2</v>
      </c>
      <c r="C3" s="9">
        <v>9</v>
      </c>
      <c r="D3" s="10">
        <v>2022</v>
      </c>
      <c r="E3" s="11">
        <f>IF(Electricity!F9&lt;0,0,Electricity!F9)</f>
        <v>20097.500000001673</v>
      </c>
      <c r="F3" s="83">
        <v>9.3200000000000005E-2</v>
      </c>
      <c r="G3" s="11">
        <f>IF('Water, Gas, Diesel'!K7&lt;0,0,'Water, Gas, Diesel'!K7)</f>
        <v>0</v>
      </c>
      <c r="H3" s="83">
        <v>0.7</v>
      </c>
      <c r="I3" s="11">
        <f>IF('Water, Gas, Diesel'!C7&lt;0,0,'Water, Gas, Diesel'!C7)</f>
        <v>1159</v>
      </c>
      <c r="J3" s="83">
        <v>0.21186441</v>
      </c>
      <c r="K3" s="11">
        <f>IF('Water, Gas, Diesel'!F7&lt;0,0,'Water, Gas, Diesel'!F7)</f>
        <v>234</v>
      </c>
      <c r="L3" s="83">
        <v>1.6949000000000001</v>
      </c>
      <c r="M3" s="11">
        <f>Electricity!H9</f>
        <v>67</v>
      </c>
    </row>
    <row r="4" spans="1:15">
      <c r="A4" s="8" t="s">
        <v>13</v>
      </c>
      <c r="B4" s="9">
        <f t="shared" ref="B4:B31" si="0">B3+1</f>
        <v>3</v>
      </c>
      <c r="C4" s="9">
        <v>9</v>
      </c>
      <c r="D4" s="10">
        <v>2022</v>
      </c>
      <c r="E4" s="11">
        <f>IF(Electricity!F10&lt;0,0,Electricity!F10)</f>
        <v>21722.500000000764</v>
      </c>
      <c r="F4" s="83">
        <v>9.3200000000000005E-2</v>
      </c>
      <c r="G4" s="11">
        <f>IF('Water, Gas, Diesel'!K8&lt;0,0,'Water, Gas, Diesel'!K8)</f>
        <v>0</v>
      </c>
      <c r="H4" s="83">
        <v>0.7</v>
      </c>
      <c r="I4" s="11">
        <f>IF('Water, Gas, Diesel'!C8&lt;0,0,'Water, Gas, Diesel'!C8)</f>
        <v>1270</v>
      </c>
      <c r="J4" s="83">
        <v>0.21186441</v>
      </c>
      <c r="K4" s="11">
        <f>IF('Water, Gas, Diesel'!F8&lt;0,0,'Water, Gas, Diesel'!F8)</f>
        <v>220</v>
      </c>
      <c r="L4" s="83">
        <v>1.6949000000000001</v>
      </c>
      <c r="M4" s="11">
        <f>Electricity!H10</f>
        <v>81</v>
      </c>
    </row>
    <row r="5" spans="1:15">
      <c r="A5" s="8" t="s">
        <v>13</v>
      </c>
      <c r="B5" s="9">
        <f t="shared" si="0"/>
        <v>4</v>
      </c>
      <c r="C5" s="9">
        <v>9</v>
      </c>
      <c r="D5" s="10">
        <v>2022</v>
      </c>
      <c r="E5" s="11">
        <f>IF(Electricity!F11&lt;0,0,Electricity!F11)</f>
        <v>25669.999999995525</v>
      </c>
      <c r="F5" s="83">
        <v>9.3200000000000005E-2</v>
      </c>
      <c r="G5" s="11">
        <f>IF('Water, Gas, Diesel'!K9&lt;0,0,'Water, Gas, Diesel'!K9)</f>
        <v>0</v>
      </c>
      <c r="H5" s="83">
        <v>0.7</v>
      </c>
      <c r="I5" s="11">
        <f>IF('Water, Gas, Diesel'!C9&lt;0,0,'Water, Gas, Diesel'!C9)</f>
        <v>1379</v>
      </c>
      <c r="J5" s="83">
        <v>0.21186441</v>
      </c>
      <c r="K5" s="11">
        <f>IF('Water, Gas, Diesel'!F9&lt;0,0,'Water, Gas, Diesel'!F9)</f>
        <v>298</v>
      </c>
      <c r="L5" s="83">
        <v>1.6949000000000001</v>
      </c>
      <c r="M5" s="11">
        <f>Electricity!H11</f>
        <v>97</v>
      </c>
    </row>
    <row r="6" spans="1:15">
      <c r="A6" s="8" t="s">
        <v>13</v>
      </c>
      <c r="B6" s="9">
        <f t="shared" si="0"/>
        <v>5</v>
      </c>
      <c r="C6" s="9">
        <v>9</v>
      </c>
      <c r="D6" s="10">
        <v>2022</v>
      </c>
      <c r="E6" s="11">
        <f>IF(Electricity!F12&lt;0,0,Electricity!F12)</f>
        <v>22110.000000002401</v>
      </c>
      <c r="F6" s="83">
        <v>9.3200000000000005E-2</v>
      </c>
      <c r="G6" s="11">
        <f>IF('Water, Gas, Diesel'!K10&lt;0,0,'Water, Gas, Diesel'!K10)</f>
        <v>100</v>
      </c>
      <c r="H6" s="83">
        <v>0.7</v>
      </c>
      <c r="I6" s="11">
        <f>IF('Water, Gas, Diesel'!C10&lt;0,0,'Water, Gas, Diesel'!C10)</f>
        <v>1287</v>
      </c>
      <c r="J6" s="83">
        <v>0.21186441</v>
      </c>
      <c r="K6" s="11">
        <f>IF('Water, Gas, Diesel'!F10&lt;0,0,'Water, Gas, Diesel'!F10)</f>
        <v>270</v>
      </c>
      <c r="L6" s="83">
        <v>1.6949000000000001</v>
      </c>
      <c r="M6" s="11">
        <f>Electricity!H12</f>
        <v>144</v>
      </c>
    </row>
    <row r="7" spans="1:15">
      <c r="A7" s="8" t="s">
        <v>13</v>
      </c>
      <c r="B7" s="9">
        <f t="shared" si="0"/>
        <v>6</v>
      </c>
      <c r="C7" s="9">
        <v>9</v>
      </c>
      <c r="D7" s="10">
        <v>2022</v>
      </c>
      <c r="E7" s="11">
        <f>IF(Electricity!F13&lt;0,0,Electricity!F13)</f>
        <v>21044.999999999163</v>
      </c>
      <c r="F7" s="83">
        <v>9.3200000000000005E-2</v>
      </c>
      <c r="G7" s="11">
        <f>IF('Water, Gas, Diesel'!K11&lt;0,0,'Water, Gas, Diesel'!K11)</f>
        <v>0</v>
      </c>
      <c r="H7" s="83">
        <v>0.7</v>
      </c>
      <c r="I7" s="11">
        <f>IF('Water, Gas, Diesel'!C11&lt;0,0,'Water, Gas, Diesel'!C11)</f>
        <v>1518</v>
      </c>
      <c r="J7" s="83">
        <v>0.21186441</v>
      </c>
      <c r="K7" s="11">
        <f>IF('Water, Gas, Diesel'!F11&lt;0,0,'Water, Gas, Diesel'!F11)</f>
        <v>265</v>
      </c>
      <c r="L7" s="83">
        <v>1.6949000000000001</v>
      </c>
      <c r="M7" s="11">
        <f>Electricity!H13</f>
        <v>164</v>
      </c>
    </row>
    <row r="8" spans="1:15">
      <c r="A8" s="8" t="s">
        <v>13</v>
      </c>
      <c r="B8" s="9">
        <f t="shared" si="0"/>
        <v>7</v>
      </c>
      <c r="C8" s="9">
        <v>9</v>
      </c>
      <c r="D8" s="10">
        <v>2022</v>
      </c>
      <c r="E8" s="11">
        <f>IF(Electricity!F14&lt;0,0,Electricity!F14)</f>
        <v>24587.499999997817</v>
      </c>
      <c r="F8" s="83">
        <v>9.3200000000000005E-2</v>
      </c>
      <c r="G8" s="11">
        <f>IF('Water, Gas, Diesel'!K12&lt;0,0,'Water, Gas, Diesel'!K12)</f>
        <v>0</v>
      </c>
      <c r="H8" s="83">
        <v>0.7</v>
      </c>
      <c r="I8" s="11">
        <f>IF('Water, Gas, Diesel'!C12&lt;0,0,'Water, Gas, Diesel'!C12)</f>
        <v>1621</v>
      </c>
      <c r="J8" s="83">
        <v>0.21186441</v>
      </c>
      <c r="K8" s="11">
        <f>IF('Water, Gas, Diesel'!F12&lt;0,0,'Water, Gas, Diesel'!F12)</f>
        <v>275</v>
      </c>
      <c r="L8" s="83">
        <v>1.6949000000000001</v>
      </c>
      <c r="M8" s="11">
        <f>Electricity!H14</f>
        <v>157</v>
      </c>
    </row>
    <row r="9" spans="1:15">
      <c r="A9" s="8" t="s">
        <v>13</v>
      </c>
      <c r="B9" s="9">
        <f t="shared" si="0"/>
        <v>8</v>
      </c>
      <c r="C9" s="9">
        <v>9</v>
      </c>
      <c r="D9" s="10">
        <v>2022</v>
      </c>
      <c r="E9" s="11">
        <f>IF(Electricity!F15&lt;0,0,Electricity!F15)</f>
        <v>21840.000000001965</v>
      </c>
      <c r="F9" s="83">
        <v>9.3200000000000005E-2</v>
      </c>
      <c r="G9" s="11">
        <f>IF('Water, Gas, Diesel'!K13&lt;0,0,'Water, Gas, Diesel'!K13)</f>
        <v>0</v>
      </c>
      <c r="H9" s="83">
        <v>0.7</v>
      </c>
      <c r="I9" s="11">
        <f>IF('Water, Gas, Diesel'!C13&lt;0,0,'Water, Gas, Diesel'!C13)</f>
        <v>1604</v>
      </c>
      <c r="J9" s="83">
        <v>0.21186441</v>
      </c>
      <c r="K9" s="11">
        <f>IF('Water, Gas, Diesel'!F13&lt;0,0,'Water, Gas, Diesel'!F13)</f>
        <v>285</v>
      </c>
      <c r="L9" s="83">
        <v>1.6949000000000001</v>
      </c>
      <c r="M9" s="11">
        <f>Electricity!H15</f>
        <v>115</v>
      </c>
    </row>
    <row r="10" spans="1:15">
      <c r="A10" s="8" t="s">
        <v>13</v>
      </c>
      <c r="B10" s="9">
        <f t="shared" si="0"/>
        <v>9</v>
      </c>
      <c r="C10" s="9">
        <v>9</v>
      </c>
      <c r="D10" s="10">
        <v>2022</v>
      </c>
      <c r="E10" s="11">
        <f>IF(Electricity!F16&lt;0,0,Electricity!F16)</f>
        <v>19317.500000001928</v>
      </c>
      <c r="F10" s="83">
        <v>9.3200000000000005E-2</v>
      </c>
      <c r="G10" s="11">
        <f>IF('Water, Gas, Diesel'!K14&lt;0,0,'Water, Gas, Diesel'!K14)</f>
        <v>140</v>
      </c>
      <c r="H10" s="83">
        <v>0.7</v>
      </c>
      <c r="I10" s="11">
        <f>IF('Water, Gas, Diesel'!C14&lt;0,0,'Water, Gas, Diesel'!C14)</f>
        <v>1462</v>
      </c>
      <c r="J10" s="83">
        <v>0.21186441</v>
      </c>
      <c r="K10" s="11">
        <f>IF('Water, Gas, Diesel'!F14&lt;0,0,'Water, Gas, Diesel'!F14)</f>
        <v>246</v>
      </c>
      <c r="L10" s="83">
        <v>1.6949000000000001</v>
      </c>
      <c r="M10" s="11">
        <f>Electricity!H16</f>
        <v>112</v>
      </c>
    </row>
    <row r="11" spans="1:15">
      <c r="A11" s="8" t="s">
        <v>13</v>
      </c>
      <c r="B11" s="9">
        <f t="shared" si="0"/>
        <v>10</v>
      </c>
      <c r="C11" s="9">
        <v>9</v>
      </c>
      <c r="D11" s="10">
        <v>2022</v>
      </c>
      <c r="E11" s="11">
        <f>IF(Electricity!F17&lt;0,0,Electricity!F17)</f>
        <v>23595.000000000255</v>
      </c>
      <c r="F11" s="83">
        <v>9.3200000000000005E-2</v>
      </c>
      <c r="G11" s="11">
        <f>IF('Water, Gas, Diesel'!K15&lt;0,0,'Water, Gas, Diesel'!K15)</f>
        <v>0</v>
      </c>
      <c r="H11" s="83">
        <v>0.7</v>
      </c>
      <c r="I11" s="11">
        <f>IF('Water, Gas, Diesel'!C15&lt;0,0,'Water, Gas, Diesel'!C15)</f>
        <v>1548</v>
      </c>
      <c r="J11" s="83">
        <v>0.21186441</v>
      </c>
      <c r="K11" s="11">
        <f>IF('Water, Gas, Diesel'!F15&lt;0,0,'Water, Gas, Diesel'!F15)</f>
        <v>316</v>
      </c>
      <c r="L11" s="83">
        <v>1.6949000000000001</v>
      </c>
      <c r="M11" s="11">
        <f>Electricity!H17</f>
        <v>96</v>
      </c>
    </row>
    <row r="12" spans="1:15">
      <c r="A12" s="8" t="s">
        <v>13</v>
      </c>
      <c r="B12" s="9">
        <f t="shared" si="0"/>
        <v>11</v>
      </c>
      <c r="C12" s="9">
        <v>9</v>
      </c>
      <c r="D12" s="10">
        <v>2022</v>
      </c>
      <c r="E12" s="11">
        <f>IF(Electricity!F18&lt;0,0,Electricity!F18)</f>
        <v>23387.499999998909</v>
      </c>
      <c r="F12" s="83">
        <v>9.3200000000000005E-2</v>
      </c>
      <c r="G12" s="11">
        <f>IF('Water, Gas, Diesel'!K16&lt;0,0,'Water, Gas, Diesel'!K16)</f>
        <v>0</v>
      </c>
      <c r="H12" s="83">
        <v>0.7</v>
      </c>
      <c r="I12" s="11">
        <f>IF('Water, Gas, Diesel'!C16&lt;0,0,'Water, Gas, Diesel'!C16)</f>
        <v>1421</v>
      </c>
      <c r="J12" s="83">
        <v>0.21186441</v>
      </c>
      <c r="K12" s="11">
        <f>IF('Water, Gas, Diesel'!F16&lt;0,0,'Water, Gas, Diesel'!F16)</f>
        <v>273</v>
      </c>
      <c r="L12" s="83">
        <v>1.6949000000000001</v>
      </c>
      <c r="M12" s="11">
        <f>Electricity!H18</f>
        <v>104</v>
      </c>
    </row>
    <row r="13" spans="1:15">
      <c r="A13" s="8" t="s">
        <v>13</v>
      </c>
      <c r="B13" s="9">
        <f t="shared" si="0"/>
        <v>12</v>
      </c>
      <c r="C13" s="9">
        <v>9</v>
      </c>
      <c r="D13" s="10">
        <v>2022</v>
      </c>
      <c r="E13" s="11">
        <f>IF(Electricity!F19&lt;0,0,Electricity!F19)</f>
        <v>24247.50000000131</v>
      </c>
      <c r="F13" s="83">
        <v>9.3200000000000005E-2</v>
      </c>
      <c r="G13" s="11">
        <f>IF('Water, Gas, Diesel'!K17&lt;0,0,'Water, Gas, Diesel'!K17)</f>
        <v>0</v>
      </c>
      <c r="H13" s="83">
        <v>0.7</v>
      </c>
      <c r="I13" s="11">
        <f>IF('Water, Gas, Diesel'!C17&lt;0,0,'Water, Gas, Diesel'!C17)</f>
        <v>1442</v>
      </c>
      <c r="J13" s="83">
        <v>0.21186441</v>
      </c>
      <c r="K13" s="11">
        <f>IF('Water, Gas, Diesel'!F17&lt;0,0,'Water, Gas, Diesel'!F17)</f>
        <v>287</v>
      </c>
      <c r="L13" s="83">
        <v>1.6949000000000001</v>
      </c>
      <c r="M13" s="11">
        <f>Electricity!H19</f>
        <v>104</v>
      </c>
    </row>
    <row r="14" spans="1:15">
      <c r="A14" s="8" t="s">
        <v>13</v>
      </c>
      <c r="B14" s="9">
        <f t="shared" si="0"/>
        <v>13</v>
      </c>
      <c r="C14" s="9">
        <v>9</v>
      </c>
      <c r="D14" s="10">
        <v>2022</v>
      </c>
      <c r="E14" s="11">
        <f>IF(Electricity!F20&lt;0,0,Electricity!F20)</f>
        <v>36510.000000002947</v>
      </c>
      <c r="F14" s="83">
        <v>9.3200000000000005E-2</v>
      </c>
      <c r="G14" s="11">
        <f>IF('Water, Gas, Diesel'!K18&lt;0,0,'Water, Gas, Diesel'!K18)</f>
        <v>0</v>
      </c>
      <c r="H14" s="83">
        <v>0.7</v>
      </c>
      <c r="I14" s="11">
        <f>IF('Water, Gas, Diesel'!C18&lt;0,0,'Water, Gas, Diesel'!C18)</f>
        <v>1352</v>
      </c>
      <c r="J14" s="83">
        <v>0.21186441</v>
      </c>
      <c r="K14" s="11">
        <f>IF('Water, Gas, Diesel'!F18&lt;0,0,'Water, Gas, Diesel'!F18)</f>
        <v>289</v>
      </c>
      <c r="L14" s="83">
        <v>1.6949000000000001</v>
      </c>
      <c r="M14" s="11">
        <f>Electricity!H20</f>
        <v>89</v>
      </c>
    </row>
    <row r="15" spans="1:15">
      <c r="A15" s="8" t="s">
        <v>13</v>
      </c>
      <c r="B15" s="9">
        <f t="shared" si="0"/>
        <v>14</v>
      </c>
      <c r="C15" s="9">
        <v>9</v>
      </c>
      <c r="D15" s="10">
        <v>2022</v>
      </c>
      <c r="E15" s="11">
        <f>IF(Electricity!F21&lt;0,0,Electricity!F21)</f>
        <v>0</v>
      </c>
      <c r="F15" s="83">
        <v>9.3200000000000005E-2</v>
      </c>
      <c r="G15" s="11">
        <f>IF('Water, Gas, Diesel'!K19&lt;0,0,'Water, Gas, Diesel'!K19)</f>
        <v>11110</v>
      </c>
      <c r="H15" s="83">
        <v>0.7</v>
      </c>
      <c r="I15" s="11">
        <f>IF('Water, Gas, Diesel'!C19&lt;0,0,'Water, Gas, Diesel'!C19)</f>
        <v>0</v>
      </c>
      <c r="J15" s="83">
        <v>0.21186441</v>
      </c>
      <c r="K15" s="11">
        <f>IF('Water, Gas, Diesel'!F19&lt;0,0,'Water, Gas, Diesel'!F19)</f>
        <v>0</v>
      </c>
      <c r="L15" s="83">
        <v>1.6949000000000001</v>
      </c>
      <c r="M15" s="11">
        <f>Electricity!H21</f>
        <v>99</v>
      </c>
    </row>
    <row r="16" spans="1:15">
      <c r="A16" s="8" t="s">
        <v>13</v>
      </c>
      <c r="B16" s="9">
        <f t="shared" si="0"/>
        <v>15</v>
      </c>
      <c r="C16" s="9">
        <v>9</v>
      </c>
      <c r="D16" s="10">
        <v>2022</v>
      </c>
      <c r="E16" s="11">
        <f>IF(Electricity!F22&lt;0,0,Electricity!F22)</f>
        <v>0</v>
      </c>
      <c r="F16" s="83">
        <v>9.3200000000000005E-2</v>
      </c>
      <c r="G16" s="11">
        <f>IF('Water, Gas, Diesel'!K20&lt;0,0,'Water, Gas, Diesel'!K20)</f>
        <v>0</v>
      </c>
      <c r="H16" s="83">
        <v>0.7</v>
      </c>
      <c r="I16" s="11">
        <f>IF('Water, Gas, Diesel'!C20&lt;0,0,'Water, Gas, Diesel'!C20)</f>
        <v>0</v>
      </c>
      <c r="J16" s="83">
        <v>0.21186441</v>
      </c>
      <c r="K16" s="11">
        <f>IF('Water, Gas, Diesel'!F20&lt;0,0,'Water, Gas, Diesel'!F20)</f>
        <v>0</v>
      </c>
      <c r="L16" s="83">
        <v>1.6949000000000001</v>
      </c>
      <c r="M16" s="11">
        <f>Electricity!H22</f>
        <v>0</v>
      </c>
    </row>
    <row r="17" spans="1:13">
      <c r="A17" s="8" t="s">
        <v>13</v>
      </c>
      <c r="B17" s="9">
        <f t="shared" si="0"/>
        <v>16</v>
      </c>
      <c r="C17" s="9">
        <v>9</v>
      </c>
      <c r="D17" s="10">
        <v>2022</v>
      </c>
      <c r="E17" s="11">
        <f>IF(Electricity!F23&lt;0,0,Electricity!F23)</f>
        <v>0</v>
      </c>
      <c r="F17" s="83">
        <v>9.3200000000000005E-2</v>
      </c>
      <c r="G17" s="11">
        <f>IF('Water, Gas, Diesel'!K21&lt;0,0,'Water, Gas, Diesel'!K21)</f>
        <v>0</v>
      </c>
      <c r="H17" s="83">
        <v>0.7</v>
      </c>
      <c r="I17" s="11">
        <f>IF('Water, Gas, Diesel'!C21&lt;0,0,'Water, Gas, Diesel'!C21)</f>
        <v>0</v>
      </c>
      <c r="J17" s="83">
        <v>0.21186441</v>
      </c>
      <c r="K17" s="11">
        <f>IF('Water, Gas, Diesel'!F21&lt;0,0,'Water, Gas, Diesel'!F21)</f>
        <v>0</v>
      </c>
      <c r="L17" s="83">
        <v>1.6949000000000001</v>
      </c>
      <c r="M17" s="11">
        <f>Electricity!H23</f>
        <v>0</v>
      </c>
    </row>
    <row r="18" spans="1:13">
      <c r="A18" s="8" t="s">
        <v>13</v>
      </c>
      <c r="B18" s="9">
        <f t="shared" si="0"/>
        <v>17</v>
      </c>
      <c r="C18" s="9">
        <v>9</v>
      </c>
      <c r="D18" s="10">
        <v>2022</v>
      </c>
      <c r="E18" s="11">
        <f>IF(Electricity!F24&lt;0,0,Electricity!F24)</f>
        <v>0</v>
      </c>
      <c r="F18" s="83">
        <v>9.3200000000000005E-2</v>
      </c>
      <c r="G18" s="11">
        <f>IF('Water, Gas, Diesel'!K22&lt;0,0,'Water, Gas, Diesel'!K22)</f>
        <v>0</v>
      </c>
      <c r="H18" s="83">
        <v>0.7</v>
      </c>
      <c r="I18" s="11">
        <f>IF('Water, Gas, Diesel'!C22&lt;0,0,'Water, Gas, Diesel'!C22)</f>
        <v>0</v>
      </c>
      <c r="J18" s="83">
        <v>0.21186441</v>
      </c>
      <c r="K18" s="11">
        <f>IF('Water, Gas, Diesel'!F22&lt;0,0,'Water, Gas, Diesel'!F22)</f>
        <v>0</v>
      </c>
      <c r="L18" s="83">
        <v>1.6949000000000001</v>
      </c>
      <c r="M18" s="11">
        <f>Electricity!H24</f>
        <v>0</v>
      </c>
    </row>
    <row r="19" spans="1:13">
      <c r="A19" s="8" t="s">
        <v>13</v>
      </c>
      <c r="B19" s="9">
        <f t="shared" si="0"/>
        <v>18</v>
      </c>
      <c r="C19" s="9">
        <v>9</v>
      </c>
      <c r="D19" s="10">
        <v>2022</v>
      </c>
      <c r="E19" s="11">
        <f>IF(Electricity!F25&lt;0,0,Electricity!F25)</f>
        <v>0</v>
      </c>
      <c r="F19" s="83">
        <v>9.3200000000000005E-2</v>
      </c>
      <c r="G19" s="11">
        <f>IF('Water, Gas, Diesel'!K23&lt;0,0,'Water, Gas, Diesel'!K23)</f>
        <v>0</v>
      </c>
      <c r="H19" s="83">
        <v>0.7</v>
      </c>
      <c r="I19" s="11">
        <f>IF('Water, Gas, Diesel'!C23&lt;0,0,'Water, Gas, Diesel'!C23)</f>
        <v>0</v>
      </c>
      <c r="J19" s="83">
        <v>0.21186441</v>
      </c>
      <c r="K19" s="11">
        <f>IF('Water, Gas, Diesel'!F23&lt;0,0,'Water, Gas, Diesel'!F23)</f>
        <v>0</v>
      </c>
      <c r="L19" s="83">
        <v>1.6949000000000001</v>
      </c>
      <c r="M19" s="11">
        <f>Electricity!H25</f>
        <v>0</v>
      </c>
    </row>
    <row r="20" spans="1:13">
      <c r="A20" s="8" t="s">
        <v>13</v>
      </c>
      <c r="B20" s="9">
        <f t="shared" si="0"/>
        <v>19</v>
      </c>
      <c r="C20" s="9">
        <v>9</v>
      </c>
      <c r="D20" s="10">
        <v>2022</v>
      </c>
      <c r="E20" s="11">
        <f>IF(Electricity!F26&lt;0,0,Electricity!F26)</f>
        <v>0</v>
      </c>
      <c r="F20" s="83">
        <v>9.3200000000000005E-2</v>
      </c>
      <c r="G20" s="11">
        <f>IF('Water, Gas, Diesel'!K24&lt;0,0,'Water, Gas, Diesel'!K24)</f>
        <v>0</v>
      </c>
      <c r="H20" s="83">
        <v>0.7</v>
      </c>
      <c r="I20" s="11">
        <f>IF('Water, Gas, Diesel'!C24&lt;0,0,'Water, Gas, Diesel'!C24)</f>
        <v>0</v>
      </c>
      <c r="J20" s="83">
        <v>0.21186441</v>
      </c>
      <c r="K20" s="11">
        <f>IF('Water, Gas, Diesel'!F24&lt;0,0,'Water, Gas, Diesel'!F24)</f>
        <v>0</v>
      </c>
      <c r="L20" s="83">
        <v>1.6949000000000001</v>
      </c>
      <c r="M20" s="11">
        <f>Electricity!H26</f>
        <v>0</v>
      </c>
    </row>
    <row r="21" spans="1:13">
      <c r="A21" s="8" t="s">
        <v>13</v>
      </c>
      <c r="B21" s="9">
        <f t="shared" si="0"/>
        <v>20</v>
      </c>
      <c r="C21" s="9">
        <v>9</v>
      </c>
      <c r="D21" s="10">
        <v>2022</v>
      </c>
      <c r="E21" s="11">
        <f>IF(Electricity!F27&lt;0,0,Electricity!F27)</f>
        <v>0</v>
      </c>
      <c r="F21" s="83">
        <v>9.3200000000000005E-2</v>
      </c>
      <c r="G21" s="11">
        <f>IF('Water, Gas, Diesel'!K25&lt;0,0,'Water, Gas, Diesel'!K25)</f>
        <v>0</v>
      </c>
      <c r="H21" s="83">
        <v>0.7</v>
      </c>
      <c r="I21" s="11">
        <f>IF('Water, Gas, Diesel'!C25&lt;0,0,'Water, Gas, Diesel'!C25)</f>
        <v>0</v>
      </c>
      <c r="J21" s="83">
        <v>0.21186441</v>
      </c>
      <c r="K21" s="11">
        <f>IF('Water, Gas, Diesel'!F25&lt;0,0,'Water, Gas, Diesel'!F25)</f>
        <v>0</v>
      </c>
      <c r="L21" s="83">
        <v>1.6949000000000001</v>
      </c>
      <c r="M21" s="11">
        <f>Electricity!H27</f>
        <v>0</v>
      </c>
    </row>
    <row r="22" spans="1:13">
      <c r="A22" s="8" t="s">
        <v>13</v>
      </c>
      <c r="B22" s="9">
        <f t="shared" si="0"/>
        <v>21</v>
      </c>
      <c r="C22" s="9">
        <v>9</v>
      </c>
      <c r="D22" s="10">
        <v>2022</v>
      </c>
      <c r="E22" s="11">
        <f>IF(Electricity!F28&lt;0,0,Electricity!F28)</f>
        <v>0</v>
      </c>
      <c r="F22" s="83">
        <v>9.3200000000000005E-2</v>
      </c>
      <c r="G22" s="11">
        <f>IF('Water, Gas, Diesel'!K26&lt;0,0,'Water, Gas, Diesel'!K26)</f>
        <v>0</v>
      </c>
      <c r="H22" s="83">
        <v>0.7</v>
      </c>
      <c r="I22" s="11">
        <f>IF('Water, Gas, Diesel'!C26&lt;0,0,'Water, Gas, Diesel'!C26)</f>
        <v>0</v>
      </c>
      <c r="J22" s="83">
        <v>0.21186441</v>
      </c>
      <c r="K22" s="11">
        <f>IF('Water, Gas, Diesel'!F26&lt;0,0,'Water, Gas, Diesel'!F26)</f>
        <v>0</v>
      </c>
      <c r="L22" s="83">
        <v>1.6949000000000001</v>
      </c>
      <c r="M22" s="11">
        <f>Electricity!H28</f>
        <v>0</v>
      </c>
    </row>
    <row r="23" spans="1:13">
      <c r="A23" s="8" t="s">
        <v>13</v>
      </c>
      <c r="B23" s="9">
        <f t="shared" si="0"/>
        <v>22</v>
      </c>
      <c r="C23" s="9">
        <v>9</v>
      </c>
      <c r="D23" s="10">
        <v>2022</v>
      </c>
      <c r="E23" s="11">
        <f>IF(Electricity!F29&lt;0,0,Electricity!F29)</f>
        <v>0</v>
      </c>
      <c r="F23" s="83">
        <v>9.3200000000000005E-2</v>
      </c>
      <c r="G23" s="11">
        <f>IF('Water, Gas, Diesel'!K27&lt;0,0,'Water, Gas, Diesel'!K27)</f>
        <v>0</v>
      </c>
      <c r="H23" s="83">
        <v>0.7</v>
      </c>
      <c r="I23" s="11">
        <f>IF('Water, Gas, Diesel'!C27&lt;0,0,'Water, Gas, Diesel'!C27)</f>
        <v>0</v>
      </c>
      <c r="J23" s="83">
        <v>0.21186441</v>
      </c>
      <c r="K23" s="11">
        <f>IF('Water, Gas, Diesel'!F27&lt;0,0,'Water, Gas, Diesel'!F27)</f>
        <v>0</v>
      </c>
      <c r="L23" s="83">
        <v>1.6949000000000001</v>
      </c>
      <c r="M23" s="11">
        <f>Electricity!H29</f>
        <v>0</v>
      </c>
    </row>
    <row r="24" spans="1:13">
      <c r="A24" s="8" t="s">
        <v>13</v>
      </c>
      <c r="B24" s="9">
        <f t="shared" si="0"/>
        <v>23</v>
      </c>
      <c r="C24" s="9">
        <v>9</v>
      </c>
      <c r="D24" s="10">
        <v>2022</v>
      </c>
      <c r="E24" s="11">
        <f>IF(Electricity!F30&lt;0,0,Electricity!F30)</f>
        <v>0</v>
      </c>
      <c r="F24" s="83">
        <v>9.3200000000000005E-2</v>
      </c>
      <c r="G24" s="11">
        <f>IF('Water, Gas, Diesel'!K28&lt;0,0,'Water, Gas, Diesel'!K28)</f>
        <v>0</v>
      </c>
      <c r="H24" s="83">
        <v>0.7</v>
      </c>
      <c r="I24" s="11">
        <f>IF('Water, Gas, Diesel'!C28&lt;0,0,'Water, Gas, Diesel'!C28)</f>
        <v>0</v>
      </c>
      <c r="J24" s="83">
        <v>0.21186441</v>
      </c>
      <c r="K24" s="11">
        <f>IF('Water, Gas, Diesel'!F28&lt;0,0,'Water, Gas, Diesel'!F28)</f>
        <v>0</v>
      </c>
      <c r="L24" s="83">
        <v>1.6949000000000001</v>
      </c>
      <c r="M24" s="11">
        <f>Electricity!H30</f>
        <v>0</v>
      </c>
    </row>
    <row r="25" spans="1:13">
      <c r="A25" s="8" t="s">
        <v>13</v>
      </c>
      <c r="B25" s="9">
        <f t="shared" si="0"/>
        <v>24</v>
      </c>
      <c r="C25" s="9">
        <v>9</v>
      </c>
      <c r="D25" s="10">
        <v>2022</v>
      </c>
      <c r="E25" s="11">
        <f>IF(Electricity!F31&lt;0,0,Electricity!F31)</f>
        <v>0</v>
      </c>
      <c r="F25" s="83">
        <v>9.3200000000000005E-2</v>
      </c>
      <c r="G25" s="11">
        <f>IF('Water, Gas, Diesel'!K29&lt;0,0,'Water, Gas, Diesel'!K29)</f>
        <v>0</v>
      </c>
      <c r="H25" s="83">
        <v>0.7</v>
      </c>
      <c r="I25" s="11">
        <f>IF('Water, Gas, Diesel'!C29&lt;0,0,'Water, Gas, Diesel'!C29)</f>
        <v>0</v>
      </c>
      <c r="J25" s="83">
        <v>0.21186441</v>
      </c>
      <c r="K25" s="11">
        <f>IF('Water, Gas, Diesel'!F29&lt;0,0,'Water, Gas, Diesel'!F29)</f>
        <v>0</v>
      </c>
      <c r="L25" s="83">
        <v>1.6949000000000001</v>
      </c>
      <c r="M25" s="11">
        <f>Electricity!H31</f>
        <v>0</v>
      </c>
    </row>
    <row r="26" spans="1:13">
      <c r="A26" s="8" t="s">
        <v>13</v>
      </c>
      <c r="B26" s="9">
        <f>B25+1</f>
        <v>25</v>
      </c>
      <c r="C26" s="9">
        <v>9</v>
      </c>
      <c r="D26" s="10">
        <v>2022</v>
      </c>
      <c r="E26" s="11">
        <f>IF(Electricity!F32&lt;0,0,Electricity!F32)</f>
        <v>0</v>
      </c>
      <c r="F26" s="83">
        <v>9.3200000000000005E-2</v>
      </c>
      <c r="G26" s="11">
        <f>IF('Water, Gas, Diesel'!K30&lt;0,0,'Water, Gas, Diesel'!K30)</f>
        <v>0</v>
      </c>
      <c r="H26" s="83">
        <v>0.7</v>
      </c>
      <c r="I26" s="11">
        <f>IF('Water, Gas, Diesel'!C30&lt;0,0,'Water, Gas, Diesel'!C30)</f>
        <v>0</v>
      </c>
      <c r="J26" s="83">
        <v>0.21186441</v>
      </c>
      <c r="K26" s="11">
        <f>IF('Water, Gas, Diesel'!F30&lt;0,0,'Water, Gas, Diesel'!F30)</f>
        <v>0</v>
      </c>
      <c r="L26" s="83">
        <v>1.6949000000000001</v>
      </c>
      <c r="M26" s="11">
        <f>Electricity!H32</f>
        <v>0</v>
      </c>
    </row>
    <row r="27" spans="1:13">
      <c r="A27" s="8" t="s">
        <v>13</v>
      </c>
      <c r="B27" s="9">
        <f t="shared" si="0"/>
        <v>26</v>
      </c>
      <c r="C27" s="9">
        <v>9</v>
      </c>
      <c r="D27" s="10">
        <v>2022</v>
      </c>
      <c r="E27" s="11">
        <f>IF(Electricity!F33&lt;0,0,Electricity!F33)</f>
        <v>0</v>
      </c>
      <c r="F27" s="83">
        <v>9.3200000000000005E-2</v>
      </c>
      <c r="G27" s="11">
        <f>IF('Water, Gas, Diesel'!K31&lt;0,0,'Water, Gas, Diesel'!K31)</f>
        <v>0</v>
      </c>
      <c r="H27" s="83">
        <v>0.7</v>
      </c>
      <c r="I27" s="11">
        <f>IF('Water, Gas, Diesel'!C31&lt;0,0,'Water, Gas, Diesel'!C31)</f>
        <v>0</v>
      </c>
      <c r="J27" s="83">
        <v>0.21186441</v>
      </c>
      <c r="K27" s="11">
        <f>IF('Water, Gas, Diesel'!F31&lt;0,0,'Water, Gas, Diesel'!F31)</f>
        <v>0</v>
      </c>
      <c r="L27" s="83">
        <v>1.6949000000000001</v>
      </c>
      <c r="M27" s="11">
        <f>Electricity!H33</f>
        <v>0</v>
      </c>
    </row>
    <row r="28" spans="1:13">
      <c r="A28" s="8" t="s">
        <v>13</v>
      </c>
      <c r="B28" s="9">
        <f t="shared" si="0"/>
        <v>27</v>
      </c>
      <c r="C28" s="9">
        <v>9</v>
      </c>
      <c r="D28" s="10">
        <v>2022</v>
      </c>
      <c r="E28" s="11">
        <f>IF(Electricity!F34&lt;0,0,Electricity!F34)</f>
        <v>0</v>
      </c>
      <c r="F28" s="83">
        <v>9.3200000000000005E-2</v>
      </c>
      <c r="G28" s="11">
        <f>IF('Water, Gas, Diesel'!K32&lt;0,0,'Water, Gas, Diesel'!K32)</f>
        <v>0</v>
      </c>
      <c r="H28" s="83">
        <v>0.7</v>
      </c>
      <c r="I28" s="11">
        <f>IF('Water, Gas, Diesel'!C32&lt;0,0,'Water, Gas, Diesel'!C32)</f>
        <v>0</v>
      </c>
      <c r="J28" s="83">
        <v>0.21186441</v>
      </c>
      <c r="K28" s="11">
        <f>IF('Water, Gas, Diesel'!F32&lt;0,0,'Water, Gas, Diesel'!F32)</f>
        <v>0</v>
      </c>
      <c r="L28" s="83">
        <v>1.6949000000000001</v>
      </c>
      <c r="M28" s="11">
        <f>Electricity!H34</f>
        <v>0</v>
      </c>
    </row>
    <row r="29" spans="1:13">
      <c r="A29" s="8" t="s">
        <v>13</v>
      </c>
      <c r="B29" s="9">
        <f t="shared" si="0"/>
        <v>28</v>
      </c>
      <c r="C29" s="9">
        <v>9</v>
      </c>
      <c r="D29" s="10">
        <v>2022</v>
      </c>
      <c r="E29" s="11">
        <f>IF(Electricity!F35&lt;0,0,Electricity!F35)</f>
        <v>0</v>
      </c>
      <c r="F29" s="83">
        <v>9.3200000000000005E-2</v>
      </c>
      <c r="G29" s="11">
        <f>IF('Water, Gas, Diesel'!K33&lt;0,0,'Water, Gas, Diesel'!K33)</f>
        <v>0</v>
      </c>
      <c r="H29" s="83">
        <v>0.7</v>
      </c>
      <c r="I29" s="11">
        <f>IF('Water, Gas, Diesel'!C33&lt;0,0,'Water, Gas, Diesel'!C33)</f>
        <v>0</v>
      </c>
      <c r="J29" s="83">
        <v>0.21186441</v>
      </c>
      <c r="K29" s="11">
        <f>IF('Water, Gas, Diesel'!F33&lt;0,0,'Water, Gas, Diesel'!F33)</f>
        <v>0</v>
      </c>
      <c r="L29" s="83">
        <v>1.6949000000000001</v>
      </c>
      <c r="M29" s="11">
        <f>Electricity!H35</f>
        <v>0</v>
      </c>
    </row>
    <row r="30" spans="1:13">
      <c r="A30" s="8" t="s">
        <v>13</v>
      </c>
      <c r="B30" s="9">
        <f t="shared" si="0"/>
        <v>29</v>
      </c>
      <c r="C30" s="9">
        <v>9</v>
      </c>
      <c r="D30" s="10">
        <v>2022</v>
      </c>
      <c r="E30" s="11">
        <f>IF(Electricity!F36&lt;0,0,Electricity!F36)</f>
        <v>0</v>
      </c>
      <c r="F30" s="83">
        <v>9.3200000000000005E-2</v>
      </c>
      <c r="G30" s="11">
        <f>IF('Water, Gas, Diesel'!K34&lt;0,0,'Water, Gas, Diesel'!K34)</f>
        <v>0</v>
      </c>
      <c r="H30" s="83">
        <v>0.7</v>
      </c>
      <c r="I30" s="11">
        <f>IF('Water, Gas, Diesel'!C34&lt;0,0,'Water, Gas, Diesel'!C34)</f>
        <v>0</v>
      </c>
      <c r="J30" s="83">
        <v>0.21186441</v>
      </c>
      <c r="K30" s="11">
        <f>IF('Water, Gas, Diesel'!F34&lt;0,0,'Water, Gas, Diesel'!F34)</f>
        <v>0</v>
      </c>
      <c r="L30" s="83">
        <v>1.6949000000000001</v>
      </c>
      <c r="M30" s="11">
        <f>Electricity!H36</f>
        <v>0</v>
      </c>
    </row>
    <row r="31" spans="1:13">
      <c r="A31" s="8" t="s">
        <v>13</v>
      </c>
      <c r="B31" s="9">
        <f t="shared" si="0"/>
        <v>30</v>
      </c>
      <c r="C31" s="9">
        <v>9</v>
      </c>
      <c r="D31" s="10">
        <v>2022</v>
      </c>
      <c r="E31" s="11">
        <f>IF(Electricity!F37&lt;0,0,Electricity!F37)</f>
        <v>0</v>
      </c>
      <c r="F31" s="83">
        <v>9.3200000000000005E-2</v>
      </c>
      <c r="G31" s="11">
        <f>IF('Water, Gas, Diesel'!K35&lt;0,0,'Water, Gas, Diesel'!K35)</f>
        <v>0</v>
      </c>
      <c r="H31" s="83">
        <v>0.7</v>
      </c>
      <c r="I31" s="11">
        <f>IF('Water, Gas, Diesel'!C35&lt;0,0,'Water, Gas, Diesel'!C35)</f>
        <v>0</v>
      </c>
      <c r="J31" s="83">
        <v>0.21186441</v>
      </c>
      <c r="K31" s="11">
        <f>IF('Water, Gas, Diesel'!F35&lt;0,0,'Water, Gas, Diesel'!F35)</f>
        <v>0</v>
      </c>
      <c r="L31" s="83">
        <v>1.6949000000000001</v>
      </c>
      <c r="M31" s="11">
        <f>Electricity!H37</f>
        <v>0</v>
      </c>
    </row>
    <row r="32" spans="1:13">
      <c r="F32" s="14"/>
      <c r="G32" s="12"/>
      <c r="H32" s="14"/>
      <c r="I32" s="12"/>
      <c r="J32" s="14"/>
      <c r="K32" s="12"/>
      <c r="L32" s="14"/>
    </row>
    <row r="33" spans="6:12">
      <c r="F33" s="14"/>
      <c r="G33" s="12"/>
      <c r="H33" s="14"/>
      <c r="I33" s="12"/>
      <c r="J33" s="14"/>
      <c r="K33" s="12"/>
      <c r="L33" s="1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36A08-9FF8-4E37-A642-5152B16859D9}">
  <dimension ref="A1:H85"/>
  <sheetViews>
    <sheetView tabSelected="1" zoomScaleNormal="100" workbookViewId="0">
      <pane ySplit="5" topLeftCell="A14" activePane="bottomLeft" state="frozen"/>
      <selection pane="bottomLeft" activeCell="J18" sqref="J18"/>
      <selection activeCell="E1" sqref="E1"/>
    </sheetView>
  </sheetViews>
  <sheetFormatPr defaultColWidth="9.140625" defaultRowHeight="15"/>
  <cols>
    <col min="1" max="1" width="11.85546875" style="57" customWidth="1"/>
    <col min="2" max="5" width="21.28515625" style="16" customWidth="1"/>
    <col min="6" max="6" width="21.28515625" style="58" customWidth="1"/>
    <col min="7" max="7" width="21.28515625" style="57" customWidth="1"/>
    <col min="8" max="8" width="11.28515625" style="16" bestFit="1" customWidth="1"/>
    <col min="9" max="16384" width="9.140625" style="16"/>
  </cols>
  <sheetData>
    <row r="1" spans="1:8" ht="28.5" customHeight="1">
      <c r="A1" s="96" t="s">
        <v>14</v>
      </c>
      <c r="B1" s="138"/>
      <c r="C1" s="139"/>
      <c r="D1" s="139"/>
      <c r="E1" s="139"/>
      <c r="F1" s="139"/>
      <c r="G1" s="139"/>
      <c r="H1" s="140"/>
    </row>
    <row r="2" spans="1:8" ht="15.75" customHeight="1">
      <c r="A2" s="143" t="s">
        <v>15</v>
      </c>
      <c r="B2" s="146" t="s">
        <v>16</v>
      </c>
      <c r="C2" s="147"/>
      <c r="D2" s="147"/>
      <c r="E2" s="148"/>
      <c r="F2" s="149" t="s">
        <v>17</v>
      </c>
      <c r="G2" s="151" t="s">
        <v>18</v>
      </c>
      <c r="H2" s="141" t="s">
        <v>19</v>
      </c>
    </row>
    <row r="3" spans="1:8">
      <c r="A3" s="144"/>
      <c r="B3" s="153" t="s">
        <v>20</v>
      </c>
      <c r="C3" s="154"/>
      <c r="D3" s="153" t="s">
        <v>21</v>
      </c>
      <c r="E3" s="154"/>
      <c r="F3" s="149"/>
      <c r="G3" s="151"/>
      <c r="H3" s="141"/>
    </row>
    <row r="4" spans="1:8">
      <c r="A4" s="144"/>
      <c r="B4" s="155"/>
      <c r="C4" s="156"/>
      <c r="D4" s="155"/>
      <c r="E4" s="156"/>
      <c r="F4" s="149"/>
      <c r="G4" s="151"/>
      <c r="H4" s="141"/>
    </row>
    <row r="5" spans="1:8" ht="15.75" thickBot="1">
      <c r="A5" s="145"/>
      <c r="B5" s="17" t="s">
        <v>22</v>
      </c>
      <c r="C5" s="62" t="s">
        <v>23</v>
      </c>
      <c r="D5" s="63" t="s">
        <v>22</v>
      </c>
      <c r="E5" s="62" t="s">
        <v>23</v>
      </c>
      <c r="F5" s="150"/>
      <c r="G5" s="152"/>
      <c r="H5" s="142"/>
    </row>
    <row r="6" spans="1:8" ht="15.75" hidden="1">
      <c r="A6" s="97"/>
      <c r="B6" s="24"/>
      <c r="C6" s="64"/>
      <c r="D6" s="65"/>
      <c r="E6" s="64"/>
      <c r="F6" s="27"/>
      <c r="G6" s="66"/>
      <c r="H6" s="98"/>
    </row>
    <row r="7" spans="1:8" ht="27.75" customHeight="1">
      <c r="A7" s="99">
        <v>31</v>
      </c>
      <c r="B7" s="68">
        <v>15709.499</v>
      </c>
      <c r="C7" s="69">
        <f t="shared" ref="C7:C24" si="0">(B8-B7)*2500</f>
        <v>13099.999999999454</v>
      </c>
      <c r="D7" s="68">
        <v>16048.352000000001</v>
      </c>
      <c r="E7" s="69">
        <f t="shared" ref="E7:E24" si="1">(D8-D7)*2500</f>
        <v>9564.9999999977808</v>
      </c>
      <c r="F7" s="95">
        <f t="shared" ref="F7:F38" si="2">C7+E7</f>
        <v>22664.999999997235</v>
      </c>
      <c r="G7" s="67">
        <f>F7*0.0932</f>
        <v>2112.3779999997423</v>
      </c>
      <c r="H7" s="137">
        <v>88</v>
      </c>
    </row>
    <row r="8" spans="1:8" ht="30.95" customHeight="1">
      <c r="A8" s="100">
        <v>1</v>
      </c>
      <c r="B8" s="94">
        <v>15714.739</v>
      </c>
      <c r="C8" s="70">
        <f t="shared" si="0"/>
        <v>14897.500000001855</v>
      </c>
      <c r="D8" s="71">
        <v>16052.178</v>
      </c>
      <c r="E8" s="70">
        <f t="shared" si="1"/>
        <v>11244.999999998981</v>
      </c>
      <c r="F8" s="51">
        <f t="shared" si="2"/>
        <v>26142.500000000837</v>
      </c>
      <c r="G8" s="67">
        <f t="shared" ref="G8:G38" si="3">F8*0.0932</f>
        <v>2436.481000000078</v>
      </c>
      <c r="H8" s="101">
        <v>94</v>
      </c>
    </row>
    <row r="9" spans="1:8" ht="30.95" customHeight="1">
      <c r="A9" s="102">
        <v>2</v>
      </c>
      <c r="B9" s="72">
        <v>15720.698</v>
      </c>
      <c r="C9" s="39">
        <f t="shared" si="0"/>
        <v>11675.000000000182</v>
      </c>
      <c r="D9" s="71">
        <v>16056.675999999999</v>
      </c>
      <c r="E9" s="39">
        <f t="shared" si="1"/>
        <v>8422.5000000014916</v>
      </c>
      <c r="F9" s="47">
        <f t="shared" si="2"/>
        <v>20097.500000001673</v>
      </c>
      <c r="G9" s="67">
        <f t="shared" si="3"/>
        <v>1873.087000000156</v>
      </c>
      <c r="H9" s="103">
        <v>67</v>
      </c>
    </row>
    <row r="10" spans="1:8" ht="30.95" customHeight="1">
      <c r="A10" s="100">
        <v>3</v>
      </c>
      <c r="B10" s="73">
        <v>15725.368</v>
      </c>
      <c r="C10" s="70">
        <f t="shared" si="0"/>
        <v>12494.999999998981</v>
      </c>
      <c r="D10" s="74">
        <v>16060.045</v>
      </c>
      <c r="E10" s="70">
        <f t="shared" si="1"/>
        <v>9227.5000000017826</v>
      </c>
      <c r="F10" s="51">
        <f t="shared" si="2"/>
        <v>21722.500000000764</v>
      </c>
      <c r="G10" s="67">
        <f t="shared" si="3"/>
        <v>2024.5370000000712</v>
      </c>
      <c r="H10" s="103">
        <v>81</v>
      </c>
    </row>
    <row r="11" spans="1:8" ht="30.95" customHeight="1">
      <c r="A11" s="102">
        <v>4</v>
      </c>
      <c r="B11" s="75">
        <v>15730.366</v>
      </c>
      <c r="C11" s="39">
        <f t="shared" si="0"/>
        <v>14549.999999999272</v>
      </c>
      <c r="D11" s="76">
        <v>16063.736000000001</v>
      </c>
      <c r="E11" s="39">
        <f t="shared" si="1"/>
        <v>11119.999999996253</v>
      </c>
      <c r="F11" s="47">
        <f t="shared" si="2"/>
        <v>25669.999999995525</v>
      </c>
      <c r="G11" s="67">
        <f t="shared" si="3"/>
        <v>2392.443999999583</v>
      </c>
      <c r="H11" s="103">
        <v>97</v>
      </c>
    </row>
    <row r="12" spans="1:8" ht="30.95" customHeight="1">
      <c r="A12" s="100">
        <v>5</v>
      </c>
      <c r="B12" s="77">
        <v>15736.186</v>
      </c>
      <c r="C12" s="70">
        <f t="shared" si="0"/>
        <v>12885.000000001128</v>
      </c>
      <c r="D12" s="74">
        <v>16068.183999999999</v>
      </c>
      <c r="E12" s="70">
        <f t="shared" si="1"/>
        <v>9225.0000000012733</v>
      </c>
      <c r="F12" s="51">
        <f t="shared" si="2"/>
        <v>22110.000000002401</v>
      </c>
      <c r="G12" s="67">
        <f t="shared" si="3"/>
        <v>2060.6520000002238</v>
      </c>
      <c r="H12" s="103">
        <v>144</v>
      </c>
    </row>
    <row r="13" spans="1:8" ht="30.95" customHeight="1">
      <c r="A13" s="102">
        <v>6</v>
      </c>
      <c r="B13" s="75">
        <v>15741.34</v>
      </c>
      <c r="C13" s="39">
        <f t="shared" si="0"/>
        <v>13229.999999998654</v>
      </c>
      <c r="D13" s="76">
        <v>16071.874</v>
      </c>
      <c r="E13" s="39">
        <f t="shared" si="1"/>
        <v>7815.0000000005093</v>
      </c>
      <c r="F13" s="47">
        <f t="shared" si="2"/>
        <v>21044.999999999163</v>
      </c>
      <c r="G13" s="67">
        <f t="shared" si="3"/>
        <v>1961.393999999922</v>
      </c>
      <c r="H13" s="103">
        <v>164</v>
      </c>
    </row>
    <row r="14" spans="1:8" ht="30.95" customHeight="1">
      <c r="A14" s="100">
        <v>7</v>
      </c>
      <c r="B14" s="77">
        <v>15746.632</v>
      </c>
      <c r="C14" s="70">
        <f t="shared" si="0"/>
        <v>12835.000000000036</v>
      </c>
      <c r="D14" s="104">
        <v>16075</v>
      </c>
      <c r="E14" s="70">
        <f t="shared" si="1"/>
        <v>11752.499999997781</v>
      </c>
      <c r="F14" s="51">
        <f t="shared" si="2"/>
        <v>24587.499999997817</v>
      </c>
      <c r="G14" s="67">
        <f t="shared" si="3"/>
        <v>2291.5549999997966</v>
      </c>
      <c r="H14" s="103">
        <v>157</v>
      </c>
    </row>
    <row r="15" spans="1:8" ht="30.95" customHeight="1">
      <c r="A15" s="102">
        <v>8</v>
      </c>
      <c r="B15" s="75">
        <v>15751.766</v>
      </c>
      <c r="C15" s="39">
        <f t="shared" si="0"/>
        <v>12547.500000000582</v>
      </c>
      <c r="D15" s="78">
        <v>16079.700999999999</v>
      </c>
      <c r="E15" s="39">
        <f t="shared" si="1"/>
        <v>9292.5000000013824</v>
      </c>
      <c r="F15" s="47">
        <f t="shared" si="2"/>
        <v>21840.000000001965</v>
      </c>
      <c r="G15" s="67">
        <f t="shared" si="3"/>
        <v>2035.4880000001831</v>
      </c>
      <c r="H15" s="103">
        <v>115</v>
      </c>
    </row>
    <row r="16" spans="1:8" ht="30.95" customHeight="1">
      <c r="A16" s="100">
        <v>9</v>
      </c>
      <c r="B16" s="79">
        <v>15756.785</v>
      </c>
      <c r="C16" s="70">
        <f t="shared" si="0"/>
        <v>11114.999999999782</v>
      </c>
      <c r="D16" s="80">
        <v>16083.418</v>
      </c>
      <c r="E16" s="70">
        <f t="shared" si="1"/>
        <v>8202.5000000021464</v>
      </c>
      <c r="F16" s="51">
        <f t="shared" si="2"/>
        <v>19317.500000001928</v>
      </c>
      <c r="G16" s="67">
        <f t="shared" si="3"/>
        <v>1800.3910000001797</v>
      </c>
      <c r="H16" s="103">
        <v>112</v>
      </c>
    </row>
    <row r="17" spans="1:8" ht="30.95" customHeight="1">
      <c r="A17" s="102">
        <v>10</v>
      </c>
      <c r="B17" s="77">
        <v>15761.231</v>
      </c>
      <c r="C17" s="39">
        <f t="shared" si="0"/>
        <v>13782.500000002074</v>
      </c>
      <c r="D17" s="104">
        <v>16086.699000000001</v>
      </c>
      <c r="E17" s="39">
        <f t="shared" si="1"/>
        <v>9812.499999998181</v>
      </c>
      <c r="F17" s="47">
        <f t="shared" si="2"/>
        <v>23595.000000000255</v>
      </c>
      <c r="G17" s="67">
        <f t="shared" si="3"/>
        <v>2199.0540000000237</v>
      </c>
      <c r="H17" s="103">
        <v>96</v>
      </c>
    </row>
    <row r="18" spans="1:8" ht="30.95" customHeight="1">
      <c r="A18" s="100">
        <v>11</v>
      </c>
      <c r="B18" s="75">
        <v>15766.744000000001</v>
      </c>
      <c r="C18" s="70">
        <f t="shared" si="0"/>
        <v>13312.499999997272</v>
      </c>
      <c r="D18" s="78">
        <v>16090.624</v>
      </c>
      <c r="E18" s="70">
        <f t="shared" si="1"/>
        <v>10075.000000001637</v>
      </c>
      <c r="F18" s="51">
        <f t="shared" si="2"/>
        <v>23387.499999998909</v>
      </c>
      <c r="G18" s="67">
        <f t="shared" si="3"/>
        <v>2179.7149999998983</v>
      </c>
      <c r="H18" s="103">
        <v>104</v>
      </c>
    </row>
    <row r="19" spans="1:8" ht="30.95" customHeight="1">
      <c r="A19" s="102">
        <v>12</v>
      </c>
      <c r="B19" s="77">
        <v>15772.069</v>
      </c>
      <c r="C19" s="39">
        <f t="shared" si="0"/>
        <v>13967.500000003383</v>
      </c>
      <c r="D19" s="104">
        <v>16094.654</v>
      </c>
      <c r="E19" s="39">
        <f t="shared" si="1"/>
        <v>10279.999999997926</v>
      </c>
      <c r="F19" s="47">
        <f t="shared" si="2"/>
        <v>24247.50000000131</v>
      </c>
      <c r="G19" s="67">
        <f t="shared" si="3"/>
        <v>2259.8670000001221</v>
      </c>
      <c r="H19" s="103">
        <v>104</v>
      </c>
    </row>
    <row r="20" spans="1:8" ht="30.95" customHeight="1">
      <c r="A20" s="100">
        <v>13</v>
      </c>
      <c r="B20" s="75">
        <v>15777.656000000001</v>
      </c>
      <c r="C20" s="70">
        <f t="shared" si="0"/>
        <v>27454.999999999927</v>
      </c>
      <c r="D20" s="81">
        <v>16098.766</v>
      </c>
      <c r="E20" s="70">
        <f t="shared" si="1"/>
        <v>9055.0000000030195</v>
      </c>
      <c r="F20" s="51">
        <f t="shared" si="2"/>
        <v>36510.000000002947</v>
      </c>
      <c r="G20" s="67">
        <f t="shared" si="3"/>
        <v>3402.7320000002746</v>
      </c>
      <c r="H20" s="103">
        <v>89</v>
      </c>
    </row>
    <row r="21" spans="1:8" ht="30.95" customHeight="1">
      <c r="A21" s="102">
        <v>14</v>
      </c>
      <c r="B21" s="75">
        <v>15788.638000000001</v>
      </c>
      <c r="C21" s="39">
        <f t="shared" si="0"/>
        <v>-39471595</v>
      </c>
      <c r="D21" s="78">
        <v>16102.388000000001</v>
      </c>
      <c r="E21" s="39">
        <f t="shared" si="1"/>
        <v>-40255970</v>
      </c>
      <c r="F21" s="47">
        <f t="shared" si="2"/>
        <v>-79727565</v>
      </c>
      <c r="G21" s="67">
        <f t="shared" si="3"/>
        <v>-7430609.0580000002</v>
      </c>
      <c r="H21" s="103">
        <v>99</v>
      </c>
    </row>
    <row r="22" spans="1:8" ht="30.95" customHeight="1">
      <c r="A22" s="100">
        <v>15</v>
      </c>
      <c r="B22" s="75"/>
      <c r="C22" s="70">
        <f t="shared" si="0"/>
        <v>0</v>
      </c>
      <c r="D22" s="57"/>
      <c r="E22" s="70">
        <f t="shared" si="1"/>
        <v>0</v>
      </c>
      <c r="F22" s="51">
        <f t="shared" si="2"/>
        <v>0</v>
      </c>
      <c r="G22" s="67">
        <f t="shared" si="3"/>
        <v>0</v>
      </c>
      <c r="H22" s="103"/>
    </row>
    <row r="23" spans="1:8" ht="30.95" customHeight="1">
      <c r="A23" s="102">
        <v>16</v>
      </c>
      <c r="B23" s="84"/>
      <c r="C23" s="39">
        <f t="shared" si="0"/>
        <v>0</v>
      </c>
      <c r="D23" s="85"/>
      <c r="E23" s="39">
        <f t="shared" si="1"/>
        <v>0</v>
      </c>
      <c r="F23" s="47">
        <f t="shared" si="2"/>
        <v>0</v>
      </c>
      <c r="G23" s="67">
        <f t="shared" si="3"/>
        <v>0</v>
      </c>
      <c r="H23" s="103"/>
    </row>
    <row r="24" spans="1:8" ht="30.95" customHeight="1">
      <c r="A24" s="100">
        <v>17</v>
      </c>
      <c r="B24" s="86"/>
      <c r="C24" s="70">
        <f t="shared" si="0"/>
        <v>0</v>
      </c>
      <c r="D24" s="104"/>
      <c r="E24" s="70">
        <f t="shared" si="1"/>
        <v>0</v>
      </c>
      <c r="F24" s="51">
        <f t="shared" si="2"/>
        <v>0</v>
      </c>
      <c r="G24" s="67">
        <f t="shared" si="3"/>
        <v>0</v>
      </c>
      <c r="H24" s="103"/>
    </row>
    <row r="25" spans="1:8" ht="30.95" customHeight="1">
      <c r="A25" s="102">
        <v>18</v>
      </c>
      <c r="B25" s="75"/>
      <c r="C25" s="39">
        <f>(B26-B25)*2500</f>
        <v>0</v>
      </c>
      <c r="D25" s="78"/>
      <c r="E25" s="39">
        <f>(D26-D25)*2500</f>
        <v>0</v>
      </c>
      <c r="F25" s="47">
        <f t="shared" si="2"/>
        <v>0</v>
      </c>
      <c r="G25" s="67">
        <f t="shared" si="3"/>
        <v>0</v>
      </c>
      <c r="H25" s="103"/>
    </row>
    <row r="26" spans="1:8" ht="30.95" customHeight="1">
      <c r="A26" s="100">
        <v>19</v>
      </c>
      <c r="B26" s="77"/>
      <c r="C26" s="70">
        <f t="shared" ref="C26:C38" si="4">(B27-B26)*2500</f>
        <v>0</v>
      </c>
      <c r="D26" s="104"/>
      <c r="E26" s="70">
        <f t="shared" ref="E26:E38" si="5">(D27-D26)*2500</f>
        <v>0</v>
      </c>
      <c r="F26" s="47">
        <f t="shared" si="2"/>
        <v>0</v>
      </c>
      <c r="G26" s="67">
        <f t="shared" si="3"/>
        <v>0</v>
      </c>
      <c r="H26" s="103"/>
    </row>
    <row r="27" spans="1:8" ht="30.95" customHeight="1">
      <c r="A27" s="102">
        <v>20</v>
      </c>
      <c r="B27" s="75"/>
      <c r="C27" s="39">
        <f t="shared" si="4"/>
        <v>0</v>
      </c>
      <c r="D27" s="81"/>
      <c r="E27" s="39">
        <f t="shared" si="5"/>
        <v>0</v>
      </c>
      <c r="F27" s="51">
        <f t="shared" si="2"/>
        <v>0</v>
      </c>
      <c r="G27" s="67">
        <f t="shared" si="3"/>
        <v>0</v>
      </c>
      <c r="H27" s="103"/>
    </row>
    <row r="28" spans="1:8" ht="30.95" customHeight="1">
      <c r="A28" s="100">
        <v>21</v>
      </c>
      <c r="B28" s="77"/>
      <c r="C28" s="70">
        <f t="shared" si="4"/>
        <v>0</v>
      </c>
      <c r="D28" s="104"/>
      <c r="E28" s="70">
        <f t="shared" si="5"/>
        <v>0</v>
      </c>
      <c r="F28" s="47">
        <f t="shared" si="2"/>
        <v>0</v>
      </c>
      <c r="G28" s="67">
        <f t="shared" si="3"/>
        <v>0</v>
      </c>
      <c r="H28" s="103"/>
    </row>
    <row r="29" spans="1:8" ht="30.95" customHeight="1">
      <c r="A29" s="102">
        <v>22</v>
      </c>
      <c r="B29" s="75"/>
      <c r="C29" s="39">
        <f t="shared" si="4"/>
        <v>0</v>
      </c>
      <c r="D29" s="78"/>
      <c r="E29" s="39">
        <f t="shared" si="5"/>
        <v>0</v>
      </c>
      <c r="F29" s="51">
        <f t="shared" si="2"/>
        <v>0</v>
      </c>
      <c r="G29" s="67">
        <f t="shared" si="3"/>
        <v>0</v>
      </c>
      <c r="H29" s="103"/>
    </row>
    <row r="30" spans="1:8" ht="30.95" customHeight="1">
      <c r="A30" s="100">
        <v>23</v>
      </c>
      <c r="B30" s="77"/>
      <c r="C30" s="70">
        <f t="shared" si="4"/>
        <v>0</v>
      </c>
      <c r="D30" s="104"/>
      <c r="E30" s="70">
        <f t="shared" si="5"/>
        <v>0</v>
      </c>
      <c r="F30" s="47">
        <f t="shared" si="2"/>
        <v>0</v>
      </c>
      <c r="G30" s="67">
        <f t="shared" si="3"/>
        <v>0</v>
      </c>
      <c r="H30" s="103"/>
    </row>
    <row r="31" spans="1:8" ht="30.95" customHeight="1">
      <c r="A31" s="102">
        <v>24</v>
      </c>
      <c r="B31" s="75"/>
      <c r="C31" s="39">
        <f t="shared" si="4"/>
        <v>0</v>
      </c>
      <c r="D31" s="78"/>
      <c r="E31" s="39">
        <f t="shared" si="5"/>
        <v>0</v>
      </c>
      <c r="F31" s="51">
        <f t="shared" si="2"/>
        <v>0</v>
      </c>
      <c r="G31" s="67">
        <f t="shared" si="3"/>
        <v>0</v>
      </c>
      <c r="H31" s="103"/>
    </row>
    <row r="32" spans="1:8" ht="30.95" customHeight="1">
      <c r="A32" s="100">
        <v>25</v>
      </c>
      <c r="B32" s="77"/>
      <c r="C32" s="70">
        <f t="shared" si="4"/>
        <v>0</v>
      </c>
      <c r="D32" s="104"/>
      <c r="E32" s="70">
        <f t="shared" si="5"/>
        <v>0</v>
      </c>
      <c r="F32" s="47">
        <f t="shared" si="2"/>
        <v>0</v>
      </c>
      <c r="G32" s="67">
        <f t="shared" si="3"/>
        <v>0</v>
      </c>
      <c r="H32" s="103"/>
    </row>
    <row r="33" spans="1:8" ht="30.95" customHeight="1">
      <c r="A33" s="102">
        <v>26</v>
      </c>
      <c r="B33" s="75"/>
      <c r="C33" s="39">
        <f t="shared" si="4"/>
        <v>0</v>
      </c>
      <c r="D33" s="78"/>
      <c r="E33" s="39">
        <f t="shared" si="5"/>
        <v>0</v>
      </c>
      <c r="F33" s="51">
        <f t="shared" si="2"/>
        <v>0</v>
      </c>
      <c r="G33" s="67">
        <f t="shared" si="3"/>
        <v>0</v>
      </c>
      <c r="H33" s="103"/>
    </row>
    <row r="34" spans="1:8" ht="30.95" customHeight="1">
      <c r="A34" s="100">
        <v>27</v>
      </c>
      <c r="B34" s="77"/>
      <c r="C34" s="70">
        <f t="shared" si="4"/>
        <v>0</v>
      </c>
      <c r="D34" s="104"/>
      <c r="E34" s="39">
        <f t="shared" si="5"/>
        <v>0</v>
      </c>
      <c r="F34" s="47">
        <f t="shared" si="2"/>
        <v>0</v>
      </c>
      <c r="G34" s="67">
        <f t="shared" si="3"/>
        <v>0</v>
      </c>
      <c r="H34" s="103"/>
    </row>
    <row r="35" spans="1:8" ht="30.95" customHeight="1">
      <c r="A35" s="102">
        <v>28</v>
      </c>
      <c r="B35" s="82"/>
      <c r="C35" s="39">
        <f t="shared" si="4"/>
        <v>0</v>
      </c>
      <c r="D35" s="78"/>
      <c r="E35" s="39">
        <f t="shared" si="5"/>
        <v>0</v>
      </c>
      <c r="F35" s="47">
        <f t="shared" si="2"/>
        <v>0</v>
      </c>
      <c r="G35" s="67">
        <f t="shared" si="3"/>
        <v>0</v>
      </c>
      <c r="H35" s="103"/>
    </row>
    <row r="36" spans="1:8" ht="30.95" customHeight="1">
      <c r="A36" s="100">
        <v>29</v>
      </c>
      <c r="B36" s="77"/>
      <c r="C36" s="69">
        <f t="shared" si="4"/>
        <v>0</v>
      </c>
      <c r="D36" s="57"/>
      <c r="E36" s="69">
        <f t="shared" si="5"/>
        <v>0</v>
      </c>
      <c r="F36" s="42">
        <f t="shared" si="2"/>
        <v>0</v>
      </c>
      <c r="G36" s="67">
        <f t="shared" si="3"/>
        <v>0</v>
      </c>
      <c r="H36" s="101"/>
    </row>
    <row r="37" spans="1:8" ht="30.95" customHeight="1">
      <c r="A37" s="116">
        <v>30</v>
      </c>
      <c r="B37" s="117"/>
      <c r="C37" s="118">
        <f>(B38-B37)*2500</f>
        <v>0</v>
      </c>
      <c r="D37" s="119"/>
      <c r="E37" s="118">
        <f>(D38-D37)*2500</f>
        <v>0</v>
      </c>
      <c r="F37" s="120">
        <f t="shared" si="2"/>
        <v>0</v>
      </c>
      <c r="G37" s="136">
        <f t="shared" si="3"/>
        <v>0</v>
      </c>
      <c r="H37" s="121"/>
    </row>
    <row r="38" spans="1:8" ht="30.95" customHeight="1">
      <c r="A38" s="108">
        <v>1</v>
      </c>
      <c r="B38" s="109"/>
      <c r="C38" s="111">
        <f t="shared" si="4"/>
        <v>0</v>
      </c>
      <c r="D38" s="112"/>
      <c r="E38" s="111">
        <f t="shared" si="5"/>
        <v>0</v>
      </c>
      <c r="F38" s="113">
        <f t="shared" si="2"/>
        <v>0</v>
      </c>
      <c r="G38" s="114">
        <f t="shared" si="3"/>
        <v>0</v>
      </c>
      <c r="H38" s="115"/>
    </row>
    <row r="39" spans="1:8">
      <c r="B39" s="57"/>
      <c r="C39" s="57"/>
      <c r="D39" s="57"/>
      <c r="E39" s="57"/>
    </row>
    <row r="40" spans="1:8">
      <c r="B40" s="57"/>
      <c r="C40" s="57"/>
      <c r="D40" s="57"/>
      <c r="E40" s="57"/>
    </row>
    <row r="41" spans="1:8">
      <c r="B41" s="57"/>
      <c r="C41" s="57"/>
      <c r="D41" s="57"/>
      <c r="E41" s="57"/>
    </row>
    <row r="42" spans="1:8">
      <c r="B42" s="57"/>
      <c r="C42" s="57"/>
      <c r="D42" s="57"/>
      <c r="E42" s="57"/>
    </row>
    <row r="43" spans="1:8">
      <c r="B43" s="57"/>
      <c r="C43" s="57"/>
      <c r="D43" s="57"/>
      <c r="E43" s="57"/>
    </row>
    <row r="44" spans="1:8">
      <c r="B44" s="57"/>
      <c r="C44" s="57"/>
      <c r="D44" s="57"/>
      <c r="E44" s="57"/>
    </row>
    <row r="45" spans="1:8">
      <c r="B45" s="57"/>
      <c r="C45" s="57"/>
      <c r="D45" s="57"/>
      <c r="E45" s="57"/>
    </row>
    <row r="46" spans="1:8">
      <c r="B46" s="57"/>
      <c r="C46" s="57"/>
      <c r="D46" s="57"/>
      <c r="E46" s="57"/>
      <c r="F46" s="59"/>
      <c r="G46" s="16"/>
    </row>
    <row r="47" spans="1:8">
      <c r="B47" s="57"/>
      <c r="C47" s="57"/>
      <c r="D47" s="57"/>
      <c r="E47" s="57"/>
      <c r="F47" s="59"/>
      <c r="G47" s="16"/>
    </row>
    <row r="48" spans="1:8">
      <c r="B48" s="57"/>
      <c r="C48" s="57"/>
      <c r="D48" s="57"/>
      <c r="E48" s="57"/>
      <c r="F48" s="59"/>
      <c r="G48" s="16"/>
    </row>
    <row r="49" spans="1:7">
      <c r="B49" s="57"/>
      <c r="C49" s="57"/>
      <c r="D49" s="57"/>
      <c r="E49" s="57"/>
      <c r="F49" s="59"/>
      <c r="G49" s="16"/>
    </row>
    <row r="50" spans="1:7">
      <c r="B50" s="57"/>
      <c r="C50" s="57"/>
      <c r="D50" s="57"/>
      <c r="E50" s="57"/>
      <c r="F50" s="59"/>
      <c r="G50" s="16"/>
    </row>
    <row r="51" spans="1:7">
      <c r="A51" s="60"/>
      <c r="B51" s="57"/>
      <c r="C51" s="57"/>
      <c r="D51" s="57"/>
      <c r="E51" s="57"/>
      <c r="F51" s="59"/>
      <c r="G51" s="16"/>
    </row>
    <row r="52" spans="1:7">
      <c r="A52" s="60"/>
      <c r="B52" s="57"/>
      <c r="C52" s="57"/>
      <c r="D52" s="57"/>
      <c r="E52" s="57"/>
      <c r="F52" s="59"/>
      <c r="G52" s="16"/>
    </row>
    <row r="53" spans="1:7">
      <c r="A53" s="60"/>
      <c r="B53" s="57"/>
      <c r="C53" s="57"/>
      <c r="D53" s="57"/>
      <c r="E53" s="57"/>
      <c r="F53" s="59"/>
      <c r="G53" s="16"/>
    </row>
    <row r="54" spans="1:7">
      <c r="A54" s="60"/>
      <c r="B54" s="57"/>
      <c r="C54" s="57"/>
      <c r="D54" s="57"/>
      <c r="E54" s="57"/>
      <c r="F54" s="59"/>
      <c r="G54" s="16"/>
    </row>
    <row r="55" spans="1:7">
      <c r="A55" s="60"/>
      <c r="B55" s="57"/>
      <c r="C55" s="57"/>
      <c r="D55" s="57"/>
      <c r="E55" s="57"/>
      <c r="F55" s="59"/>
      <c r="G55" s="16"/>
    </row>
    <row r="56" spans="1:7">
      <c r="A56" s="60"/>
      <c r="B56" s="57"/>
      <c r="C56" s="57"/>
      <c r="D56" s="57"/>
      <c r="E56" s="57"/>
      <c r="F56" s="59"/>
      <c r="G56" s="16"/>
    </row>
    <row r="57" spans="1:7">
      <c r="A57" s="60"/>
      <c r="B57" s="57"/>
      <c r="C57" s="57"/>
      <c r="D57" s="57"/>
      <c r="E57" s="57"/>
      <c r="F57" s="59"/>
      <c r="G57" s="16"/>
    </row>
    <row r="58" spans="1:7">
      <c r="A58" s="60"/>
      <c r="B58" s="57"/>
      <c r="C58" s="57"/>
      <c r="D58" s="57"/>
      <c r="E58" s="57"/>
      <c r="F58" s="59"/>
      <c r="G58" s="16"/>
    </row>
    <row r="59" spans="1:7">
      <c r="A59" s="60"/>
      <c r="B59" s="57"/>
      <c r="C59" s="57"/>
      <c r="D59" s="57"/>
      <c r="E59" s="57"/>
      <c r="F59" s="59"/>
      <c r="G59" s="16"/>
    </row>
    <row r="60" spans="1:7">
      <c r="A60" s="60"/>
      <c r="B60" s="57"/>
      <c r="C60" s="57"/>
      <c r="D60" s="57"/>
      <c r="E60" s="57"/>
      <c r="F60" s="59"/>
      <c r="G60" s="16"/>
    </row>
    <row r="61" spans="1:7">
      <c r="A61" s="60"/>
      <c r="B61" s="57"/>
      <c r="C61" s="57"/>
      <c r="D61" s="57"/>
      <c r="E61" s="57"/>
      <c r="F61" s="59"/>
      <c r="G61" s="16"/>
    </row>
    <row r="62" spans="1:7">
      <c r="A62" s="60"/>
      <c r="B62" s="57"/>
      <c r="C62" s="57"/>
      <c r="D62" s="57"/>
      <c r="E62" s="57"/>
      <c r="F62" s="59"/>
      <c r="G62" s="16"/>
    </row>
    <row r="63" spans="1:7">
      <c r="A63" s="60"/>
      <c r="B63" s="57"/>
      <c r="C63" s="57"/>
      <c r="D63" s="57"/>
      <c r="E63" s="57"/>
      <c r="F63" s="59"/>
      <c r="G63" s="16"/>
    </row>
    <row r="64" spans="1:7">
      <c r="A64" s="60"/>
      <c r="B64" s="57"/>
      <c r="C64" s="57"/>
      <c r="D64" s="57"/>
      <c r="E64" s="57"/>
      <c r="F64" s="59"/>
      <c r="G64" s="16"/>
    </row>
    <row r="65" spans="1:7">
      <c r="A65" s="60"/>
      <c r="B65" s="57"/>
      <c r="C65" s="57"/>
      <c r="D65" s="57"/>
      <c r="E65" s="57"/>
      <c r="F65" s="59"/>
      <c r="G65" s="16"/>
    </row>
    <row r="66" spans="1:7">
      <c r="A66" s="60"/>
      <c r="B66" s="57"/>
      <c r="C66" s="57"/>
      <c r="D66" s="57"/>
      <c r="E66" s="57"/>
      <c r="F66" s="59"/>
      <c r="G66" s="16"/>
    </row>
    <row r="67" spans="1:7">
      <c r="A67" s="60"/>
      <c r="B67" s="57"/>
      <c r="C67" s="57"/>
      <c r="D67" s="57"/>
      <c r="E67" s="57"/>
      <c r="F67" s="59"/>
      <c r="G67" s="16"/>
    </row>
    <row r="68" spans="1:7">
      <c r="A68" s="60"/>
      <c r="B68" s="57"/>
      <c r="C68" s="57"/>
      <c r="D68" s="57"/>
      <c r="E68" s="57"/>
      <c r="F68" s="59"/>
      <c r="G68" s="16"/>
    </row>
    <row r="69" spans="1:7">
      <c r="A69" s="60"/>
      <c r="B69" s="57"/>
      <c r="C69" s="57"/>
      <c r="D69" s="57"/>
      <c r="E69" s="57"/>
      <c r="F69" s="59"/>
      <c r="G69" s="16"/>
    </row>
    <row r="70" spans="1:7">
      <c r="A70" s="60"/>
      <c r="B70" s="57"/>
      <c r="C70" s="57"/>
      <c r="D70" s="57"/>
      <c r="E70" s="57"/>
      <c r="F70" s="59"/>
      <c r="G70" s="16"/>
    </row>
    <row r="71" spans="1:7">
      <c r="A71" s="60"/>
      <c r="B71" s="57"/>
      <c r="C71" s="57"/>
      <c r="D71" s="57"/>
      <c r="E71" s="57"/>
      <c r="F71" s="59"/>
      <c r="G71" s="16"/>
    </row>
    <row r="72" spans="1:7">
      <c r="A72" s="60"/>
      <c r="B72" s="57"/>
      <c r="C72" s="57"/>
      <c r="D72" s="57"/>
      <c r="E72" s="57"/>
      <c r="F72" s="59"/>
      <c r="G72" s="16"/>
    </row>
    <row r="73" spans="1:7">
      <c r="A73" s="60"/>
      <c r="B73" s="57"/>
      <c r="C73" s="57"/>
      <c r="D73" s="57"/>
      <c r="E73" s="57"/>
      <c r="F73" s="59"/>
      <c r="G73" s="16"/>
    </row>
    <row r="74" spans="1:7">
      <c r="A74" s="60"/>
      <c r="B74" s="57"/>
      <c r="C74" s="57"/>
      <c r="D74" s="57"/>
      <c r="E74" s="57"/>
      <c r="F74" s="59"/>
      <c r="G74" s="16"/>
    </row>
    <row r="75" spans="1:7">
      <c r="A75" s="60"/>
      <c r="B75" s="57"/>
      <c r="C75" s="57"/>
      <c r="D75" s="57"/>
      <c r="E75" s="57"/>
      <c r="F75" s="59"/>
      <c r="G75" s="16"/>
    </row>
    <row r="76" spans="1:7">
      <c r="A76" s="60"/>
      <c r="B76" s="57"/>
      <c r="C76" s="57"/>
      <c r="D76" s="57"/>
      <c r="E76" s="57"/>
      <c r="F76" s="59"/>
      <c r="G76" s="16"/>
    </row>
    <row r="77" spans="1:7">
      <c r="A77" s="60"/>
      <c r="B77" s="57"/>
      <c r="C77" s="57"/>
      <c r="D77" s="57"/>
      <c r="E77" s="57"/>
      <c r="F77" s="59"/>
      <c r="G77" s="16"/>
    </row>
    <row r="78" spans="1:7">
      <c r="A78" s="60"/>
      <c r="B78" s="57"/>
      <c r="C78" s="57"/>
      <c r="D78" s="57"/>
      <c r="E78" s="57"/>
      <c r="F78" s="59"/>
      <c r="G78" s="16"/>
    </row>
    <row r="79" spans="1:7">
      <c r="A79" s="60"/>
      <c r="B79" s="57"/>
      <c r="C79" s="57"/>
      <c r="D79" s="57"/>
      <c r="E79" s="57"/>
      <c r="F79" s="59"/>
      <c r="G79" s="16"/>
    </row>
    <row r="80" spans="1:7">
      <c r="A80" s="60"/>
      <c r="B80" s="57"/>
      <c r="C80" s="57"/>
      <c r="D80" s="57"/>
      <c r="E80" s="57"/>
      <c r="F80" s="59"/>
      <c r="G80" s="16"/>
    </row>
    <row r="81" spans="1:7">
      <c r="A81" s="60"/>
      <c r="B81" s="57"/>
      <c r="C81" s="57"/>
      <c r="D81" s="57"/>
      <c r="E81" s="57"/>
      <c r="F81" s="59"/>
      <c r="G81" s="16"/>
    </row>
    <row r="82" spans="1:7">
      <c r="A82" s="60"/>
      <c r="B82" s="57"/>
      <c r="C82" s="57"/>
      <c r="D82" s="57"/>
      <c r="E82" s="57"/>
      <c r="F82" s="59"/>
      <c r="G82" s="16"/>
    </row>
    <row r="83" spans="1:7">
      <c r="A83" s="60"/>
      <c r="B83" s="57"/>
      <c r="C83" s="57"/>
      <c r="D83" s="57"/>
      <c r="E83" s="57"/>
      <c r="F83" s="59"/>
      <c r="G83" s="16"/>
    </row>
    <row r="84" spans="1:7">
      <c r="A84" s="60"/>
      <c r="B84" s="57"/>
      <c r="C84" s="57"/>
      <c r="D84" s="57"/>
      <c r="E84" s="57"/>
      <c r="F84" s="59"/>
      <c r="G84" s="16"/>
    </row>
    <row r="85" spans="1:7">
      <c r="A85" s="60"/>
      <c r="B85" s="57"/>
      <c r="C85" s="57"/>
      <c r="D85" s="57"/>
      <c r="E85" s="57"/>
      <c r="F85" s="59"/>
      <c r="G85" s="16"/>
    </row>
  </sheetData>
  <mergeCells count="8">
    <mergeCell ref="B1:H1"/>
    <mergeCell ref="H2:H5"/>
    <mergeCell ref="A2:A5"/>
    <mergeCell ref="B2:E2"/>
    <mergeCell ref="F2:F5"/>
    <mergeCell ref="G2:G5"/>
    <mergeCell ref="B3:C4"/>
    <mergeCell ref="D3:E4"/>
  </mergeCells>
  <pageMargins left="0" right="0" top="0.75" bottom="0.75" header="0.3" footer="0.3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F9DE7-D104-4A8C-935B-3D4D64CE2DD7}">
  <dimension ref="A1:L83"/>
  <sheetViews>
    <sheetView zoomScaleNormal="100" workbookViewId="0">
      <pane ySplit="3" topLeftCell="A15" activePane="bottomLeft" state="frozen"/>
      <selection pane="bottomLeft" activeCell="N18" sqref="N18"/>
    </sheetView>
  </sheetViews>
  <sheetFormatPr defaultRowHeight="15"/>
  <cols>
    <col min="1" max="1" width="10.7109375" style="57" customWidth="1"/>
    <col min="2" max="2" width="12.7109375" style="16" customWidth="1"/>
    <col min="3" max="6" width="12.7109375" style="59" customWidth="1"/>
    <col min="7" max="9" width="12.7109375" style="16" customWidth="1"/>
    <col min="10" max="12" width="12.7109375" style="61" customWidth="1"/>
    <col min="13" max="13" width="12.7109375" style="16" customWidth="1"/>
    <col min="14" max="16384" width="9.140625" style="16"/>
  </cols>
  <sheetData>
    <row r="1" spans="1:12" ht="30" customHeight="1">
      <c r="A1" s="153" t="s">
        <v>14</v>
      </c>
      <c r="B1" s="158" t="s">
        <v>24</v>
      </c>
      <c r="C1" s="159"/>
      <c r="D1" s="160"/>
      <c r="E1" s="161" t="s">
        <v>25</v>
      </c>
      <c r="F1" s="159"/>
      <c r="G1" s="159"/>
      <c r="H1" s="159"/>
      <c r="I1" s="160"/>
      <c r="J1" s="161" t="s">
        <v>26</v>
      </c>
      <c r="K1" s="159"/>
      <c r="L1" s="162"/>
    </row>
    <row r="2" spans="1:12" ht="27" customHeight="1">
      <c r="A2" s="157"/>
      <c r="B2" s="163"/>
      <c r="C2" s="164"/>
      <c r="D2" s="165"/>
      <c r="E2" s="163"/>
      <c r="F2" s="164"/>
      <c r="G2" s="164"/>
      <c r="H2" s="164"/>
      <c r="I2" s="165"/>
      <c r="J2" s="163"/>
      <c r="K2" s="164"/>
      <c r="L2" s="165"/>
    </row>
    <row r="3" spans="1:12" ht="59.25" customHeight="1">
      <c r="A3" s="93" t="s">
        <v>15</v>
      </c>
      <c r="B3" s="17" t="s">
        <v>22</v>
      </c>
      <c r="C3" s="18" t="s">
        <v>27</v>
      </c>
      <c r="D3" s="19" t="s">
        <v>28</v>
      </c>
      <c r="E3" s="90" t="s">
        <v>22</v>
      </c>
      <c r="F3" s="20" t="s">
        <v>23</v>
      </c>
      <c r="G3" s="21" t="s">
        <v>29</v>
      </c>
      <c r="H3" s="21" t="s">
        <v>30</v>
      </c>
      <c r="I3" s="89" t="s">
        <v>31</v>
      </c>
      <c r="J3" s="17" t="s">
        <v>22</v>
      </c>
      <c r="K3" s="21" t="s">
        <v>27</v>
      </c>
      <c r="L3" s="22" t="s">
        <v>32</v>
      </c>
    </row>
    <row r="4" spans="1:12" ht="17.25" hidden="1" customHeight="1">
      <c r="A4" s="23"/>
      <c r="B4" s="24"/>
      <c r="C4" s="25"/>
      <c r="D4" s="26"/>
      <c r="E4" s="27"/>
      <c r="F4" s="28"/>
      <c r="G4" s="29"/>
      <c r="H4" s="29"/>
      <c r="I4" s="30"/>
      <c r="J4" s="31"/>
      <c r="K4" s="32"/>
      <c r="L4" s="33"/>
    </row>
    <row r="5" spans="1:12" ht="32.450000000000003" customHeight="1">
      <c r="A5" s="91">
        <v>31</v>
      </c>
      <c r="B5" s="91">
        <v>7007139</v>
      </c>
      <c r="C5" s="105">
        <f>B6-B5</f>
        <v>1119</v>
      </c>
      <c r="D5" s="34">
        <f>C5*0.21186441</f>
        <v>237.07627479000001</v>
      </c>
      <c r="E5" s="35">
        <v>556695</v>
      </c>
      <c r="F5" s="106">
        <f>E6-E5</f>
        <v>221</v>
      </c>
      <c r="G5" s="36">
        <f>F5*0.84746</f>
        <v>187.28865999999999</v>
      </c>
      <c r="H5" s="36">
        <f>F5*0.84746</f>
        <v>187.28865999999999</v>
      </c>
      <c r="I5" s="92">
        <f>G5+H5</f>
        <v>374.57731999999999</v>
      </c>
      <c r="J5" s="37">
        <f>5000+6350</f>
        <v>11350</v>
      </c>
      <c r="K5" s="38">
        <f>J5-J6</f>
        <v>240</v>
      </c>
      <c r="L5" s="39">
        <f>K5*0.7</f>
        <v>168</v>
      </c>
    </row>
    <row r="6" spans="1:12" ht="32.450000000000003" customHeight="1">
      <c r="A6" s="40">
        <v>1</v>
      </c>
      <c r="B6" s="91">
        <v>7008258</v>
      </c>
      <c r="C6" s="53">
        <f t="shared" ref="C6:C15" si="0">B7-B6</f>
        <v>1487</v>
      </c>
      <c r="D6" s="41">
        <f>C6*0.21186441</f>
        <v>315.04237767000001</v>
      </c>
      <c r="E6" s="42">
        <v>556916</v>
      </c>
      <c r="F6" s="54">
        <f t="shared" ref="F6:F15" si="1">E7-E6</f>
        <v>259</v>
      </c>
      <c r="G6" s="43">
        <f>F6*0.84746</f>
        <v>219.49214000000001</v>
      </c>
      <c r="H6" s="43">
        <f>F6*0.84746</f>
        <v>219.49214000000001</v>
      </c>
      <c r="I6" s="44">
        <f t="shared" ref="I6:I36" si="2">G6+H6</f>
        <v>438.98428000000001</v>
      </c>
      <c r="J6" s="37">
        <f>4760+6350</f>
        <v>11110</v>
      </c>
      <c r="K6" s="38">
        <f t="shared" ref="K6:K35" si="3">J6-J7</f>
        <v>0</v>
      </c>
      <c r="L6" s="39">
        <f>K6*0.7</f>
        <v>0</v>
      </c>
    </row>
    <row r="7" spans="1:12" ht="32.450000000000003" customHeight="1">
      <c r="A7" s="45">
        <v>2</v>
      </c>
      <c r="B7" s="45">
        <v>7009745</v>
      </c>
      <c r="C7" s="55">
        <f t="shared" si="0"/>
        <v>1159</v>
      </c>
      <c r="D7" s="46">
        <f>C7*0.21186441</f>
        <v>245.55085119</v>
      </c>
      <c r="E7" s="47">
        <v>557175</v>
      </c>
      <c r="F7" s="56">
        <f t="shared" si="1"/>
        <v>234</v>
      </c>
      <c r="G7" s="48">
        <f t="shared" ref="G7:G36" si="4">F7*0.84746</f>
        <v>198.30564000000001</v>
      </c>
      <c r="H7" s="48">
        <f t="shared" ref="H7:H36" si="5">F7*0.84746</f>
        <v>198.30564000000001</v>
      </c>
      <c r="I7" s="49">
        <f t="shared" si="2"/>
        <v>396.61128000000002</v>
      </c>
      <c r="J7" s="37">
        <f>4760+6350</f>
        <v>11110</v>
      </c>
      <c r="K7" s="38">
        <f t="shared" si="3"/>
        <v>-200</v>
      </c>
      <c r="L7" s="39">
        <f t="shared" ref="L7:L34" si="6">K7*0.7</f>
        <v>-140</v>
      </c>
    </row>
    <row r="8" spans="1:12" ht="32.450000000000003" customHeight="1">
      <c r="A8" s="40">
        <v>3</v>
      </c>
      <c r="B8" s="40">
        <v>7010904</v>
      </c>
      <c r="C8" s="53">
        <f t="shared" si="0"/>
        <v>1270</v>
      </c>
      <c r="D8" s="46">
        <f t="shared" ref="D8:D36" si="7">C8*0.21186441</f>
        <v>269.06780070000002</v>
      </c>
      <c r="E8" s="47">
        <v>557409</v>
      </c>
      <c r="F8" s="54">
        <f t="shared" si="1"/>
        <v>220</v>
      </c>
      <c r="G8" s="43">
        <f t="shared" si="4"/>
        <v>186.44120000000001</v>
      </c>
      <c r="H8" s="43">
        <f t="shared" si="5"/>
        <v>186.44120000000001</v>
      </c>
      <c r="I8" s="49">
        <f t="shared" si="2"/>
        <v>372.88240000000002</v>
      </c>
      <c r="J8" s="37">
        <f>4960+6350</f>
        <v>11310</v>
      </c>
      <c r="K8" s="38">
        <f t="shared" si="3"/>
        <v>0</v>
      </c>
      <c r="L8" s="39">
        <f t="shared" si="6"/>
        <v>0</v>
      </c>
    </row>
    <row r="9" spans="1:12" ht="32.450000000000003" customHeight="1">
      <c r="A9" s="45">
        <v>4</v>
      </c>
      <c r="B9" s="45">
        <v>7012174</v>
      </c>
      <c r="C9" s="55">
        <f t="shared" si="0"/>
        <v>1379</v>
      </c>
      <c r="D9" s="46">
        <f t="shared" si="7"/>
        <v>292.16102139000003</v>
      </c>
      <c r="E9" s="47">
        <v>557629</v>
      </c>
      <c r="F9" s="56">
        <f t="shared" si="1"/>
        <v>298</v>
      </c>
      <c r="G9" s="48">
        <f t="shared" si="4"/>
        <v>252.54308</v>
      </c>
      <c r="H9" s="48">
        <f t="shared" si="5"/>
        <v>252.54308</v>
      </c>
      <c r="I9" s="49">
        <f t="shared" si="2"/>
        <v>505.08616000000001</v>
      </c>
      <c r="J9" s="37">
        <f>4960+6350</f>
        <v>11310</v>
      </c>
      <c r="K9" s="38">
        <f t="shared" si="3"/>
        <v>0</v>
      </c>
      <c r="L9" s="39">
        <f t="shared" si="6"/>
        <v>0</v>
      </c>
    </row>
    <row r="10" spans="1:12" ht="32.450000000000003" customHeight="1">
      <c r="A10" s="40">
        <v>5</v>
      </c>
      <c r="B10" s="40">
        <v>7013553</v>
      </c>
      <c r="C10" s="53">
        <f t="shared" si="0"/>
        <v>1287</v>
      </c>
      <c r="D10" s="46">
        <f t="shared" si="7"/>
        <v>272.66949567</v>
      </c>
      <c r="E10" s="47">
        <v>557927</v>
      </c>
      <c r="F10" s="54">
        <f t="shared" si="1"/>
        <v>270</v>
      </c>
      <c r="G10" s="43">
        <f t="shared" si="4"/>
        <v>228.8142</v>
      </c>
      <c r="H10" s="43">
        <f t="shared" si="5"/>
        <v>228.8142</v>
      </c>
      <c r="I10" s="49">
        <f t="shared" si="2"/>
        <v>457.6284</v>
      </c>
      <c r="J10" s="37">
        <f>4960+6350</f>
        <v>11310</v>
      </c>
      <c r="K10" s="38">
        <f t="shared" si="3"/>
        <v>100</v>
      </c>
      <c r="L10" s="39">
        <f t="shared" si="6"/>
        <v>70</v>
      </c>
    </row>
    <row r="11" spans="1:12" ht="32.450000000000003" customHeight="1">
      <c r="A11" s="45">
        <v>6</v>
      </c>
      <c r="B11" s="45">
        <v>7014840</v>
      </c>
      <c r="C11" s="55">
        <f t="shared" si="0"/>
        <v>1518</v>
      </c>
      <c r="D11" s="46">
        <f t="shared" si="7"/>
        <v>321.61017437999999</v>
      </c>
      <c r="E11" s="47">
        <v>558197</v>
      </c>
      <c r="F11" s="56">
        <f t="shared" si="1"/>
        <v>265</v>
      </c>
      <c r="G11" s="48">
        <f t="shared" si="4"/>
        <v>224.57689999999999</v>
      </c>
      <c r="H11" s="48">
        <f t="shared" si="5"/>
        <v>224.57689999999999</v>
      </c>
      <c r="I11" s="49">
        <f t="shared" si="2"/>
        <v>449.15379999999999</v>
      </c>
      <c r="J11" s="37">
        <f>4860+6350</f>
        <v>11210</v>
      </c>
      <c r="K11" s="38">
        <f t="shared" si="3"/>
        <v>0</v>
      </c>
      <c r="L11" s="39">
        <f t="shared" si="6"/>
        <v>0</v>
      </c>
    </row>
    <row r="12" spans="1:12" ht="32.450000000000003" customHeight="1">
      <c r="A12" s="40">
        <v>7</v>
      </c>
      <c r="B12" s="40">
        <v>7016358</v>
      </c>
      <c r="C12" s="53">
        <f t="shared" si="0"/>
        <v>1621</v>
      </c>
      <c r="D12" s="46">
        <f t="shared" si="7"/>
        <v>343.43220861000003</v>
      </c>
      <c r="E12" s="47">
        <v>558462</v>
      </c>
      <c r="F12" s="54">
        <f t="shared" si="1"/>
        <v>275</v>
      </c>
      <c r="G12" s="43">
        <f t="shared" si="4"/>
        <v>233.0515</v>
      </c>
      <c r="H12" s="43">
        <f t="shared" si="5"/>
        <v>233.0515</v>
      </c>
      <c r="I12" s="49">
        <f t="shared" si="2"/>
        <v>466.10300000000001</v>
      </c>
      <c r="J12" s="37">
        <f>4860+6350</f>
        <v>11210</v>
      </c>
      <c r="K12" s="38">
        <f t="shared" si="3"/>
        <v>0</v>
      </c>
      <c r="L12" s="39">
        <f t="shared" si="6"/>
        <v>0</v>
      </c>
    </row>
    <row r="13" spans="1:12" ht="32.450000000000003" customHeight="1">
      <c r="A13" s="45">
        <v>8</v>
      </c>
      <c r="B13" s="45">
        <v>7017979</v>
      </c>
      <c r="C13" s="55">
        <f t="shared" si="0"/>
        <v>1604</v>
      </c>
      <c r="D13" s="46">
        <f t="shared" si="7"/>
        <v>339.83051363999999</v>
      </c>
      <c r="E13" s="47">
        <v>558737</v>
      </c>
      <c r="F13" s="56">
        <f t="shared" si="1"/>
        <v>285</v>
      </c>
      <c r="G13" s="48">
        <f t="shared" si="4"/>
        <v>241.52609999999999</v>
      </c>
      <c r="H13" s="48">
        <f t="shared" si="5"/>
        <v>241.52609999999999</v>
      </c>
      <c r="I13" s="49">
        <f t="shared" si="2"/>
        <v>483.05219999999997</v>
      </c>
      <c r="J13" s="37">
        <f>4860+6350</f>
        <v>11210</v>
      </c>
      <c r="K13" s="38">
        <f>J13-J14</f>
        <v>0</v>
      </c>
      <c r="L13" s="39">
        <f t="shared" si="6"/>
        <v>0</v>
      </c>
    </row>
    <row r="14" spans="1:12" ht="32.450000000000003" customHeight="1">
      <c r="A14" s="40">
        <v>9</v>
      </c>
      <c r="B14" s="40">
        <v>7019583</v>
      </c>
      <c r="C14" s="53">
        <f t="shared" si="0"/>
        <v>1462</v>
      </c>
      <c r="D14" s="46">
        <f t="shared" si="7"/>
        <v>309.74576741999999</v>
      </c>
      <c r="E14" s="47">
        <v>559022</v>
      </c>
      <c r="F14" s="54">
        <f t="shared" si="1"/>
        <v>246</v>
      </c>
      <c r="G14" s="48">
        <f t="shared" si="4"/>
        <v>208.47515999999999</v>
      </c>
      <c r="H14" s="43">
        <f t="shared" si="5"/>
        <v>208.47515999999999</v>
      </c>
      <c r="I14" s="49">
        <f t="shared" si="2"/>
        <v>416.95031999999998</v>
      </c>
      <c r="J14" s="37">
        <f>4860+6350</f>
        <v>11210</v>
      </c>
      <c r="K14" s="38">
        <f>J14-J15</f>
        <v>140</v>
      </c>
      <c r="L14" s="39">
        <f t="shared" si="6"/>
        <v>98</v>
      </c>
    </row>
    <row r="15" spans="1:12" ht="32.450000000000003" customHeight="1">
      <c r="A15" s="45">
        <v>10</v>
      </c>
      <c r="B15" s="45">
        <v>7021045</v>
      </c>
      <c r="C15" s="55">
        <f t="shared" si="0"/>
        <v>1548</v>
      </c>
      <c r="D15" s="46">
        <f t="shared" si="7"/>
        <v>327.96610668</v>
      </c>
      <c r="E15" s="47">
        <v>559268</v>
      </c>
      <c r="F15" s="56">
        <f t="shared" si="1"/>
        <v>316</v>
      </c>
      <c r="G15" s="48">
        <f t="shared" si="4"/>
        <v>267.79735999999997</v>
      </c>
      <c r="H15" s="48">
        <f t="shared" si="5"/>
        <v>267.79735999999997</v>
      </c>
      <c r="I15" s="49">
        <f t="shared" si="2"/>
        <v>535.59471999999994</v>
      </c>
      <c r="J15" s="37">
        <f>4720+6350</f>
        <v>11070</v>
      </c>
      <c r="K15" s="38">
        <f>J15-J16</f>
        <v>-40</v>
      </c>
      <c r="L15" s="39">
        <f t="shared" si="6"/>
        <v>-28</v>
      </c>
    </row>
    <row r="16" spans="1:12" ht="32.450000000000003" customHeight="1">
      <c r="A16" s="40">
        <v>11</v>
      </c>
      <c r="B16" s="40">
        <v>7022593</v>
      </c>
      <c r="C16" s="53">
        <f>B17-B16</f>
        <v>1421</v>
      </c>
      <c r="D16" s="46">
        <f t="shared" si="7"/>
        <v>301.05932661000003</v>
      </c>
      <c r="E16" s="47">
        <v>559584</v>
      </c>
      <c r="F16" s="54">
        <f>E17-E16</f>
        <v>273</v>
      </c>
      <c r="G16" s="43">
        <f t="shared" si="4"/>
        <v>231.35658000000001</v>
      </c>
      <c r="H16" s="43">
        <f t="shared" si="5"/>
        <v>231.35658000000001</v>
      </c>
      <c r="I16" s="49">
        <f t="shared" si="2"/>
        <v>462.71316000000002</v>
      </c>
      <c r="J16" s="37">
        <f>4760+6350</f>
        <v>11110</v>
      </c>
      <c r="K16" s="38">
        <f t="shared" si="3"/>
        <v>0</v>
      </c>
      <c r="L16" s="39">
        <f t="shared" si="6"/>
        <v>0</v>
      </c>
    </row>
    <row r="17" spans="1:12" ht="32.450000000000003" customHeight="1">
      <c r="A17" s="45">
        <v>12</v>
      </c>
      <c r="B17" s="45">
        <v>7024014</v>
      </c>
      <c r="C17" s="55">
        <f t="shared" ref="C17:C35" si="8">B18-B17</f>
        <v>1442</v>
      </c>
      <c r="D17" s="46">
        <f t="shared" si="7"/>
        <v>305.50847922000003</v>
      </c>
      <c r="E17" s="47">
        <v>559857</v>
      </c>
      <c r="F17" s="56">
        <f t="shared" ref="F17:F35" si="9">E18-E17</f>
        <v>287</v>
      </c>
      <c r="G17" s="48">
        <f t="shared" si="4"/>
        <v>243.22102000000001</v>
      </c>
      <c r="H17" s="48">
        <f t="shared" si="5"/>
        <v>243.22102000000001</v>
      </c>
      <c r="I17" s="49">
        <f t="shared" si="2"/>
        <v>486.44204000000002</v>
      </c>
      <c r="J17" s="37">
        <f>4760+6350</f>
        <v>11110</v>
      </c>
      <c r="K17" s="38">
        <f t="shared" si="3"/>
        <v>0</v>
      </c>
      <c r="L17" s="39">
        <f t="shared" si="6"/>
        <v>0</v>
      </c>
    </row>
    <row r="18" spans="1:12" ht="32.450000000000003" customHeight="1">
      <c r="A18" s="40">
        <v>13</v>
      </c>
      <c r="B18" s="40">
        <v>7025456</v>
      </c>
      <c r="C18" s="53">
        <f t="shared" si="8"/>
        <v>1352</v>
      </c>
      <c r="D18" s="46">
        <f t="shared" si="7"/>
        <v>286.44068232000001</v>
      </c>
      <c r="E18" s="51">
        <v>560144</v>
      </c>
      <c r="F18" s="54">
        <f t="shared" si="9"/>
        <v>289</v>
      </c>
      <c r="G18" s="43">
        <f t="shared" si="4"/>
        <v>244.91594000000001</v>
      </c>
      <c r="H18" s="43">
        <f t="shared" si="5"/>
        <v>244.91594000000001</v>
      </c>
      <c r="I18" s="49">
        <f t="shared" si="2"/>
        <v>489.83188000000001</v>
      </c>
      <c r="J18" s="37">
        <f>4760+6350</f>
        <v>11110</v>
      </c>
      <c r="K18" s="38">
        <f t="shared" si="3"/>
        <v>0</v>
      </c>
      <c r="L18" s="39">
        <f t="shared" si="6"/>
        <v>0</v>
      </c>
    </row>
    <row r="19" spans="1:12" ht="32.450000000000003" customHeight="1">
      <c r="A19" s="45">
        <v>14</v>
      </c>
      <c r="B19" s="45">
        <v>7026808</v>
      </c>
      <c r="C19" s="55">
        <f t="shared" si="8"/>
        <v>-7026808</v>
      </c>
      <c r="D19" s="46">
        <f t="shared" si="7"/>
        <v>-1488730.5311032799</v>
      </c>
      <c r="E19" s="52">
        <v>560433</v>
      </c>
      <c r="F19" s="56">
        <f t="shared" si="9"/>
        <v>-560433</v>
      </c>
      <c r="G19" s="48">
        <f t="shared" si="4"/>
        <v>-474944.55018000002</v>
      </c>
      <c r="H19" s="48">
        <f t="shared" si="5"/>
        <v>-474944.55018000002</v>
      </c>
      <c r="I19" s="49">
        <f t="shared" si="2"/>
        <v>-949889.10036000004</v>
      </c>
      <c r="J19" s="37">
        <f>4760+6350</f>
        <v>11110</v>
      </c>
      <c r="K19" s="38">
        <f t="shared" si="3"/>
        <v>11110</v>
      </c>
      <c r="L19" s="39">
        <f t="shared" si="6"/>
        <v>7776.9999999999991</v>
      </c>
    </row>
    <row r="20" spans="1:12" ht="32.450000000000003" customHeight="1">
      <c r="A20" s="40">
        <v>15</v>
      </c>
      <c r="B20" s="40"/>
      <c r="C20" s="53">
        <f t="shared" si="8"/>
        <v>0</v>
      </c>
      <c r="D20" s="46">
        <f t="shared" si="7"/>
        <v>0</v>
      </c>
      <c r="E20" s="51"/>
      <c r="F20" s="54">
        <f t="shared" si="9"/>
        <v>0</v>
      </c>
      <c r="G20" s="43">
        <f t="shared" si="4"/>
        <v>0</v>
      </c>
      <c r="H20" s="43">
        <f t="shared" si="5"/>
        <v>0</v>
      </c>
      <c r="I20" s="49">
        <f t="shared" si="2"/>
        <v>0</v>
      </c>
      <c r="J20" s="50"/>
      <c r="K20" s="38">
        <f t="shared" si="3"/>
        <v>0</v>
      </c>
      <c r="L20" s="39">
        <f t="shared" si="6"/>
        <v>0</v>
      </c>
    </row>
    <row r="21" spans="1:12" ht="32.450000000000003" customHeight="1">
      <c r="A21" s="45">
        <v>16</v>
      </c>
      <c r="B21" s="86"/>
      <c r="C21" s="55">
        <f t="shared" si="8"/>
        <v>0</v>
      </c>
      <c r="D21" s="46">
        <f t="shared" si="7"/>
        <v>0</v>
      </c>
      <c r="E21" s="87"/>
      <c r="F21" s="56">
        <f t="shared" si="9"/>
        <v>0</v>
      </c>
      <c r="G21" s="48">
        <f t="shared" si="4"/>
        <v>0</v>
      </c>
      <c r="H21" s="48">
        <f t="shared" si="5"/>
        <v>0</v>
      </c>
      <c r="I21" s="49">
        <f t="shared" si="2"/>
        <v>0</v>
      </c>
      <c r="J21" s="88"/>
      <c r="K21" s="38">
        <f t="shared" si="3"/>
        <v>0</v>
      </c>
      <c r="L21" s="39">
        <f t="shared" si="6"/>
        <v>0</v>
      </c>
    </row>
    <row r="22" spans="1:12" ht="32.450000000000003" customHeight="1">
      <c r="A22" s="40">
        <v>17</v>
      </c>
      <c r="B22" s="40"/>
      <c r="C22" s="53">
        <f t="shared" si="8"/>
        <v>0</v>
      </c>
      <c r="D22" s="46">
        <f t="shared" si="7"/>
        <v>0</v>
      </c>
      <c r="E22" s="52"/>
      <c r="F22" s="54">
        <f t="shared" si="9"/>
        <v>0</v>
      </c>
      <c r="G22" s="43">
        <f t="shared" si="4"/>
        <v>0</v>
      </c>
      <c r="H22" s="43">
        <f t="shared" si="5"/>
        <v>0</v>
      </c>
      <c r="I22" s="49">
        <f t="shared" si="2"/>
        <v>0</v>
      </c>
      <c r="J22" s="50"/>
      <c r="K22" s="38">
        <f t="shared" si="3"/>
        <v>0</v>
      </c>
      <c r="L22" s="39">
        <f t="shared" si="6"/>
        <v>0</v>
      </c>
    </row>
    <row r="23" spans="1:12" ht="32.450000000000003" customHeight="1">
      <c r="A23" s="45">
        <v>18</v>
      </c>
      <c r="B23" s="45"/>
      <c r="C23" s="55">
        <f t="shared" si="8"/>
        <v>0</v>
      </c>
      <c r="D23" s="46">
        <f t="shared" si="7"/>
        <v>0</v>
      </c>
      <c r="E23" s="52"/>
      <c r="F23" s="56">
        <f t="shared" si="9"/>
        <v>0</v>
      </c>
      <c r="G23" s="48">
        <f t="shared" si="4"/>
        <v>0</v>
      </c>
      <c r="H23" s="48">
        <f t="shared" si="5"/>
        <v>0</v>
      </c>
      <c r="I23" s="49">
        <f t="shared" si="2"/>
        <v>0</v>
      </c>
      <c r="J23" s="50"/>
      <c r="K23" s="38">
        <f t="shared" si="3"/>
        <v>0</v>
      </c>
      <c r="L23" s="39">
        <f t="shared" si="6"/>
        <v>0</v>
      </c>
    </row>
    <row r="24" spans="1:12" ht="32.450000000000003" customHeight="1">
      <c r="A24" s="40">
        <v>19</v>
      </c>
      <c r="B24" s="40"/>
      <c r="C24" s="53">
        <f t="shared" si="8"/>
        <v>0</v>
      </c>
      <c r="D24" s="46">
        <f t="shared" si="7"/>
        <v>0</v>
      </c>
      <c r="E24" s="52"/>
      <c r="F24" s="54">
        <f t="shared" si="9"/>
        <v>0</v>
      </c>
      <c r="G24" s="43">
        <f t="shared" si="4"/>
        <v>0</v>
      </c>
      <c r="H24" s="43">
        <f t="shared" si="5"/>
        <v>0</v>
      </c>
      <c r="I24" s="49">
        <f t="shared" si="2"/>
        <v>0</v>
      </c>
      <c r="J24" s="50"/>
      <c r="K24" s="38">
        <f t="shared" si="3"/>
        <v>0</v>
      </c>
      <c r="L24" s="39">
        <f t="shared" si="6"/>
        <v>0</v>
      </c>
    </row>
    <row r="25" spans="1:12" ht="32.450000000000003" customHeight="1">
      <c r="A25" s="45">
        <v>20</v>
      </c>
      <c r="B25" s="45"/>
      <c r="C25" s="55">
        <f t="shared" si="8"/>
        <v>0</v>
      </c>
      <c r="D25" s="46">
        <f t="shared" si="7"/>
        <v>0</v>
      </c>
      <c r="E25" s="52"/>
      <c r="F25" s="56">
        <f t="shared" si="9"/>
        <v>0</v>
      </c>
      <c r="G25" s="48">
        <f t="shared" si="4"/>
        <v>0</v>
      </c>
      <c r="H25" s="48">
        <f t="shared" si="5"/>
        <v>0</v>
      </c>
      <c r="I25" s="49">
        <f t="shared" si="2"/>
        <v>0</v>
      </c>
      <c r="J25" s="50"/>
      <c r="K25" s="38">
        <f t="shared" si="3"/>
        <v>0</v>
      </c>
      <c r="L25" s="39">
        <f t="shared" si="6"/>
        <v>0</v>
      </c>
    </row>
    <row r="26" spans="1:12" ht="32.450000000000003" customHeight="1">
      <c r="A26" s="40">
        <v>21</v>
      </c>
      <c r="B26" s="40"/>
      <c r="C26" s="53">
        <f t="shared" si="8"/>
        <v>0</v>
      </c>
      <c r="D26" s="46">
        <f t="shared" si="7"/>
        <v>0</v>
      </c>
      <c r="E26" s="52"/>
      <c r="F26" s="54">
        <f t="shared" si="9"/>
        <v>0</v>
      </c>
      <c r="G26" s="43">
        <f t="shared" si="4"/>
        <v>0</v>
      </c>
      <c r="H26" s="43">
        <f t="shared" si="5"/>
        <v>0</v>
      </c>
      <c r="I26" s="49">
        <f t="shared" si="2"/>
        <v>0</v>
      </c>
      <c r="J26" s="50"/>
      <c r="K26" s="38">
        <f t="shared" si="3"/>
        <v>0</v>
      </c>
      <c r="L26" s="39">
        <f t="shared" si="6"/>
        <v>0</v>
      </c>
    </row>
    <row r="27" spans="1:12" ht="32.450000000000003" customHeight="1">
      <c r="A27" s="45">
        <v>22</v>
      </c>
      <c r="B27" s="45"/>
      <c r="C27" s="55">
        <f t="shared" si="8"/>
        <v>0</v>
      </c>
      <c r="D27" s="46">
        <f t="shared" si="7"/>
        <v>0</v>
      </c>
      <c r="E27" s="52"/>
      <c r="F27" s="56">
        <f t="shared" si="9"/>
        <v>0</v>
      </c>
      <c r="G27" s="48">
        <f t="shared" si="4"/>
        <v>0</v>
      </c>
      <c r="H27" s="48">
        <f t="shared" si="5"/>
        <v>0</v>
      </c>
      <c r="I27" s="49">
        <f t="shared" si="2"/>
        <v>0</v>
      </c>
      <c r="J27" s="50"/>
      <c r="K27" s="38">
        <f t="shared" si="3"/>
        <v>0</v>
      </c>
      <c r="L27" s="39">
        <f t="shared" si="6"/>
        <v>0</v>
      </c>
    </row>
    <row r="28" spans="1:12" ht="32.450000000000003" customHeight="1">
      <c r="A28" s="40">
        <v>23</v>
      </c>
      <c r="B28" s="40"/>
      <c r="C28" s="53">
        <f t="shared" si="8"/>
        <v>0</v>
      </c>
      <c r="D28" s="46">
        <f t="shared" si="7"/>
        <v>0</v>
      </c>
      <c r="E28" s="52"/>
      <c r="F28" s="54">
        <f t="shared" si="9"/>
        <v>0</v>
      </c>
      <c r="G28" s="43">
        <f t="shared" si="4"/>
        <v>0</v>
      </c>
      <c r="H28" s="43">
        <f t="shared" si="5"/>
        <v>0</v>
      </c>
      <c r="I28" s="49">
        <f t="shared" si="2"/>
        <v>0</v>
      </c>
      <c r="J28" s="50"/>
      <c r="K28" s="38">
        <f t="shared" si="3"/>
        <v>0</v>
      </c>
      <c r="L28" s="39">
        <f t="shared" si="6"/>
        <v>0</v>
      </c>
    </row>
    <row r="29" spans="1:12" ht="32.450000000000003" customHeight="1">
      <c r="A29" s="45">
        <v>24</v>
      </c>
      <c r="B29" s="45"/>
      <c r="C29" s="55">
        <f t="shared" si="8"/>
        <v>0</v>
      </c>
      <c r="D29" s="46">
        <f t="shared" si="7"/>
        <v>0</v>
      </c>
      <c r="E29" s="52"/>
      <c r="F29" s="56">
        <f t="shared" si="9"/>
        <v>0</v>
      </c>
      <c r="G29" s="48">
        <f t="shared" si="4"/>
        <v>0</v>
      </c>
      <c r="H29" s="48">
        <f t="shared" si="5"/>
        <v>0</v>
      </c>
      <c r="I29" s="49">
        <f t="shared" si="2"/>
        <v>0</v>
      </c>
      <c r="J29" s="50"/>
      <c r="K29" s="38">
        <f t="shared" si="3"/>
        <v>0</v>
      </c>
      <c r="L29" s="39">
        <f t="shared" si="6"/>
        <v>0</v>
      </c>
    </row>
    <row r="30" spans="1:12" ht="32.450000000000003" customHeight="1">
      <c r="A30" s="40">
        <v>25</v>
      </c>
      <c r="B30" s="40"/>
      <c r="C30" s="53">
        <f t="shared" si="8"/>
        <v>0</v>
      </c>
      <c r="D30" s="46">
        <f t="shared" si="7"/>
        <v>0</v>
      </c>
      <c r="E30" s="52"/>
      <c r="F30" s="54">
        <f t="shared" si="9"/>
        <v>0</v>
      </c>
      <c r="G30" s="43">
        <f t="shared" si="4"/>
        <v>0</v>
      </c>
      <c r="H30" s="43">
        <f t="shared" si="5"/>
        <v>0</v>
      </c>
      <c r="I30" s="49">
        <f t="shared" si="2"/>
        <v>0</v>
      </c>
      <c r="J30" s="50"/>
      <c r="K30" s="38">
        <f t="shared" si="3"/>
        <v>0</v>
      </c>
      <c r="L30" s="39">
        <f t="shared" si="6"/>
        <v>0</v>
      </c>
    </row>
    <row r="31" spans="1:12" ht="32.450000000000003" customHeight="1">
      <c r="A31" s="45">
        <v>26</v>
      </c>
      <c r="B31" s="45"/>
      <c r="C31" s="55">
        <f t="shared" si="8"/>
        <v>0</v>
      </c>
      <c r="D31" s="46">
        <f t="shared" si="7"/>
        <v>0</v>
      </c>
      <c r="E31" s="52"/>
      <c r="F31" s="56">
        <f t="shared" si="9"/>
        <v>0</v>
      </c>
      <c r="G31" s="48">
        <f t="shared" si="4"/>
        <v>0</v>
      </c>
      <c r="H31" s="48">
        <f t="shared" si="5"/>
        <v>0</v>
      </c>
      <c r="I31" s="49">
        <f t="shared" si="2"/>
        <v>0</v>
      </c>
      <c r="J31" s="50"/>
      <c r="K31" s="38">
        <f t="shared" si="3"/>
        <v>0</v>
      </c>
      <c r="L31" s="39">
        <f t="shared" si="6"/>
        <v>0</v>
      </c>
    </row>
    <row r="32" spans="1:12" ht="32.450000000000003" customHeight="1">
      <c r="A32" s="40">
        <v>27</v>
      </c>
      <c r="B32" s="40"/>
      <c r="C32" s="53">
        <f t="shared" si="8"/>
        <v>0</v>
      </c>
      <c r="D32" s="46">
        <f t="shared" si="7"/>
        <v>0</v>
      </c>
      <c r="E32" s="52"/>
      <c r="F32" s="55">
        <f t="shared" si="9"/>
        <v>0</v>
      </c>
      <c r="G32" s="43">
        <f t="shared" si="4"/>
        <v>0</v>
      </c>
      <c r="H32" s="43">
        <f t="shared" si="5"/>
        <v>0</v>
      </c>
      <c r="I32" s="49">
        <f t="shared" si="2"/>
        <v>0</v>
      </c>
      <c r="J32" s="50"/>
      <c r="K32" s="38">
        <f t="shared" si="3"/>
        <v>0</v>
      </c>
      <c r="L32" s="39">
        <f t="shared" si="6"/>
        <v>0</v>
      </c>
    </row>
    <row r="33" spans="1:12" ht="32.450000000000003" customHeight="1">
      <c r="A33" s="45">
        <v>28</v>
      </c>
      <c r="B33" s="45"/>
      <c r="C33" s="55">
        <f t="shared" si="8"/>
        <v>0</v>
      </c>
      <c r="D33" s="46">
        <f t="shared" si="7"/>
        <v>0</v>
      </c>
      <c r="E33" s="52"/>
      <c r="F33" s="54">
        <f t="shared" si="9"/>
        <v>0</v>
      </c>
      <c r="G33" s="48">
        <f t="shared" si="4"/>
        <v>0</v>
      </c>
      <c r="H33" s="48">
        <f t="shared" si="5"/>
        <v>0</v>
      </c>
      <c r="I33" s="49">
        <f t="shared" si="2"/>
        <v>0</v>
      </c>
      <c r="J33" s="50"/>
      <c r="K33" s="38">
        <f t="shared" si="3"/>
        <v>0</v>
      </c>
      <c r="L33" s="39">
        <f t="shared" si="6"/>
        <v>0</v>
      </c>
    </row>
    <row r="34" spans="1:12" ht="32.450000000000003" customHeight="1">
      <c r="A34" s="40">
        <v>29</v>
      </c>
      <c r="B34" s="40"/>
      <c r="C34" s="55">
        <f t="shared" si="8"/>
        <v>0</v>
      </c>
      <c r="D34" s="46">
        <f t="shared" si="7"/>
        <v>0</v>
      </c>
      <c r="E34" s="52"/>
      <c r="F34" s="55">
        <f t="shared" si="9"/>
        <v>0</v>
      </c>
      <c r="G34" s="43">
        <f t="shared" si="4"/>
        <v>0</v>
      </c>
      <c r="H34" s="43">
        <f t="shared" si="5"/>
        <v>0</v>
      </c>
      <c r="I34" s="49">
        <f t="shared" si="2"/>
        <v>0</v>
      </c>
      <c r="J34" s="50"/>
      <c r="K34" s="38">
        <f t="shared" si="3"/>
        <v>0</v>
      </c>
      <c r="L34" s="39">
        <f t="shared" si="6"/>
        <v>0</v>
      </c>
    </row>
    <row r="35" spans="1:12" ht="32.450000000000003" customHeight="1">
      <c r="A35" s="128">
        <v>30</v>
      </c>
      <c r="B35" s="129"/>
      <c r="C35" s="130">
        <f t="shared" si="8"/>
        <v>0</v>
      </c>
      <c r="D35" s="131">
        <f t="shared" si="7"/>
        <v>0</v>
      </c>
      <c r="E35" s="120"/>
      <c r="F35" s="130">
        <f t="shared" si="9"/>
        <v>0</v>
      </c>
      <c r="G35" s="132">
        <f t="shared" si="4"/>
        <v>0</v>
      </c>
      <c r="H35" s="132">
        <f t="shared" si="5"/>
        <v>0</v>
      </c>
      <c r="I35" s="133">
        <f t="shared" si="2"/>
        <v>0</v>
      </c>
      <c r="J35" s="134"/>
      <c r="K35" s="135">
        <f t="shared" si="3"/>
        <v>0</v>
      </c>
      <c r="L35" s="118">
        <f>K35*0.7</f>
        <v>0</v>
      </c>
    </row>
    <row r="36" spans="1:12" ht="32.450000000000003" customHeight="1">
      <c r="A36" s="108">
        <v>1</v>
      </c>
      <c r="B36" s="109"/>
      <c r="C36" s="122">
        <f t="shared" ref="C36" si="10">B37-B36</f>
        <v>0</v>
      </c>
      <c r="D36" s="123">
        <f t="shared" si="7"/>
        <v>0</v>
      </c>
      <c r="E36" s="113"/>
      <c r="F36" s="122">
        <f t="shared" ref="F36" si="11">E37-E36</f>
        <v>0</v>
      </c>
      <c r="G36" s="124">
        <f t="shared" ref="G36" si="12">F36*0.84746</f>
        <v>0</v>
      </c>
      <c r="H36" s="124">
        <f t="shared" ref="H36" si="13">F36*0.84746</f>
        <v>0</v>
      </c>
      <c r="I36" s="110">
        <f t="shared" ref="I36" si="14">G36+H36</f>
        <v>0</v>
      </c>
      <c r="J36" s="125"/>
      <c r="K36" s="126">
        <f t="shared" ref="K36" si="15">J36-J37</f>
        <v>0</v>
      </c>
      <c r="L36" s="127">
        <f>K36*0.7</f>
        <v>0</v>
      </c>
    </row>
    <row r="37" spans="1:12">
      <c r="B37" s="57"/>
      <c r="C37" s="58"/>
      <c r="D37" s="58"/>
      <c r="J37" s="57"/>
      <c r="K37" s="57"/>
      <c r="L37" s="57"/>
    </row>
    <row r="38" spans="1:12">
      <c r="B38" s="57"/>
      <c r="C38" s="58"/>
      <c r="D38" s="58"/>
      <c r="J38" s="57"/>
      <c r="K38" s="57"/>
      <c r="L38" s="57"/>
    </row>
    <row r="39" spans="1:12">
      <c r="B39" s="57"/>
      <c r="C39" s="58"/>
      <c r="D39" s="58"/>
      <c r="J39" s="57"/>
      <c r="K39" s="57"/>
      <c r="L39" s="57"/>
    </row>
    <row r="40" spans="1:12">
      <c r="B40" s="57"/>
      <c r="C40" s="58"/>
      <c r="D40" s="58"/>
      <c r="J40" s="57"/>
      <c r="K40" s="57"/>
      <c r="L40" s="57"/>
    </row>
    <row r="41" spans="1:12">
      <c r="B41" s="57"/>
      <c r="C41" s="58"/>
      <c r="D41" s="58"/>
      <c r="J41" s="57"/>
      <c r="K41" s="57"/>
      <c r="L41" s="57"/>
    </row>
    <row r="42" spans="1:12">
      <c r="B42" s="57"/>
      <c r="C42" s="58"/>
      <c r="D42" s="58"/>
      <c r="J42" s="57"/>
      <c r="K42" s="57"/>
      <c r="L42" s="57"/>
    </row>
    <row r="43" spans="1:12">
      <c r="B43" s="57"/>
      <c r="C43" s="58"/>
      <c r="D43" s="58"/>
      <c r="J43" s="57"/>
      <c r="K43" s="57"/>
      <c r="L43" s="57"/>
    </row>
    <row r="44" spans="1:12">
      <c r="B44" s="57"/>
      <c r="C44" s="58"/>
      <c r="D44" s="58"/>
      <c r="J44" s="57"/>
      <c r="K44" s="57"/>
      <c r="L44" s="57"/>
    </row>
    <row r="45" spans="1:12">
      <c r="B45" s="57"/>
      <c r="C45" s="58"/>
      <c r="D45" s="58"/>
      <c r="J45" s="57"/>
      <c r="K45" s="57"/>
      <c r="L45" s="57"/>
    </row>
    <row r="46" spans="1:12">
      <c r="B46" s="57"/>
      <c r="C46" s="58"/>
      <c r="D46" s="58"/>
      <c r="J46" s="57"/>
      <c r="K46" s="57"/>
      <c r="L46" s="57"/>
    </row>
    <row r="47" spans="1:12">
      <c r="B47" s="57"/>
      <c r="C47" s="58"/>
      <c r="D47" s="58"/>
      <c r="J47" s="57"/>
      <c r="K47" s="57"/>
      <c r="L47" s="57"/>
    </row>
    <row r="48" spans="1:12">
      <c r="B48" s="57"/>
      <c r="C48" s="58"/>
      <c r="D48" s="58"/>
      <c r="J48" s="57"/>
      <c r="K48" s="57"/>
      <c r="L48" s="57"/>
    </row>
    <row r="49" spans="1:12">
      <c r="A49" s="60"/>
      <c r="B49" s="57"/>
      <c r="C49" s="58"/>
      <c r="D49" s="58"/>
      <c r="J49" s="57"/>
      <c r="K49" s="57"/>
      <c r="L49" s="57"/>
    </row>
    <row r="50" spans="1:12">
      <c r="A50" s="60"/>
      <c r="B50" s="57"/>
      <c r="C50" s="58"/>
      <c r="D50" s="58"/>
      <c r="J50" s="57"/>
      <c r="K50" s="57"/>
      <c r="L50" s="57"/>
    </row>
    <row r="51" spans="1:12">
      <c r="A51" s="60"/>
      <c r="B51" s="57"/>
      <c r="C51" s="58"/>
      <c r="D51" s="58"/>
      <c r="J51" s="57"/>
      <c r="K51" s="57"/>
      <c r="L51" s="57"/>
    </row>
    <row r="52" spans="1:12">
      <c r="A52" s="60"/>
      <c r="B52" s="57"/>
      <c r="C52" s="58"/>
      <c r="D52" s="58"/>
      <c r="J52" s="57"/>
      <c r="K52" s="57"/>
      <c r="L52" s="57"/>
    </row>
    <row r="53" spans="1:12">
      <c r="A53" s="60"/>
      <c r="B53" s="57"/>
      <c r="C53" s="58"/>
      <c r="D53" s="58"/>
      <c r="J53" s="57"/>
      <c r="K53" s="57"/>
      <c r="L53" s="57"/>
    </row>
    <row r="54" spans="1:12">
      <c r="A54" s="60"/>
      <c r="B54" s="57"/>
      <c r="C54" s="58"/>
      <c r="D54" s="58"/>
      <c r="J54" s="57"/>
      <c r="K54" s="57"/>
      <c r="L54" s="57"/>
    </row>
    <row r="55" spans="1:12">
      <c r="A55" s="60"/>
      <c r="B55" s="57"/>
      <c r="C55" s="58"/>
      <c r="D55" s="58"/>
      <c r="J55" s="57"/>
      <c r="K55" s="57"/>
      <c r="L55" s="57"/>
    </row>
    <row r="56" spans="1:12">
      <c r="A56" s="60"/>
      <c r="B56" s="57"/>
      <c r="C56" s="58"/>
      <c r="D56" s="58"/>
      <c r="J56" s="57"/>
      <c r="K56" s="57"/>
      <c r="L56" s="57"/>
    </row>
    <row r="57" spans="1:12">
      <c r="A57" s="60"/>
      <c r="B57" s="57"/>
      <c r="C57" s="58"/>
      <c r="D57" s="58"/>
      <c r="J57" s="57"/>
      <c r="K57" s="57"/>
      <c r="L57" s="57"/>
    </row>
    <row r="58" spans="1:12">
      <c r="A58" s="60"/>
      <c r="B58" s="57"/>
      <c r="C58" s="58"/>
      <c r="D58" s="58"/>
      <c r="J58" s="57"/>
      <c r="K58" s="57"/>
      <c r="L58" s="57"/>
    </row>
    <row r="59" spans="1:12">
      <c r="A59" s="60"/>
      <c r="B59" s="57"/>
      <c r="C59" s="58"/>
      <c r="D59" s="58"/>
      <c r="J59" s="57"/>
      <c r="K59" s="57"/>
      <c r="L59" s="57"/>
    </row>
    <row r="60" spans="1:12">
      <c r="A60" s="60"/>
      <c r="B60" s="57"/>
      <c r="C60" s="58"/>
      <c r="D60" s="58"/>
      <c r="J60" s="57"/>
      <c r="K60" s="57"/>
      <c r="L60" s="57"/>
    </row>
    <row r="61" spans="1:12">
      <c r="A61" s="60"/>
      <c r="B61" s="57"/>
      <c r="C61" s="58"/>
      <c r="D61" s="58"/>
      <c r="J61" s="57"/>
      <c r="K61" s="57"/>
      <c r="L61" s="57"/>
    </row>
    <row r="62" spans="1:12">
      <c r="A62" s="60"/>
      <c r="B62" s="57"/>
      <c r="C62" s="58"/>
      <c r="D62" s="58"/>
      <c r="J62" s="57"/>
      <c r="K62" s="57"/>
      <c r="L62" s="57"/>
    </row>
    <row r="63" spans="1:12">
      <c r="A63" s="60"/>
      <c r="B63" s="57"/>
      <c r="C63" s="58"/>
      <c r="D63" s="58"/>
      <c r="J63" s="57"/>
      <c r="K63" s="57"/>
      <c r="L63" s="57"/>
    </row>
    <row r="64" spans="1:12">
      <c r="A64" s="60"/>
      <c r="B64" s="57"/>
      <c r="C64" s="58"/>
      <c r="D64" s="58"/>
      <c r="J64" s="57"/>
      <c r="K64" s="57"/>
      <c r="L64" s="57"/>
    </row>
    <row r="65" spans="1:12">
      <c r="A65" s="60"/>
      <c r="B65" s="57"/>
      <c r="C65" s="58"/>
      <c r="D65" s="58"/>
      <c r="J65" s="57"/>
      <c r="K65" s="57"/>
      <c r="L65" s="57"/>
    </row>
    <row r="66" spans="1:12">
      <c r="A66" s="60"/>
      <c r="B66" s="57"/>
      <c r="C66" s="58"/>
      <c r="D66" s="58"/>
      <c r="J66" s="57"/>
      <c r="K66" s="57"/>
      <c r="L66" s="57"/>
    </row>
    <row r="67" spans="1:12">
      <c r="A67" s="60"/>
      <c r="B67" s="57"/>
      <c r="C67" s="58"/>
      <c r="D67" s="58"/>
      <c r="J67" s="57"/>
      <c r="K67" s="57"/>
      <c r="L67" s="57"/>
    </row>
    <row r="68" spans="1:12">
      <c r="A68" s="60"/>
      <c r="B68" s="57"/>
      <c r="C68" s="58"/>
      <c r="D68" s="58"/>
      <c r="J68" s="57"/>
      <c r="K68" s="57"/>
      <c r="L68" s="57"/>
    </row>
    <row r="69" spans="1:12">
      <c r="A69" s="60"/>
      <c r="B69" s="57"/>
      <c r="C69" s="58"/>
      <c r="D69" s="58"/>
      <c r="J69" s="57"/>
      <c r="K69" s="57"/>
      <c r="L69" s="57"/>
    </row>
    <row r="70" spans="1:12">
      <c r="A70" s="60"/>
      <c r="B70" s="57"/>
      <c r="C70" s="58"/>
      <c r="D70" s="58"/>
      <c r="J70" s="57"/>
      <c r="K70" s="57"/>
      <c r="L70" s="57"/>
    </row>
    <row r="71" spans="1:12">
      <c r="A71" s="60"/>
      <c r="B71" s="57"/>
      <c r="C71" s="58"/>
      <c r="D71" s="58"/>
      <c r="J71" s="57"/>
      <c r="K71" s="57"/>
      <c r="L71" s="57"/>
    </row>
    <row r="72" spans="1:12">
      <c r="A72" s="60"/>
      <c r="B72" s="57"/>
      <c r="C72" s="58"/>
      <c r="D72" s="58"/>
      <c r="J72" s="57"/>
      <c r="K72" s="57"/>
      <c r="L72" s="57"/>
    </row>
    <row r="73" spans="1:12">
      <c r="A73" s="60"/>
      <c r="B73" s="57"/>
      <c r="C73" s="58"/>
      <c r="D73" s="58"/>
      <c r="J73" s="57"/>
      <c r="K73" s="57"/>
      <c r="L73" s="57"/>
    </row>
    <row r="74" spans="1:12">
      <c r="A74" s="60"/>
      <c r="B74" s="57"/>
      <c r="C74" s="58"/>
      <c r="D74" s="58"/>
      <c r="J74" s="57"/>
      <c r="K74" s="57"/>
      <c r="L74" s="57"/>
    </row>
    <row r="75" spans="1:12">
      <c r="A75" s="60"/>
      <c r="B75" s="57"/>
      <c r="C75" s="58"/>
      <c r="D75" s="58"/>
      <c r="J75" s="57"/>
      <c r="K75" s="57"/>
      <c r="L75" s="57"/>
    </row>
    <row r="76" spans="1:12">
      <c r="A76" s="60"/>
      <c r="B76" s="57"/>
      <c r="C76" s="58"/>
      <c r="D76" s="58"/>
      <c r="J76" s="57"/>
      <c r="K76" s="57"/>
      <c r="L76" s="57"/>
    </row>
    <row r="77" spans="1:12">
      <c r="A77" s="60"/>
      <c r="B77" s="57"/>
      <c r="C77" s="58"/>
      <c r="D77" s="58"/>
      <c r="J77" s="57"/>
      <c r="K77" s="57"/>
      <c r="L77" s="57"/>
    </row>
    <row r="78" spans="1:12">
      <c r="A78" s="60"/>
      <c r="B78" s="57"/>
      <c r="C78" s="58"/>
      <c r="D78" s="58"/>
      <c r="J78" s="57"/>
      <c r="K78" s="57"/>
      <c r="L78" s="57"/>
    </row>
    <row r="79" spans="1:12">
      <c r="A79" s="60"/>
      <c r="B79" s="57"/>
      <c r="C79" s="58"/>
      <c r="D79" s="58"/>
      <c r="J79" s="57"/>
      <c r="K79" s="57"/>
      <c r="L79" s="57"/>
    </row>
    <row r="80" spans="1:12">
      <c r="A80" s="60"/>
      <c r="B80" s="57"/>
      <c r="C80" s="58"/>
      <c r="D80" s="58"/>
      <c r="J80" s="57"/>
      <c r="K80" s="57"/>
      <c r="L80" s="57"/>
    </row>
    <row r="81" spans="1:12">
      <c r="A81" s="60"/>
      <c r="B81" s="57"/>
      <c r="C81" s="58"/>
      <c r="D81" s="58"/>
      <c r="J81" s="57"/>
      <c r="K81" s="57"/>
      <c r="L81" s="57"/>
    </row>
    <row r="82" spans="1:12">
      <c r="A82" s="60"/>
      <c r="B82" s="57"/>
      <c r="C82" s="58"/>
      <c r="D82" s="58"/>
      <c r="J82" s="57"/>
      <c r="K82" s="57"/>
      <c r="L82" s="57"/>
    </row>
    <row r="83" spans="1:12">
      <c r="A83" s="60"/>
      <c r="B83" s="57"/>
      <c r="C83" s="58"/>
      <c r="D83" s="58"/>
      <c r="J83" s="57"/>
      <c r="K83" s="57"/>
      <c r="L83" s="57"/>
    </row>
  </sheetData>
  <mergeCells count="7">
    <mergeCell ref="A1:A2"/>
    <mergeCell ref="B1:D1"/>
    <mergeCell ref="E1:I1"/>
    <mergeCell ref="J1:L1"/>
    <mergeCell ref="B2:D2"/>
    <mergeCell ref="E2:I2"/>
    <mergeCell ref="J2:L2"/>
  </mergeCells>
  <pageMargins left="0" right="0" top="0" bottom="0" header="0.3" footer="0.3"/>
  <pageSetup paperSize="9" scale="66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32702E74CCC4042A0526E91882C5327" ma:contentTypeVersion="4" ma:contentTypeDescription="Create a new document." ma:contentTypeScope="" ma:versionID="ae55bb530d133ebc1a59cc1f863a964a">
  <xsd:schema xmlns:xsd="http://www.w3.org/2001/XMLSchema" xmlns:xs="http://www.w3.org/2001/XMLSchema" xmlns:p="http://schemas.microsoft.com/office/2006/metadata/properties" xmlns:ns2="168a0297-c11a-4c1e-b171-761d00e04df6" xmlns:ns3="3b72a257-011e-4ccc-ade1-d8b2acea7b26" targetNamespace="http://schemas.microsoft.com/office/2006/metadata/properties" ma:root="true" ma:fieldsID="2043ae22e8d0c7db31891b7ff3c664aa" ns2:_="" ns3:_="">
    <xsd:import namespace="168a0297-c11a-4c1e-b171-761d00e04df6"/>
    <xsd:import namespace="3b72a257-011e-4ccc-ade1-d8b2acea7b2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8a0297-c11a-4c1e-b171-761d00e04df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72a257-011e-4ccc-ade1-d8b2acea7b26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7703B8F-045D-481B-A6A4-53C697FBDDCD}"/>
</file>

<file path=customXml/itemProps2.xml><?xml version="1.0" encoding="utf-8"?>
<ds:datastoreItem xmlns:ds="http://schemas.openxmlformats.org/officeDocument/2006/customXml" ds:itemID="{09876524-0E37-4B22-A94F-EBE4BC283939}"/>
</file>

<file path=customXml/itemProps3.xml><?xml version="1.0" encoding="utf-8"?>
<ds:datastoreItem xmlns:ds="http://schemas.openxmlformats.org/officeDocument/2006/customXml" ds:itemID="{CFA95821-BE09-4CF4-AFB9-6209A7E26C6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Kilimanjaro Hotel Kempinski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Kilimanjaro Hotel Kempinski</dc:creator>
  <cp:keywords/>
  <dc:description/>
  <cp:lastModifiedBy>Ulviyya Aliyeva</cp:lastModifiedBy>
  <cp:revision/>
  <dcterms:created xsi:type="dcterms:W3CDTF">2009-01-25T09:02:38Z</dcterms:created>
  <dcterms:modified xsi:type="dcterms:W3CDTF">2022-09-15T04:37:14Z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0x010100E32702E74CCC4042A0526E91882C5327</vt:lpwstr>
  </property>
</Properties>
</file>