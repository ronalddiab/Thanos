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Dec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 s="1"/>
  <c r="G5" i="5" s="1"/>
  <c r="AV11" i="7"/>
  <c r="AW11" i="7" s="1"/>
  <c r="AV12" i="7"/>
  <c r="AW12" i="7" s="1"/>
  <c r="AV13" i="7"/>
  <c r="R8" i="9" s="1"/>
  <c r="G8" i="5" s="1"/>
  <c r="AV14" i="7"/>
  <c r="AW14" i="7" s="1"/>
  <c r="AV15" i="7"/>
  <c r="AW15" i="7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AW23" i="7"/>
  <c r="R18" i="9"/>
  <c r="G18" i="5" s="1"/>
  <c r="AV24" i="7"/>
  <c r="AW24" i="7" s="1"/>
  <c r="AV25" i="7"/>
  <c r="R20" i="9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F4" i="9" s="1"/>
  <c r="T9" i="7"/>
  <c r="H4" i="9" s="1"/>
  <c r="U9" i="7"/>
  <c r="I4" i="9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F14" i="9" s="1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J21" i="9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/>
  <c r="Z28" i="7"/>
  <c r="AO28" i="7"/>
  <c r="AA28" i="7"/>
  <c r="AB28" i="7"/>
  <c r="P23" i="9" s="1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J25" i="9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/>
  <c r="AC31" i="7"/>
  <c r="Q26" i="9" s="1"/>
  <c r="R32" i="7"/>
  <c r="AG32" i="7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K30" i="9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F3" i="9" s="1"/>
  <c r="AG8" i="7"/>
  <c r="T8" i="7"/>
  <c r="AI8" i="7" s="1"/>
  <c r="U8" i="7"/>
  <c r="I3" i="9" s="1"/>
  <c r="V8" i="7"/>
  <c r="AK8" i="7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AK7" i="7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AC22" i="7"/>
  <c r="Q17" i="9"/>
  <c r="AC23" i="7"/>
  <c r="Q18" i="9" s="1"/>
  <c r="X22" i="7"/>
  <c r="L17" i="9" s="1"/>
  <c r="AI25" i="7"/>
  <c r="R28" i="9"/>
  <c r="G28" i="5" s="1"/>
  <c r="F20" i="9"/>
  <c r="N23" i="9"/>
  <c r="N28" i="9"/>
  <c r="T20" i="7"/>
  <c r="T21" i="7"/>
  <c r="AI21" i="7" s="1"/>
  <c r="F22" i="9"/>
  <c r="AP27" i="7"/>
  <c r="AR22" i="7"/>
  <c r="F25" i="9"/>
  <c r="K21" i="9"/>
  <c r="I27" i="9"/>
  <c r="Q30" i="9"/>
  <c r="AW25" i="7"/>
  <c r="AJ35" i="7"/>
  <c r="AO31" i="7"/>
  <c r="AO11" i="7"/>
  <c r="AI31" i="7"/>
  <c r="N19" i="9"/>
  <c r="AO24" i="7"/>
  <c r="M23" i="9"/>
  <c r="R19" i="9"/>
  <c r="G19" i="5" s="1"/>
  <c r="K26" i="9"/>
  <c r="AJ30" i="7"/>
  <c r="K7" i="9"/>
  <c r="AN27" i="7"/>
  <c r="R22" i="9"/>
  <c r="G22" i="5" s="1"/>
  <c r="R29" i="9"/>
  <c r="G29" i="5" s="1"/>
  <c r="L29" i="9"/>
  <c r="AL19" i="7"/>
  <c r="AM22" i="7"/>
  <c r="F19" i="9"/>
  <c r="AN36" i="7"/>
  <c r="AN25" i="7"/>
  <c r="F31" i="9"/>
  <c r="I29" i="9"/>
  <c r="AO29" i="7"/>
  <c r="AR12" i="7"/>
  <c r="AN14" i="7"/>
  <c r="K12" i="9"/>
  <c r="P17" i="9"/>
  <c r="R10" i="9"/>
  <c r="G10" i="5" s="1"/>
  <c r="J22" i="9"/>
  <c r="K20" i="9"/>
  <c r="AL16" i="7"/>
  <c r="AN11" i="7"/>
  <c r="AP35" i="7"/>
  <c r="I17" i="9"/>
  <c r="I9" i="9"/>
  <c r="AQ9" i="7"/>
  <c r="J13" i="9"/>
  <c r="K14" i="9"/>
  <c r="AQ21" i="7"/>
  <c r="R17" i="9"/>
  <c r="G17" i="5" s="1"/>
  <c r="H18" i="9"/>
  <c r="F17" i="9"/>
  <c r="AN23" i="7"/>
  <c r="Q20" i="9"/>
  <c r="Q19" i="9"/>
  <c r="AP24" i="7"/>
  <c r="AK24" i="7"/>
  <c r="G19" i="9"/>
  <c r="Q21" i="9"/>
  <c r="P21" i="9"/>
  <c r="AM28" i="7"/>
  <c r="Q24" i="9"/>
  <c r="O23" i="9"/>
  <c r="AP28" i="7"/>
  <c r="H24" i="9"/>
  <c r="AH29" i="7"/>
  <c r="N24" i="9"/>
  <c r="H25" i="9"/>
  <c r="F24" i="9"/>
  <c r="AR31" i="7"/>
  <c r="AM30" i="7"/>
  <c r="J26" i="9"/>
  <c r="G26" i="9"/>
  <c r="Q28" i="9"/>
  <c r="AL33" i="7"/>
  <c r="AG33" i="7"/>
  <c r="F27" i="9"/>
  <c r="M28" i="9"/>
  <c r="AO35" i="7"/>
  <c r="AH35" i="7"/>
  <c r="F30" i="9"/>
  <c r="R30" i="9"/>
  <c r="G30" i="5" s="1"/>
  <c r="AR36" i="7"/>
  <c r="AL35" i="7"/>
  <c r="AK35" i="7"/>
  <c r="R21" i="9"/>
  <c r="G21" i="5" s="1"/>
  <c r="AJ36" i="7"/>
  <c r="P26" i="9"/>
  <c r="K25" i="9"/>
  <c r="P22" i="9"/>
  <c r="AI35" i="7"/>
  <c r="P25" i="9"/>
  <c r="M10" i="9"/>
  <c r="AR9" i="7"/>
  <c r="AR10" i="7"/>
  <c r="I5" i="9"/>
  <c r="R7" i="9"/>
  <c r="G7" i="5" s="1"/>
  <c r="AL11" i="7"/>
  <c r="P8" i="9"/>
  <c r="AJ12" i="7"/>
  <c r="AL14" i="7"/>
  <c r="J8" i="9"/>
  <c r="G13" i="9"/>
  <c r="M11" i="9"/>
  <c r="AJ15" i="7"/>
  <c r="R11" i="9"/>
  <c r="G11" i="5" s="1"/>
  <c r="P9" i="9"/>
  <c r="AK15" i="7"/>
  <c r="AW19" i="7"/>
  <c r="AP9" i="7"/>
  <c r="O2" i="9"/>
  <c r="F11" i="9"/>
  <c r="AG9" i="7"/>
  <c r="AQ17" i="7"/>
  <c r="AL9" i="7"/>
  <c r="AR18" i="7"/>
  <c r="J3" i="9"/>
  <c r="AJ7" i="7"/>
  <c r="H3" i="9"/>
  <c r="AH8" i="7"/>
  <c r="AQ7" i="7"/>
  <c r="R4" i="9"/>
  <c r="G4" i="5" s="1"/>
  <c r="O3" i="9"/>
  <c r="AL8" i="7"/>
  <c r="AR11" i="7"/>
  <c r="P5" i="9"/>
  <c r="AQ11" i="7"/>
  <c r="I6" i="9"/>
  <c r="G6" i="9"/>
  <c r="AO10" i="7"/>
  <c r="AI12" i="7"/>
  <c r="N15" i="9" l="1"/>
  <c r="AN21" i="7"/>
  <c r="AL21" i="7"/>
  <c r="AK20" i="7"/>
  <c r="AH21" i="7"/>
  <c r="AR20" i="7"/>
  <c r="AQ19" i="7"/>
  <c r="AN20" i="7"/>
  <c r="AK19" i="7"/>
  <c r="I15" i="9"/>
  <c r="F15" i="9"/>
  <c r="AO18" i="7"/>
  <c r="AO19" i="7"/>
  <c r="AG19" i="7"/>
  <c r="AG18" i="7"/>
  <c r="Q11" i="9"/>
  <c r="N12" i="9"/>
  <c r="AK17" i="7"/>
  <c r="G12" i="9"/>
  <c r="L11" i="9"/>
  <c r="Q10" i="9"/>
  <c r="P10" i="9"/>
  <c r="AG15" i="7"/>
  <c r="AI13" i="7"/>
  <c r="E9" i="9"/>
  <c r="AP13" i="7"/>
  <c r="N8" i="9"/>
  <c r="AN12" i="7"/>
  <c r="AH12" i="7"/>
  <c r="AO12" i="7"/>
  <c r="AM12" i="7"/>
  <c r="AI11" i="7"/>
  <c r="F6" i="9"/>
  <c r="R6" i="9"/>
  <c r="G6" i="5" s="1"/>
  <c r="AW10" i="7"/>
  <c r="O6" i="9"/>
  <c r="AL10" i="7"/>
  <c r="AF11" i="7"/>
  <c r="N4" i="9"/>
  <c r="M5" i="9"/>
  <c r="L5" i="9"/>
  <c r="H5" i="9"/>
  <c r="G5" i="9"/>
  <c r="AM8" i="7"/>
  <c r="L4" i="9"/>
  <c r="AD9" i="7"/>
  <c r="G4" i="9"/>
  <c r="E4" i="9"/>
  <c r="P3" i="9"/>
  <c r="N3" i="9"/>
  <c r="N2" i="9"/>
  <c r="K2" i="9"/>
  <c r="AJ8" i="7"/>
  <c r="AF8" i="7"/>
  <c r="Q2" i="9"/>
  <c r="J2" i="9"/>
  <c r="AW13" i="7"/>
  <c r="AW17" i="7"/>
  <c r="AD7" i="7"/>
  <c r="AM7" i="7"/>
  <c r="AG10" i="7"/>
  <c r="AH15" i="7"/>
  <c r="AP10" i="7"/>
  <c r="AH22" i="7"/>
  <c r="H12" i="9"/>
  <c r="AJ9" i="7"/>
  <c r="AJ33" i="7"/>
  <c r="J4" i="9"/>
  <c r="E4" i="5" s="1"/>
  <c r="AI7" i="7"/>
  <c r="AI9" i="7"/>
  <c r="AQ28" i="7"/>
  <c r="G29" i="9"/>
  <c r="AL32" i="7"/>
  <c r="AJ24" i="7"/>
  <c r="P18" i="9"/>
  <c r="H21" i="9"/>
  <c r="H9" i="9"/>
  <c r="AN9" i="7"/>
  <c r="G18" i="9"/>
  <c r="Q3" i="9"/>
  <c r="AD10" i="7"/>
  <c r="AD11" i="7"/>
  <c r="L6" i="9"/>
  <c r="AS11" i="7"/>
  <c r="AN7" i="7"/>
  <c r="J5" i="9"/>
  <c r="O9" i="9"/>
  <c r="J7" i="9"/>
  <c r="AN8" i="7"/>
  <c r="AN34" i="7"/>
  <c r="N27" i="9"/>
  <c r="L16" i="9"/>
  <c r="AI19" i="7"/>
  <c r="AQ24" i="7"/>
  <c r="AP20" i="7"/>
  <c r="AG21" i="7"/>
  <c r="K23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AS26" i="7" s="1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AS13" i="7" s="1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AS35" i="7" s="1"/>
  <c r="E30" i="9"/>
  <c r="AD35" i="7"/>
  <c r="O26" i="9"/>
  <c r="AP31" i="7"/>
  <c r="AO22" i="7"/>
  <c r="AS22" i="7" s="1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E14" i="5" l="1"/>
  <c r="E9" i="5"/>
  <c r="AS14" i="7"/>
  <c r="AS12" i="7"/>
  <c r="AS10" i="7"/>
  <c r="E3" i="5"/>
  <c r="AS9" i="7"/>
  <c r="AS8" i="7"/>
  <c r="E2" i="5"/>
  <c r="E6" i="5"/>
  <c r="E12" i="5"/>
  <c r="E13" i="5"/>
  <c r="E8" i="5"/>
  <c r="AS21" i="7"/>
  <c r="AS24" i="7"/>
  <c r="AS34" i="7"/>
  <c r="E25" i="5"/>
  <c r="E5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<sst xmlns="http://schemas.openxmlformats.org/spreadsheetml/2006/main" count="127" uniqueCount="49">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</sst>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3" zoomScale="130" zoomScaleNormal="130" workbookViewId="0">
      <selection activeCell="F26" sqref="F2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69800</v>
      </c>
      <c r="F2" s="11">
        <v>5.0000000000000001E-3</v>
      </c>
      <c r="G2" s="12">
        <f>Submetering!R2</f>
        <v>797.20734600000003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66010</v>
      </c>
      <c r="F3" s="11">
        <v>5.0000000000000001E-3</v>
      </c>
      <c r="G3" s="12">
        <f>Submetering!R3</f>
        <v>662.82529099999999</v>
      </c>
      <c r="H3" s="11">
        <v>0.52800000000000002</v>
      </c>
      <c r="I3" s="12">
        <f>Hotel!B8</f>
        <v>122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12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65180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128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66210</v>
      </c>
      <c r="F5" s="11">
        <v>5.0000000000000001E-3</v>
      </c>
      <c r="G5" s="12">
        <f>Submetering!R5</f>
        <v>753.29658999999992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67550</v>
      </c>
      <c r="F6" s="11">
        <v>5.0000000000000001E-3</v>
      </c>
      <c r="G6" s="12">
        <f>Submetering!R6</f>
        <v>681.37379999999996</v>
      </c>
      <c r="H6" s="11">
        <v>0.52800000000000002</v>
      </c>
      <c r="I6" s="12">
        <f>Hotel!B11</f>
        <v>154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69430</v>
      </c>
      <c r="F7" s="11">
        <v>5.0000000000000001E-3</v>
      </c>
      <c r="G7" s="12">
        <f>Submetering!R7</f>
        <v>529.95740000000001</v>
      </c>
      <c r="H7" s="11">
        <v>0.52800000000000002</v>
      </c>
      <c r="I7" s="12">
        <f>Hotel!B12</f>
        <v>122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69210</v>
      </c>
      <c r="F8" s="11">
        <v>5.0000000000000001E-3</v>
      </c>
      <c r="G8" s="12">
        <f>Submetering!R8</f>
        <v>704.08625999999992</v>
      </c>
      <c r="H8" s="11">
        <v>0.52800000000000002</v>
      </c>
      <c r="I8" s="12">
        <f>Hotel!B13</f>
        <v>136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68040</v>
      </c>
      <c r="F9" s="11">
        <v>5.0000000000000001E-3</v>
      </c>
      <c r="G9" s="12">
        <f>Submetering!R9</f>
        <v>825.21938</v>
      </c>
      <c r="H9" s="11">
        <v>0.52800000000000002</v>
      </c>
      <c r="I9" s="12">
        <f>Hotel!B14</f>
        <v>137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67310</v>
      </c>
      <c r="F10" s="11">
        <v>5.0000000000000001E-3</v>
      </c>
      <c r="G10" s="12">
        <f>Submetering!R10</f>
        <v>461.82001999999994</v>
      </c>
      <c r="H10" s="11">
        <v>0.52800000000000002</v>
      </c>
      <c r="I10" s="12">
        <f>Hotel!B15</f>
        <v>203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65110</v>
      </c>
      <c r="F11" s="11">
        <v>5.0000000000000001E-3</v>
      </c>
      <c r="G11" s="12">
        <f>Submetering!R11</f>
        <v>500.43120199999993</v>
      </c>
      <c r="H11" s="11">
        <v>0.52800000000000002</v>
      </c>
      <c r="I11" s="12">
        <f>Hotel!B16</f>
        <v>175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65190</v>
      </c>
      <c r="F12" s="11">
        <v>5.0000000000000001E-3</v>
      </c>
      <c r="G12" s="12">
        <f>Submetering!R12</f>
        <v>843.38934800000004</v>
      </c>
      <c r="H12" s="11">
        <v>0.52800000000000002</v>
      </c>
      <c r="I12" s="12">
        <f>Hotel!B17</f>
        <v>122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66950</v>
      </c>
      <c r="F13" s="11">
        <v>5.0000000000000001E-3</v>
      </c>
      <c r="G13" s="12">
        <f>Submetering!R13</f>
        <v>544.7204989999999</v>
      </c>
      <c r="H13" s="11">
        <v>0.52800000000000002</v>
      </c>
      <c r="I13" s="12">
        <f>Hotel!B18</f>
        <v>199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67510</v>
      </c>
      <c r="F14" s="11">
        <v>5.0000000000000001E-3</v>
      </c>
      <c r="G14" s="12">
        <f>Submetering!R14</f>
        <v>629.13514199999997</v>
      </c>
      <c r="H14" s="11">
        <v>0.52800000000000002</v>
      </c>
      <c r="I14" s="12">
        <f>Hotel!B19</f>
        <v>167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66190</v>
      </c>
      <c r="F15" s="11">
        <v>5.0000000000000001E-3</v>
      </c>
      <c r="G15" s="12">
        <f>Submetering!R15</f>
        <v>518.22262899999998</v>
      </c>
      <c r="H15" s="11">
        <v>0.52800000000000002</v>
      </c>
      <c r="I15" s="12">
        <f>Hotel!B20</f>
        <v>125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1070</v>
      </c>
      <c r="F2" s="4">
        <f>Hotel!R7</f>
        <v>13090</v>
      </c>
      <c r="G2" s="4">
        <f>Hotel!S7</f>
        <v>60</v>
      </c>
      <c r="H2" s="4">
        <f>Hotel!T7</f>
        <v>1190</v>
      </c>
      <c r="I2" s="4">
        <f>Hotel!U7</f>
        <v>7060</v>
      </c>
      <c r="J2" s="4">
        <f>Hotel!V7</f>
        <v>4510</v>
      </c>
      <c r="K2" s="4">
        <f>Hotel!W7</f>
        <v>3660</v>
      </c>
      <c r="L2" s="4">
        <f>Hotel!X7</f>
        <v>4700</v>
      </c>
      <c r="M2" s="4">
        <f>Hotel!Y7</f>
        <v>5530</v>
      </c>
      <c r="N2" s="4">
        <f>Hotel!Z7</f>
        <v>3050</v>
      </c>
      <c r="O2" s="4">
        <f>Hotel!AA7</f>
        <v>3930</v>
      </c>
      <c r="P2" s="4">
        <f>Hotel!AB7</f>
        <v>8070</v>
      </c>
      <c r="Q2" s="4">
        <f>Hotel!AC7</f>
        <v>13880</v>
      </c>
      <c r="R2" s="4">
        <f>Hotel!AV7*0.00378541*100</f>
        <v>797.20734600000003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1000</v>
      </c>
      <c r="F3" s="4">
        <f>Hotel!R8</f>
        <v>12870</v>
      </c>
      <c r="G3" s="4">
        <f>Hotel!S8</f>
        <v>90</v>
      </c>
      <c r="H3" s="4">
        <f>Hotel!T8</f>
        <v>1890</v>
      </c>
      <c r="I3" s="4">
        <f>Hotel!U8</f>
        <v>6270</v>
      </c>
      <c r="J3" s="4">
        <f>Hotel!V8</f>
        <v>4240</v>
      </c>
      <c r="K3" s="4">
        <f>Hotel!W8</f>
        <v>3300</v>
      </c>
      <c r="L3" s="4">
        <f>Hotel!X8</f>
        <v>4570</v>
      </c>
      <c r="M3" s="4">
        <f>Hotel!Y8</f>
        <v>5060</v>
      </c>
      <c r="N3" s="4">
        <f>Hotel!Z8</f>
        <v>2730</v>
      </c>
      <c r="O3" s="4">
        <f>Hotel!AA8</f>
        <v>3620</v>
      </c>
      <c r="P3" s="4">
        <f>Hotel!AB8</f>
        <v>7660</v>
      </c>
      <c r="Q3" s="4">
        <f>Hotel!AC8</f>
        <v>12710</v>
      </c>
      <c r="R3" s="4">
        <f>Hotel!AV8*0.00378541*100</f>
        <v>662.82529099999999</v>
      </c>
      <c r="S3" s="4">
        <f>Hotel!B8</f>
        <v>122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1040</v>
      </c>
      <c r="F4" s="4">
        <f>Hotel!R9</f>
        <v>11640</v>
      </c>
      <c r="G4" s="4">
        <f>Hotel!S9</f>
        <v>20</v>
      </c>
      <c r="H4" s="4">
        <f>Hotel!T9</f>
        <v>1570</v>
      </c>
      <c r="I4" s="4">
        <f>Hotel!U9</f>
        <v>5660</v>
      </c>
      <c r="J4" s="4">
        <f>Hotel!V9</f>
        <v>4330</v>
      </c>
      <c r="K4" s="4">
        <f>Hotel!W9</f>
        <v>3380</v>
      </c>
      <c r="L4" s="4">
        <f>Hotel!X9</f>
        <v>4670</v>
      </c>
      <c r="M4" s="4">
        <f>Hotel!Y9</f>
        <v>5060</v>
      </c>
      <c r="N4" s="4">
        <f>Hotel!Z9</f>
        <v>2800</v>
      </c>
      <c r="O4" s="4">
        <f>Hotel!AA9</f>
        <v>3660</v>
      </c>
      <c r="P4" s="4">
        <f>Hotel!AB9</f>
        <v>7700</v>
      </c>
      <c r="Q4" s="4">
        <f>Hotel!AC9</f>
        <v>13650</v>
      </c>
      <c r="R4" s="4">
        <f>Hotel!AV9*0.00378541*100</f>
        <v>685.53775099999996</v>
      </c>
      <c r="S4" s="4">
        <f>Hotel!B9</f>
        <v>128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1030</v>
      </c>
      <c r="F5" s="4">
        <f>Hotel!R10</f>
        <v>11320</v>
      </c>
      <c r="G5" s="4">
        <f>Hotel!S10</f>
        <v>20</v>
      </c>
      <c r="H5" s="4">
        <f>Hotel!T10</f>
        <v>1550</v>
      </c>
      <c r="I5" s="4">
        <f>Hotel!U10</f>
        <v>5380</v>
      </c>
      <c r="J5" s="4">
        <f>Hotel!V10</f>
        <v>4340</v>
      </c>
      <c r="K5" s="4">
        <f>Hotel!W10</f>
        <v>3150</v>
      </c>
      <c r="L5" s="4">
        <f>Hotel!X10</f>
        <v>4700</v>
      </c>
      <c r="M5" s="4">
        <f>Hotel!Y10</f>
        <v>5250</v>
      </c>
      <c r="N5" s="4">
        <f>Hotel!Z10</f>
        <v>2780</v>
      </c>
      <c r="O5" s="4">
        <f>Hotel!AA10</f>
        <v>3440</v>
      </c>
      <c r="P5" s="4">
        <f>Hotel!AB10</f>
        <v>7980</v>
      </c>
      <c r="Q5" s="4">
        <f>Hotel!AC10</f>
        <v>15270</v>
      </c>
      <c r="R5" s="4">
        <f>Hotel!AV10*0.00378541*100</f>
        <v>753.29658999999992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1030</v>
      </c>
      <c r="F6" s="4">
        <f>Hotel!R11</f>
        <v>11250</v>
      </c>
      <c r="G6" s="4">
        <f>Hotel!S11</f>
        <v>10</v>
      </c>
      <c r="H6" s="4">
        <f>Hotel!T11</f>
        <v>1550</v>
      </c>
      <c r="I6" s="4">
        <f>Hotel!U11</f>
        <v>6240</v>
      </c>
      <c r="J6" s="4">
        <f>Hotel!V11</f>
        <v>4390</v>
      </c>
      <c r="K6" s="4">
        <f>Hotel!W11</f>
        <v>3360</v>
      </c>
      <c r="L6" s="4">
        <f>Hotel!X11</f>
        <v>4740</v>
      </c>
      <c r="M6" s="4">
        <f>Hotel!Y11</f>
        <v>5270</v>
      </c>
      <c r="N6" s="4">
        <f>Hotel!Z11</f>
        <v>2900</v>
      </c>
      <c r="O6" s="4">
        <f>Hotel!AA11</f>
        <v>3660</v>
      </c>
      <c r="P6" s="4">
        <f>Hotel!AB11</f>
        <v>7820</v>
      </c>
      <c r="Q6" s="4">
        <f>Hotel!AC11</f>
        <v>15330</v>
      </c>
      <c r="R6" s="4">
        <f>Hotel!AV11*0.00378541*100</f>
        <v>681.37379999999996</v>
      </c>
      <c r="S6" s="4">
        <f>Hotel!B11</f>
        <v>154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1040</v>
      </c>
      <c r="F7" s="4">
        <f>Hotel!R12</f>
        <v>12150</v>
      </c>
      <c r="G7" s="4">
        <f>Hotel!S12</f>
        <v>50</v>
      </c>
      <c r="H7" s="4">
        <f>Hotel!T12</f>
        <v>1570</v>
      </c>
      <c r="I7" s="4">
        <f>Hotel!U12</f>
        <v>6750</v>
      </c>
      <c r="J7" s="4">
        <f>Hotel!V12</f>
        <v>4370</v>
      </c>
      <c r="K7" s="4">
        <f>Hotel!W12</f>
        <v>3290</v>
      </c>
      <c r="L7" s="4">
        <f>Hotel!X12</f>
        <v>4800</v>
      </c>
      <c r="M7" s="4">
        <f>Hotel!Y12</f>
        <v>5570</v>
      </c>
      <c r="N7" s="4">
        <f>Hotel!Z12</f>
        <v>2880</v>
      </c>
      <c r="O7" s="4">
        <f>Hotel!AA12</f>
        <v>4000</v>
      </c>
      <c r="P7" s="4">
        <f>Hotel!AB12</f>
        <v>7740</v>
      </c>
      <c r="Q7" s="4">
        <f>Hotel!AC12</f>
        <v>15220</v>
      </c>
      <c r="R7" s="4">
        <f>Hotel!AV12*0.00378541*100</f>
        <v>529.95740000000001</v>
      </c>
      <c r="S7" s="4">
        <f>Hotel!B12</f>
        <v>122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1040</v>
      </c>
      <c r="F8" s="4">
        <f>Hotel!R13</f>
        <v>12000</v>
      </c>
      <c r="G8" s="4">
        <f>Hotel!S13</f>
        <v>20</v>
      </c>
      <c r="H8" s="4">
        <f>Hotel!T13</f>
        <v>1560</v>
      </c>
      <c r="I8" s="4">
        <f>Hotel!U13</f>
        <v>6660</v>
      </c>
      <c r="J8" s="4">
        <f>Hotel!V13</f>
        <v>4400</v>
      </c>
      <c r="K8" s="4">
        <f>Hotel!W13</f>
        <v>3440</v>
      </c>
      <c r="L8" s="4">
        <f>Hotel!X13</f>
        <v>4730</v>
      </c>
      <c r="M8" s="4">
        <f>Hotel!Y13</f>
        <v>5570</v>
      </c>
      <c r="N8" s="4">
        <f>Hotel!Z13</f>
        <v>2910</v>
      </c>
      <c r="O8" s="4">
        <f>Hotel!AA13</f>
        <v>3940</v>
      </c>
      <c r="P8" s="4">
        <f>Hotel!AB13</f>
        <v>7850</v>
      </c>
      <c r="Q8" s="4">
        <f>Hotel!AC13</f>
        <v>15090</v>
      </c>
      <c r="R8" s="4">
        <f>Hotel!AV13*0.00378541*100</f>
        <v>704.08625999999992</v>
      </c>
      <c r="S8" s="4">
        <f>Hotel!B13</f>
        <v>136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1030</v>
      </c>
      <c r="F9" s="4">
        <f>Hotel!R14</f>
        <v>10720</v>
      </c>
      <c r="G9" s="4">
        <f>Hotel!S14</f>
        <v>0</v>
      </c>
      <c r="H9" s="4">
        <f>Hotel!T14</f>
        <v>1510</v>
      </c>
      <c r="I9" s="4">
        <f>Hotel!U14</f>
        <v>6810</v>
      </c>
      <c r="J9" s="4">
        <f>Hotel!V14</f>
        <v>4500</v>
      </c>
      <c r="K9" s="4">
        <f>Hotel!W14</f>
        <v>3890</v>
      </c>
      <c r="L9" s="4">
        <f>Hotel!X14</f>
        <v>4740</v>
      </c>
      <c r="M9" s="4">
        <f>Hotel!Y14</f>
        <v>5080</v>
      </c>
      <c r="N9" s="4">
        <f>Hotel!Z14</f>
        <v>2810</v>
      </c>
      <c r="O9" s="4">
        <f>Hotel!AA14</f>
        <v>3770</v>
      </c>
      <c r="P9" s="4">
        <f>Hotel!AB14</f>
        <v>7810</v>
      </c>
      <c r="Q9" s="4">
        <f>Hotel!AC14</f>
        <v>15370</v>
      </c>
      <c r="R9" s="4">
        <f>Hotel!AV14*0.00378541*100</f>
        <v>825.21938</v>
      </c>
      <c r="S9" s="4">
        <f>Hotel!B14</f>
        <v>137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1020</v>
      </c>
      <c r="F10" s="4">
        <f>Hotel!R15</f>
        <v>10740</v>
      </c>
      <c r="G10" s="4">
        <f>Hotel!S15</f>
        <v>0</v>
      </c>
      <c r="H10" s="4">
        <f>Hotel!T15</f>
        <v>1500</v>
      </c>
      <c r="I10" s="4">
        <f>Hotel!U15</f>
        <v>6650</v>
      </c>
      <c r="J10" s="4">
        <f>Hotel!V15</f>
        <v>4420</v>
      </c>
      <c r="K10" s="4">
        <f>Hotel!W15</f>
        <v>3710</v>
      </c>
      <c r="L10" s="4">
        <f>Hotel!X15</f>
        <v>5220</v>
      </c>
      <c r="M10" s="4">
        <f>Hotel!Y15</f>
        <v>5070</v>
      </c>
      <c r="N10" s="4">
        <f>Hotel!Z15</f>
        <v>2870</v>
      </c>
      <c r="O10" s="4">
        <f>Hotel!AA15</f>
        <v>3500</v>
      </c>
      <c r="P10" s="4">
        <f>Hotel!AB15</f>
        <v>7680</v>
      </c>
      <c r="Q10" s="4">
        <f>Hotel!AC15</f>
        <v>14930</v>
      </c>
      <c r="R10" s="4">
        <f>Hotel!AV15*0.00378541*100</f>
        <v>461.82001999999994</v>
      </c>
      <c r="S10" s="4">
        <f>Hotel!B15</f>
        <v>203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1020</v>
      </c>
      <c r="F11" s="4">
        <f>Hotel!R16</f>
        <v>10340</v>
      </c>
      <c r="G11" s="4">
        <f>Hotel!S16</f>
        <v>0</v>
      </c>
      <c r="H11" s="4">
        <f>Hotel!T16</f>
        <v>1500</v>
      </c>
      <c r="I11" s="4">
        <f>Hotel!U16</f>
        <v>6810</v>
      </c>
      <c r="J11" s="4">
        <f>Hotel!V16</f>
        <v>4330</v>
      </c>
      <c r="K11" s="4">
        <f>Hotel!W16</f>
        <v>3240</v>
      </c>
      <c r="L11" s="4">
        <f>Hotel!X16</f>
        <v>4600</v>
      </c>
      <c r="M11" s="4">
        <f>Hotel!Y16</f>
        <v>4860</v>
      </c>
      <c r="N11" s="4">
        <f>Hotel!Z16</f>
        <v>2830</v>
      </c>
      <c r="O11" s="4">
        <f>Hotel!AA16</f>
        <v>3670</v>
      </c>
      <c r="P11" s="4">
        <f>Hotel!AB16</f>
        <v>7520</v>
      </c>
      <c r="Q11" s="4">
        <f>Hotel!AC16</f>
        <v>14390</v>
      </c>
      <c r="R11" s="4">
        <f>Hotel!AV16*0.00378541*100</f>
        <v>500.43120199999993</v>
      </c>
      <c r="S11" s="4">
        <f>Hotel!B16</f>
        <v>175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810</v>
      </c>
      <c r="F12" s="4">
        <f>Hotel!R17</f>
        <v>11020</v>
      </c>
      <c r="G12" s="4">
        <f>Hotel!S17</f>
        <v>0</v>
      </c>
      <c r="H12" s="4">
        <f>Hotel!T17</f>
        <v>1530</v>
      </c>
      <c r="I12" s="4">
        <f>Hotel!U17</f>
        <v>6200</v>
      </c>
      <c r="J12" s="4">
        <f>Hotel!V17</f>
        <v>4380</v>
      </c>
      <c r="K12" s="4">
        <f>Hotel!W17</f>
        <v>3240</v>
      </c>
      <c r="L12" s="4">
        <f>Hotel!X17</f>
        <v>4380</v>
      </c>
      <c r="M12" s="4">
        <f>Hotel!Y17</f>
        <v>4750</v>
      </c>
      <c r="N12" s="4">
        <f>Hotel!Z17</f>
        <v>2910</v>
      </c>
      <c r="O12" s="4">
        <f>Hotel!AA17</f>
        <v>3470</v>
      </c>
      <c r="P12" s="4">
        <f>Hotel!AB17</f>
        <v>7740</v>
      </c>
      <c r="Q12" s="4">
        <f>Hotel!AC17</f>
        <v>14760</v>
      </c>
      <c r="R12" s="4">
        <f>Hotel!AV17*0.00378541*100</f>
        <v>843.38934800000004</v>
      </c>
      <c r="S12" s="4">
        <f>Hotel!B17</f>
        <v>122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540</v>
      </c>
      <c r="F13" s="4">
        <f>Hotel!R18</f>
        <v>11880</v>
      </c>
      <c r="G13" s="4">
        <f>Hotel!S18</f>
        <v>0</v>
      </c>
      <c r="H13" s="4">
        <f>Hotel!T18</f>
        <v>1520</v>
      </c>
      <c r="I13" s="4">
        <f>Hotel!U18</f>
        <v>6690</v>
      </c>
      <c r="J13" s="4">
        <f>Hotel!V18</f>
        <v>4480</v>
      </c>
      <c r="K13" s="4">
        <f>Hotel!W18</f>
        <v>3790</v>
      </c>
      <c r="L13" s="4">
        <f>Hotel!X18</f>
        <v>3340</v>
      </c>
      <c r="M13" s="4">
        <f>Hotel!Y18</f>
        <v>4940</v>
      </c>
      <c r="N13" s="4">
        <f>Hotel!Z18</f>
        <v>2930</v>
      </c>
      <c r="O13" s="4">
        <f>Hotel!AA18</f>
        <v>3950</v>
      </c>
      <c r="P13" s="4">
        <f>Hotel!AB18</f>
        <v>7750</v>
      </c>
      <c r="Q13" s="4">
        <f>Hotel!AC18</f>
        <v>15140</v>
      </c>
      <c r="R13" s="4">
        <f>Hotel!AV18*0.00378541*100</f>
        <v>544.7204989999999</v>
      </c>
      <c r="S13" s="4">
        <f>Hotel!B18</f>
        <v>199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520</v>
      </c>
      <c r="F14" s="4">
        <f>Hotel!R19</f>
        <v>12030</v>
      </c>
      <c r="G14" s="4">
        <f>Hotel!S19</f>
        <v>0</v>
      </c>
      <c r="H14" s="4">
        <f>Hotel!T19</f>
        <v>1490</v>
      </c>
      <c r="I14" s="4">
        <f>Hotel!U19</f>
        <v>6940</v>
      </c>
      <c r="J14" s="4">
        <f>Hotel!V19</f>
        <v>4250</v>
      </c>
      <c r="K14" s="4">
        <f>Hotel!W19</f>
        <v>3520</v>
      </c>
      <c r="L14" s="4">
        <f>Hotel!X19</f>
        <v>5280</v>
      </c>
      <c r="M14" s="4">
        <f>Hotel!Y19</f>
        <v>4810</v>
      </c>
      <c r="N14" s="4">
        <f>Hotel!Z19</f>
        <v>2860</v>
      </c>
      <c r="O14" s="4">
        <f>Hotel!AA19</f>
        <v>3670</v>
      </c>
      <c r="P14" s="4">
        <f>Hotel!AB19</f>
        <v>7770</v>
      </c>
      <c r="Q14" s="4">
        <f>Hotel!AC19</f>
        <v>14370</v>
      </c>
      <c r="R14" s="4">
        <f>Hotel!AV19*0.00378541*100</f>
        <v>629.13514199999997</v>
      </c>
      <c r="S14" s="4">
        <f>Hotel!B19</f>
        <v>167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530</v>
      </c>
      <c r="F15" s="4">
        <f>Hotel!R20</f>
        <v>11510</v>
      </c>
      <c r="G15" s="4">
        <f>Hotel!S20</f>
        <v>0</v>
      </c>
      <c r="H15" s="4">
        <f>Hotel!T20</f>
        <v>1490</v>
      </c>
      <c r="I15" s="4">
        <f>Hotel!U20</f>
        <v>6260</v>
      </c>
      <c r="J15" s="4">
        <f>Hotel!V20</f>
        <v>4240</v>
      </c>
      <c r="K15" s="4">
        <f>Hotel!W20</f>
        <v>3790</v>
      </c>
      <c r="L15" s="4">
        <f>Hotel!X20</f>
        <v>4350</v>
      </c>
      <c r="M15" s="4">
        <f>Hotel!Y20</f>
        <v>4810</v>
      </c>
      <c r="N15" s="4">
        <f>Hotel!Z20</f>
        <v>2760</v>
      </c>
      <c r="O15" s="4">
        <f>Hotel!AA20</f>
        <v>3700</v>
      </c>
      <c r="P15" s="4">
        <f>Hotel!AB20</f>
        <v>7760</v>
      </c>
      <c r="Q15" s="4">
        <f>Hotel!AC20</f>
        <v>14990</v>
      </c>
      <c r="R15" s="4">
        <f>Hotel!AV20*0.00378541*100</f>
        <v>518.22262899999998</v>
      </c>
      <c r="S15" s="4">
        <f>Hotel!B20</f>
        <v>125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 t="str">
        <f>Hotel!Q21</f>
        <v>0</v>
      </c>
      <c r="F16" s="4" t="str">
        <f>Hotel!R21</f>
        <v>0</v>
      </c>
      <c r="G16" s="4" t="str">
        <f>Hotel!S21</f>
        <v>0</v>
      </c>
      <c r="H16" s="4" t="str">
        <f>Hotel!T21</f>
        <v>0</v>
      </c>
      <c r="I16" s="4" t="str">
        <f>Hotel!U21</f>
        <v>0</v>
      </c>
      <c r="J16" s="4" t="str">
        <f>Hotel!V21</f>
        <v>0</v>
      </c>
      <c r="K16" s="4" t="str">
        <f>Hotel!W21</f>
        <v>0</v>
      </c>
      <c r="L16" s="4" t="str">
        <f>Hotel!X21</f>
        <v>0</v>
      </c>
      <c r="M16" s="4" t="str">
        <f>Hotel!Y21</f>
        <v>0</v>
      </c>
      <c r="N16" s="4" t="str">
        <f>Hotel!Z21</f>
        <v>0</v>
      </c>
      <c r="O16" s="4" t="str">
        <f>Hotel!AA21</f>
        <v>0</v>
      </c>
      <c r="P16" s="4" t="str">
        <f>Hotel!AB21</f>
        <v>0</v>
      </c>
      <c r="Q16" s="4" t="str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B19" sqref="B1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43799</v>
      </c>
      <c r="B2" s="40">
        <v>197</v>
      </c>
      <c r="C2" s="24">
        <v>5897710</v>
      </c>
      <c r="D2" s="24">
        <v>12052270</v>
      </c>
      <c r="E2" s="24">
        <v>1470030</v>
      </c>
      <c r="F2" s="24">
        <v>2598410</v>
      </c>
      <c r="G2" s="24">
        <v>7887710</v>
      </c>
      <c r="H2" s="24">
        <v>3742350</v>
      </c>
      <c r="I2" s="24">
        <v>3728500</v>
      </c>
      <c r="J2" s="24">
        <v>4217810</v>
      </c>
      <c r="K2" s="24">
        <v>6833590</v>
      </c>
      <c r="L2" s="24">
        <v>2428330</v>
      </c>
      <c r="M2" s="24">
        <v>6307730</v>
      </c>
      <c r="N2" s="24">
        <v>8611100</v>
      </c>
      <c r="O2" s="24">
        <v>11237020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664402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664402</v>
      </c>
    </row>
    <row r="7" spans="1:49" x14ac:dyDescent="0.25">
      <c r="A7" s="23">
        <v>43800</v>
      </c>
      <c r="B7" s="40">
        <v>160</v>
      </c>
      <c r="C7" s="24">
        <v>5898780</v>
      </c>
      <c r="D7" s="24">
        <v>12065360</v>
      </c>
      <c r="E7" s="24">
        <v>1470090</v>
      </c>
      <c r="F7" s="24">
        <v>2599600</v>
      </c>
      <c r="G7" s="24">
        <v>7894770</v>
      </c>
      <c r="H7" s="24">
        <v>3746860</v>
      </c>
      <c r="I7" s="24">
        <v>3732160</v>
      </c>
      <c r="J7" s="24">
        <v>4222510</v>
      </c>
      <c r="K7" s="24">
        <v>6839120</v>
      </c>
      <c r="L7" s="24">
        <v>2431380</v>
      </c>
      <c r="M7" s="24">
        <v>6311660</v>
      </c>
      <c r="N7" s="24">
        <v>8619170</v>
      </c>
      <c r="O7" s="24">
        <v>11250900</v>
      </c>
      <c r="Q7" s="37">
        <f>IF((C7-C2&lt;0), "0",C7-C2)</f>
        <v>1070</v>
      </c>
      <c r="R7" s="37">
        <f t="shared" ref="R7:AC7" si="0">IF((D7-D2&lt;0), "0",D7-D2)</f>
        <v>13090</v>
      </c>
      <c r="S7" s="37">
        <f>IF((E7-E2&lt;0), "0",E7-E2)</f>
        <v>60</v>
      </c>
      <c r="T7" s="37">
        <f t="shared" si="0"/>
        <v>1190</v>
      </c>
      <c r="U7" s="37">
        <f t="shared" si="0"/>
        <v>7060</v>
      </c>
      <c r="V7" s="37">
        <f t="shared" si="0"/>
        <v>4510</v>
      </c>
      <c r="W7" s="37">
        <f t="shared" si="0"/>
        <v>3660</v>
      </c>
      <c r="X7" s="37">
        <f t="shared" si="0"/>
        <v>4700</v>
      </c>
      <c r="Y7" s="37">
        <f t="shared" si="0"/>
        <v>5530</v>
      </c>
      <c r="Z7" s="37">
        <f t="shared" si="0"/>
        <v>3050</v>
      </c>
      <c r="AA7" s="37">
        <f t="shared" si="0"/>
        <v>3930</v>
      </c>
      <c r="AB7" s="37">
        <f t="shared" si="0"/>
        <v>8070</v>
      </c>
      <c r="AC7" s="37">
        <f t="shared" si="0"/>
        <v>13880</v>
      </c>
      <c r="AD7" s="34">
        <f>SUM(Q7:AC7)</f>
        <v>69800</v>
      </c>
      <c r="AF7" s="20">
        <f t="shared" ref="AF7:AF36" si="1">Q7*$D$39</f>
        <v>5.3500000000000005</v>
      </c>
      <c r="AG7" s="20">
        <f t="shared" ref="AG7:AG36" si="2">R7*$D$39</f>
        <v>65.45</v>
      </c>
      <c r="AH7" s="20">
        <f t="shared" ref="AH7:AH36" si="3">S7*$D$39</f>
        <v>0.3</v>
      </c>
      <c r="AI7" s="20">
        <f t="shared" ref="AI7:AI36" si="4">T7*$D$39</f>
        <v>5.95</v>
      </c>
      <c r="AJ7" s="20">
        <f t="shared" ref="AJ7:AJ36" si="5">U7*$D$39</f>
        <v>35.300000000000004</v>
      </c>
      <c r="AK7" s="20">
        <f t="shared" ref="AK7:AK36" si="6">V7*$D$39</f>
        <v>22.55</v>
      </c>
      <c r="AL7" s="20">
        <f t="shared" ref="AL7:AL36" si="7">W7*$D$39</f>
        <v>18.3</v>
      </c>
      <c r="AM7" s="20">
        <f t="shared" ref="AM7:AM36" si="8">X7*$D$39</f>
        <v>23.5</v>
      </c>
      <c r="AN7" s="20">
        <f t="shared" ref="AN7:AN36" si="9">Y7*$D$39</f>
        <v>27.650000000000002</v>
      </c>
      <c r="AO7" s="20">
        <f t="shared" ref="AO7:AO36" si="10">Z7*$D$39</f>
        <v>15.25</v>
      </c>
      <c r="AP7" s="20">
        <f t="shared" ref="AP7:AP36" si="11">AA7*$D$39</f>
        <v>19.650000000000002</v>
      </c>
      <c r="AQ7" s="20">
        <f t="shared" ref="AQ7:AQ36" si="12">AB7*$D$39</f>
        <v>40.35</v>
      </c>
      <c r="AR7" s="20">
        <f t="shared" ref="AR7:AR36" si="13">AC7*$D$39</f>
        <v>69.400000000000006</v>
      </c>
      <c r="AS7" s="35">
        <f>SUM(AF7:AR7)</f>
        <v>349</v>
      </c>
      <c r="AU7" s="47">
        <v>666508</v>
      </c>
      <c r="AV7" s="37">
        <f>IF((AU7-AU6&lt;0),"0",AU7-AU6)</f>
        <v>2106</v>
      </c>
      <c r="AW7" s="50">
        <v>0</v>
      </c>
    </row>
    <row r="8" spans="1:49" x14ac:dyDescent="0.25">
      <c r="A8" s="23">
        <v>43801</v>
      </c>
      <c r="B8" s="40">
        <v>122</v>
      </c>
      <c r="C8" s="24">
        <v>5899780</v>
      </c>
      <c r="D8" s="24">
        <v>12078230</v>
      </c>
      <c r="E8" s="24">
        <v>1470180</v>
      </c>
      <c r="F8" s="24">
        <v>2601490</v>
      </c>
      <c r="G8" s="24">
        <v>7901040</v>
      </c>
      <c r="H8" s="24">
        <v>3751100</v>
      </c>
      <c r="I8" s="24">
        <v>3735460</v>
      </c>
      <c r="J8" s="24">
        <v>4227080</v>
      </c>
      <c r="K8" s="24">
        <v>6844180</v>
      </c>
      <c r="L8" s="24">
        <v>2434110</v>
      </c>
      <c r="M8" s="24">
        <v>6315280</v>
      </c>
      <c r="N8" s="24">
        <v>8626830</v>
      </c>
      <c r="O8" s="24">
        <v>11263610</v>
      </c>
      <c r="Q8" s="37">
        <f>IF((C8-C7&lt;0), "0",C8-C7)</f>
        <v>1000</v>
      </c>
      <c r="R8" s="37">
        <f t="shared" ref="R8:AC8" si="14">IF((D8-D7&lt;0), "0",D8-D7)</f>
        <v>12870</v>
      </c>
      <c r="S8" s="37">
        <f t="shared" ref="S8:S35" si="15">IF((E8-E7&lt;0), "0",E8-E7)</f>
        <v>90</v>
      </c>
      <c r="T8" s="37">
        <f t="shared" si="14"/>
        <v>1890</v>
      </c>
      <c r="U8" s="37">
        <f t="shared" si="14"/>
        <v>6270</v>
      </c>
      <c r="V8" s="37">
        <f t="shared" si="14"/>
        <v>4240</v>
      </c>
      <c r="W8" s="37">
        <f t="shared" si="14"/>
        <v>3300</v>
      </c>
      <c r="X8" s="37">
        <f t="shared" si="14"/>
        <v>4570</v>
      </c>
      <c r="Y8" s="37">
        <f t="shared" si="14"/>
        <v>5060</v>
      </c>
      <c r="Z8" s="37">
        <f t="shared" si="14"/>
        <v>2730</v>
      </c>
      <c r="AA8" s="37">
        <f t="shared" si="14"/>
        <v>3620</v>
      </c>
      <c r="AB8" s="37">
        <f t="shared" si="14"/>
        <v>7660</v>
      </c>
      <c r="AC8" s="37">
        <f t="shared" si="14"/>
        <v>12710</v>
      </c>
      <c r="AD8" s="35">
        <f>SUM(Q8:AC8)</f>
        <v>66010</v>
      </c>
      <c r="AF8" s="20">
        <f t="shared" si="1"/>
        <v>5</v>
      </c>
      <c r="AG8" s="20">
        <f t="shared" si="2"/>
        <v>64.349999999999994</v>
      </c>
      <c r="AH8" s="20">
        <f t="shared" si="3"/>
        <v>0.45</v>
      </c>
      <c r="AI8" s="20">
        <f t="shared" si="4"/>
        <v>9.4500000000000011</v>
      </c>
      <c r="AJ8" s="20">
        <f t="shared" si="5"/>
        <v>31.35</v>
      </c>
      <c r="AK8" s="20">
        <f t="shared" si="6"/>
        <v>21.2</v>
      </c>
      <c r="AL8" s="20">
        <f t="shared" si="7"/>
        <v>16.5</v>
      </c>
      <c r="AM8" s="20">
        <f t="shared" si="8"/>
        <v>22.85</v>
      </c>
      <c r="AN8" s="20">
        <f t="shared" si="9"/>
        <v>25.3</v>
      </c>
      <c r="AO8" s="20">
        <f t="shared" si="10"/>
        <v>13.65</v>
      </c>
      <c r="AP8" s="20">
        <f t="shared" si="11"/>
        <v>18.100000000000001</v>
      </c>
      <c r="AQ8" s="20">
        <f t="shared" si="12"/>
        <v>38.300000000000004</v>
      </c>
      <c r="AR8" s="20">
        <f t="shared" si="13"/>
        <v>63.550000000000004</v>
      </c>
      <c r="AS8" s="35">
        <f>SUM(AF8:AR8)</f>
        <v>330.05</v>
      </c>
      <c r="AU8" s="47">
        <v>668259</v>
      </c>
      <c r="AV8" s="37">
        <f>IF((AU8-AU7&lt;0),"0",AU8-AU7)</f>
        <v>1751</v>
      </c>
      <c r="AW8" s="35">
        <v>0</v>
      </c>
    </row>
    <row r="9" spans="1:49" x14ac:dyDescent="0.25">
      <c r="A9" s="23">
        <v>43802</v>
      </c>
      <c r="B9" s="40">
        <v>128</v>
      </c>
      <c r="C9" s="24">
        <v>5900820</v>
      </c>
      <c r="D9" s="24">
        <v>12089870</v>
      </c>
      <c r="E9" s="24">
        <v>1470200</v>
      </c>
      <c r="F9" s="24">
        <v>2603060</v>
      </c>
      <c r="G9" s="24">
        <v>7906700</v>
      </c>
      <c r="H9" s="24">
        <v>3755430</v>
      </c>
      <c r="I9" s="24">
        <v>3738840</v>
      </c>
      <c r="J9" s="24">
        <v>4231750</v>
      </c>
      <c r="K9" s="24">
        <v>6849240</v>
      </c>
      <c r="L9" s="24">
        <v>2436910</v>
      </c>
      <c r="M9" s="24">
        <v>6318940</v>
      </c>
      <c r="N9" s="24">
        <v>8634530</v>
      </c>
      <c r="O9" s="24">
        <v>11277260</v>
      </c>
      <c r="Q9" s="37">
        <f t="shared" ref="Q9:Q35" si="16">IF((C9-C8&lt;0), "0",C9-C8)</f>
        <v>1040</v>
      </c>
      <c r="R9" s="37">
        <f t="shared" ref="R9:R35" si="17">IF((D9-D8&lt;0), "0",D9-D8)</f>
        <v>11640</v>
      </c>
      <c r="S9" s="37">
        <f t="shared" si="15"/>
        <v>20</v>
      </c>
      <c r="T9" s="37">
        <f t="shared" ref="T9:T35" si="18">IF((F9-F8&lt;0), "0",F9-F8)</f>
        <v>1570</v>
      </c>
      <c r="U9" s="37">
        <f t="shared" ref="U9:U35" si="19">IF((G9-G8&lt;0), "0",G9-G8)</f>
        <v>5660</v>
      </c>
      <c r="V9" s="37">
        <f t="shared" ref="V9:V35" si="20">IF((H9-H8&lt;0), "0",H9-H8)</f>
        <v>4330</v>
      </c>
      <c r="W9" s="37">
        <f t="shared" ref="W9:W35" si="21">IF((I9-I8&lt;0), "0",I9-I8)</f>
        <v>3380</v>
      </c>
      <c r="X9" s="37">
        <f t="shared" ref="X9:X35" si="22">IF((J9-J8&lt;0), "0",J9-J8)</f>
        <v>4670</v>
      </c>
      <c r="Y9" s="37">
        <f t="shared" ref="Y9:Y35" si="23">IF((K9-K8&lt;0), "0",K9-K8)</f>
        <v>5060</v>
      </c>
      <c r="Z9" s="37">
        <f t="shared" ref="Z9:Z35" si="24">IF((L9-L8&lt;0), "0",L9-L8)</f>
        <v>2800</v>
      </c>
      <c r="AA9" s="37">
        <f t="shared" ref="AA9:AA35" si="25">IF((M9-M8&lt;0), "0",M9-M8)</f>
        <v>3660</v>
      </c>
      <c r="AB9" s="37">
        <f t="shared" ref="AB9:AB35" si="26">IF((N9-N8&lt;0), "0",N9-N8)</f>
        <v>7700</v>
      </c>
      <c r="AC9" s="37">
        <f t="shared" ref="AC9:AC35" si="27">IF((O9-O8&lt;0), "0",O9-O8)</f>
        <v>13650</v>
      </c>
      <c r="AD9" s="35">
        <f t="shared" ref="AD9:AD34" si="28">SUM(Q9:AC9)</f>
        <v>65180</v>
      </c>
      <c r="AF9" s="20">
        <f t="shared" si="1"/>
        <v>5.2</v>
      </c>
      <c r="AG9" s="20">
        <f t="shared" si="2"/>
        <v>58.2</v>
      </c>
      <c r="AH9" s="20">
        <f t="shared" si="3"/>
        <v>0.1</v>
      </c>
      <c r="AI9" s="20">
        <f t="shared" si="4"/>
        <v>7.8500000000000005</v>
      </c>
      <c r="AJ9" s="20">
        <f t="shared" si="5"/>
        <v>28.3</v>
      </c>
      <c r="AK9" s="20">
        <f t="shared" si="6"/>
        <v>21.650000000000002</v>
      </c>
      <c r="AL9" s="20">
        <f t="shared" si="7"/>
        <v>16.899999999999999</v>
      </c>
      <c r="AM9" s="20">
        <f t="shared" si="8"/>
        <v>23.35</v>
      </c>
      <c r="AN9" s="20">
        <f t="shared" si="9"/>
        <v>25.3</v>
      </c>
      <c r="AO9" s="20">
        <f t="shared" si="10"/>
        <v>14</v>
      </c>
      <c r="AP9" s="20">
        <f t="shared" si="11"/>
        <v>18.3</v>
      </c>
      <c r="AQ9" s="20">
        <f t="shared" si="12"/>
        <v>38.5</v>
      </c>
      <c r="AR9" s="20">
        <f t="shared" si="13"/>
        <v>68.25</v>
      </c>
      <c r="AS9" s="35">
        <f t="shared" ref="AS9:AS34" si="29">SUM(AF9:AR9)</f>
        <v>325.90000000000003</v>
      </c>
      <c r="AU9" s="47">
        <v>670070</v>
      </c>
      <c r="AV9" s="37">
        <f>IF((AU9-AU8&lt;0),"0",AU9-AU8)</f>
        <v>1811</v>
      </c>
      <c r="AW9" s="35">
        <f t="shared" ref="AW9:AW36" si="30">AV9*$D$40</f>
        <v>3.6219999999999999</v>
      </c>
    </row>
    <row r="10" spans="1:49" x14ac:dyDescent="0.25">
      <c r="A10" s="23">
        <v>43803</v>
      </c>
      <c r="B10" s="40">
        <v>122</v>
      </c>
      <c r="C10" s="24">
        <v>5901850</v>
      </c>
      <c r="D10" s="24">
        <v>12101190</v>
      </c>
      <c r="E10" s="24">
        <v>1470220</v>
      </c>
      <c r="F10" s="24">
        <v>2604610</v>
      </c>
      <c r="G10" s="24">
        <v>7912080</v>
      </c>
      <c r="H10" s="24">
        <v>3759770</v>
      </c>
      <c r="I10" s="24">
        <v>3741990</v>
      </c>
      <c r="J10" s="24">
        <v>4236450</v>
      </c>
      <c r="K10" s="24">
        <v>6854490</v>
      </c>
      <c r="L10" s="24">
        <v>2439690</v>
      </c>
      <c r="M10" s="24">
        <v>6322380</v>
      </c>
      <c r="N10" s="24">
        <v>8642510</v>
      </c>
      <c r="O10" s="24">
        <v>11292530</v>
      </c>
      <c r="Q10" s="37">
        <f t="shared" si="16"/>
        <v>1030</v>
      </c>
      <c r="R10" s="37">
        <f t="shared" si="17"/>
        <v>11320</v>
      </c>
      <c r="S10" s="37">
        <f t="shared" si="15"/>
        <v>20</v>
      </c>
      <c r="T10" s="37">
        <f t="shared" si="18"/>
        <v>1550</v>
      </c>
      <c r="U10" s="37">
        <f t="shared" si="19"/>
        <v>5380</v>
      </c>
      <c r="V10" s="37">
        <f t="shared" si="20"/>
        <v>4340</v>
      </c>
      <c r="W10" s="37">
        <f t="shared" si="21"/>
        <v>3150</v>
      </c>
      <c r="X10" s="37">
        <f t="shared" si="22"/>
        <v>4700</v>
      </c>
      <c r="Y10" s="37">
        <f t="shared" si="23"/>
        <v>5250</v>
      </c>
      <c r="Z10" s="37">
        <f t="shared" si="24"/>
        <v>2780</v>
      </c>
      <c r="AA10" s="37">
        <f t="shared" si="25"/>
        <v>3440</v>
      </c>
      <c r="AB10" s="37">
        <f t="shared" si="26"/>
        <v>7980</v>
      </c>
      <c r="AC10" s="37">
        <f t="shared" si="27"/>
        <v>15270</v>
      </c>
      <c r="AD10" s="35">
        <f t="shared" si="28"/>
        <v>66210</v>
      </c>
      <c r="AF10" s="20">
        <f t="shared" si="1"/>
        <v>5.15</v>
      </c>
      <c r="AG10" s="20">
        <f t="shared" si="2"/>
        <v>56.6</v>
      </c>
      <c r="AH10" s="20">
        <f t="shared" si="3"/>
        <v>0.1</v>
      </c>
      <c r="AI10" s="20">
        <f t="shared" si="4"/>
        <v>7.75</v>
      </c>
      <c r="AJ10" s="20">
        <f t="shared" si="5"/>
        <v>26.900000000000002</v>
      </c>
      <c r="AK10" s="20">
        <f t="shared" si="6"/>
        <v>21.7</v>
      </c>
      <c r="AL10" s="20">
        <f t="shared" si="7"/>
        <v>15.75</v>
      </c>
      <c r="AM10" s="20">
        <f t="shared" si="8"/>
        <v>23.5</v>
      </c>
      <c r="AN10" s="20">
        <f t="shared" si="9"/>
        <v>26.25</v>
      </c>
      <c r="AO10" s="20">
        <f t="shared" si="10"/>
        <v>13.9</v>
      </c>
      <c r="AP10" s="20">
        <f t="shared" si="11"/>
        <v>17.2</v>
      </c>
      <c r="AQ10" s="20">
        <f t="shared" si="12"/>
        <v>39.9</v>
      </c>
      <c r="AR10" s="20">
        <f t="shared" si="13"/>
        <v>76.350000000000009</v>
      </c>
      <c r="AS10" s="35">
        <f t="shared" si="29"/>
        <v>331.05</v>
      </c>
      <c r="AU10" s="47">
        <v>672060</v>
      </c>
      <c r="AV10" s="37">
        <f t="shared" ref="AV10:AV26" si="31">IF((AU10-AU9&lt;0),"0",AU10-AU9)</f>
        <v>1990</v>
      </c>
      <c r="AW10" s="35">
        <f t="shared" si="30"/>
        <v>3.98</v>
      </c>
    </row>
    <row r="11" spans="1:49" x14ac:dyDescent="0.25">
      <c r="A11" s="23">
        <v>43804</v>
      </c>
      <c r="B11" s="40">
        <v>154</v>
      </c>
      <c r="C11" s="24">
        <v>5902880</v>
      </c>
      <c r="D11" s="24">
        <v>12112440</v>
      </c>
      <c r="E11" s="24">
        <v>1470230</v>
      </c>
      <c r="F11" s="24">
        <v>2606160</v>
      </c>
      <c r="G11" s="24">
        <v>7918320</v>
      </c>
      <c r="H11" s="24">
        <v>3764160</v>
      </c>
      <c r="I11" s="24">
        <v>3745350</v>
      </c>
      <c r="J11" s="24">
        <v>4241190</v>
      </c>
      <c r="K11" s="24">
        <v>6859760</v>
      </c>
      <c r="L11" s="24">
        <v>2442590</v>
      </c>
      <c r="M11" s="24">
        <v>6326040</v>
      </c>
      <c r="N11" s="24">
        <v>8650330</v>
      </c>
      <c r="O11" s="24">
        <v>11307860</v>
      </c>
      <c r="Q11" s="37">
        <f t="shared" si="16"/>
        <v>1030</v>
      </c>
      <c r="R11" s="37">
        <f t="shared" si="17"/>
        <v>11250</v>
      </c>
      <c r="S11" s="37">
        <f t="shared" si="15"/>
        <v>10</v>
      </c>
      <c r="T11" s="37">
        <f t="shared" si="18"/>
        <v>1550</v>
      </c>
      <c r="U11" s="37">
        <f t="shared" si="19"/>
        <v>6240</v>
      </c>
      <c r="V11" s="37">
        <f t="shared" si="20"/>
        <v>4390</v>
      </c>
      <c r="W11" s="37">
        <f t="shared" si="21"/>
        <v>3360</v>
      </c>
      <c r="X11" s="37">
        <f t="shared" si="22"/>
        <v>4740</v>
      </c>
      <c r="Y11" s="37">
        <f t="shared" si="23"/>
        <v>5270</v>
      </c>
      <c r="Z11" s="37">
        <f t="shared" si="24"/>
        <v>2900</v>
      </c>
      <c r="AA11" s="37">
        <f t="shared" si="25"/>
        <v>3660</v>
      </c>
      <c r="AB11" s="37">
        <f t="shared" si="26"/>
        <v>7820</v>
      </c>
      <c r="AC11" s="37">
        <f t="shared" si="27"/>
        <v>15330</v>
      </c>
      <c r="AD11" s="35">
        <f t="shared" si="28"/>
        <v>67550</v>
      </c>
      <c r="AF11" s="20">
        <f t="shared" si="1"/>
        <v>5.15</v>
      </c>
      <c r="AG11" s="20">
        <f t="shared" si="2"/>
        <v>56.25</v>
      </c>
      <c r="AH11" s="20">
        <f t="shared" si="3"/>
        <v>0.05</v>
      </c>
      <c r="AI11" s="20">
        <f t="shared" si="4"/>
        <v>7.75</v>
      </c>
      <c r="AJ11" s="20">
        <f t="shared" si="5"/>
        <v>31.2</v>
      </c>
      <c r="AK11" s="20">
        <f t="shared" si="6"/>
        <v>21.95</v>
      </c>
      <c r="AL11" s="20">
        <f t="shared" si="7"/>
        <v>16.8</v>
      </c>
      <c r="AM11" s="20">
        <f t="shared" si="8"/>
        <v>23.7</v>
      </c>
      <c r="AN11" s="20">
        <f t="shared" si="9"/>
        <v>26.35</v>
      </c>
      <c r="AO11" s="20">
        <f t="shared" si="10"/>
        <v>14.5</v>
      </c>
      <c r="AP11" s="20">
        <f t="shared" si="11"/>
        <v>18.3</v>
      </c>
      <c r="AQ11" s="20">
        <f t="shared" si="12"/>
        <v>39.1</v>
      </c>
      <c r="AR11" s="20">
        <f t="shared" si="13"/>
        <v>76.650000000000006</v>
      </c>
      <c r="AS11" s="35">
        <f t="shared" si="29"/>
        <v>337.75</v>
      </c>
      <c r="AU11" s="47">
        <v>673860</v>
      </c>
      <c r="AV11" s="37">
        <f t="shared" si="31"/>
        <v>1800</v>
      </c>
      <c r="AW11" s="35">
        <f t="shared" si="30"/>
        <v>3.6</v>
      </c>
    </row>
    <row r="12" spans="1:49" x14ac:dyDescent="0.25">
      <c r="A12" s="23">
        <v>43805</v>
      </c>
      <c r="B12" s="40">
        <v>122</v>
      </c>
      <c r="C12" s="49">
        <v>5903920</v>
      </c>
      <c r="D12" s="24">
        <v>12124590</v>
      </c>
      <c r="E12" s="24">
        <v>1470280</v>
      </c>
      <c r="F12" s="24">
        <v>2607730</v>
      </c>
      <c r="G12" s="24">
        <v>7925070</v>
      </c>
      <c r="H12" s="24">
        <v>3768530</v>
      </c>
      <c r="I12" s="24">
        <v>3748640</v>
      </c>
      <c r="J12" s="24">
        <v>4245990</v>
      </c>
      <c r="K12" s="24">
        <v>6865330</v>
      </c>
      <c r="L12" s="24">
        <v>2445470</v>
      </c>
      <c r="M12" s="24">
        <v>6330040</v>
      </c>
      <c r="N12" s="24">
        <v>8658070</v>
      </c>
      <c r="O12" s="24">
        <v>11323080</v>
      </c>
      <c r="Q12" s="37">
        <f t="shared" si="16"/>
        <v>1040</v>
      </c>
      <c r="R12" s="37">
        <f t="shared" si="17"/>
        <v>12150</v>
      </c>
      <c r="S12" s="37">
        <f t="shared" si="15"/>
        <v>50</v>
      </c>
      <c r="T12" s="37">
        <f t="shared" si="18"/>
        <v>1570</v>
      </c>
      <c r="U12" s="37">
        <f t="shared" si="19"/>
        <v>6750</v>
      </c>
      <c r="V12" s="37">
        <f t="shared" si="20"/>
        <v>4370</v>
      </c>
      <c r="W12" s="37">
        <f t="shared" si="21"/>
        <v>3290</v>
      </c>
      <c r="X12" s="37">
        <f t="shared" si="22"/>
        <v>4800</v>
      </c>
      <c r="Y12" s="37">
        <f t="shared" si="23"/>
        <v>5570</v>
      </c>
      <c r="Z12" s="37">
        <f t="shared" si="24"/>
        <v>2880</v>
      </c>
      <c r="AA12" s="37">
        <f t="shared" si="25"/>
        <v>4000</v>
      </c>
      <c r="AB12" s="37">
        <f t="shared" si="26"/>
        <v>7740</v>
      </c>
      <c r="AC12" s="37">
        <f t="shared" si="27"/>
        <v>15220</v>
      </c>
      <c r="AD12" s="35">
        <f t="shared" si="28"/>
        <v>69430</v>
      </c>
      <c r="AF12" s="20">
        <f t="shared" si="1"/>
        <v>5.2</v>
      </c>
      <c r="AG12" s="20">
        <f t="shared" si="2"/>
        <v>60.75</v>
      </c>
      <c r="AH12" s="20">
        <f t="shared" si="3"/>
        <v>0.25</v>
      </c>
      <c r="AI12" s="20">
        <f t="shared" si="4"/>
        <v>7.8500000000000005</v>
      </c>
      <c r="AJ12" s="20">
        <f t="shared" si="5"/>
        <v>33.75</v>
      </c>
      <c r="AK12" s="20">
        <f t="shared" si="6"/>
        <v>21.85</v>
      </c>
      <c r="AL12" s="20">
        <f t="shared" si="7"/>
        <v>16.45</v>
      </c>
      <c r="AM12" s="20">
        <f t="shared" si="8"/>
        <v>24</v>
      </c>
      <c r="AN12" s="20">
        <f t="shared" si="9"/>
        <v>27.85</v>
      </c>
      <c r="AO12" s="20">
        <f t="shared" si="10"/>
        <v>14.4</v>
      </c>
      <c r="AP12" s="20">
        <f t="shared" si="11"/>
        <v>20</v>
      </c>
      <c r="AQ12" s="20">
        <f t="shared" si="12"/>
        <v>38.700000000000003</v>
      </c>
      <c r="AR12" s="20">
        <f t="shared" si="13"/>
        <v>76.100000000000009</v>
      </c>
      <c r="AS12" s="35">
        <f t="shared" si="29"/>
        <v>347.15000000000003</v>
      </c>
      <c r="AU12" s="47">
        <v>675260</v>
      </c>
      <c r="AV12" s="37">
        <f t="shared" si="31"/>
        <v>1400</v>
      </c>
      <c r="AW12" s="35">
        <f t="shared" si="30"/>
        <v>2.8000000000000003</v>
      </c>
    </row>
    <row r="13" spans="1:49" x14ac:dyDescent="0.25">
      <c r="A13" s="23">
        <v>43806</v>
      </c>
      <c r="B13" s="40">
        <v>136</v>
      </c>
      <c r="C13" s="24">
        <v>5904960</v>
      </c>
      <c r="D13" s="24">
        <v>12136590</v>
      </c>
      <c r="E13" s="24">
        <v>1470300</v>
      </c>
      <c r="F13" s="24">
        <v>2609290</v>
      </c>
      <c r="G13" s="24">
        <v>7931730</v>
      </c>
      <c r="H13" s="24">
        <v>3772930</v>
      </c>
      <c r="I13" s="24">
        <v>3752080</v>
      </c>
      <c r="J13" s="24">
        <v>4250720</v>
      </c>
      <c r="K13" s="24">
        <v>6870900</v>
      </c>
      <c r="L13" s="24">
        <v>2448380</v>
      </c>
      <c r="M13" s="24">
        <v>6333980</v>
      </c>
      <c r="N13" s="24">
        <v>8665920</v>
      </c>
      <c r="O13" s="24">
        <v>11338170</v>
      </c>
      <c r="Q13" s="37">
        <f t="shared" si="16"/>
        <v>1040</v>
      </c>
      <c r="R13" s="37">
        <f t="shared" si="17"/>
        <v>12000</v>
      </c>
      <c r="S13" s="37">
        <f t="shared" si="15"/>
        <v>20</v>
      </c>
      <c r="T13" s="37">
        <f t="shared" si="18"/>
        <v>1560</v>
      </c>
      <c r="U13" s="37">
        <f t="shared" si="19"/>
        <v>6660</v>
      </c>
      <c r="V13" s="37">
        <f t="shared" si="20"/>
        <v>4400</v>
      </c>
      <c r="W13" s="37">
        <f t="shared" si="21"/>
        <v>3440</v>
      </c>
      <c r="X13" s="37">
        <f t="shared" si="22"/>
        <v>4730</v>
      </c>
      <c r="Y13" s="37">
        <f t="shared" si="23"/>
        <v>5570</v>
      </c>
      <c r="Z13" s="37">
        <f t="shared" si="24"/>
        <v>2910</v>
      </c>
      <c r="AA13" s="37">
        <f t="shared" si="25"/>
        <v>3940</v>
      </c>
      <c r="AB13" s="37">
        <f t="shared" si="26"/>
        <v>7850</v>
      </c>
      <c r="AC13" s="37">
        <f t="shared" si="27"/>
        <v>15090</v>
      </c>
      <c r="AD13" s="35">
        <f t="shared" si="28"/>
        <v>69210</v>
      </c>
      <c r="AF13" s="20">
        <f t="shared" si="1"/>
        <v>5.2</v>
      </c>
      <c r="AG13" s="20">
        <f t="shared" si="2"/>
        <v>60</v>
      </c>
      <c r="AH13" s="20">
        <f t="shared" si="3"/>
        <v>0.1</v>
      </c>
      <c r="AI13" s="20">
        <f t="shared" si="4"/>
        <v>7.8</v>
      </c>
      <c r="AJ13" s="20">
        <f t="shared" si="5"/>
        <v>33.299999999999997</v>
      </c>
      <c r="AK13" s="20">
        <f t="shared" si="6"/>
        <v>22</v>
      </c>
      <c r="AL13" s="20">
        <f t="shared" si="7"/>
        <v>17.2</v>
      </c>
      <c r="AM13" s="20">
        <f t="shared" si="8"/>
        <v>23.650000000000002</v>
      </c>
      <c r="AN13" s="20">
        <f t="shared" si="9"/>
        <v>27.85</v>
      </c>
      <c r="AO13" s="20">
        <f t="shared" si="10"/>
        <v>14.55</v>
      </c>
      <c r="AP13" s="20">
        <f t="shared" si="11"/>
        <v>19.7</v>
      </c>
      <c r="AQ13" s="20">
        <f t="shared" si="12"/>
        <v>39.25</v>
      </c>
      <c r="AR13" s="20">
        <f t="shared" si="13"/>
        <v>75.45</v>
      </c>
      <c r="AS13" s="35">
        <f t="shared" si="29"/>
        <v>346.04999999999995</v>
      </c>
      <c r="AU13" s="47">
        <v>677120</v>
      </c>
      <c r="AV13" s="37">
        <f t="shared" si="31"/>
        <v>1860</v>
      </c>
      <c r="AW13" s="35">
        <f t="shared" si="30"/>
        <v>3.72</v>
      </c>
    </row>
    <row r="14" spans="1:49" x14ac:dyDescent="0.25">
      <c r="A14" s="23">
        <v>43807</v>
      </c>
      <c r="B14" s="40">
        <v>137</v>
      </c>
      <c r="C14" s="24">
        <v>5905990</v>
      </c>
      <c r="D14" s="24">
        <v>12147310</v>
      </c>
      <c r="E14" s="24">
        <v>1470300</v>
      </c>
      <c r="F14" s="24">
        <v>2610800</v>
      </c>
      <c r="G14" s="24">
        <v>7938540</v>
      </c>
      <c r="H14" s="24">
        <v>3777430</v>
      </c>
      <c r="I14" s="24">
        <v>3755970</v>
      </c>
      <c r="J14" s="24">
        <v>4255460</v>
      </c>
      <c r="K14" s="24">
        <v>6875980</v>
      </c>
      <c r="L14" s="24">
        <v>2451190</v>
      </c>
      <c r="M14" s="24">
        <v>6337750</v>
      </c>
      <c r="N14" s="24">
        <v>8673730</v>
      </c>
      <c r="O14" s="24">
        <v>11353540</v>
      </c>
      <c r="Q14" s="37">
        <f t="shared" si="16"/>
        <v>1030</v>
      </c>
      <c r="R14" s="37">
        <f t="shared" si="17"/>
        <v>10720</v>
      </c>
      <c r="S14" s="37">
        <f t="shared" si="15"/>
        <v>0</v>
      </c>
      <c r="T14" s="37">
        <f t="shared" si="18"/>
        <v>1510</v>
      </c>
      <c r="U14" s="37">
        <f t="shared" si="19"/>
        <v>6810</v>
      </c>
      <c r="V14" s="37">
        <f t="shared" si="20"/>
        <v>4500</v>
      </c>
      <c r="W14" s="37">
        <f t="shared" si="21"/>
        <v>3890</v>
      </c>
      <c r="X14" s="37">
        <f t="shared" si="22"/>
        <v>4740</v>
      </c>
      <c r="Y14" s="37">
        <f t="shared" si="23"/>
        <v>5080</v>
      </c>
      <c r="Z14" s="37">
        <f t="shared" si="24"/>
        <v>2810</v>
      </c>
      <c r="AA14" s="37">
        <f t="shared" si="25"/>
        <v>3770</v>
      </c>
      <c r="AB14" s="37">
        <f t="shared" si="26"/>
        <v>7810</v>
      </c>
      <c r="AC14" s="37">
        <f t="shared" si="27"/>
        <v>15370</v>
      </c>
      <c r="AD14" s="35">
        <f t="shared" si="28"/>
        <v>68040</v>
      </c>
      <c r="AF14" s="20">
        <f t="shared" si="1"/>
        <v>5.15</v>
      </c>
      <c r="AG14" s="20">
        <f t="shared" si="2"/>
        <v>53.6</v>
      </c>
      <c r="AH14" s="20">
        <f t="shared" si="3"/>
        <v>0</v>
      </c>
      <c r="AI14" s="20">
        <f t="shared" si="4"/>
        <v>7.55</v>
      </c>
      <c r="AJ14" s="20">
        <f t="shared" si="5"/>
        <v>34.049999999999997</v>
      </c>
      <c r="AK14" s="20">
        <f t="shared" si="6"/>
        <v>22.5</v>
      </c>
      <c r="AL14" s="20">
        <f t="shared" si="7"/>
        <v>19.45</v>
      </c>
      <c r="AM14" s="20">
        <f t="shared" si="8"/>
        <v>23.7</v>
      </c>
      <c r="AN14" s="20">
        <f t="shared" si="9"/>
        <v>25.400000000000002</v>
      </c>
      <c r="AO14" s="20">
        <f t="shared" si="10"/>
        <v>14.05</v>
      </c>
      <c r="AP14" s="20">
        <f t="shared" si="11"/>
        <v>18.850000000000001</v>
      </c>
      <c r="AQ14" s="20">
        <f t="shared" si="12"/>
        <v>39.050000000000004</v>
      </c>
      <c r="AR14" s="20">
        <f t="shared" si="13"/>
        <v>76.850000000000009</v>
      </c>
      <c r="AS14" s="35">
        <f t="shared" si="29"/>
        <v>340.2</v>
      </c>
      <c r="AU14" s="47">
        <v>679300</v>
      </c>
      <c r="AV14" s="37">
        <f t="shared" si="31"/>
        <v>2180</v>
      </c>
      <c r="AW14" s="35">
        <f t="shared" si="30"/>
        <v>4.3600000000000003</v>
      </c>
    </row>
    <row r="15" spans="1:49" x14ac:dyDescent="0.25">
      <c r="A15" s="23">
        <v>43808</v>
      </c>
      <c r="B15" s="40">
        <v>203</v>
      </c>
      <c r="C15" s="24">
        <v>5907010</v>
      </c>
      <c r="D15" s="24">
        <v>12158050</v>
      </c>
      <c r="E15" s="24">
        <v>1470300</v>
      </c>
      <c r="F15" s="24">
        <v>2612300</v>
      </c>
      <c r="G15" s="24">
        <v>7945190</v>
      </c>
      <c r="H15" s="24">
        <v>3781850</v>
      </c>
      <c r="I15" s="24">
        <v>3759680</v>
      </c>
      <c r="J15" s="24">
        <v>4260680</v>
      </c>
      <c r="K15" s="24">
        <v>6881050</v>
      </c>
      <c r="L15" s="24">
        <v>2454060</v>
      </c>
      <c r="M15" s="24">
        <v>6341250</v>
      </c>
      <c r="N15" s="24">
        <v>8681410</v>
      </c>
      <c r="O15" s="24">
        <v>11368470</v>
      </c>
      <c r="Q15" s="37">
        <f t="shared" si="16"/>
        <v>1020</v>
      </c>
      <c r="R15" s="37">
        <f t="shared" si="17"/>
        <v>10740</v>
      </c>
      <c r="S15" s="37">
        <f t="shared" si="15"/>
        <v>0</v>
      </c>
      <c r="T15" s="37">
        <f t="shared" si="18"/>
        <v>1500</v>
      </c>
      <c r="U15" s="37">
        <f t="shared" si="19"/>
        <v>6650</v>
      </c>
      <c r="V15" s="37">
        <f t="shared" si="20"/>
        <v>4420</v>
      </c>
      <c r="W15" s="37">
        <f t="shared" si="21"/>
        <v>3710</v>
      </c>
      <c r="X15" s="37">
        <f t="shared" si="22"/>
        <v>5220</v>
      </c>
      <c r="Y15" s="37">
        <f t="shared" si="23"/>
        <v>5070</v>
      </c>
      <c r="Z15" s="37">
        <f t="shared" si="24"/>
        <v>2870</v>
      </c>
      <c r="AA15" s="37">
        <f t="shared" si="25"/>
        <v>3500</v>
      </c>
      <c r="AB15" s="37">
        <f t="shared" si="26"/>
        <v>7680</v>
      </c>
      <c r="AC15" s="37">
        <f t="shared" si="27"/>
        <v>14930</v>
      </c>
      <c r="AD15" s="35">
        <f t="shared" si="28"/>
        <v>67310</v>
      </c>
      <c r="AF15" s="20">
        <f t="shared" si="1"/>
        <v>5.1000000000000005</v>
      </c>
      <c r="AG15" s="20">
        <f t="shared" si="2"/>
        <v>53.7</v>
      </c>
      <c r="AH15" s="20">
        <f t="shared" si="3"/>
        <v>0</v>
      </c>
      <c r="AI15" s="20">
        <f t="shared" si="4"/>
        <v>7.5</v>
      </c>
      <c r="AJ15" s="20">
        <f t="shared" si="5"/>
        <v>33.25</v>
      </c>
      <c r="AK15" s="20">
        <f t="shared" si="6"/>
        <v>22.1</v>
      </c>
      <c r="AL15" s="20">
        <f t="shared" si="7"/>
        <v>18.55</v>
      </c>
      <c r="AM15" s="20">
        <f t="shared" si="8"/>
        <v>26.1</v>
      </c>
      <c r="AN15" s="20">
        <f t="shared" si="9"/>
        <v>25.35</v>
      </c>
      <c r="AO15" s="20">
        <f t="shared" si="10"/>
        <v>14.35</v>
      </c>
      <c r="AP15" s="20">
        <f t="shared" si="11"/>
        <v>17.5</v>
      </c>
      <c r="AQ15" s="20">
        <f t="shared" si="12"/>
        <v>38.4</v>
      </c>
      <c r="AR15" s="20">
        <f t="shared" si="13"/>
        <v>74.650000000000006</v>
      </c>
      <c r="AS15" s="35">
        <f t="shared" si="29"/>
        <v>336.54999999999995</v>
      </c>
      <c r="AU15" s="47">
        <v>680520</v>
      </c>
      <c r="AV15" s="37">
        <f t="shared" si="31"/>
        <v>1220</v>
      </c>
      <c r="AW15" s="35">
        <f t="shared" si="30"/>
        <v>2.44</v>
      </c>
    </row>
    <row r="16" spans="1:49" x14ac:dyDescent="0.25">
      <c r="A16" s="23">
        <v>43809</v>
      </c>
      <c r="B16" s="40">
        <v>175</v>
      </c>
      <c r="C16" s="24">
        <v>5908030</v>
      </c>
      <c r="D16" s="24">
        <v>12168390</v>
      </c>
      <c r="E16" s="24">
        <v>1470300</v>
      </c>
      <c r="F16" s="24">
        <v>2613800</v>
      </c>
      <c r="G16" s="24">
        <v>7952000</v>
      </c>
      <c r="H16" s="24">
        <v>3786180</v>
      </c>
      <c r="I16" s="24">
        <v>3762920</v>
      </c>
      <c r="J16" s="24">
        <v>4265280</v>
      </c>
      <c r="K16" s="24">
        <v>6885910</v>
      </c>
      <c r="L16" s="24">
        <v>2456890</v>
      </c>
      <c r="M16" s="24">
        <v>6344920</v>
      </c>
      <c r="N16" s="24">
        <v>8688930</v>
      </c>
      <c r="O16" s="24">
        <v>11382860</v>
      </c>
      <c r="Q16" s="37">
        <f t="shared" si="16"/>
        <v>1020</v>
      </c>
      <c r="R16" s="37">
        <f t="shared" si="17"/>
        <v>10340</v>
      </c>
      <c r="S16" s="37">
        <f t="shared" si="15"/>
        <v>0</v>
      </c>
      <c r="T16" s="37">
        <f t="shared" si="18"/>
        <v>1500</v>
      </c>
      <c r="U16" s="37">
        <f t="shared" si="19"/>
        <v>6810</v>
      </c>
      <c r="V16" s="37">
        <f t="shared" si="20"/>
        <v>4330</v>
      </c>
      <c r="W16" s="37">
        <f t="shared" si="21"/>
        <v>3240</v>
      </c>
      <c r="X16" s="37">
        <f t="shared" si="22"/>
        <v>4600</v>
      </c>
      <c r="Y16" s="37">
        <f t="shared" si="23"/>
        <v>4860</v>
      </c>
      <c r="Z16" s="37">
        <f t="shared" si="24"/>
        <v>2830</v>
      </c>
      <c r="AA16" s="37">
        <f t="shared" si="25"/>
        <v>3670</v>
      </c>
      <c r="AB16" s="37">
        <f t="shared" si="26"/>
        <v>7520</v>
      </c>
      <c r="AC16" s="37">
        <f t="shared" si="27"/>
        <v>14390</v>
      </c>
      <c r="AD16" s="35">
        <f t="shared" si="28"/>
        <v>65110</v>
      </c>
      <c r="AF16" s="20">
        <f t="shared" si="1"/>
        <v>5.1000000000000005</v>
      </c>
      <c r="AG16" s="20">
        <f t="shared" si="2"/>
        <v>51.7</v>
      </c>
      <c r="AH16" s="20">
        <f t="shared" si="3"/>
        <v>0</v>
      </c>
      <c r="AI16" s="20">
        <f t="shared" si="4"/>
        <v>7.5</v>
      </c>
      <c r="AJ16" s="20">
        <f t="shared" si="5"/>
        <v>34.049999999999997</v>
      </c>
      <c r="AK16" s="20">
        <f t="shared" si="6"/>
        <v>21.650000000000002</v>
      </c>
      <c r="AL16" s="20">
        <f t="shared" si="7"/>
        <v>16.2</v>
      </c>
      <c r="AM16" s="20">
        <f t="shared" si="8"/>
        <v>23</v>
      </c>
      <c r="AN16" s="20">
        <f t="shared" si="9"/>
        <v>24.3</v>
      </c>
      <c r="AO16" s="20">
        <f t="shared" si="10"/>
        <v>14.15</v>
      </c>
      <c r="AP16" s="20">
        <f t="shared" si="11"/>
        <v>18.350000000000001</v>
      </c>
      <c r="AQ16" s="20">
        <f t="shared" si="12"/>
        <v>37.6</v>
      </c>
      <c r="AR16" s="20">
        <f t="shared" si="13"/>
        <v>71.95</v>
      </c>
      <c r="AS16" s="35">
        <f t="shared" si="29"/>
        <v>325.55</v>
      </c>
      <c r="AU16" s="47">
        <v>681842</v>
      </c>
      <c r="AV16" s="37">
        <f t="shared" si="31"/>
        <v>1322</v>
      </c>
      <c r="AW16" s="35">
        <f t="shared" si="30"/>
        <v>2.6440000000000001</v>
      </c>
    </row>
    <row r="17" spans="1:49" x14ac:dyDescent="0.25">
      <c r="A17" s="23">
        <v>43810</v>
      </c>
      <c r="B17" s="40">
        <v>122</v>
      </c>
      <c r="C17" s="24">
        <v>5908840</v>
      </c>
      <c r="D17" s="24">
        <v>12179410</v>
      </c>
      <c r="E17" s="24">
        <v>1470300</v>
      </c>
      <c r="F17" s="24">
        <v>2615330</v>
      </c>
      <c r="G17" s="24">
        <v>7958200</v>
      </c>
      <c r="H17" s="24">
        <v>3790560</v>
      </c>
      <c r="I17" s="24">
        <v>3766160</v>
      </c>
      <c r="J17" s="24">
        <v>4269660</v>
      </c>
      <c r="K17" s="24">
        <v>6890660</v>
      </c>
      <c r="L17" s="24">
        <v>2459800</v>
      </c>
      <c r="M17" s="24">
        <v>6348390</v>
      </c>
      <c r="N17" s="24">
        <v>8696670</v>
      </c>
      <c r="O17" s="24">
        <v>11397620</v>
      </c>
      <c r="Q17" s="37">
        <f t="shared" si="16"/>
        <v>810</v>
      </c>
      <c r="R17" s="37">
        <f t="shared" si="17"/>
        <v>11020</v>
      </c>
      <c r="S17" s="37">
        <f t="shared" si="15"/>
        <v>0</v>
      </c>
      <c r="T17" s="37">
        <f t="shared" si="18"/>
        <v>1530</v>
      </c>
      <c r="U17" s="37">
        <f t="shared" si="19"/>
        <v>6200</v>
      </c>
      <c r="V17" s="37">
        <f t="shared" si="20"/>
        <v>4380</v>
      </c>
      <c r="W17" s="37">
        <f t="shared" si="21"/>
        <v>3240</v>
      </c>
      <c r="X17" s="37">
        <f t="shared" si="22"/>
        <v>4380</v>
      </c>
      <c r="Y17" s="37">
        <f t="shared" si="23"/>
        <v>4750</v>
      </c>
      <c r="Z17" s="37">
        <f t="shared" si="24"/>
        <v>2910</v>
      </c>
      <c r="AA17" s="37">
        <f t="shared" si="25"/>
        <v>3470</v>
      </c>
      <c r="AB17" s="37">
        <f t="shared" si="26"/>
        <v>7740</v>
      </c>
      <c r="AC17" s="37">
        <f t="shared" si="27"/>
        <v>14760</v>
      </c>
      <c r="AD17" s="35">
        <f t="shared" si="28"/>
        <v>65190</v>
      </c>
      <c r="AF17" s="20">
        <f t="shared" si="1"/>
        <v>4.05</v>
      </c>
      <c r="AG17" s="20">
        <f t="shared" si="2"/>
        <v>55.1</v>
      </c>
      <c r="AH17" s="20">
        <f t="shared" si="3"/>
        <v>0</v>
      </c>
      <c r="AI17" s="20">
        <f t="shared" si="4"/>
        <v>7.65</v>
      </c>
      <c r="AJ17" s="20">
        <f t="shared" si="5"/>
        <v>31</v>
      </c>
      <c r="AK17" s="20">
        <f t="shared" si="6"/>
        <v>21.900000000000002</v>
      </c>
      <c r="AL17" s="20">
        <f t="shared" si="7"/>
        <v>16.2</v>
      </c>
      <c r="AM17" s="20">
        <f t="shared" si="8"/>
        <v>21.900000000000002</v>
      </c>
      <c r="AN17" s="20">
        <f t="shared" si="9"/>
        <v>23.75</v>
      </c>
      <c r="AO17" s="20">
        <f t="shared" si="10"/>
        <v>14.55</v>
      </c>
      <c r="AP17" s="20">
        <f t="shared" si="11"/>
        <v>17.350000000000001</v>
      </c>
      <c r="AQ17" s="20">
        <f t="shared" si="12"/>
        <v>38.700000000000003</v>
      </c>
      <c r="AR17" s="20">
        <f t="shared" si="13"/>
        <v>73.8</v>
      </c>
      <c r="AS17" s="35">
        <f t="shared" si="29"/>
        <v>325.95000000000005</v>
      </c>
      <c r="AU17" s="47">
        <v>684070</v>
      </c>
      <c r="AV17" s="37">
        <f t="shared" si="31"/>
        <v>2228</v>
      </c>
      <c r="AW17" s="35">
        <f t="shared" si="30"/>
        <v>4.4560000000000004</v>
      </c>
    </row>
    <row r="18" spans="1:49" x14ac:dyDescent="0.25">
      <c r="A18" s="23">
        <v>43811</v>
      </c>
      <c r="B18" s="40">
        <v>199</v>
      </c>
      <c r="C18" s="24">
        <v>5909380</v>
      </c>
      <c r="D18" s="24">
        <v>12191290</v>
      </c>
      <c r="E18" s="24">
        <v>1470300</v>
      </c>
      <c r="F18" s="24">
        <v>2616850</v>
      </c>
      <c r="G18" s="24">
        <v>7964890</v>
      </c>
      <c r="H18" s="24">
        <v>3795040</v>
      </c>
      <c r="I18" s="24">
        <v>3769950</v>
      </c>
      <c r="J18" s="24">
        <v>4273000</v>
      </c>
      <c r="K18" s="24">
        <v>6895600</v>
      </c>
      <c r="L18" s="24">
        <v>2462730</v>
      </c>
      <c r="M18" s="24">
        <v>6352340</v>
      </c>
      <c r="N18" s="24">
        <v>8704420</v>
      </c>
      <c r="O18" s="24">
        <v>11412760</v>
      </c>
      <c r="Q18" s="37">
        <f t="shared" si="16"/>
        <v>540</v>
      </c>
      <c r="R18" s="37">
        <f t="shared" si="17"/>
        <v>11880</v>
      </c>
      <c r="S18" s="37">
        <f t="shared" si="15"/>
        <v>0</v>
      </c>
      <c r="T18" s="37">
        <f t="shared" si="18"/>
        <v>1520</v>
      </c>
      <c r="U18" s="37">
        <f t="shared" si="19"/>
        <v>6690</v>
      </c>
      <c r="V18" s="37">
        <f t="shared" si="20"/>
        <v>4480</v>
      </c>
      <c r="W18" s="37">
        <f t="shared" si="21"/>
        <v>3790</v>
      </c>
      <c r="X18" s="37">
        <f t="shared" si="22"/>
        <v>3340</v>
      </c>
      <c r="Y18" s="37">
        <f t="shared" si="23"/>
        <v>4940</v>
      </c>
      <c r="Z18" s="37">
        <f t="shared" si="24"/>
        <v>2930</v>
      </c>
      <c r="AA18" s="37">
        <f t="shared" si="25"/>
        <v>3950</v>
      </c>
      <c r="AB18" s="37">
        <f t="shared" si="26"/>
        <v>7750</v>
      </c>
      <c r="AC18" s="37">
        <f t="shared" si="27"/>
        <v>15140</v>
      </c>
      <c r="AD18" s="35">
        <f t="shared" si="28"/>
        <v>66950</v>
      </c>
      <c r="AF18" s="20">
        <f t="shared" si="1"/>
        <v>2.7</v>
      </c>
      <c r="AG18" s="20">
        <f t="shared" si="2"/>
        <v>59.4</v>
      </c>
      <c r="AH18" s="20">
        <f t="shared" si="3"/>
        <v>0</v>
      </c>
      <c r="AI18" s="20">
        <f t="shared" si="4"/>
        <v>7.6000000000000005</v>
      </c>
      <c r="AJ18" s="20">
        <f t="shared" si="5"/>
        <v>33.450000000000003</v>
      </c>
      <c r="AK18" s="20">
        <f t="shared" si="6"/>
        <v>22.400000000000002</v>
      </c>
      <c r="AL18" s="20">
        <f t="shared" si="7"/>
        <v>18.95</v>
      </c>
      <c r="AM18" s="20">
        <f t="shared" si="8"/>
        <v>16.7</v>
      </c>
      <c r="AN18" s="20">
        <f t="shared" si="9"/>
        <v>24.7</v>
      </c>
      <c r="AO18" s="20">
        <f t="shared" si="10"/>
        <v>14.65</v>
      </c>
      <c r="AP18" s="20">
        <f t="shared" si="11"/>
        <v>19.75</v>
      </c>
      <c r="AQ18" s="20">
        <f t="shared" si="12"/>
        <v>38.75</v>
      </c>
      <c r="AR18" s="20">
        <f t="shared" si="13"/>
        <v>75.7</v>
      </c>
      <c r="AS18" s="35">
        <f t="shared" si="29"/>
        <v>334.74999999999994</v>
      </c>
      <c r="AU18" s="47">
        <v>685509</v>
      </c>
      <c r="AV18" s="37">
        <f t="shared" si="31"/>
        <v>1439</v>
      </c>
      <c r="AW18" s="35">
        <f t="shared" si="30"/>
        <v>2.8780000000000001</v>
      </c>
    </row>
    <row r="19" spans="1:49" x14ac:dyDescent="0.25">
      <c r="A19" s="23">
        <v>43812</v>
      </c>
      <c r="B19" s="40">
        <v>167</v>
      </c>
      <c r="C19" s="24">
        <v>5909900</v>
      </c>
      <c r="D19" s="24">
        <v>12203320</v>
      </c>
      <c r="E19" s="24">
        <v>1470300</v>
      </c>
      <c r="F19" s="24">
        <v>2618340</v>
      </c>
      <c r="G19" s="24">
        <v>7971830</v>
      </c>
      <c r="H19" s="24">
        <v>3799290</v>
      </c>
      <c r="I19" s="24">
        <v>3773470</v>
      </c>
      <c r="J19" s="24">
        <v>4278280</v>
      </c>
      <c r="K19" s="24">
        <v>6900410</v>
      </c>
      <c r="L19" s="24">
        <v>2465590</v>
      </c>
      <c r="M19" s="24">
        <v>6356010</v>
      </c>
      <c r="N19" s="24">
        <v>8712190</v>
      </c>
      <c r="O19" s="24">
        <v>11427130</v>
      </c>
      <c r="Q19" s="37">
        <f t="shared" si="16"/>
        <v>520</v>
      </c>
      <c r="R19" s="37">
        <f t="shared" si="17"/>
        <v>12030</v>
      </c>
      <c r="S19" s="37">
        <f t="shared" si="15"/>
        <v>0</v>
      </c>
      <c r="T19" s="37">
        <f t="shared" si="18"/>
        <v>1490</v>
      </c>
      <c r="U19" s="37">
        <f t="shared" si="19"/>
        <v>6940</v>
      </c>
      <c r="V19" s="37">
        <f t="shared" si="20"/>
        <v>4250</v>
      </c>
      <c r="W19" s="37">
        <f t="shared" si="21"/>
        <v>3520</v>
      </c>
      <c r="X19" s="37">
        <f t="shared" si="22"/>
        <v>5280</v>
      </c>
      <c r="Y19" s="37">
        <f t="shared" si="23"/>
        <v>4810</v>
      </c>
      <c r="Z19" s="37">
        <f t="shared" si="24"/>
        <v>2860</v>
      </c>
      <c r="AA19" s="37">
        <f t="shared" si="25"/>
        <v>3670</v>
      </c>
      <c r="AB19" s="37">
        <f t="shared" si="26"/>
        <v>7770</v>
      </c>
      <c r="AC19" s="37">
        <f t="shared" si="27"/>
        <v>14370</v>
      </c>
      <c r="AD19" s="35">
        <f t="shared" si="28"/>
        <v>67510</v>
      </c>
      <c r="AF19" s="20">
        <f t="shared" si="1"/>
        <v>2.6</v>
      </c>
      <c r="AG19" s="20">
        <f t="shared" si="2"/>
        <v>60.15</v>
      </c>
      <c r="AH19" s="20">
        <f t="shared" si="3"/>
        <v>0</v>
      </c>
      <c r="AI19" s="20">
        <f t="shared" si="4"/>
        <v>7.45</v>
      </c>
      <c r="AJ19" s="20">
        <f t="shared" si="5"/>
        <v>34.700000000000003</v>
      </c>
      <c r="AK19" s="20">
        <f t="shared" si="6"/>
        <v>21.25</v>
      </c>
      <c r="AL19" s="20">
        <f t="shared" si="7"/>
        <v>17.600000000000001</v>
      </c>
      <c r="AM19" s="20">
        <f t="shared" si="8"/>
        <v>26.400000000000002</v>
      </c>
      <c r="AN19" s="20">
        <f t="shared" si="9"/>
        <v>24.05</v>
      </c>
      <c r="AO19" s="20">
        <f t="shared" si="10"/>
        <v>14.3</v>
      </c>
      <c r="AP19" s="20">
        <f t="shared" si="11"/>
        <v>18.350000000000001</v>
      </c>
      <c r="AQ19" s="20">
        <f t="shared" si="12"/>
        <v>38.85</v>
      </c>
      <c r="AR19" s="20">
        <f t="shared" si="13"/>
        <v>71.850000000000009</v>
      </c>
      <c r="AS19" s="35">
        <f t="shared" si="29"/>
        <v>337.55000000000007</v>
      </c>
      <c r="AU19" s="47">
        <v>687171</v>
      </c>
      <c r="AV19" s="37">
        <f t="shared" si="31"/>
        <v>1662</v>
      </c>
      <c r="AW19" s="35">
        <f t="shared" si="30"/>
        <v>3.3240000000000003</v>
      </c>
    </row>
    <row r="20" spans="1:49" x14ac:dyDescent="0.25">
      <c r="A20" s="23">
        <v>43813</v>
      </c>
      <c r="B20" s="40">
        <v>125</v>
      </c>
      <c r="C20" s="24">
        <v>5910430</v>
      </c>
      <c r="D20" s="24">
        <v>12214830</v>
      </c>
      <c r="E20" s="24">
        <v>1470300</v>
      </c>
      <c r="F20" s="24">
        <v>2619830</v>
      </c>
      <c r="G20" s="24">
        <v>7978090</v>
      </c>
      <c r="H20" s="24">
        <v>3803530</v>
      </c>
      <c r="I20" s="24">
        <v>3777260</v>
      </c>
      <c r="J20" s="24">
        <v>4282630</v>
      </c>
      <c r="K20" s="24">
        <v>6905220</v>
      </c>
      <c r="L20" s="24">
        <v>2468350</v>
      </c>
      <c r="M20" s="24">
        <v>6359710</v>
      </c>
      <c r="N20" s="24">
        <v>8719950</v>
      </c>
      <c r="O20" s="24">
        <v>11442120</v>
      </c>
      <c r="Q20" s="37">
        <f t="shared" si="16"/>
        <v>530</v>
      </c>
      <c r="R20" s="37">
        <f t="shared" si="17"/>
        <v>11510</v>
      </c>
      <c r="S20" s="37">
        <f t="shared" si="15"/>
        <v>0</v>
      </c>
      <c r="T20" s="37">
        <f t="shared" si="18"/>
        <v>1490</v>
      </c>
      <c r="U20" s="37">
        <f t="shared" si="19"/>
        <v>6260</v>
      </c>
      <c r="V20" s="37">
        <f t="shared" si="20"/>
        <v>4240</v>
      </c>
      <c r="W20" s="37">
        <f t="shared" si="21"/>
        <v>3790</v>
      </c>
      <c r="X20" s="37">
        <f t="shared" si="22"/>
        <v>4350</v>
      </c>
      <c r="Y20" s="37">
        <f t="shared" si="23"/>
        <v>4810</v>
      </c>
      <c r="Z20" s="37">
        <f t="shared" si="24"/>
        <v>2760</v>
      </c>
      <c r="AA20" s="37">
        <f t="shared" si="25"/>
        <v>3700</v>
      </c>
      <c r="AB20" s="37">
        <f t="shared" si="26"/>
        <v>7760</v>
      </c>
      <c r="AC20" s="37">
        <f t="shared" si="27"/>
        <v>14990</v>
      </c>
      <c r="AD20" s="35">
        <f t="shared" si="28"/>
        <v>66190</v>
      </c>
      <c r="AF20" s="20">
        <f t="shared" si="1"/>
        <v>2.65</v>
      </c>
      <c r="AG20" s="20">
        <f t="shared" si="2"/>
        <v>57.550000000000004</v>
      </c>
      <c r="AH20" s="20">
        <f t="shared" si="3"/>
        <v>0</v>
      </c>
      <c r="AI20" s="20">
        <f t="shared" si="4"/>
        <v>7.45</v>
      </c>
      <c r="AJ20" s="20">
        <f t="shared" si="5"/>
        <v>31.3</v>
      </c>
      <c r="AK20" s="20">
        <f t="shared" si="6"/>
        <v>21.2</v>
      </c>
      <c r="AL20" s="20">
        <f t="shared" si="7"/>
        <v>18.95</v>
      </c>
      <c r="AM20" s="20">
        <f t="shared" si="8"/>
        <v>21.75</v>
      </c>
      <c r="AN20" s="20">
        <f t="shared" si="9"/>
        <v>24.05</v>
      </c>
      <c r="AO20" s="20">
        <f t="shared" si="10"/>
        <v>13.8</v>
      </c>
      <c r="AP20" s="20">
        <f t="shared" si="11"/>
        <v>18.5</v>
      </c>
      <c r="AQ20" s="20">
        <f t="shared" si="12"/>
        <v>38.800000000000004</v>
      </c>
      <c r="AR20" s="20">
        <f t="shared" si="13"/>
        <v>74.95</v>
      </c>
      <c r="AS20" s="35">
        <f t="shared" si="29"/>
        <v>330.95</v>
      </c>
      <c r="AU20" s="47">
        <v>688540</v>
      </c>
      <c r="AV20" s="37">
        <f t="shared" si="31"/>
        <v>1369</v>
      </c>
      <c r="AW20" s="35">
        <f t="shared" si="30"/>
        <v>2.738</v>
      </c>
    </row>
    <row r="21" spans="1:49" x14ac:dyDescent="0.25">
      <c r="A21" s="23">
        <v>43814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 t="str">
        <f t="shared" si="16"/>
        <v>0</v>
      </c>
      <c r="R21" s="37" t="str">
        <f t="shared" si="17"/>
        <v>0</v>
      </c>
      <c r="S21" s="37" t="str">
        <f t="shared" si="15"/>
        <v>0</v>
      </c>
      <c r="T21" s="37" t="str">
        <f t="shared" si="18"/>
        <v>0</v>
      </c>
      <c r="U21" s="37" t="str">
        <f t="shared" si="19"/>
        <v>0</v>
      </c>
      <c r="V21" s="37" t="str">
        <f t="shared" si="20"/>
        <v>0</v>
      </c>
      <c r="W21" s="37" t="str">
        <f t="shared" si="21"/>
        <v>0</v>
      </c>
      <c r="X21" s="37" t="str">
        <f t="shared" si="22"/>
        <v>0</v>
      </c>
      <c r="Y21" s="37" t="str">
        <f t="shared" si="23"/>
        <v>0</v>
      </c>
      <c r="Z21" s="37" t="str">
        <f t="shared" si="24"/>
        <v>0</v>
      </c>
      <c r="AA21" s="37" t="str">
        <f t="shared" si="25"/>
        <v>0</v>
      </c>
      <c r="AB21" s="37" t="str">
        <f t="shared" si="26"/>
        <v>0</v>
      </c>
      <c r="AC21" s="37" t="str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 t="str">
        <f t="shared" si="31"/>
        <v>0</v>
      </c>
      <c r="AW21" s="35">
        <f t="shared" si="30"/>
        <v>0</v>
      </c>
    </row>
    <row r="22" spans="1:49" x14ac:dyDescent="0.25">
      <c r="A22" s="23">
        <v>43815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43816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43817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43818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2">IF((C25-C24&lt;0), "0",C25-C24)</f>
        <v>0</v>
      </c>
      <c r="R25" s="37">
        <f t="shared" si="32"/>
        <v>0</v>
      </c>
      <c r="S25" s="37">
        <f t="shared" si="32"/>
        <v>0</v>
      </c>
      <c r="T25" s="37">
        <f t="shared" si="32"/>
        <v>0</v>
      </c>
      <c r="U25" s="37">
        <f t="shared" si="32"/>
        <v>0</v>
      </c>
      <c r="V25" s="37">
        <f t="shared" si="32"/>
        <v>0</v>
      </c>
      <c r="W25" s="37">
        <f t="shared" si="32"/>
        <v>0</v>
      </c>
      <c r="X25" s="37">
        <f t="shared" si="32"/>
        <v>0</v>
      </c>
      <c r="Y25" s="37">
        <f t="shared" si="32"/>
        <v>0</v>
      </c>
      <c r="Z25" s="37">
        <f t="shared" si="32"/>
        <v>0</v>
      </c>
      <c r="AA25" s="37">
        <f t="shared" si="32"/>
        <v>0</v>
      </c>
      <c r="AB25" s="37">
        <f t="shared" si="32"/>
        <v>0</v>
      </c>
      <c r="AC25" s="37">
        <f t="shared" si="32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43819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2"/>
        <v>0</v>
      </c>
      <c r="R26" s="37">
        <f t="shared" si="32"/>
        <v>0</v>
      </c>
      <c r="S26" s="37">
        <f t="shared" si="32"/>
        <v>0</v>
      </c>
      <c r="T26" s="37">
        <f t="shared" si="32"/>
        <v>0</v>
      </c>
      <c r="U26" s="37">
        <f t="shared" si="32"/>
        <v>0</v>
      </c>
      <c r="V26" s="37">
        <f t="shared" si="32"/>
        <v>0</v>
      </c>
      <c r="W26" s="37">
        <f t="shared" si="32"/>
        <v>0</v>
      </c>
      <c r="X26" s="37">
        <f t="shared" si="32"/>
        <v>0</v>
      </c>
      <c r="Y26" s="37">
        <f t="shared" si="32"/>
        <v>0</v>
      </c>
      <c r="Z26" s="37">
        <f t="shared" si="32"/>
        <v>0</v>
      </c>
      <c r="AA26" s="37">
        <f t="shared" si="32"/>
        <v>0</v>
      </c>
      <c r="AB26" s="37">
        <f t="shared" si="32"/>
        <v>0</v>
      </c>
      <c r="AC26" s="37">
        <f t="shared" si="32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43820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2"/>
        <v>0</v>
      </c>
      <c r="R27" s="37">
        <f t="shared" si="32"/>
        <v>0</v>
      </c>
      <c r="S27" s="37">
        <f t="shared" si="32"/>
        <v>0</v>
      </c>
      <c r="T27" s="37">
        <f t="shared" si="32"/>
        <v>0</v>
      </c>
      <c r="U27" s="37">
        <f t="shared" si="32"/>
        <v>0</v>
      </c>
      <c r="V27" s="37">
        <f t="shared" si="32"/>
        <v>0</v>
      </c>
      <c r="W27" s="37">
        <f t="shared" si="32"/>
        <v>0</v>
      </c>
      <c r="X27" s="37">
        <f t="shared" si="32"/>
        <v>0</v>
      </c>
      <c r="Y27" s="37">
        <f t="shared" si="32"/>
        <v>0</v>
      </c>
      <c r="Z27" s="37">
        <f t="shared" si="32"/>
        <v>0</v>
      </c>
      <c r="AA27" s="37">
        <f t="shared" si="32"/>
        <v>0</v>
      </c>
      <c r="AB27" s="37">
        <f t="shared" si="32"/>
        <v>0</v>
      </c>
      <c r="AC27" s="37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43821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43822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43823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43824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43825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43826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43827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43828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43829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3"/>
        <v>0</v>
      </c>
      <c r="AW36" s="35">
        <f t="shared" si="30"/>
        <v>0</v>
      </c>
    </row>
    <row r="37" spans="1:49" x14ac:dyDescent="0.25">
      <c r="A37" s="23">
        <v>43830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12720</v>
      </c>
      <c r="R38" s="30">
        <f t="shared" si="35"/>
        <v>162560</v>
      </c>
      <c r="S38" s="30">
        <f t="shared" si="35"/>
        <v>270</v>
      </c>
      <c r="T38" s="30">
        <f t="shared" si="35"/>
        <v>21420</v>
      </c>
      <c r="U38" s="30">
        <f t="shared" si="35"/>
        <v>90380</v>
      </c>
      <c r="V38" s="30">
        <f t="shared" si="35"/>
        <v>61180</v>
      </c>
      <c r="W38" s="30">
        <f t="shared" si="35"/>
        <v>48760</v>
      </c>
      <c r="X38" s="30">
        <f t="shared" si="35"/>
        <v>64820</v>
      </c>
      <c r="Y38" s="30">
        <f t="shared" si="35"/>
        <v>71630</v>
      </c>
      <c r="Z38" s="30">
        <f t="shared" si="35"/>
        <v>40020</v>
      </c>
      <c r="AA38" s="30">
        <f t="shared" si="35"/>
        <v>51980</v>
      </c>
      <c r="AB38" s="30">
        <f t="shared" si="35"/>
        <v>108850</v>
      </c>
      <c r="AC38" s="30">
        <f t="shared" si="35"/>
        <v>205100</v>
      </c>
      <c r="AD38" s="35">
        <f t="shared" si="35"/>
        <v>939690</v>
      </c>
      <c r="AF38" s="35">
        <f t="shared" ref="AF38:AS38" si="36">SUM(AF7:AF34)</f>
        <v>63.6</v>
      </c>
      <c r="AG38" s="35">
        <f t="shared" si="36"/>
        <v>812.80000000000007</v>
      </c>
      <c r="AH38" s="35">
        <f t="shared" si="36"/>
        <v>1.35</v>
      </c>
      <c r="AI38" s="35">
        <f t="shared" si="36"/>
        <v>107.1</v>
      </c>
      <c r="AJ38" s="35">
        <f t="shared" si="36"/>
        <v>451.90000000000003</v>
      </c>
      <c r="AK38" s="35">
        <f t="shared" si="36"/>
        <v>305.89999999999998</v>
      </c>
      <c r="AL38" s="35">
        <f t="shared" si="36"/>
        <v>243.79999999999995</v>
      </c>
      <c r="AM38" s="35">
        <f t="shared" si="36"/>
        <v>324.09999999999997</v>
      </c>
      <c r="AN38" s="35">
        <f t="shared" si="36"/>
        <v>358.15</v>
      </c>
      <c r="AO38" s="35">
        <f t="shared" si="36"/>
        <v>200.10000000000005</v>
      </c>
      <c r="AP38" s="35">
        <f t="shared" si="36"/>
        <v>259.89999999999998</v>
      </c>
      <c r="AQ38" s="35">
        <f t="shared" si="36"/>
        <v>544.25</v>
      </c>
      <c r="AR38" s="35">
        <f t="shared" si="36"/>
        <v>1025.5</v>
      </c>
      <c r="AS38" s="35">
        <f t="shared" si="36"/>
        <v>4698.45</v>
      </c>
      <c r="AU38" s="48"/>
      <c r="AV38" s="35">
        <f>SUM(AV7:AV34)</f>
        <v>24138</v>
      </c>
      <c r="AW38" s="35">
        <f>SUM(AW7:AW34)</f>
        <v>40.561999999999998</v>
      </c>
    </row>
    <row r="39" spans="1:49" x14ac:dyDescent="0.25">
      <c r="D39">
        <v>5.0000000000000001E-3</v>
      </c>
      <c r="AV39" s="36">
        <f>AV38*0.00378541*1000</f>
        <v>91372.226580000002</v>
      </c>
    </row>
    <row r="40" spans="1:49" x14ac:dyDescent="0.25">
      <c r="D40">
        <v>2E-3</v>
      </c>
      <c r="AV40">
        <f>AV39/31</f>
        <v>2947.49118</v>
      </c>
    </row>
    <row r="41" spans="1:49" x14ac:dyDescent="0.25">
      <c r="AV41">
        <f>AV38*0.00378541</f>
        <v>91.372226580000003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2019-12-15T07:04:47Z</dcterms:modified>
</cp:coreProperties>
</file>