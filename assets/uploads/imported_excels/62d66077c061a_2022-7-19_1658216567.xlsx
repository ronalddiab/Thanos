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2060" tabRatio="579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7" i="3"/>
  <c r="AU22" i="5"/>
  <c r="I20" i="2"/>
  <c r="I21"/>
  <c r="I22"/>
  <c r="C5" i="7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X5"/>
  <c r="W5"/>
  <c r="Y5"/>
  <c r="Z5"/>
  <c r="AA5"/>
  <c r="AC5"/>
  <c r="AD5"/>
  <c r="AE5"/>
  <c r="AF5"/>
  <c r="AG5"/>
  <c r="AH5"/>
  <c r="AI5"/>
  <c r="AJ5"/>
  <c r="AK5"/>
  <c r="AL5"/>
  <c r="AM5"/>
  <c r="AO5"/>
  <c r="AW5"/>
  <c r="AX5"/>
  <c r="AY5"/>
  <c r="AZ5"/>
  <c r="BA5"/>
  <c r="BB5"/>
  <c r="AV5"/>
  <c r="AU5"/>
  <c r="AT5"/>
  <c r="AS5"/>
  <c r="AR5"/>
  <c r="AQ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T5" i="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D3"/>
  <c r="E15" i="77"/>
  <c r="E16"/>
  <c r="E17"/>
  <c r="E18"/>
  <c r="E14"/>
  <c r="C15"/>
  <c r="C16"/>
  <c r="C17"/>
  <c r="C18"/>
  <c r="C19"/>
  <c r="C20"/>
  <c r="C14"/>
  <c r="B49" i="74" l="1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3" i="76"/>
  <c r="AC13"/>
  <c r="AA14"/>
  <c r="AB14"/>
  <c r="AC14"/>
  <c r="AA15"/>
  <c r="AB15"/>
  <c r="AC15"/>
  <c r="AA16"/>
  <c r="AA17"/>
  <c r="AC17"/>
  <c r="AA18"/>
  <c r="AB18"/>
  <c r="AC18"/>
  <c r="AA19"/>
  <c r="AC19"/>
  <c r="AF9"/>
  <c r="AF10"/>
  <c r="W10"/>
  <c r="X10"/>
  <c r="Y10"/>
  <c r="Z10"/>
  <c r="AE10"/>
  <c r="W11"/>
  <c r="X11"/>
  <c r="Y11"/>
  <c r="Z11"/>
  <c r="W9"/>
  <c r="X9"/>
  <c r="Y9"/>
  <c r="Z9"/>
  <c r="AE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Q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BC5" i="7"/>
  <c r="BD5"/>
  <c r="BE5"/>
  <c r="BF5"/>
  <c r="BG5"/>
  <c r="BH5"/>
  <c r="AB5"/>
  <c r="AN5"/>
  <c r="A5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B3"/>
  <c r="B4" s="1"/>
  <c r="B9" s="1"/>
  <c r="B10" s="1"/>
  <c r="B11" s="1"/>
  <c r="A2"/>
  <c r="AT6" i="5"/>
  <c r="AT7" s="1"/>
  <c r="AT9" s="1"/>
  <c r="AT11" s="1"/>
  <c r="AT12" s="1"/>
  <c r="AT13" s="1"/>
  <c r="AT14" s="1"/>
  <c r="AT15" s="1"/>
  <c r="AT16" s="1"/>
  <c r="AT19" s="1"/>
  <c r="AT20" s="1"/>
  <c r="AT21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12" s="1"/>
  <c r="AV13" s="1"/>
  <c r="AV14" s="1"/>
  <c r="AV15" s="1"/>
  <c r="AV17" s="1"/>
  <c r="AV19" s="1"/>
  <c r="AV20" s="1"/>
  <c r="AV21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11" s="1"/>
  <c r="AX12" s="1"/>
  <c r="AX13" s="1"/>
  <c r="AX14" s="1"/>
  <c r="AX15" s="1"/>
  <c r="AX19" s="1"/>
  <c r="AX20" s="1"/>
  <c r="AX21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V6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5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9" s="1"/>
  <c r="H20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8" s="1"/>
  <c r="F9" s="1"/>
  <c r="F10" s="1"/>
  <c r="F11" s="1"/>
  <c r="F12" s="1"/>
  <c r="F13" s="1"/>
  <c r="F14" s="1"/>
  <c r="F15" s="1"/>
  <c r="F19" s="1"/>
  <c r="F20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5"/>
  <c r="C6" s="1"/>
  <c r="C11" s="1"/>
  <c r="C12" s="1"/>
  <c r="C13" s="1"/>
  <c r="C14" s="1"/>
  <c r="C19" s="1"/>
  <c r="C20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11" s="1"/>
  <c r="Q12" s="1"/>
  <c r="Q13" s="1"/>
  <c r="Q14" s="1"/>
  <c r="Q16" s="1"/>
  <c r="Q17" s="1"/>
  <c r="Q18" s="1"/>
  <c r="Q19" s="1"/>
  <c r="Q20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5"/>
  <c r="B6" s="1"/>
  <c r="B11" s="1"/>
  <c r="B12" s="1"/>
  <c r="B13" s="1"/>
  <c r="B14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P4" i="2"/>
  <c r="P5" s="1"/>
  <c r="P10" s="1"/>
  <c r="P11" s="1"/>
  <c r="P12" s="1"/>
  <c r="P13" s="1"/>
  <c r="P18" s="1"/>
  <c r="P19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4"/>
  <c r="L5" s="1"/>
  <c r="L10" s="1"/>
  <c r="L11" s="1"/>
  <c r="L12" s="1"/>
  <c r="L13" s="1"/>
  <c r="L18" s="1"/>
  <c r="L19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F4"/>
  <c r="F5" s="1"/>
  <c r="F10" s="1"/>
  <c r="F11" s="1"/>
  <c r="F12" s="1"/>
  <c r="F13" s="1"/>
  <c r="F18" s="1"/>
  <c r="F19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0" s="1"/>
  <c r="H11" s="1"/>
  <c r="H12" s="1"/>
  <c r="H13" s="1"/>
  <c r="H18" s="1"/>
  <c r="H19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0" s="1"/>
  <c r="J11" s="1"/>
  <c r="J12" s="1"/>
  <c r="J13" s="1"/>
  <c r="J18" s="1"/>
  <c r="J19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10" s="1"/>
  <c r="D11" s="1"/>
  <c r="D12" s="1"/>
  <c r="D13" s="1"/>
  <c r="D18" s="1"/>
  <c r="D19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B18" i="3" l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12"/>
  <c r="J15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12"/>
  <c r="D19" i="73"/>
  <c r="D49" i="3"/>
  <c r="D48"/>
  <c r="D47"/>
  <c r="D46"/>
  <c r="D45"/>
  <c r="D42"/>
  <c r="D43" s="1"/>
  <c r="D44" s="1"/>
  <c r="D41"/>
  <c r="B43"/>
  <c r="C11"/>
  <c r="C3"/>
  <c r="I42"/>
  <c r="C8"/>
  <c r="C9"/>
  <c r="C10"/>
  <c r="C5" l="1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W12" i="76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V27" i="76" l="1"/>
  <c r="V28"/>
  <c r="V26"/>
  <c r="AT37" i="7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5" i="1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G20"/>
  <c r="N19"/>
  <c r="B3"/>
  <c r="A3"/>
  <c r="R19" l="1"/>
  <c r="S19" i="76"/>
  <c r="E30" i="2"/>
  <c r="K21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11" l="1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BC21" i="5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D20"/>
  <c r="AD21" l="1"/>
  <c r="AC22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3" i="3" l="1"/>
  <c r="AB3" s="1"/>
  <c r="F4" l="1"/>
  <c r="AB4" s="1"/>
  <c r="F9" l="1"/>
  <c r="AB9" s="1"/>
  <c r="F10" l="1"/>
  <c r="AB10" s="1"/>
  <c r="F11" l="1"/>
  <c r="AB11" s="1"/>
  <c r="F18" l="1"/>
  <c r="AB18" s="1"/>
  <c r="F21" l="1"/>
  <c r="AB21" s="1"/>
  <c r="F24" l="1"/>
  <c r="AB24" s="1"/>
  <c r="F25" l="1"/>
  <c r="AB25" s="1"/>
  <c r="F26" l="1"/>
  <c r="AB26" s="1"/>
  <c r="F27" l="1"/>
  <c r="AB27" s="1"/>
  <c r="F28" l="1"/>
  <c r="AB28" s="1"/>
  <c r="F29" l="1"/>
  <c r="AB29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V10" i="76"/>
  <c r="V11"/>
  <c r="V9"/>
  <c r="K11" i="5" l="1"/>
  <c r="L10"/>
  <c r="AK9"/>
  <c r="F9" i="65"/>
  <c r="H6" i="63"/>
  <c r="K12" i="5" l="1"/>
  <c r="L11"/>
  <c r="AK10"/>
  <c r="F10" i="65"/>
  <c r="H7" i="63"/>
  <c r="AB9" i="76"/>
  <c r="AA9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AA11" i="76"/>
  <c r="Y17" i="3" l="1"/>
  <c r="X18"/>
  <c r="AB11" i="76"/>
  <c r="Y18" i="3" l="1"/>
  <c r="X19"/>
  <c r="AF11" i="76"/>
  <c r="AE11"/>
  <c r="Y19" i="3" l="1"/>
  <c r="X20"/>
  <c r="X21" l="1"/>
  <c r="Y20"/>
  <c r="AA10" i="76"/>
  <c r="Y21" i="3" l="1"/>
  <c r="X22"/>
  <c r="AA12" i="76"/>
  <c r="Y22" i="3" l="1"/>
  <c r="X23"/>
  <c r="AB12" i="76"/>
  <c r="AB10"/>
  <c r="Y23" i="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D11" i="76" l="1"/>
  <c r="AD10"/>
  <c r="AD9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W15" i="76" l="1"/>
  <c r="Y15" l="1"/>
  <c r="X15"/>
  <c r="AE6" i="5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10" i="76"/>
  <c r="AC27" s="1"/>
  <c r="AC11"/>
  <c r="AC28" s="1"/>
  <c r="AC9"/>
  <c r="AC26" s="1"/>
  <c r="AC29" s="1"/>
  <c r="O29" l="1"/>
  <c r="P29" s="1"/>
  <c r="R29" s="1"/>
  <c r="T29" s="1"/>
  <c r="F27" i="81" s="1"/>
  <c r="AB30" i="76"/>
  <c r="O28"/>
  <c r="P28" s="1"/>
  <c r="R28" s="1"/>
  <c r="T28" s="1"/>
  <c r="F26" i="81" s="1"/>
  <c r="O34" i="76"/>
  <c r="O26"/>
  <c r="P26" s="1"/>
  <c r="R26" s="1"/>
  <c r="T26" s="1"/>
  <c r="F24" i="81" s="1"/>
  <c r="O6" i="76"/>
  <c r="P6" s="1"/>
  <c r="R6" s="1"/>
  <c r="T6" s="1"/>
  <c r="F4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AC33" i="76"/>
  <c r="O24"/>
  <c r="P24" s="1"/>
  <c r="R24" s="1"/>
  <c r="T24" s="1"/>
  <c r="F22" i="81" s="1"/>
  <c r="O16" i="76"/>
  <c r="P16" s="1"/>
  <c r="R16" s="1"/>
  <c r="T16" s="1"/>
  <c r="F14" i="81" s="1"/>
  <c r="O22" i="76"/>
  <c r="P22" s="1"/>
  <c r="R22" s="1"/>
  <c r="T22" s="1"/>
  <c r="F20" i="81" s="1"/>
  <c r="O20" i="76"/>
  <c r="P20" s="1"/>
  <c r="R20" s="1"/>
  <c r="T20" s="1"/>
  <c r="F18" i="81" s="1"/>
  <c r="O9" i="76"/>
  <c r="P9" s="1"/>
  <c r="R9" s="1"/>
  <c r="T9" s="1"/>
  <c r="F7" i="81" s="1"/>
  <c r="O33" i="76"/>
  <c r="P33" s="1"/>
  <c r="R33" s="1"/>
  <c r="T33" s="1"/>
  <c r="F31" i="81" s="1"/>
  <c r="O4" i="76"/>
  <c r="P4" s="1"/>
  <c r="R4" s="1"/>
  <c r="T4" s="1"/>
  <c r="F2" i="81" s="1"/>
  <c r="O12" i="76"/>
  <c r="P12" s="1"/>
  <c r="R12" s="1"/>
  <c r="T12" s="1"/>
  <c r="F10" i="81" s="1"/>
  <c r="O31" i="76"/>
  <c r="P31" s="1"/>
  <c r="R31" s="1"/>
  <c r="T31" s="1"/>
  <c r="F29" i="81" s="1"/>
  <c r="O19" i="76"/>
  <c r="P19" s="1"/>
  <c r="R19" s="1"/>
  <c r="T19" s="1"/>
  <c r="F17" i="81" s="1"/>
  <c r="O14" i="76"/>
  <c r="P14" s="1"/>
  <c r="R14" s="1"/>
  <c r="T14" s="1"/>
  <c r="F12" i="81" s="1"/>
  <c r="O11" i="76"/>
  <c r="P11" s="1"/>
  <c r="R11" s="1"/>
  <c r="T11" s="1"/>
  <c r="F9" i="81" s="1"/>
  <c r="O23" i="76"/>
  <c r="P23" s="1"/>
  <c r="R23" s="1"/>
  <c r="T23" s="1"/>
  <c r="F21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8" i="76"/>
  <c r="P8" s="1"/>
  <c r="R8" s="1"/>
  <c r="T8" s="1"/>
  <c r="F6" i="81" s="1"/>
  <c r="O5" i="76"/>
  <c r="P5" s="1"/>
  <c r="R5" s="1"/>
  <c r="T5" s="1"/>
  <c r="F3" i="81" s="1"/>
  <c r="O27" i="76"/>
  <c r="P27" s="1"/>
  <c r="R27" s="1"/>
  <c r="T27" s="1"/>
  <c r="F25" i="81" s="1"/>
  <c r="O15" i="76"/>
  <c r="P15" s="1"/>
  <c r="R15" s="1"/>
  <c r="T15" s="1"/>
  <c r="F13" i="81" s="1"/>
  <c r="O18" i="76"/>
  <c r="P18" s="1"/>
  <c r="R18" s="1"/>
  <c r="T18" s="1"/>
  <c r="F16" i="81" s="1"/>
  <c r="O30" i="76"/>
  <c r="P30" s="1"/>
  <c r="R30" s="1"/>
  <c r="T30" s="1"/>
  <c r="F28" i="81" s="1"/>
  <c r="O21" i="76"/>
  <c r="P21" s="1"/>
  <c r="R21" s="1"/>
  <c r="T21" s="1"/>
  <c r="F19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12" i="76" l="1"/>
  <c r="W10" i="2"/>
  <c r="X9"/>
  <c r="AB33" i="76"/>
  <c r="AB34" s="1"/>
  <c r="AB36"/>
  <c r="AB38" s="1"/>
  <c r="D10" i="77"/>
  <c r="E10" s="1"/>
  <c r="P34" i="76"/>
  <c r="R34" s="1"/>
  <c r="O35"/>
  <c r="Y10" i="2"/>
  <c r="Z9"/>
  <c r="AC16" i="76"/>
  <c r="Y11" i="2" l="1"/>
  <c r="Z10"/>
  <c r="O3" i="76"/>
  <c r="AB13"/>
  <c r="W11" i="2"/>
  <c r="X10"/>
  <c r="E12" i="77"/>
  <c r="G10"/>
  <c r="G12" s="1"/>
  <c r="F10"/>
  <c r="F12" s="1"/>
  <c r="Y12" i="2" l="1"/>
  <c r="Z11"/>
  <c r="I14" i="77"/>
  <c r="H14"/>
  <c r="P3" i="76"/>
  <c r="AB19"/>
  <c r="AB17"/>
  <c r="AB16"/>
  <c r="W12" i="2"/>
  <c r="X11"/>
  <c r="Y13" l="1"/>
  <c r="Z12"/>
  <c r="R3" i="76"/>
  <c r="W13" i="2"/>
  <c r="X12"/>
  <c r="Y14" l="1"/>
  <c r="Z13"/>
  <c r="T3" i="76"/>
  <c r="W14" i="2"/>
  <c r="X13"/>
  <c r="Y15" l="1"/>
  <c r="Z14"/>
  <c r="AC6" i="5"/>
  <c r="AC7" s="1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G3" i="2"/>
  <c r="A3" i="6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BE6" s="1"/>
  <c r="A21" i="63"/>
  <c r="AE23" i="2"/>
  <c r="AG23" s="1"/>
  <c r="BF6" i="5" l="1"/>
  <c r="BG6" s="1"/>
  <c r="G6" i="65" s="1"/>
  <c r="I2" i="63"/>
  <c r="T25" i="2"/>
  <c r="S26"/>
  <c r="AY8" i="5"/>
  <c r="BB8" s="1"/>
  <c r="BE8" s="1"/>
  <c r="AS9"/>
  <c r="U26" i="2"/>
  <c r="V25"/>
  <c r="AF25" s="1"/>
  <c r="H25" i="65"/>
  <c r="B22" i="63"/>
  <c r="BF7" i="5"/>
  <c r="BG7" s="1"/>
  <c r="G7" i="65" s="1"/>
  <c r="I3" i="63"/>
  <c r="A22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G5" i="65"/>
  <c r="M2" i="8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9" s="1"/>
  <c r="M5" i="81" s="1"/>
  <c r="Q8" i="5"/>
  <c r="M4" i="81" s="1"/>
  <c r="O11" i="5" l="1"/>
  <c r="P10"/>
  <c r="N10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BB17" s="1"/>
  <c r="BE17" s="1"/>
  <c r="P14"/>
  <c r="O15"/>
  <c r="N14"/>
  <c r="M15"/>
  <c r="Q14" l="1"/>
  <c r="M10" i="81" s="1"/>
  <c r="AS19" i="5"/>
  <c r="AY18"/>
  <c r="BB18" s="1"/>
  <c r="BE18" s="1"/>
  <c r="I13" i="63"/>
  <c r="BF17" i="5"/>
  <c r="BG17" s="1"/>
  <c r="G17" i="65" s="1"/>
  <c r="P15" i="5"/>
  <c r="O16"/>
  <c r="N15"/>
  <c r="M16"/>
  <c r="Q15" l="1"/>
  <c r="M11" i="81" s="1"/>
  <c r="I14" i="63"/>
  <c r="BF18" i="5"/>
  <c r="BG18" s="1"/>
  <c r="G18" i="65" s="1"/>
  <c r="AS20" i="5"/>
  <c r="AY19"/>
  <c r="BB19" s="1"/>
  <c r="BE19" s="1"/>
  <c r="O17"/>
  <c r="P16"/>
  <c r="Q16" s="1"/>
  <c r="M12" i="81" s="1"/>
  <c r="M17" i="5"/>
  <c r="N16"/>
  <c r="AY20" l="1"/>
  <c r="BB20" s="1"/>
  <c r="BE20" s="1"/>
  <c r="AS21"/>
  <c r="I15" i="63"/>
  <c r="BF19" i="5"/>
  <c r="BG19" s="1"/>
  <c r="G19" i="65" s="1"/>
  <c r="O18" i="5"/>
  <c r="P17"/>
  <c r="M18"/>
  <c r="N17"/>
  <c r="L3" i="3"/>
  <c r="Q17" i="5" l="1"/>
  <c r="M13" i="81" s="1"/>
  <c r="M3" i="3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O20"/>
  <c r="Q18"/>
  <c r="M14" i="81" s="1"/>
  <c r="Q19" i="5" l="1"/>
  <c r="M15" i="81" s="1"/>
  <c r="N20" i="5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l="1"/>
  <c r="M24" i="81" s="1"/>
  <c r="N29" i="5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s="1"/>
  <c r="AC3" s="1"/>
  <c r="AH3" s="1"/>
  <c r="M24" l="1"/>
  <c r="L25"/>
  <c r="D5"/>
  <c r="E4"/>
  <c r="AA4" s="1"/>
  <c r="AC4" s="1"/>
  <c r="AH4" s="1"/>
  <c r="M25" l="1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M28"/>
  <c r="L29"/>
  <c r="F7"/>
  <c r="AB7" s="1"/>
  <c r="AA7"/>
  <c r="AC7" s="1"/>
  <c r="AH7" s="1"/>
  <c r="AA8" l="1"/>
  <c r="AC8" s="1"/>
  <c r="AH8" s="1"/>
  <c r="F8"/>
  <c r="AB8" s="1"/>
  <c r="D10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M32"/>
  <c r="L33"/>
  <c r="M33" s="1"/>
  <c r="AA12" l="1"/>
  <c r="AC12" s="1"/>
  <c r="AH12" s="1"/>
  <c r="F12"/>
  <c r="AB12" s="1"/>
  <c r="D14"/>
  <c r="E13"/>
  <c r="AA13" l="1"/>
  <c r="AC13" s="1"/>
  <c r="AH13" s="1"/>
  <c r="F13"/>
  <c r="AB13" s="1"/>
  <c r="D15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s="1"/>
  <c r="AC18" s="1"/>
  <c r="AH18" s="1"/>
  <c r="D20" l="1"/>
  <c r="E19"/>
  <c r="AA19" l="1"/>
  <c r="AC19" s="1"/>
  <c r="AH19" s="1"/>
  <c r="F19"/>
  <c r="AB19" s="1"/>
  <c r="D21"/>
  <c r="E20"/>
  <c r="AA20" l="1"/>
  <c r="AC20" s="1"/>
  <c r="AH20" s="1"/>
  <c r="F20"/>
  <c r="AB20" s="1"/>
  <c r="D22"/>
  <c r="D23" s="1"/>
  <c r="D24" s="1"/>
  <c r="E21"/>
  <c r="AA21" s="1"/>
  <c r="AC21" s="1"/>
  <c r="AH21" s="1"/>
  <c r="D25" l="1"/>
  <c r="E24"/>
  <c r="AA24" s="1"/>
  <c r="AC24" s="1"/>
  <c r="AH24" s="1"/>
  <c r="D26" l="1"/>
  <c r="E25"/>
  <c r="AA25" s="1"/>
  <c r="AC25" s="1"/>
  <c r="AH25" s="1"/>
  <c r="D27" l="1"/>
  <c r="E26"/>
  <c r="AA26" s="1"/>
  <c r="AC26" s="1"/>
  <c r="AH26" s="1"/>
  <c r="D28" l="1"/>
  <c r="E27"/>
  <c r="AA27" s="1"/>
  <c r="AC27" s="1"/>
  <c r="AH27" s="1"/>
  <c r="D29" l="1"/>
  <c r="E28"/>
  <c r="AA28" s="1"/>
  <c r="AC28" s="1"/>
  <c r="AH28" s="1"/>
  <c r="D30" l="1"/>
  <c r="E29"/>
  <c r="AA29" s="1"/>
  <c r="AC29" s="1"/>
  <c r="AH29" s="1"/>
  <c r="D31" l="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<sst xmlns="http://schemas.openxmlformats.org/spreadsheetml/2006/main" count="666" uniqueCount="418">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</sst>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41" fontId="0" fillId="0" borderId="43" xfId="0" applyNumberFormat="1" applyBorder="1" applyAlignment="1">
      <alignment horizontal="center"/>
    </xf>
    <xf numFmtId="43" fontId="0" fillId="0" borderId="43" xfId="0" applyNumberFormat="1" applyBorder="1" applyAlignment="1">
      <alignment horizont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7113344"/>
        <c:axId val="157119232"/>
      </c:lineChart>
      <c:catAx>
        <c:axId val="1571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19232"/>
        <c:crosses val="autoZero"/>
        <c:auto val="1"/>
        <c:lblAlgn val="ctr"/>
        <c:lblOffset val="100"/>
      </c:catAx>
      <c:valAx>
        <c:axId val="157119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7152384"/>
        <c:axId val="157153920"/>
      </c:lineChart>
      <c:catAx>
        <c:axId val="15715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auto val="1"/>
        <c:lblAlgn val="ctr"/>
        <c:lblOffset val="100"/>
      </c:catAx>
      <c:valAx>
        <c:axId val="15715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2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638"/>
          <c:w val="0.77663126001869598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7301760"/>
        <c:axId val="157328128"/>
      </c:lineChart>
      <c:catAx>
        <c:axId val="15730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8128"/>
        <c:crosses val="autoZero"/>
        <c:auto val="1"/>
        <c:lblAlgn val="ctr"/>
        <c:lblOffset val="100"/>
      </c:catAx>
      <c:valAx>
        <c:axId val="157328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0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7348992"/>
        <c:axId val="157350528"/>
      </c:lineChart>
      <c:catAx>
        <c:axId val="15734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0528"/>
        <c:crosses val="autoZero"/>
        <c:auto val="1"/>
        <c:lblAlgn val="ctr"/>
        <c:lblOffset val="100"/>
      </c:catAx>
      <c:valAx>
        <c:axId val="157350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42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9222784"/>
        <c:axId val="159232768"/>
      </c:lineChart>
      <c:catAx>
        <c:axId val="15922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32768"/>
        <c:crosses val="autoZero"/>
        <c:auto val="1"/>
        <c:lblAlgn val="ctr"/>
        <c:lblOffset val="100"/>
      </c:catAx>
      <c:valAx>
        <c:axId val="159232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9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9254016"/>
        <c:axId val="159255552"/>
      </c:lineChart>
      <c:catAx>
        <c:axId val="15925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5552"/>
        <c:crosses val="autoZero"/>
        <c:auto val="1"/>
        <c:lblAlgn val="ctr"/>
        <c:lblOffset val="100"/>
      </c:catAx>
      <c:valAx>
        <c:axId val="15925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9288704"/>
        <c:axId val="159290496"/>
      </c:lineChart>
      <c:catAx>
        <c:axId val="15928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0496"/>
        <c:crosses val="autoZero"/>
        <c:auto val="1"/>
        <c:lblAlgn val="ctr"/>
        <c:lblOffset val="100"/>
      </c:catAx>
      <c:valAx>
        <c:axId val="15929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60711808"/>
        <c:axId val="160713344"/>
      </c:lineChart>
      <c:catAx>
        <c:axId val="1607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13344"/>
        <c:crosses val="autoZero"/>
        <c:auto val="1"/>
        <c:lblAlgn val="ctr"/>
        <c:lblOffset val="100"/>
      </c:catAx>
      <c:valAx>
        <c:axId val="16071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60734208"/>
        <c:axId val="160744192"/>
      </c:lineChart>
      <c:catAx>
        <c:axId val="16073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44192"/>
        <c:crosses val="autoZero"/>
        <c:auto val="1"/>
        <c:lblAlgn val="ctr"/>
        <c:lblOffset val="100"/>
      </c:catAx>
      <c:valAx>
        <c:axId val="16074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3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60793728"/>
        <c:axId val="160795264"/>
      </c:lineChart>
      <c:catAx>
        <c:axId val="1607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5264"/>
        <c:crosses val="autoZero"/>
        <c:auto val="1"/>
        <c:lblAlgn val="ctr"/>
        <c:lblOffset val="100"/>
      </c:catAx>
      <c:valAx>
        <c:axId val="16079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60832512"/>
        <c:axId val="161030912"/>
      </c:lineChart>
      <c:catAx>
        <c:axId val="1608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30912"/>
        <c:crosses val="autoZero"/>
        <c:auto val="1"/>
        <c:lblAlgn val="ctr"/>
        <c:lblOffset val="100"/>
      </c:catAx>
      <c:valAx>
        <c:axId val="161030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85051008"/>
        <c:axId val="185052544"/>
      </c:lineChart>
      <c:catAx>
        <c:axId val="18505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52544"/>
        <c:crosses val="autoZero"/>
        <c:auto val="1"/>
        <c:lblAlgn val="ctr"/>
        <c:lblOffset val="100"/>
      </c:catAx>
      <c:valAx>
        <c:axId val="1850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6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217</c:v>
                </c:pt>
                <c:pt idx="4">
                  <c:v>132</c:v>
                </c:pt>
                <c:pt idx="5">
                  <c:v>66</c:v>
                </c:pt>
                <c:pt idx="6">
                  <c:v>121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101</c:v>
                </c:pt>
                <c:pt idx="12">
                  <c:v>80</c:v>
                </c:pt>
                <c:pt idx="13">
                  <c:v>76</c:v>
                </c:pt>
                <c:pt idx="14">
                  <c:v>122</c:v>
                </c:pt>
                <c:pt idx="15">
                  <c:v>0</c:v>
                </c:pt>
                <c:pt idx="16">
                  <c:v>0</c:v>
                </c:pt>
                <c:pt idx="17">
                  <c:v>152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85106816"/>
        <c:axId val="185108352"/>
      </c:lineChart>
      <c:catAx>
        <c:axId val="18510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08352"/>
        <c:crosses val="autoZero"/>
        <c:auto val="1"/>
        <c:lblAlgn val="ctr"/>
        <c:lblOffset val="100"/>
      </c:catAx>
      <c:valAx>
        <c:axId val="18510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0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5137408"/>
        <c:axId val="185155584"/>
      </c:lineChart>
      <c:catAx>
        <c:axId val="18513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55584"/>
        <c:crosses val="autoZero"/>
        <c:auto val="1"/>
        <c:lblAlgn val="ctr"/>
        <c:lblOffset val="100"/>
      </c:catAx>
      <c:valAx>
        <c:axId val="185155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3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85189120"/>
        <c:axId val="185190656"/>
      </c:lineChart>
      <c:catAx>
        <c:axId val="1851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90656"/>
        <c:crosses val="autoZero"/>
        <c:auto val="1"/>
        <c:lblAlgn val="ctr"/>
        <c:lblOffset val="100"/>
      </c:catAx>
      <c:valAx>
        <c:axId val="185190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61376896"/>
        <c:axId val="161382784"/>
      </c:lineChart>
      <c:catAx>
        <c:axId val="1613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2784"/>
        <c:crosses val="autoZero"/>
        <c:auto val="1"/>
        <c:lblAlgn val="ctr"/>
        <c:lblOffset val="100"/>
      </c:catAx>
      <c:valAx>
        <c:axId val="16138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5205504"/>
        <c:axId val="185207040"/>
      </c:lineChart>
      <c:catAx>
        <c:axId val="18520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07040"/>
        <c:crosses val="autoZero"/>
        <c:auto val="1"/>
        <c:lblAlgn val="ctr"/>
        <c:lblOffset val="100"/>
      </c:catAx>
      <c:valAx>
        <c:axId val="185207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07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-2076.7419354839076</c:v>
                </c:pt>
                <c:pt idx="3">
                  <c:v>-1226.7096774193342</c:v>
                </c:pt>
                <c:pt idx="4">
                  <c:v>-1226.7096774193633</c:v>
                </c:pt>
                <c:pt idx="5">
                  <c:v>-1226.7096774193633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-990.03225806451519</c:v>
                </c:pt>
                <c:pt idx="11">
                  <c:v>-1463.3870967741823</c:v>
                </c:pt>
                <c:pt idx="12">
                  <c:v>-990.03225806451519</c:v>
                </c:pt>
                <c:pt idx="13">
                  <c:v>-1156.7096774193633</c:v>
                </c:pt>
                <c:pt idx="14">
                  <c:v>0</c:v>
                </c:pt>
                <c:pt idx="15">
                  <c:v>0</c:v>
                </c:pt>
                <c:pt idx="16">
                  <c:v>-288.1612903225905</c:v>
                </c:pt>
                <c:pt idx="17">
                  <c:v>-1226.7096774193487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5248384"/>
        <c:axId val="185254272"/>
      </c:lineChart>
      <c:catAx>
        <c:axId val="18524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54272"/>
        <c:crosses val="autoZero"/>
        <c:auto val="1"/>
        <c:lblAlgn val="ctr"/>
        <c:lblOffset val="100"/>
      </c:catAx>
      <c:valAx>
        <c:axId val="185254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4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5300096"/>
        <c:axId val="185301632"/>
      </c:lineChart>
      <c:catAx>
        <c:axId val="1853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01632"/>
        <c:crosses val="autoZero"/>
        <c:auto val="1"/>
        <c:lblAlgn val="ctr"/>
        <c:lblOffset val="100"/>
      </c:catAx>
      <c:valAx>
        <c:axId val="18530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5326592"/>
        <c:axId val="185340672"/>
      </c:lineChart>
      <c:catAx>
        <c:axId val="18532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40672"/>
        <c:crosses val="autoZero"/>
        <c:auto val="1"/>
        <c:lblAlgn val="ctr"/>
        <c:lblOffset val="100"/>
      </c:catAx>
      <c:valAx>
        <c:axId val="185340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5382016"/>
        <c:axId val="185383552"/>
      </c:lineChart>
      <c:catAx>
        <c:axId val="1853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83552"/>
        <c:crosses val="autoZero"/>
        <c:auto val="1"/>
        <c:lblAlgn val="ctr"/>
        <c:lblOffset val="100"/>
      </c:catAx>
      <c:valAx>
        <c:axId val="185383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5400320"/>
        <c:axId val="185479936"/>
      </c:lineChart>
      <c:catAx>
        <c:axId val="1854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79936"/>
        <c:crosses val="autoZero"/>
        <c:auto val="1"/>
        <c:lblAlgn val="ctr"/>
        <c:lblOffset val="100"/>
      </c:catAx>
      <c:valAx>
        <c:axId val="18547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22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5517184"/>
        <c:axId val="185518720"/>
      </c:lineChart>
      <c:catAx>
        <c:axId val="1855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18720"/>
        <c:crosses val="autoZero"/>
        <c:auto val="1"/>
        <c:lblAlgn val="ctr"/>
        <c:lblOffset val="100"/>
      </c:catAx>
      <c:valAx>
        <c:axId val="18551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5445376"/>
        <c:axId val="185451264"/>
      </c:lineChart>
      <c:catAx>
        <c:axId val="18544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51264"/>
        <c:crosses val="autoZero"/>
        <c:auto val="1"/>
        <c:lblAlgn val="ctr"/>
        <c:lblOffset val="100"/>
      </c:catAx>
      <c:valAx>
        <c:axId val="18545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4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426"/>
          <c:w val="0.123431181980947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5600640"/>
        <c:axId val="185614720"/>
      </c:lineChart>
      <c:catAx>
        <c:axId val="185600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14720"/>
        <c:crosses val="autoZero"/>
        <c:auto val="1"/>
        <c:lblAlgn val="ctr"/>
        <c:lblOffset val="100"/>
      </c:catAx>
      <c:valAx>
        <c:axId val="185614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748"/>
          <c:w val="0.156903985328249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5651584"/>
        <c:axId val="185653120"/>
      </c:lineChart>
      <c:catAx>
        <c:axId val="18565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53120"/>
        <c:crosses val="autoZero"/>
        <c:auto val="1"/>
        <c:lblAlgn val="ctr"/>
        <c:lblOffset val="100"/>
      </c:catAx>
      <c:valAx>
        <c:axId val="185653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5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9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5752192"/>
        <c:axId val="185758080"/>
      </c:lineChart>
      <c:catAx>
        <c:axId val="1857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58080"/>
        <c:crosses val="autoZero"/>
        <c:auto val="1"/>
        <c:lblAlgn val="ctr"/>
        <c:lblOffset val="100"/>
      </c:catAx>
      <c:valAx>
        <c:axId val="18575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66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6108160"/>
        <c:axId val="186191872"/>
      </c:lineChart>
      <c:catAx>
        <c:axId val="1861081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191872"/>
        <c:crosses val="autoZero"/>
        <c:auto val="1"/>
        <c:lblAlgn val="ctr"/>
        <c:lblOffset val="100"/>
      </c:catAx>
      <c:valAx>
        <c:axId val="186191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10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74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  <cell r="D33">
            <v>325030</v>
          </cell>
          <cell r="E33">
            <v>990</v>
          </cell>
          <cell r="F33">
            <v>4144229</v>
          </cell>
          <cell r="G33">
            <v>418</v>
          </cell>
          <cell r="H33">
            <v>18057582</v>
          </cell>
          <cell r="I33">
            <v>508</v>
          </cell>
          <cell r="J33">
            <v>29815090</v>
          </cell>
          <cell r="K33">
            <v>952</v>
          </cell>
          <cell r="L33">
            <v>24615222</v>
          </cell>
          <cell r="M33">
            <v>998</v>
          </cell>
          <cell r="N33">
            <v>3866</v>
          </cell>
          <cell r="O33">
            <v>0</v>
          </cell>
          <cell r="P33">
            <v>19334.345000000001</v>
          </cell>
          <cell r="Q33">
            <v>3254.0000000008149</v>
          </cell>
          <cell r="R33">
            <v>611.99999999918509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1170516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44742</v>
          </cell>
          <cell r="B34">
            <v>257</v>
          </cell>
          <cell r="C34">
            <v>263</v>
          </cell>
          <cell r="D34">
            <v>2</v>
          </cell>
          <cell r="E34">
            <v>16.760000000000002</v>
          </cell>
          <cell r="F34">
            <v>2253</v>
          </cell>
          <cell r="G34">
            <v>0</v>
          </cell>
          <cell r="H34">
            <v>44335</v>
          </cell>
          <cell r="I34">
            <v>0</v>
          </cell>
          <cell r="J34">
            <v>0</v>
          </cell>
          <cell r="K34">
            <v>2441</v>
          </cell>
          <cell r="L34">
            <v>0</v>
          </cell>
          <cell r="M34">
            <v>181314</v>
          </cell>
          <cell r="N34">
            <v>0</v>
          </cell>
          <cell r="O34">
            <v>1869</v>
          </cell>
          <cell r="P34">
            <v>2214</v>
          </cell>
          <cell r="Q34">
            <v>185131</v>
          </cell>
          <cell r="R34">
            <v>96</v>
          </cell>
          <cell r="S34">
            <v>1</v>
          </cell>
          <cell r="T34">
            <v>0</v>
          </cell>
          <cell r="U34">
            <v>1</v>
          </cell>
          <cell r="V34">
            <v>96</v>
          </cell>
          <cell r="W34">
            <v>0</v>
          </cell>
          <cell r="X34">
            <v>2487</v>
          </cell>
          <cell r="Y34">
            <v>0</v>
          </cell>
          <cell r="Z34">
            <v>140398</v>
          </cell>
          <cell r="AA34">
            <v>0</v>
          </cell>
          <cell r="AB34">
            <v>0</v>
          </cell>
          <cell r="AC34">
            <v>1946</v>
          </cell>
          <cell r="AD34">
            <v>0</v>
          </cell>
          <cell r="AE34">
            <v>366536</v>
          </cell>
          <cell r="AF34">
            <v>9</v>
          </cell>
          <cell r="AG34">
            <v>0</v>
          </cell>
          <cell r="AH34">
            <v>9</v>
          </cell>
          <cell r="AI34">
            <v>105</v>
          </cell>
          <cell r="AJ34">
            <v>105</v>
          </cell>
          <cell r="AK34">
            <v>0</v>
          </cell>
          <cell r="AL34">
            <v>1</v>
          </cell>
          <cell r="AM34">
            <v>0</v>
          </cell>
          <cell r="AN34">
            <v>66</v>
          </cell>
          <cell r="AO34">
            <v>1980</v>
          </cell>
          <cell r="AP34">
            <v>31</v>
          </cell>
          <cell r="AQ34">
            <v>930</v>
          </cell>
          <cell r="AR34">
            <v>73</v>
          </cell>
          <cell r="AS34">
            <v>2190</v>
          </cell>
          <cell r="AT34">
            <v>5100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44742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629420</v>
          </cell>
          <cell r="H35">
            <v>0</v>
          </cell>
          <cell r="I35">
            <v>0</v>
          </cell>
          <cell r="J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5188</v>
          </cell>
          <cell r="U35">
            <v>0</v>
          </cell>
          <cell r="V35">
            <v>496</v>
          </cell>
          <cell r="W35">
            <v>0</v>
          </cell>
          <cell r="X35">
            <v>155702</v>
          </cell>
          <cell r="Y35">
            <v>0</v>
          </cell>
          <cell r="Z35">
            <v>99475</v>
          </cell>
          <cell r="AA35">
            <v>0</v>
          </cell>
          <cell r="AB35">
            <v>228</v>
          </cell>
          <cell r="AC35">
            <v>790</v>
          </cell>
          <cell r="AD35">
            <v>0</v>
          </cell>
          <cell r="AE35">
            <v>244.4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44742</v>
          </cell>
          <cell r="AS35">
            <v>0.9</v>
          </cell>
          <cell r="AT35">
            <v>110</v>
          </cell>
          <cell r="AU35">
            <v>1.1000000000000001</v>
          </cell>
          <cell r="AV35">
            <v>37</v>
          </cell>
          <cell r="AW35">
            <v>2.9</v>
          </cell>
          <cell r="AX35">
            <v>132</v>
          </cell>
          <cell r="AY35">
            <v>99</v>
          </cell>
          <cell r="AZ35">
            <v>40.700000000000003</v>
          </cell>
          <cell r="BA35">
            <v>382.8</v>
          </cell>
          <cell r="BB35">
            <v>2.7000000000000028</v>
          </cell>
          <cell r="BC35">
            <v>-66</v>
          </cell>
          <cell r="BD35">
            <v>0</v>
          </cell>
          <cell r="BE35">
            <v>-63.3</v>
          </cell>
          <cell r="BF35">
            <v>63.3</v>
          </cell>
          <cell r="BG35">
            <v>-63.3</v>
          </cell>
        </row>
      </sheetData>
      <sheetData sheetId="5">
        <row r="32">
          <cell r="A32">
            <v>44742</v>
          </cell>
          <cell r="B32">
            <v>422</v>
          </cell>
          <cell r="C32">
            <v>13</v>
          </cell>
          <cell r="D32">
            <v>707191</v>
          </cell>
          <cell r="E32">
            <v>1105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105</v>
          </cell>
          <cell r="K32">
            <v>0</v>
          </cell>
          <cell r="L32">
            <v>383191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13908</v>
          </cell>
          <cell r="S32">
            <v>0</v>
          </cell>
          <cell r="T32">
            <v>416512</v>
          </cell>
          <cell r="U32">
            <v>0</v>
          </cell>
          <cell r="V32">
            <v>250</v>
          </cell>
          <cell r="W32">
            <v>0</v>
          </cell>
          <cell r="X32">
            <v>14233</v>
          </cell>
          <cell r="Y32" t="str">
            <v>ok</v>
          </cell>
          <cell r="Z32">
            <v>13</v>
          </cell>
          <cell r="AA32">
            <v>1105</v>
          </cell>
          <cell r="AB32">
            <v>585</v>
          </cell>
          <cell r="AC32">
            <v>85</v>
          </cell>
          <cell r="AD32">
            <v>3254.0000000008149</v>
          </cell>
          <cell r="AE32">
            <v>250.30769230775499</v>
          </cell>
          <cell r="AF32">
            <v>0.15644230769234688</v>
          </cell>
          <cell r="AG32">
            <v>9.77764423077168E-5</v>
          </cell>
          <cell r="AH32">
            <v>84.999902223557697</v>
          </cell>
          <cell r="AI32">
            <v>837.52742616054741</v>
          </cell>
          <cell r="AJ32">
            <v>0.25738396624472576</v>
          </cell>
          <cell r="AK32">
            <v>64.425186627734419</v>
          </cell>
          <cell r="AL32">
            <v>1</v>
          </cell>
        </row>
      </sheetData>
      <sheetData sheetId="6">
        <row r="35">
          <cell r="A35">
            <v>44742</v>
          </cell>
          <cell r="B35">
            <v>257</v>
          </cell>
          <cell r="C35">
            <v>5529.6451612903229</v>
          </cell>
          <cell r="D35">
            <v>257</v>
          </cell>
          <cell r="E35">
            <v>5529.6451612903229</v>
          </cell>
          <cell r="F35">
            <v>257</v>
          </cell>
          <cell r="G35">
            <v>5529.6451612903229</v>
          </cell>
          <cell r="H35">
            <v>257</v>
          </cell>
          <cell r="I35">
            <v>5529.6451612903229</v>
          </cell>
          <cell r="J35">
            <v>257</v>
          </cell>
          <cell r="K35">
            <v>5529.6451612903229</v>
          </cell>
          <cell r="L35">
            <v>257</v>
          </cell>
          <cell r="M35">
            <v>5529.6451612903229</v>
          </cell>
          <cell r="N35">
            <v>257</v>
          </cell>
          <cell r="O35">
            <v>5529.6451612903229</v>
          </cell>
          <cell r="P35">
            <v>257</v>
          </cell>
          <cell r="Q35">
            <v>5529.6451612903229</v>
          </cell>
          <cell r="R35">
            <v>257</v>
          </cell>
          <cell r="S35">
            <v>5529.6451612903229</v>
          </cell>
          <cell r="T35">
            <v>257</v>
          </cell>
          <cell r="U35">
            <v>5529.6451612903229</v>
          </cell>
          <cell r="V35">
            <v>257</v>
          </cell>
          <cell r="W35">
            <v>5529.6451612903229</v>
          </cell>
          <cell r="X35">
            <v>0.82903225806451641</v>
          </cell>
          <cell r="Y35">
            <v>60826.096774193567</v>
          </cell>
          <cell r="Z35">
            <v>263</v>
          </cell>
          <cell r="AA35">
            <v>2630</v>
          </cell>
          <cell r="AB35">
            <v>263</v>
          </cell>
          <cell r="AC35">
            <v>2630</v>
          </cell>
          <cell r="AD35">
            <v>263</v>
          </cell>
          <cell r="AE35">
            <v>2630</v>
          </cell>
          <cell r="AF35">
            <v>263</v>
          </cell>
          <cell r="AG35">
            <v>2630</v>
          </cell>
          <cell r="AH35">
            <v>263</v>
          </cell>
          <cell r="AI35">
            <v>2630</v>
          </cell>
          <cell r="AJ35">
            <v>263</v>
          </cell>
          <cell r="AK35">
            <v>2630</v>
          </cell>
          <cell r="AL35">
            <v>263</v>
          </cell>
          <cell r="AM35">
            <v>2630</v>
          </cell>
          <cell r="AN35">
            <v>0.93928571428571428</v>
          </cell>
          <cell r="AO35">
            <v>18410</v>
          </cell>
          <cell r="AQ35">
            <v>0.85227596831444097</v>
          </cell>
          <cell r="AR35">
            <v>79236.096774193575</v>
          </cell>
          <cell r="AS35">
            <v>-613.35483870966709</v>
          </cell>
          <cell r="AT35">
            <v>0</v>
          </cell>
          <cell r="AU35">
            <v>0</v>
          </cell>
          <cell r="AV35">
            <v>1.28</v>
          </cell>
          <cell r="AW35">
            <v>-105</v>
          </cell>
          <cell r="AX35">
            <v>-508.35483870966709</v>
          </cell>
          <cell r="AY35">
            <v>-613.35483870966709</v>
          </cell>
          <cell r="AZ35">
            <v>0</v>
          </cell>
          <cell r="BA35">
            <v>26</v>
          </cell>
          <cell r="BB35">
            <v>0.75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44734</v>
          </cell>
        </row>
        <row r="26">
          <cell r="V26">
            <v>401730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557476</v>
          </cell>
          <cell r="W27">
            <v>559523</v>
          </cell>
          <cell r="X27" t="str">
            <v>day</v>
          </cell>
          <cell r="Y27">
            <v>112</v>
          </cell>
          <cell r="Z27">
            <v>1</v>
          </cell>
          <cell r="AA27">
            <v>2047</v>
          </cell>
          <cell r="AB27">
            <v>229264</v>
          </cell>
          <cell r="AC27">
            <v>6200000</v>
          </cell>
          <cell r="AD27">
            <v>0.99853658536585377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2047</v>
          </cell>
          <cell r="AB29">
            <v>229264</v>
          </cell>
          <cell r="AC29">
            <v>7234333</v>
          </cell>
        </row>
        <row r="30">
          <cell r="AA30">
            <v>0</v>
          </cell>
          <cell r="AB30">
            <v>7463597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24.666666666666668</v>
          </cell>
          <cell r="Y32">
            <v>24.666666666666668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44742</v>
          </cell>
          <cell r="B33">
            <v>1122664</v>
          </cell>
          <cell r="C33">
            <v>0</v>
          </cell>
          <cell r="D33">
            <v>0</v>
          </cell>
          <cell r="E33">
            <v>1122664</v>
          </cell>
          <cell r="F33">
            <v>161410</v>
          </cell>
          <cell r="G33">
            <v>0</v>
          </cell>
          <cell r="H33">
            <v>559523</v>
          </cell>
          <cell r="I33">
            <v>0</v>
          </cell>
          <cell r="J33">
            <v>401730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626.29316129030985</v>
          </cell>
          <cell r="R33">
            <v>786.25630114658406</v>
          </cell>
          <cell r="S33">
            <v>3866</v>
          </cell>
          <cell r="T33">
            <v>0.20337721188478636</v>
          </cell>
          <cell r="AA33">
            <v>0.11</v>
          </cell>
          <cell r="AB33">
            <v>820995.67</v>
          </cell>
          <cell r="AC33">
            <v>7234333</v>
          </cell>
        </row>
        <row r="34">
          <cell r="AA34">
            <v>0</v>
          </cell>
          <cell r="AB34">
            <v>8284592.6699999999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4950.9764510779432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  <cell r="F14">
            <v>0</v>
          </cell>
        </row>
        <row r="15">
          <cell r="B15">
            <v>-18.3</v>
          </cell>
          <cell r="F15">
            <v>0</v>
          </cell>
        </row>
        <row r="16">
          <cell r="B16">
            <v>34.888888888888886</v>
          </cell>
          <cell r="F16">
            <v>0</v>
          </cell>
        </row>
        <row r="17">
          <cell r="B17">
            <v>0</v>
          </cell>
          <cell r="F17">
            <v>0</v>
          </cell>
        </row>
        <row r="18">
          <cell r="B18">
            <v>479</v>
          </cell>
          <cell r="F18">
            <v>276.33333333333337</v>
          </cell>
        </row>
        <row r="19">
          <cell r="B19">
            <v>26.611111111111111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2" sqref="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3" t="s">
        <v>338</v>
      </c>
      <c r="B1" s="573" t="s">
        <v>198</v>
      </c>
      <c r="C1" s="573" t="s">
        <v>339</v>
      </c>
      <c r="D1" s="573" t="s">
        <v>340</v>
      </c>
      <c r="E1" s="574" t="s">
        <v>350</v>
      </c>
      <c r="F1" s="574" t="s">
        <v>351</v>
      </c>
      <c r="G1" s="574" t="s">
        <v>411</v>
      </c>
      <c r="H1" s="574" t="s">
        <v>352</v>
      </c>
      <c r="I1" s="574" t="s">
        <v>353</v>
      </c>
      <c r="J1" s="574" t="s">
        <v>354</v>
      </c>
      <c r="K1" s="574" t="s">
        <v>355</v>
      </c>
      <c r="L1" s="574" t="s">
        <v>356</v>
      </c>
      <c r="M1" s="575" t="s">
        <v>397</v>
      </c>
      <c r="N1" s="468" t="s">
        <v>398</v>
      </c>
      <c r="O1" s="574" t="s">
        <v>341</v>
      </c>
    </row>
    <row r="2" spans="1:15">
      <c r="A2" t="s">
        <v>342</v>
      </c>
      <c r="B2">
        <v>1</v>
      </c>
      <c r="C2">
        <v>7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1.28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7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1.28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7</v>
      </c>
      <c r="D4">
        <f t="shared" ref="D4:D32" si="1">D3</f>
        <v>2022</v>
      </c>
      <c r="E4" s="203">
        <f>ELEC!N6</f>
        <v>3482</v>
      </c>
      <c r="F4" s="315">
        <f>SUM('EDl log'!T6)</f>
        <v>0.70140310718431764</v>
      </c>
      <c r="G4" s="203">
        <f>-tanks!AW8</f>
        <v>217</v>
      </c>
      <c r="H4" s="315">
        <f>tanks!AV8</f>
        <v>1.28</v>
      </c>
      <c r="I4" s="10">
        <f>('B5'!AU7)*0.51</f>
        <v>0</v>
      </c>
      <c r="J4" s="296">
        <f>'B5'!AX7/0.51</f>
        <v>1.5686274509803921</v>
      </c>
      <c r="K4" s="203">
        <f>WATER!I8</f>
        <v>50</v>
      </c>
      <c r="L4" s="316">
        <f>SUM(WATER!J8)</f>
        <v>4.838709677419355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7</v>
      </c>
      <c r="D5">
        <f t="shared" si="1"/>
        <v>2022</v>
      </c>
      <c r="E5" s="203">
        <f>ELEC!N7</f>
        <v>3120</v>
      </c>
      <c r="F5" s="315">
        <f>SUM('EDl log'!T7)</f>
        <v>0.4811845967296054</v>
      </c>
      <c r="G5" s="203">
        <f>-tanks!AW9</f>
        <v>132</v>
      </c>
      <c r="H5" s="315">
        <f>tanks!AV9</f>
        <v>1.28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7</v>
      </c>
      <c r="D6">
        <f t="shared" si="1"/>
        <v>2022</v>
      </c>
      <c r="E6" s="203">
        <f>ELEC!N8</f>
        <v>3474</v>
      </c>
      <c r="F6" s="315">
        <f>SUM('EDl log'!T8)</f>
        <v>0.45551984507668525</v>
      </c>
      <c r="G6" s="203">
        <f>-tanks!AW10</f>
        <v>66</v>
      </c>
      <c r="H6" s="315">
        <f>tanks!AV10</f>
        <v>1.28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7</v>
      </c>
      <c r="D7">
        <f t="shared" si="1"/>
        <v>2022</v>
      </c>
      <c r="E7" s="203">
        <f>ELEC!N9</f>
        <v>2978</v>
      </c>
      <c r="F7" s="315">
        <f>SUM('EDl log'!T9)</f>
        <v>0.50867224371941056</v>
      </c>
      <c r="G7" s="203">
        <f>-tanks!AW11</f>
        <v>121</v>
      </c>
      <c r="H7" s="315">
        <f>tanks!AV11</f>
        <v>1.28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7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1.28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7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1.28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7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1.28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7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1.28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7</v>
      </c>
      <c r="D12">
        <f t="shared" si="1"/>
        <v>2022</v>
      </c>
      <c r="E12" s="203">
        <f>ELEC!N14</f>
        <v>3230</v>
      </c>
      <c r="F12" s="315">
        <f>SUM('EDl log'!T14)</f>
        <v>0.38647452507428531</v>
      </c>
      <c r="G12" s="203">
        <f>-tanks!AW16</f>
        <v>101</v>
      </c>
      <c r="H12" s="315">
        <f>tanks!AV16</f>
        <v>1.28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7</v>
      </c>
      <c r="D13">
        <f t="shared" si="1"/>
        <v>2022</v>
      </c>
      <c r="E13" s="203">
        <f>ELEC!N15</f>
        <v>5292</v>
      </c>
      <c r="F13" s="315">
        <f>SUM('EDl log'!T15)</f>
        <v>0.35078782456591684</v>
      </c>
      <c r="G13" s="203">
        <f>-tanks!AW17</f>
        <v>80</v>
      </c>
      <c r="H13" s="315">
        <f>tanks!AV17</f>
        <v>1.28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7</v>
      </c>
      <c r="D14">
        <f t="shared" si="1"/>
        <v>2022</v>
      </c>
      <c r="E14" s="203">
        <f>ELEC!N16</f>
        <v>1069</v>
      </c>
      <c r="F14" s="315">
        <f>SUM('EDl log'!T16)</f>
        <v>1.1965039438633691</v>
      </c>
      <c r="G14" s="203">
        <f>-tanks!AW18</f>
        <v>76</v>
      </c>
      <c r="H14" s="315">
        <f>tanks!AV18</f>
        <v>1.28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7</v>
      </c>
      <c r="D15">
        <f t="shared" si="1"/>
        <v>2022</v>
      </c>
      <c r="E15" s="203">
        <f>ELEC!N17</f>
        <v>4720</v>
      </c>
      <c r="F15" s="315">
        <f>SUM('EDl log'!T17)</f>
        <v>0.3024355808890688</v>
      </c>
      <c r="G15" s="203">
        <f>-tanks!AW19</f>
        <v>122</v>
      </c>
      <c r="H15" s="315">
        <f>tanks!AV19</f>
        <v>1.28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7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1.28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7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7</v>
      </c>
      <c r="D18">
        <f t="shared" si="1"/>
        <v>2022</v>
      </c>
      <c r="E18" s="203">
        <f>ELEC!N20</f>
        <v>713</v>
      </c>
      <c r="F18" s="315">
        <f>SUM('EDl log'!T20)</f>
        <v>0.45200760963166098</v>
      </c>
      <c r="G18" s="203">
        <f>-tanks!AW22</f>
        <v>152</v>
      </c>
      <c r="H18" s="315">
        <f>tanks!AV22</f>
        <v>1.23</v>
      </c>
      <c r="I18" s="10">
        <f>('B5'!AU21)*0.51</f>
        <v>0</v>
      </c>
      <c r="J18" s="296">
        <f>'B5'!AX21/0.51</f>
        <v>1.5686274509803921</v>
      </c>
      <c r="K18" s="203">
        <f>WATER!I22</f>
        <v>139</v>
      </c>
      <c r="L18" s="316">
        <f>SUM(WATER!J22)</f>
        <v>1.7405430494314227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7</v>
      </c>
      <c r="D19">
        <f t="shared" si="1"/>
        <v>2022</v>
      </c>
      <c r="E19" s="203">
        <f>ELEC!N21</f>
        <v>3251</v>
      </c>
      <c r="F19" s="315">
        <f>SUM('EDl log'!T21)</f>
        <v>0.48563086490199536</v>
      </c>
      <c r="G19" s="203">
        <f>-tanks!AW23</f>
        <v>69</v>
      </c>
      <c r="H19" s="315">
        <f>tanks!AV23</f>
        <v>1.23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7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1.23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7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1.23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7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1.23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7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7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7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7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7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7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7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7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7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7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7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7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7</v>
      </c>
      <c r="D4">
        <v>2022</v>
      </c>
      <c r="E4" s="203">
        <f>ELEC!M6</f>
        <v>742</v>
      </c>
      <c r="F4" s="203">
        <f>ELEC!K6</f>
        <v>904</v>
      </c>
      <c r="G4" s="203">
        <f>ELEC!I6</f>
        <v>440</v>
      </c>
      <c r="H4" s="203">
        <f>ELEC!E6</f>
        <v>1070</v>
      </c>
      <c r="I4" s="203">
        <f>ELEC!G6</f>
        <v>326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7</v>
      </c>
      <c r="D5">
        <v>2022</v>
      </c>
      <c r="E5" s="203">
        <f>ELEC!M7</f>
        <v>980</v>
      </c>
      <c r="F5" s="203">
        <f>ELEC!K7</f>
        <v>633</v>
      </c>
      <c r="G5" s="203">
        <f>ELEC!I7</f>
        <v>460</v>
      </c>
      <c r="H5" s="203">
        <f>ELEC!E7</f>
        <v>700</v>
      </c>
      <c r="I5" s="203">
        <f>ELEC!G7</f>
        <v>347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7</v>
      </c>
      <c r="D6">
        <v>2022</v>
      </c>
      <c r="E6" s="203">
        <f>ELEC!M8</f>
        <v>1054</v>
      </c>
      <c r="F6" s="203">
        <f>ELEC!K8</f>
        <v>903</v>
      </c>
      <c r="G6" s="203">
        <f>ELEC!I8</f>
        <v>466</v>
      </c>
      <c r="H6" s="203">
        <f>ELEC!E8</f>
        <v>700</v>
      </c>
      <c r="I6" s="203">
        <f>ELEC!G8</f>
        <v>351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7</v>
      </c>
      <c r="D7">
        <v>2022</v>
      </c>
      <c r="E7" s="203">
        <f>ELEC!M9</f>
        <v>900</v>
      </c>
      <c r="F7" s="203">
        <f>ELEC!K9</f>
        <v>704</v>
      </c>
      <c r="G7" s="203">
        <f>ELEC!I9</f>
        <v>428</v>
      </c>
      <c r="H7" s="203">
        <f>ELEC!E9</f>
        <v>640</v>
      </c>
      <c r="I7" s="203">
        <f>ELEC!G9</f>
        <v>306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7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7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7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7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7</v>
      </c>
      <c r="D12">
        <v>2022</v>
      </c>
      <c r="E12" s="203">
        <f>ELEC!M14</f>
        <v>1024</v>
      </c>
      <c r="F12" s="203">
        <f>ELEC!K14</f>
        <v>632</v>
      </c>
      <c r="G12" s="203">
        <f>ELEC!I14</f>
        <v>474</v>
      </c>
      <c r="H12" s="203">
        <f>ELEC!E14</f>
        <v>760</v>
      </c>
      <c r="I12" s="203">
        <f>ELEC!G14</f>
        <v>340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7</v>
      </c>
      <c r="D13">
        <v>2022</v>
      </c>
      <c r="E13" s="203">
        <f>ELEC!M15</f>
        <v>1506</v>
      </c>
      <c r="F13" s="203">
        <f>ELEC!K15</f>
        <v>888</v>
      </c>
      <c r="G13" s="203">
        <f>ELEC!I15</f>
        <v>704</v>
      </c>
      <c r="H13" s="203">
        <f>ELEC!E15</f>
        <v>1680</v>
      </c>
      <c r="I13" s="203">
        <f>ELEC!G15</f>
        <v>514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7</v>
      </c>
      <c r="D14">
        <v>2022</v>
      </c>
      <c r="E14" s="203">
        <f>ELEC!M16</f>
        <v>374</v>
      </c>
      <c r="F14" s="203">
        <f>ELEC!K16</f>
        <v>136</v>
      </c>
      <c r="G14" s="203">
        <f>ELEC!I16</f>
        <v>148</v>
      </c>
      <c r="H14" s="203">
        <f>ELEC!E16</f>
        <v>300</v>
      </c>
      <c r="I14" s="203">
        <f>ELEC!G16</f>
        <v>111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7</v>
      </c>
      <c r="D15">
        <v>2022</v>
      </c>
      <c r="E15" s="203">
        <f>ELEC!M17</f>
        <v>1176</v>
      </c>
      <c r="F15" s="203">
        <f>ELEC!K17</f>
        <v>772</v>
      </c>
      <c r="G15" s="203">
        <f>ELEC!I17</f>
        <v>708</v>
      </c>
      <c r="H15" s="203">
        <f>ELEC!E17</f>
        <v>1660</v>
      </c>
      <c r="I15" s="203">
        <f>ELEC!G17</f>
        <v>404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7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7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7</v>
      </c>
      <c r="D18">
        <v>2022</v>
      </c>
      <c r="E18" s="203">
        <f>ELEC!M20</f>
        <v>152</v>
      </c>
      <c r="F18" s="203">
        <f>ELEC!K20</f>
        <v>176</v>
      </c>
      <c r="G18" s="203">
        <f>ELEC!I20</f>
        <v>98</v>
      </c>
      <c r="H18" s="203">
        <f>ELEC!E20</f>
        <v>210</v>
      </c>
      <c r="I18" s="203">
        <f>ELEC!G20</f>
        <v>77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7</v>
      </c>
      <c r="D19">
        <v>2022</v>
      </c>
      <c r="E19" s="203">
        <f>ELEC!M21</f>
        <v>962</v>
      </c>
      <c r="F19" s="203">
        <f>ELEC!K21</f>
        <v>892</v>
      </c>
      <c r="G19" s="203">
        <f>ELEC!I21</f>
        <v>430</v>
      </c>
      <c r="H19" s="203">
        <f>ELEC!E21</f>
        <v>630</v>
      </c>
      <c r="I19" s="203">
        <f>ELEC!G21</f>
        <v>337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7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7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7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7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7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7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7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7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7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7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7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7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7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1" sqref="Q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44742</v>
      </c>
      <c r="D3" s="587">
        <f>[2]ELEC!D33</f>
        <v>325030</v>
      </c>
      <c r="E3" s="587">
        <f>[2]ELEC!E33</f>
        <v>990</v>
      </c>
      <c r="F3" s="587">
        <f>[2]ELEC!F33</f>
        <v>4144229</v>
      </c>
      <c r="G3" s="587">
        <f>[2]ELEC!G33</f>
        <v>418</v>
      </c>
      <c r="H3" s="587">
        <f>[2]ELEC!H33</f>
        <v>18057582</v>
      </c>
      <c r="I3" s="587">
        <f>[2]ELEC!I33</f>
        <v>508</v>
      </c>
      <c r="J3" s="587">
        <f>[2]ELEC!J33</f>
        <v>29815090</v>
      </c>
      <c r="K3" s="587">
        <f>[2]ELEC!K33</f>
        <v>952</v>
      </c>
      <c r="L3" s="587">
        <f>[2]ELEC!L33</f>
        <v>24615222</v>
      </c>
      <c r="M3" s="587">
        <f>[2]ELEC!M33</f>
        <v>998</v>
      </c>
      <c r="N3" s="587">
        <f>[2]ELEC!N33</f>
        <v>3866</v>
      </c>
      <c r="O3" s="587">
        <f>[2]ELEC!O33</f>
        <v>0</v>
      </c>
      <c r="P3" s="587">
        <f>[2]ELEC!P33</f>
        <v>19334.345000000001</v>
      </c>
      <c r="Q3" s="587">
        <f>[2]ELEC!Q33</f>
        <v>3254.0000000008149</v>
      </c>
      <c r="R3" s="587">
        <f>[2]ELEC!R33</f>
        <v>611.99999999918509</v>
      </c>
      <c r="S3" s="587">
        <f>[2]ELEC!S33</f>
        <v>10175</v>
      </c>
      <c r="T3" s="587">
        <f>[2]ELEC!T33</f>
        <v>0</v>
      </c>
      <c r="U3" s="587">
        <f>[2]ELEC!U33</f>
        <v>429166</v>
      </c>
      <c r="V3" s="587">
        <f>[2]ELEC!V33</f>
        <v>0</v>
      </c>
      <c r="W3" s="587">
        <f>[2]ELEC!W33</f>
        <v>33484</v>
      </c>
      <c r="X3" s="587">
        <f>[2]ELEC!X33</f>
        <v>0</v>
      </c>
      <c r="Y3" s="587">
        <f>[2]ELEC!Y33</f>
        <v>996900</v>
      </c>
      <c r="Z3" s="587">
        <f>[2]ELEC!Z33</f>
        <v>0</v>
      </c>
      <c r="AA3" s="587">
        <f>[2]ELEC!AA33</f>
        <v>36796</v>
      </c>
      <c r="AB3" s="587">
        <f>[2]ELEC!AB33</f>
        <v>0</v>
      </c>
      <c r="AC3" s="587">
        <f>[2]ELEC!AC33</f>
        <v>1170516</v>
      </c>
      <c r="AD3" s="587">
        <f>[2]ELEC!AD33</f>
        <v>0</v>
      </c>
      <c r="AE3" s="587">
        <f>[2]ELEC!AE33</f>
        <v>0</v>
      </c>
      <c r="AF3" s="587">
        <f>[2]ELEC!AF33</f>
        <v>0</v>
      </c>
      <c r="AG3" s="587">
        <f>[2]ELEC!AG33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44743</v>
      </c>
      <c r="D4" s="588">
        <f>D3</f>
        <v>325030</v>
      </c>
      <c r="E4" s="576">
        <f>D4-D3</f>
        <v>0</v>
      </c>
      <c r="F4" s="567">
        <f>F3</f>
        <v>4144229</v>
      </c>
      <c r="G4" s="577">
        <f>F4-F3</f>
        <v>0</v>
      </c>
      <c r="H4" s="426">
        <f>H3</f>
        <v>18057582</v>
      </c>
      <c r="I4" s="577">
        <f>H4-H3</f>
        <v>0</v>
      </c>
      <c r="J4" s="426">
        <f>J3</f>
        <v>29815090</v>
      </c>
      <c r="K4" s="577">
        <f>J4-J3</f>
        <v>0</v>
      </c>
      <c r="L4" s="426">
        <f>L3</f>
        <v>24615222</v>
      </c>
      <c r="M4" s="577">
        <f>L4-L3</f>
        <v>0</v>
      </c>
      <c r="N4" s="427">
        <f>M4+K4+I4+G4+E4</f>
        <v>0</v>
      </c>
      <c r="O4" s="438">
        <f t="shared" ref="O4:O10" si="0">IF(B4&gt;0,N4/B4,0)</f>
        <v>0</v>
      </c>
      <c r="P4" s="561">
        <f>P3</f>
        <v>19334.345000000001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44744</v>
      </c>
      <c r="D5" s="588">
        <f t="shared" ref="D5:D34" si="7">D4</f>
        <v>325030</v>
      </c>
      <c r="E5" s="576">
        <f t="shared" ref="E5:E34" si="8">D5-D4</f>
        <v>0</v>
      </c>
      <c r="F5" s="567">
        <f t="shared" ref="F5:F34" si="9">F4</f>
        <v>4144229</v>
      </c>
      <c r="G5" s="449">
        <f>F5-F4</f>
        <v>0</v>
      </c>
      <c r="H5" s="426">
        <f t="shared" ref="H5:H34" si="10">H4</f>
        <v>18057582</v>
      </c>
      <c r="I5" s="449">
        <f>H5-H4</f>
        <v>0</v>
      </c>
      <c r="J5" s="426">
        <f t="shared" ref="J5:J34" si="11">J4</f>
        <v>29815090</v>
      </c>
      <c r="K5" s="449">
        <f>J5-J4</f>
        <v>0</v>
      </c>
      <c r="L5" s="426">
        <f t="shared" ref="L5:L34" si="12">L4</f>
        <v>24615222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19334.345000000001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44745</v>
      </c>
      <c r="D6" s="588">
        <v>326100</v>
      </c>
      <c r="E6" s="576">
        <f t="shared" ref="E6:E7" si="21">D6-D5</f>
        <v>1070</v>
      </c>
      <c r="F6" s="567">
        <v>4144555</v>
      </c>
      <c r="G6" s="449">
        <f t="shared" ref="G6:G7" si="22">F6-F5</f>
        <v>326</v>
      </c>
      <c r="H6" s="426">
        <v>18058022</v>
      </c>
      <c r="I6" s="449">
        <f t="shared" ref="I6:I7" si="23">H6-H5</f>
        <v>440</v>
      </c>
      <c r="J6" s="426">
        <v>29815994</v>
      </c>
      <c r="K6" s="449">
        <f t="shared" ref="K6:K7" si="24">J6-J5</f>
        <v>904</v>
      </c>
      <c r="L6" s="426">
        <v>24615964</v>
      </c>
      <c r="M6" s="449">
        <f t="shared" ref="M6:M7" si="25">L6-L5</f>
        <v>742</v>
      </c>
      <c r="N6" s="297">
        <f t="shared" ref="N6:N7" si="26">M6+K6+I6+G6+E6</f>
        <v>3482</v>
      </c>
      <c r="O6" s="445">
        <f t="shared" ref="O6:O7" si="27">IF(B6&gt;0,N6/B6,0)</f>
        <v>0</v>
      </c>
      <c r="P6" s="561">
        <v>19337.920999999998</v>
      </c>
      <c r="Q6" s="446">
        <f t="shared" ref="Q6:Q7" si="28">(P6-P5)*1000</f>
        <v>3575.9999999972933</v>
      </c>
      <c r="R6" s="428">
        <f>N6-Q6</f>
        <v>-93.999999997293344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44746</v>
      </c>
      <c r="D7" s="588">
        <v>326800</v>
      </c>
      <c r="E7" s="576">
        <f t="shared" si="21"/>
        <v>700</v>
      </c>
      <c r="F7" s="567">
        <v>4144902</v>
      </c>
      <c r="G7" s="449">
        <f t="shared" si="22"/>
        <v>347</v>
      </c>
      <c r="H7" s="426">
        <v>18058482</v>
      </c>
      <c r="I7" s="449">
        <f t="shared" si="23"/>
        <v>460</v>
      </c>
      <c r="J7" s="426">
        <v>29816627</v>
      </c>
      <c r="K7" s="449">
        <f t="shared" si="24"/>
        <v>633</v>
      </c>
      <c r="L7" s="426">
        <v>24616944</v>
      </c>
      <c r="M7" s="449">
        <f t="shared" si="25"/>
        <v>980</v>
      </c>
      <c r="N7" s="297">
        <f t="shared" si="26"/>
        <v>3120</v>
      </c>
      <c r="O7" s="445">
        <f t="shared" si="27"/>
        <v>0</v>
      </c>
      <c r="P7" s="561">
        <v>19341.133999999998</v>
      </c>
      <c r="Q7" s="446">
        <f t="shared" si="28"/>
        <v>3212.9999999997381</v>
      </c>
      <c r="R7" s="428">
        <f t="shared" ref="R7:R18" si="32">N7-Q7</f>
        <v>-92.999999999738066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44747</v>
      </c>
      <c r="D8" s="588">
        <v>327500</v>
      </c>
      <c r="E8" s="576">
        <f t="shared" si="8"/>
        <v>700</v>
      </c>
      <c r="F8" s="567">
        <v>4145253</v>
      </c>
      <c r="G8" s="449">
        <f t="shared" ref="G8:G34" si="34">F8-F7</f>
        <v>351</v>
      </c>
      <c r="H8" s="426">
        <v>18058948</v>
      </c>
      <c r="I8" s="449">
        <f t="shared" ref="I8:I34" si="35">H8-H7</f>
        <v>466</v>
      </c>
      <c r="J8" s="426">
        <v>29817530</v>
      </c>
      <c r="K8" s="449">
        <f t="shared" ref="K8:K34" si="36">J8-J7</f>
        <v>903</v>
      </c>
      <c r="L8" s="426">
        <v>24617998</v>
      </c>
      <c r="M8" s="449">
        <f t="shared" ref="M8:M31" si="37">L8-L7</f>
        <v>1054</v>
      </c>
      <c r="N8" s="297">
        <f t="shared" ref="N8:N31" si="38">M8+K8+I8+G8+E8</f>
        <v>3474</v>
      </c>
      <c r="O8" s="445">
        <f t="shared" si="0"/>
        <v>0</v>
      </c>
      <c r="P8" s="561">
        <v>19344.719000000001</v>
      </c>
      <c r="Q8" s="446">
        <f t="shared" si="1"/>
        <v>3585.0000000027649</v>
      </c>
      <c r="R8" s="428">
        <f t="shared" si="32"/>
        <v>-111.00000000276486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44748</v>
      </c>
      <c r="D9" s="588">
        <v>328140</v>
      </c>
      <c r="E9" s="576">
        <f t="shared" si="8"/>
        <v>640</v>
      </c>
      <c r="F9" s="567">
        <v>4145559</v>
      </c>
      <c r="G9" s="449">
        <f t="shared" si="34"/>
        <v>306</v>
      </c>
      <c r="H9" s="426">
        <v>18059376</v>
      </c>
      <c r="I9" s="449">
        <f t="shared" si="35"/>
        <v>428</v>
      </c>
      <c r="J9" s="426">
        <v>29818234</v>
      </c>
      <c r="K9" s="449">
        <f t="shared" si="36"/>
        <v>704</v>
      </c>
      <c r="L9" s="426">
        <v>24618898</v>
      </c>
      <c r="M9" s="449">
        <f t="shared" si="37"/>
        <v>900</v>
      </c>
      <c r="N9" s="297">
        <f t="shared" si="38"/>
        <v>2978</v>
      </c>
      <c r="O9" s="445">
        <f t="shared" si="0"/>
        <v>0</v>
      </c>
      <c r="P9" s="561">
        <v>19347.789000000001</v>
      </c>
      <c r="Q9" s="446">
        <f t="shared" si="1"/>
        <v>3069.999999999709</v>
      </c>
      <c r="R9" s="428">
        <f t="shared" si="32"/>
        <v>-91.999999999708962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44749</v>
      </c>
      <c r="D10" s="588">
        <f t="shared" si="7"/>
        <v>328140</v>
      </c>
      <c r="E10" s="576">
        <f t="shared" si="8"/>
        <v>0</v>
      </c>
      <c r="F10" s="567">
        <f t="shared" si="9"/>
        <v>4145559</v>
      </c>
      <c r="G10" s="449">
        <f t="shared" si="34"/>
        <v>0</v>
      </c>
      <c r="H10" s="426">
        <f t="shared" si="10"/>
        <v>18059376</v>
      </c>
      <c r="I10" s="449">
        <f t="shared" si="35"/>
        <v>0</v>
      </c>
      <c r="J10" s="426">
        <f t="shared" si="11"/>
        <v>29818234</v>
      </c>
      <c r="K10" s="449">
        <f t="shared" si="36"/>
        <v>0</v>
      </c>
      <c r="L10" s="426">
        <f t="shared" si="12"/>
        <v>24618898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19347.789000000001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44750</v>
      </c>
      <c r="D11" s="588">
        <f t="shared" si="7"/>
        <v>328140</v>
      </c>
      <c r="E11" s="576">
        <f t="shared" si="8"/>
        <v>0</v>
      </c>
      <c r="F11" s="567">
        <f t="shared" si="9"/>
        <v>4145559</v>
      </c>
      <c r="G11" s="449">
        <f t="shared" si="34"/>
        <v>0</v>
      </c>
      <c r="H11" s="426">
        <f t="shared" si="10"/>
        <v>18059376</v>
      </c>
      <c r="I11" s="449">
        <f t="shared" si="35"/>
        <v>0</v>
      </c>
      <c r="J11" s="426">
        <f t="shared" si="11"/>
        <v>29818234</v>
      </c>
      <c r="K11" s="449">
        <f t="shared" si="36"/>
        <v>0</v>
      </c>
      <c r="L11" s="426">
        <f t="shared" si="12"/>
        <v>24618898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19347.789000000001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44751</v>
      </c>
      <c r="D12" s="588">
        <f t="shared" si="7"/>
        <v>328140</v>
      </c>
      <c r="E12" s="576">
        <f>D12-D11</f>
        <v>0</v>
      </c>
      <c r="F12" s="567">
        <f t="shared" si="9"/>
        <v>4145559</v>
      </c>
      <c r="G12" s="449">
        <f t="shared" si="34"/>
        <v>0</v>
      </c>
      <c r="H12" s="426">
        <f t="shared" si="10"/>
        <v>18059376</v>
      </c>
      <c r="I12" s="449">
        <f t="shared" si="35"/>
        <v>0</v>
      </c>
      <c r="J12" s="426">
        <f t="shared" si="11"/>
        <v>29818234</v>
      </c>
      <c r="K12" s="449">
        <f t="shared" si="36"/>
        <v>0</v>
      </c>
      <c r="L12" s="426">
        <f t="shared" si="12"/>
        <v>24618898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19347.789000000001</v>
      </c>
      <c r="Q12" s="446">
        <f t="shared" si="1"/>
        <v>0</v>
      </c>
      <c r="R12" s="589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44752</v>
      </c>
      <c r="D13" s="588">
        <f t="shared" si="7"/>
        <v>328140</v>
      </c>
      <c r="E13" s="576">
        <f t="shared" si="8"/>
        <v>0</v>
      </c>
      <c r="F13" s="567">
        <f t="shared" si="9"/>
        <v>4145559</v>
      </c>
      <c r="G13" s="449">
        <f t="shared" si="34"/>
        <v>0</v>
      </c>
      <c r="H13" s="426">
        <f t="shared" si="10"/>
        <v>18059376</v>
      </c>
      <c r="I13" s="449">
        <f t="shared" si="35"/>
        <v>0</v>
      </c>
      <c r="J13" s="426">
        <f t="shared" si="11"/>
        <v>29818234</v>
      </c>
      <c r="K13" s="449">
        <f t="shared" si="36"/>
        <v>0</v>
      </c>
      <c r="L13" s="426">
        <f t="shared" si="12"/>
        <v>24618898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19347.789000000001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44753</v>
      </c>
      <c r="D14" s="588">
        <v>328900</v>
      </c>
      <c r="E14" s="576">
        <f t="shared" si="8"/>
        <v>760</v>
      </c>
      <c r="F14" s="567">
        <v>4145899</v>
      </c>
      <c r="G14" s="449">
        <f t="shared" si="34"/>
        <v>340</v>
      </c>
      <c r="H14" s="426">
        <v>18059850</v>
      </c>
      <c r="I14" s="449">
        <f t="shared" si="35"/>
        <v>474</v>
      </c>
      <c r="J14" s="426">
        <v>29818866</v>
      </c>
      <c r="K14" s="449">
        <f t="shared" si="36"/>
        <v>632</v>
      </c>
      <c r="L14" s="426">
        <v>24619922</v>
      </c>
      <c r="M14" s="449">
        <f t="shared" si="37"/>
        <v>1024</v>
      </c>
      <c r="N14" s="297">
        <f t="shared" si="38"/>
        <v>3230</v>
      </c>
      <c r="O14" s="445">
        <f t="shared" si="40"/>
        <v>0</v>
      </c>
      <c r="P14" s="561">
        <v>19351.13</v>
      </c>
      <c r="Q14" s="446">
        <f t="shared" si="1"/>
        <v>3341.0000000003492</v>
      </c>
      <c r="R14" s="428">
        <f t="shared" si="32"/>
        <v>-111.00000000034925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44754</v>
      </c>
      <c r="D15" s="588">
        <v>330580</v>
      </c>
      <c r="E15" s="576">
        <f t="shared" si="8"/>
        <v>1680</v>
      </c>
      <c r="F15" s="567">
        <v>4146413</v>
      </c>
      <c r="G15" s="449">
        <f t="shared" si="34"/>
        <v>514</v>
      </c>
      <c r="H15" s="426">
        <v>18060554</v>
      </c>
      <c r="I15" s="449">
        <f t="shared" si="35"/>
        <v>704</v>
      </c>
      <c r="J15" s="426">
        <v>29819754</v>
      </c>
      <c r="K15" s="449">
        <f t="shared" si="36"/>
        <v>888</v>
      </c>
      <c r="L15" s="426">
        <v>24621428</v>
      </c>
      <c r="M15" s="449">
        <f t="shared" si="37"/>
        <v>1506</v>
      </c>
      <c r="N15" s="297">
        <f t="shared" si="38"/>
        <v>5292</v>
      </c>
      <c r="O15" s="445">
        <f t="shared" si="40"/>
        <v>0</v>
      </c>
      <c r="P15" s="561">
        <v>19356.824000000001</v>
      </c>
      <c r="Q15" s="446">
        <f t="shared" si="1"/>
        <v>5693.9999999995052</v>
      </c>
      <c r="R15" s="589">
        <f>N15-Q15</f>
        <v>-401.99999999950523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44755</v>
      </c>
      <c r="D16" s="588">
        <v>330880</v>
      </c>
      <c r="E16" s="576">
        <f t="shared" si="8"/>
        <v>300</v>
      </c>
      <c r="F16" s="567">
        <v>4146524</v>
      </c>
      <c r="G16" s="449">
        <f t="shared" si="34"/>
        <v>111</v>
      </c>
      <c r="H16" s="426">
        <v>18060702</v>
      </c>
      <c r="I16" s="449">
        <f t="shared" si="35"/>
        <v>148</v>
      </c>
      <c r="J16" s="426">
        <v>29819890</v>
      </c>
      <c r="K16" s="449">
        <f t="shared" si="36"/>
        <v>136</v>
      </c>
      <c r="L16" s="426">
        <v>24621802</v>
      </c>
      <c r="M16" s="449">
        <f t="shared" si="37"/>
        <v>374</v>
      </c>
      <c r="N16" s="297">
        <f t="shared" si="38"/>
        <v>1069</v>
      </c>
      <c r="O16" s="445">
        <f t="shared" si="40"/>
        <v>0</v>
      </c>
      <c r="P16" s="561">
        <v>19357.683000000001</v>
      </c>
      <c r="Q16" s="446">
        <f t="shared" si="1"/>
        <v>859.00000000037835</v>
      </c>
      <c r="R16" s="428">
        <f t="shared" si="32"/>
        <v>209.99999999962165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44756</v>
      </c>
      <c r="D17" s="588">
        <v>332540</v>
      </c>
      <c r="E17" s="576">
        <f t="shared" si="8"/>
        <v>1660</v>
      </c>
      <c r="F17" s="567">
        <v>4146928</v>
      </c>
      <c r="G17" s="449">
        <f t="shared" si="34"/>
        <v>404</v>
      </c>
      <c r="H17" s="426">
        <v>18061410</v>
      </c>
      <c r="I17" s="449">
        <f t="shared" si="35"/>
        <v>708</v>
      </c>
      <c r="J17" s="426">
        <v>29820662</v>
      </c>
      <c r="K17" s="449">
        <f t="shared" si="36"/>
        <v>772</v>
      </c>
      <c r="L17" s="426">
        <v>24622978</v>
      </c>
      <c r="M17" s="449">
        <f t="shared" si="37"/>
        <v>1176</v>
      </c>
      <c r="N17" s="297">
        <f t="shared" si="38"/>
        <v>4720</v>
      </c>
      <c r="O17" s="445">
        <f t="shared" si="40"/>
        <v>0</v>
      </c>
      <c r="P17" s="561">
        <v>19362.545999999998</v>
      </c>
      <c r="Q17" s="446">
        <f t="shared" si="1"/>
        <v>4862.9999999975553</v>
      </c>
      <c r="R17" s="428">
        <f t="shared" si="32"/>
        <v>-142.99999999755528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44757</v>
      </c>
      <c r="D18" s="588">
        <f t="shared" si="7"/>
        <v>332540</v>
      </c>
      <c r="E18" s="576">
        <f t="shared" si="8"/>
        <v>0</v>
      </c>
      <c r="F18" s="567">
        <f t="shared" si="9"/>
        <v>4146928</v>
      </c>
      <c r="G18" s="449">
        <f t="shared" si="34"/>
        <v>0</v>
      </c>
      <c r="H18" s="426">
        <f t="shared" si="10"/>
        <v>18061410</v>
      </c>
      <c r="I18" s="449">
        <f t="shared" si="35"/>
        <v>0</v>
      </c>
      <c r="J18" s="426">
        <f t="shared" si="11"/>
        <v>29820662</v>
      </c>
      <c r="K18" s="449">
        <f t="shared" si="36"/>
        <v>0</v>
      </c>
      <c r="L18" s="426">
        <f t="shared" si="12"/>
        <v>24622978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19362.545999999998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44758</v>
      </c>
      <c r="D19" s="588">
        <f t="shared" si="7"/>
        <v>332540</v>
      </c>
      <c r="E19" s="576">
        <f t="shared" si="8"/>
        <v>0</v>
      </c>
      <c r="F19" s="567">
        <f t="shared" si="9"/>
        <v>4146928</v>
      </c>
      <c r="G19" s="449">
        <f t="shared" si="34"/>
        <v>0</v>
      </c>
      <c r="H19" s="426">
        <f t="shared" si="10"/>
        <v>18061410</v>
      </c>
      <c r="I19" s="449">
        <f t="shared" si="35"/>
        <v>0</v>
      </c>
      <c r="J19" s="426">
        <f t="shared" si="11"/>
        <v>29820662</v>
      </c>
      <c r="K19" s="449">
        <f t="shared" si="36"/>
        <v>0</v>
      </c>
      <c r="L19" s="426">
        <f t="shared" si="12"/>
        <v>24622978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19362.545999999998</v>
      </c>
      <c r="Q19" s="446">
        <f>(P19-P18)*1000</f>
        <v>0</v>
      </c>
      <c r="R19" s="589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44759</v>
      </c>
      <c r="D20" s="588">
        <v>332750</v>
      </c>
      <c r="E20" s="576">
        <f t="shared" si="8"/>
        <v>210</v>
      </c>
      <c r="F20" s="567">
        <v>4147005</v>
      </c>
      <c r="G20" s="449">
        <f t="shared" si="34"/>
        <v>77</v>
      </c>
      <c r="H20" s="426">
        <v>18061508</v>
      </c>
      <c r="I20" s="449">
        <f t="shared" si="35"/>
        <v>98</v>
      </c>
      <c r="J20" s="426">
        <v>29820838</v>
      </c>
      <c r="K20" s="449">
        <f t="shared" si="36"/>
        <v>176</v>
      </c>
      <c r="L20" s="426">
        <v>24623130</v>
      </c>
      <c r="M20" s="449">
        <f t="shared" si="37"/>
        <v>152</v>
      </c>
      <c r="N20" s="297">
        <f t="shared" si="38"/>
        <v>713</v>
      </c>
      <c r="O20" s="445">
        <f t="shared" si="40"/>
        <v>0</v>
      </c>
      <c r="P20" s="561">
        <v>19363.27</v>
      </c>
      <c r="Q20" s="446">
        <f>(P20-P19)*1000</f>
        <v>724.00000000197906</v>
      </c>
      <c r="R20" s="589">
        <f>N20-Q20</f>
        <v>-11.00000000197906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44760</v>
      </c>
      <c r="D21" s="588">
        <v>333380</v>
      </c>
      <c r="E21" s="576">
        <f t="shared" si="8"/>
        <v>630</v>
      </c>
      <c r="F21" s="567">
        <v>4147342</v>
      </c>
      <c r="G21" s="449">
        <f t="shared" si="34"/>
        <v>337</v>
      </c>
      <c r="H21" s="426">
        <v>18061938</v>
      </c>
      <c r="I21" s="449">
        <f t="shared" si="35"/>
        <v>430</v>
      </c>
      <c r="J21" s="426">
        <v>29821730</v>
      </c>
      <c r="K21" s="449">
        <f t="shared" si="36"/>
        <v>892</v>
      </c>
      <c r="L21" s="426">
        <v>24624092</v>
      </c>
      <c r="M21" s="449">
        <f t="shared" si="37"/>
        <v>962</v>
      </c>
      <c r="N21" s="297">
        <f t="shared" si="38"/>
        <v>3251</v>
      </c>
      <c r="O21" s="445">
        <f t="shared" si="40"/>
        <v>0</v>
      </c>
      <c r="P21" s="561">
        <v>19366.618999999999</v>
      </c>
      <c r="Q21" s="446">
        <f t="shared" si="1"/>
        <v>3348.9999999983411</v>
      </c>
      <c r="R21" s="589">
        <f t="shared" ref="R21:R31" si="43">N21-Q21</f>
        <v>-97.999999998341082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44761</v>
      </c>
      <c r="D22" s="588">
        <f t="shared" si="7"/>
        <v>333380</v>
      </c>
      <c r="E22" s="576">
        <f t="shared" ref="E22" si="44">D22-D21</f>
        <v>0</v>
      </c>
      <c r="F22" s="567">
        <f t="shared" si="9"/>
        <v>4147342</v>
      </c>
      <c r="G22" s="449">
        <f t="shared" ref="G22" si="45">F22-F21</f>
        <v>0</v>
      </c>
      <c r="H22" s="426">
        <v>18061938</v>
      </c>
      <c r="I22" s="449">
        <f t="shared" si="35"/>
        <v>0</v>
      </c>
      <c r="J22" s="426">
        <f t="shared" si="11"/>
        <v>29821730</v>
      </c>
      <c r="K22" s="449">
        <f t="shared" ref="K22" si="46">J22-J21</f>
        <v>0</v>
      </c>
      <c r="L22" s="426">
        <f t="shared" si="12"/>
        <v>24624092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19366.618999999999</v>
      </c>
      <c r="Q22" s="446">
        <f t="shared" ref="Q22" si="50">(P22-P21)*1000</f>
        <v>0</v>
      </c>
      <c r="R22" s="589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44762</v>
      </c>
      <c r="D23" s="588">
        <f t="shared" si="7"/>
        <v>333380</v>
      </c>
      <c r="E23" s="576">
        <f t="shared" si="8"/>
        <v>0</v>
      </c>
      <c r="F23" s="567">
        <f t="shared" si="9"/>
        <v>4147342</v>
      </c>
      <c r="G23" s="449">
        <f t="shared" si="34"/>
        <v>0</v>
      </c>
      <c r="H23" s="426">
        <f t="shared" si="10"/>
        <v>18061938</v>
      </c>
      <c r="I23" s="449">
        <f t="shared" si="35"/>
        <v>0</v>
      </c>
      <c r="J23" s="426">
        <f t="shared" si="11"/>
        <v>29821730</v>
      </c>
      <c r="K23" s="449">
        <f t="shared" si="36"/>
        <v>0</v>
      </c>
      <c r="L23" s="426">
        <f t="shared" si="12"/>
        <v>24624092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19366.618999999999</v>
      </c>
      <c r="Q23" s="446">
        <f t="shared" si="1"/>
        <v>0</v>
      </c>
      <c r="R23" s="589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44763</v>
      </c>
      <c r="D24" s="588">
        <f t="shared" si="7"/>
        <v>333380</v>
      </c>
      <c r="E24" s="576">
        <f t="shared" si="8"/>
        <v>0</v>
      </c>
      <c r="F24" s="567">
        <f t="shared" si="9"/>
        <v>4147342</v>
      </c>
      <c r="G24" s="449">
        <f t="shared" si="34"/>
        <v>0</v>
      </c>
      <c r="H24" s="426">
        <f t="shared" si="10"/>
        <v>18061938</v>
      </c>
      <c r="I24" s="592">
        <f t="shared" si="35"/>
        <v>0</v>
      </c>
      <c r="J24" s="426">
        <f t="shared" si="11"/>
        <v>29821730</v>
      </c>
      <c r="K24" s="449">
        <f t="shared" si="36"/>
        <v>0</v>
      </c>
      <c r="L24" s="426">
        <f t="shared" si="12"/>
        <v>24624092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19366.618999999999</v>
      </c>
      <c r="Q24" s="446">
        <f t="shared" si="1"/>
        <v>0</v>
      </c>
      <c r="R24" s="589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44764</v>
      </c>
      <c r="D25" s="588">
        <f t="shared" si="7"/>
        <v>333380</v>
      </c>
      <c r="E25" s="576">
        <f t="shared" si="8"/>
        <v>0</v>
      </c>
      <c r="F25" s="567">
        <f t="shared" si="9"/>
        <v>4147342</v>
      </c>
      <c r="G25" s="449">
        <f t="shared" si="34"/>
        <v>0</v>
      </c>
      <c r="H25" s="426">
        <f t="shared" si="10"/>
        <v>18061938</v>
      </c>
      <c r="I25" s="449">
        <f t="shared" si="35"/>
        <v>0</v>
      </c>
      <c r="J25" s="426">
        <f t="shared" si="11"/>
        <v>29821730</v>
      </c>
      <c r="K25" s="449">
        <f t="shared" si="36"/>
        <v>0</v>
      </c>
      <c r="L25" s="426">
        <f t="shared" si="12"/>
        <v>24624092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19366.618999999999</v>
      </c>
      <c r="Q25" s="446">
        <f t="shared" si="1"/>
        <v>0</v>
      </c>
      <c r="R25" s="589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44765</v>
      </c>
      <c r="D26" s="588">
        <f t="shared" si="7"/>
        <v>333380</v>
      </c>
      <c r="E26" s="576">
        <f t="shared" si="8"/>
        <v>0</v>
      </c>
      <c r="F26" s="567">
        <f t="shared" si="9"/>
        <v>4147342</v>
      </c>
      <c r="G26" s="449">
        <f t="shared" si="34"/>
        <v>0</v>
      </c>
      <c r="H26" s="426">
        <f t="shared" si="10"/>
        <v>18061938</v>
      </c>
      <c r="I26" s="449">
        <f t="shared" si="35"/>
        <v>0</v>
      </c>
      <c r="J26" s="426">
        <f t="shared" si="11"/>
        <v>29821730</v>
      </c>
      <c r="K26" s="449">
        <f t="shared" si="36"/>
        <v>0</v>
      </c>
      <c r="L26" s="426">
        <f t="shared" si="12"/>
        <v>24624092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19366.618999999999</v>
      </c>
      <c r="Q26" s="446">
        <f t="shared" si="1"/>
        <v>0</v>
      </c>
      <c r="R26" s="589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44766</v>
      </c>
      <c r="D27" s="588">
        <f t="shared" si="7"/>
        <v>333380</v>
      </c>
      <c r="E27" s="576">
        <f t="shared" si="8"/>
        <v>0</v>
      </c>
      <c r="F27" s="567">
        <f t="shared" si="9"/>
        <v>4147342</v>
      </c>
      <c r="G27" s="449">
        <f t="shared" si="34"/>
        <v>0</v>
      </c>
      <c r="H27" s="426">
        <f t="shared" si="10"/>
        <v>18061938</v>
      </c>
      <c r="I27" s="449">
        <f t="shared" si="35"/>
        <v>0</v>
      </c>
      <c r="J27" s="426">
        <f t="shared" si="11"/>
        <v>29821730</v>
      </c>
      <c r="K27" s="449">
        <f t="shared" si="36"/>
        <v>0</v>
      </c>
      <c r="L27" s="426">
        <f t="shared" si="12"/>
        <v>24624092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19366.618999999999</v>
      </c>
      <c r="Q27" s="446">
        <f t="shared" si="1"/>
        <v>0</v>
      </c>
      <c r="R27" s="589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44767</v>
      </c>
      <c r="D28" s="588">
        <f t="shared" si="7"/>
        <v>333380</v>
      </c>
      <c r="E28" s="576">
        <f t="shared" si="8"/>
        <v>0</v>
      </c>
      <c r="F28" s="567">
        <f t="shared" si="9"/>
        <v>4147342</v>
      </c>
      <c r="G28" s="449">
        <f>F28-F27</f>
        <v>0</v>
      </c>
      <c r="H28" s="426">
        <f t="shared" si="10"/>
        <v>18061938</v>
      </c>
      <c r="I28" s="449">
        <f t="shared" si="35"/>
        <v>0</v>
      </c>
      <c r="J28" s="426">
        <f t="shared" si="11"/>
        <v>29821730</v>
      </c>
      <c r="K28" s="449">
        <f t="shared" si="36"/>
        <v>0</v>
      </c>
      <c r="L28" s="426">
        <f t="shared" si="12"/>
        <v>24624092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19366.618999999999</v>
      </c>
      <c r="Q28" s="446">
        <f t="shared" si="1"/>
        <v>0</v>
      </c>
      <c r="R28" s="589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44768</v>
      </c>
      <c r="D29" s="588">
        <f t="shared" si="7"/>
        <v>333380</v>
      </c>
      <c r="E29" s="576">
        <f t="shared" si="8"/>
        <v>0</v>
      </c>
      <c r="F29" s="567">
        <f t="shared" si="9"/>
        <v>4147342</v>
      </c>
      <c r="G29" s="449">
        <f>F29-F28</f>
        <v>0</v>
      </c>
      <c r="H29" s="426">
        <f t="shared" si="10"/>
        <v>18061938</v>
      </c>
      <c r="I29" s="449">
        <f>H29-H28</f>
        <v>0</v>
      </c>
      <c r="J29" s="426">
        <f t="shared" si="11"/>
        <v>29821730</v>
      </c>
      <c r="K29" s="449">
        <f>J29-J28</f>
        <v>0</v>
      </c>
      <c r="L29" s="426">
        <f t="shared" si="12"/>
        <v>24624092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19366.618999999999</v>
      </c>
      <c r="Q29" s="446">
        <f>(P29-P28)*1000</f>
        <v>0</v>
      </c>
      <c r="R29" s="589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44769</v>
      </c>
      <c r="D30" s="588">
        <f t="shared" si="7"/>
        <v>333380</v>
      </c>
      <c r="E30" s="576">
        <f t="shared" si="8"/>
        <v>0</v>
      </c>
      <c r="F30" s="567">
        <f t="shared" si="9"/>
        <v>4147342</v>
      </c>
      <c r="G30" s="449">
        <f t="shared" si="34"/>
        <v>0</v>
      </c>
      <c r="H30" s="426">
        <f t="shared" si="10"/>
        <v>18061938</v>
      </c>
      <c r="I30" s="449">
        <f t="shared" si="35"/>
        <v>0</v>
      </c>
      <c r="J30" s="426">
        <f t="shared" si="11"/>
        <v>29821730</v>
      </c>
      <c r="K30" s="449">
        <f t="shared" si="36"/>
        <v>0</v>
      </c>
      <c r="L30" s="426">
        <f t="shared" si="12"/>
        <v>24624092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19366.618999999999</v>
      </c>
      <c r="Q30" s="446">
        <f t="shared" si="1"/>
        <v>0</v>
      </c>
      <c r="R30" s="589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44770</v>
      </c>
      <c r="D31" s="588">
        <f t="shared" si="7"/>
        <v>333380</v>
      </c>
      <c r="E31" s="576">
        <f t="shared" si="8"/>
        <v>0</v>
      </c>
      <c r="F31" s="567">
        <f t="shared" si="9"/>
        <v>4147342</v>
      </c>
      <c r="G31" s="449">
        <f t="shared" si="34"/>
        <v>0</v>
      </c>
      <c r="H31" s="426">
        <f t="shared" si="10"/>
        <v>18061938</v>
      </c>
      <c r="I31" s="449">
        <f t="shared" si="35"/>
        <v>0</v>
      </c>
      <c r="J31" s="426">
        <f t="shared" si="11"/>
        <v>29821730</v>
      </c>
      <c r="K31" s="449">
        <f t="shared" si="36"/>
        <v>0</v>
      </c>
      <c r="L31" s="426">
        <f t="shared" si="12"/>
        <v>24624092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19366.618999999999</v>
      </c>
      <c r="Q31" s="446">
        <f t="shared" si="1"/>
        <v>0</v>
      </c>
      <c r="R31" s="589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44771</v>
      </c>
      <c r="D32" s="588">
        <f t="shared" si="7"/>
        <v>333380</v>
      </c>
      <c r="E32" s="576">
        <f t="shared" si="8"/>
        <v>0</v>
      </c>
      <c r="F32" s="567">
        <f t="shared" si="9"/>
        <v>4147342</v>
      </c>
      <c r="G32" s="449">
        <f t="shared" si="34"/>
        <v>0</v>
      </c>
      <c r="H32" s="426">
        <f t="shared" si="10"/>
        <v>18061938</v>
      </c>
      <c r="I32" s="449">
        <f t="shared" si="35"/>
        <v>0</v>
      </c>
      <c r="J32" s="426">
        <f t="shared" si="11"/>
        <v>29821730</v>
      </c>
      <c r="K32" s="449">
        <f t="shared" si="36"/>
        <v>0</v>
      </c>
      <c r="L32" s="426">
        <f t="shared" si="12"/>
        <v>24624092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19366.618999999999</v>
      </c>
      <c r="Q32" s="446">
        <f t="shared" ref="Q32:Q34" si="56">(P32-P31)*1000</f>
        <v>0</v>
      </c>
      <c r="R32" s="589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8">W32-W31</f>
        <v>0</v>
      </c>
      <c r="Y32" s="426">
        <f t="shared" si="17"/>
        <v>996900</v>
      </c>
      <c r="Z32" s="428">
        <f t="shared" ref="Z32:Z34" si="59">Y32-Y31</f>
        <v>0</v>
      </c>
      <c r="AA32" s="426">
        <f t="shared" si="18"/>
        <v>36796</v>
      </c>
      <c r="AB32" s="428">
        <f t="shared" ref="AB32:AB34" si="60">AA32-AA31</f>
        <v>0</v>
      </c>
      <c r="AC32" s="426">
        <f t="shared" si="19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44772</v>
      </c>
      <c r="D33" s="588">
        <f t="shared" si="7"/>
        <v>333380</v>
      </c>
      <c r="E33" s="576">
        <f t="shared" si="8"/>
        <v>0</v>
      </c>
      <c r="F33" s="567">
        <f t="shared" si="9"/>
        <v>4147342</v>
      </c>
      <c r="G33" s="449">
        <f t="shared" si="34"/>
        <v>0</v>
      </c>
      <c r="H33" s="426">
        <f t="shared" si="10"/>
        <v>18061938</v>
      </c>
      <c r="I33" s="449">
        <f t="shared" si="35"/>
        <v>0</v>
      </c>
      <c r="J33" s="426">
        <f t="shared" si="11"/>
        <v>29821730</v>
      </c>
      <c r="K33" s="449">
        <f t="shared" si="36"/>
        <v>0</v>
      </c>
      <c r="L33" s="426">
        <f t="shared" si="12"/>
        <v>24624092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19366.618999999999</v>
      </c>
      <c r="Q33" s="446">
        <f t="shared" si="56"/>
        <v>0</v>
      </c>
      <c r="R33" s="589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33484</v>
      </c>
      <c r="X33" s="448">
        <f t="shared" si="58"/>
        <v>0</v>
      </c>
      <c r="Y33" s="426">
        <f t="shared" si="17"/>
        <v>996900</v>
      </c>
      <c r="Z33" s="428">
        <f t="shared" si="59"/>
        <v>0</v>
      </c>
      <c r="AA33" s="426">
        <f t="shared" si="18"/>
        <v>36796</v>
      </c>
      <c r="AB33" s="428">
        <f t="shared" si="60"/>
        <v>0</v>
      </c>
      <c r="AC33" s="426">
        <f t="shared" si="19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44773</v>
      </c>
      <c r="D34" s="588">
        <f t="shared" si="7"/>
        <v>333380</v>
      </c>
      <c r="E34" s="576">
        <f t="shared" si="8"/>
        <v>0</v>
      </c>
      <c r="F34" s="567">
        <f t="shared" si="9"/>
        <v>4147342</v>
      </c>
      <c r="G34" s="449">
        <f t="shared" si="34"/>
        <v>0</v>
      </c>
      <c r="H34" s="426">
        <f t="shared" si="10"/>
        <v>18061938</v>
      </c>
      <c r="I34" s="449">
        <f t="shared" si="35"/>
        <v>0</v>
      </c>
      <c r="J34" s="426">
        <f t="shared" si="11"/>
        <v>29821730</v>
      </c>
      <c r="K34" s="449">
        <f t="shared" si="36"/>
        <v>0</v>
      </c>
      <c r="L34" s="426">
        <f t="shared" si="12"/>
        <v>24624092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19366.618999999999</v>
      </c>
      <c r="Q34" s="446">
        <f t="shared" si="56"/>
        <v>0</v>
      </c>
      <c r="R34" s="589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8"/>
        <v>0</v>
      </c>
      <c r="Y34" s="426">
        <f t="shared" si="17"/>
        <v>996900</v>
      </c>
      <c r="Z34" s="428">
        <f t="shared" si="59"/>
        <v>0</v>
      </c>
      <c r="AA34" s="426">
        <f t="shared" si="18"/>
        <v>36796</v>
      </c>
      <c r="AB34" s="428">
        <f t="shared" si="60"/>
        <v>0</v>
      </c>
      <c r="AC34" s="426">
        <f t="shared" si="19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D21" sqref="AD2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54.5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44742</v>
      </c>
      <c r="B4" s="379">
        <f>[2]B5!B34</f>
        <v>257</v>
      </c>
      <c r="C4" s="379">
        <f>[2]B5!C34</f>
        <v>263</v>
      </c>
      <c r="D4" s="379">
        <f>[2]B5!D34</f>
        <v>2</v>
      </c>
      <c r="E4" s="379">
        <f>[2]B5!E34</f>
        <v>16.760000000000002</v>
      </c>
      <c r="F4" s="379">
        <f>[2]B5!F34</f>
        <v>2253</v>
      </c>
      <c r="G4" s="379">
        <f>[2]B5!G34</f>
        <v>0</v>
      </c>
      <c r="H4" s="379">
        <f>[2]B5!H34</f>
        <v>44335</v>
      </c>
      <c r="I4" s="379">
        <f>[2]B5!I34</f>
        <v>0</v>
      </c>
      <c r="J4" s="379">
        <f>[2]B5!J34</f>
        <v>0</v>
      </c>
      <c r="K4" s="379">
        <f>[2]B5!K34</f>
        <v>2441</v>
      </c>
      <c r="L4" s="379">
        <f>[2]B5!L34</f>
        <v>0</v>
      </c>
      <c r="M4" s="379">
        <f>[2]B5!M34</f>
        <v>181314</v>
      </c>
      <c r="N4" s="379">
        <f>[2]B5!N34</f>
        <v>0</v>
      </c>
      <c r="O4" s="379">
        <f>[2]B5!O34</f>
        <v>1869</v>
      </c>
      <c r="P4" s="379">
        <f>[2]B5!P34</f>
        <v>2214</v>
      </c>
      <c r="Q4" s="379">
        <f>[2]B5!Q34</f>
        <v>185131</v>
      </c>
      <c r="R4" s="379">
        <f>[2]B5!R34</f>
        <v>96</v>
      </c>
      <c r="S4" s="379">
        <f>[2]B5!S34</f>
        <v>1</v>
      </c>
      <c r="T4" s="379">
        <f>[2]B5!T34</f>
        <v>0</v>
      </c>
      <c r="U4" s="379">
        <f>[2]B5!U34</f>
        <v>1</v>
      </c>
      <c r="V4" s="379">
        <f>[2]B5!V34</f>
        <v>96</v>
      </c>
      <c r="W4" s="379">
        <f>[2]B5!W34</f>
        <v>0</v>
      </c>
      <c r="X4" s="379">
        <f>[2]B5!X34</f>
        <v>2487</v>
      </c>
      <c r="Y4" s="379">
        <f>[2]B5!Y34</f>
        <v>0</v>
      </c>
      <c r="Z4" s="379">
        <f>[2]B5!Z34</f>
        <v>140398</v>
      </c>
      <c r="AA4" s="379">
        <f>[2]B5!AA34</f>
        <v>0</v>
      </c>
      <c r="AB4" s="379">
        <f>[2]B5!AB34</f>
        <v>0</v>
      </c>
      <c r="AC4" s="379">
        <f>[2]B5!AC34</f>
        <v>1946</v>
      </c>
      <c r="AD4" s="379">
        <f>[2]B5!AD34</f>
        <v>0</v>
      </c>
      <c r="AE4" s="379">
        <f>[2]B5!AE34</f>
        <v>366536</v>
      </c>
      <c r="AF4" s="379">
        <f>[2]B5!AF34</f>
        <v>9</v>
      </c>
      <c r="AG4" s="379">
        <f>[2]B5!AG34</f>
        <v>0</v>
      </c>
      <c r="AH4" s="379">
        <f>[2]B5!AH34</f>
        <v>9</v>
      </c>
      <c r="AI4" s="379">
        <f>[2]B5!AI34</f>
        <v>105</v>
      </c>
      <c r="AJ4" s="379">
        <f>[2]B5!AJ34</f>
        <v>105</v>
      </c>
      <c r="AK4" s="379">
        <f>[2]B5!AK34</f>
        <v>0</v>
      </c>
      <c r="AL4" s="379">
        <f>[2]B5!AL34</f>
        <v>1</v>
      </c>
      <c r="AM4" s="379">
        <f>[2]B5!AM34</f>
        <v>0</v>
      </c>
      <c r="AN4" s="379">
        <f>[2]B5!AN34</f>
        <v>66</v>
      </c>
      <c r="AO4" s="379">
        <f>[2]B5!AO34</f>
        <v>1980</v>
      </c>
      <c r="AP4" s="379">
        <f>[2]B5!AP34</f>
        <v>31</v>
      </c>
      <c r="AQ4" s="379">
        <f>[2]B5!AQ34</f>
        <v>930</v>
      </c>
      <c r="AR4" s="379">
        <f>[2]B5!AR34</f>
        <v>73</v>
      </c>
      <c r="AS4" s="379">
        <f>[2]B5!AS34</f>
        <v>2190</v>
      </c>
      <c r="AT4" s="379">
        <f>[2]B5!AT34</f>
        <v>5100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44743</v>
      </c>
      <c r="B5" s="535">
        <f>B4</f>
        <v>257</v>
      </c>
      <c r="C5" s="535">
        <f>C4</f>
        <v>263</v>
      </c>
      <c r="D5" s="45">
        <f>C4-C5</f>
        <v>0</v>
      </c>
      <c r="E5" s="45">
        <f>D5*8.38</f>
        <v>0</v>
      </c>
      <c r="F5" s="535">
        <f>F4</f>
        <v>2253</v>
      </c>
      <c r="G5" s="52">
        <f t="shared" ref="G5:G32" si="0">F5-F4</f>
        <v>0</v>
      </c>
      <c r="H5" s="535">
        <f>H4</f>
        <v>44335</v>
      </c>
      <c r="I5" s="380">
        <f t="shared" ref="I5:I32" si="1">SUM(H5-H4)</f>
        <v>0</v>
      </c>
      <c r="J5" s="66">
        <v>1</v>
      </c>
      <c r="K5" s="535">
        <f>K4</f>
        <v>2441</v>
      </c>
      <c r="L5" s="52">
        <f>K5-K4</f>
        <v>0</v>
      </c>
      <c r="M5" s="535">
        <f>M4</f>
        <v>181314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2214</v>
      </c>
      <c r="Q5" s="535">
        <f>Q4</f>
        <v>185131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2487</v>
      </c>
      <c r="Y5" s="52">
        <f>X5-X4</f>
        <v>0</v>
      </c>
      <c r="Z5" s="535">
        <f>Z4</f>
        <v>140398</v>
      </c>
      <c r="AA5" s="65">
        <f t="shared" ref="AA5:AA32" si="6">Z5-Z4</f>
        <v>0</v>
      </c>
      <c r="AB5" s="273">
        <f>SUM(Y5*$AB$2)</f>
        <v>0</v>
      </c>
      <c r="AC5" s="535">
        <f>AC4</f>
        <v>1946</v>
      </c>
      <c r="AD5" s="45">
        <f t="shared" ref="AD5:AD32" si="7">AC5-AC4</f>
        <v>0</v>
      </c>
      <c r="AE5" s="535">
        <f>AE4</f>
        <v>366536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44744</v>
      </c>
      <c r="B6" s="535">
        <f t="shared" ref="B6:B35" si="9">B5</f>
        <v>257</v>
      </c>
      <c r="C6" s="535">
        <f t="shared" ref="C6:C35" si="10">C5</f>
        <v>263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2253</v>
      </c>
      <c r="G6" s="52">
        <f t="shared" si="0"/>
        <v>0</v>
      </c>
      <c r="H6" s="535">
        <f t="shared" ref="H6:H35" si="13">H5</f>
        <v>44335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2441</v>
      </c>
      <c r="L6" s="52">
        <f t="shared" ref="L6:L32" si="16">K6-K5</f>
        <v>0</v>
      </c>
      <c r="M6" s="535">
        <f t="shared" ref="M6:M35" si="17">M5</f>
        <v>181314</v>
      </c>
      <c r="N6" s="380">
        <f t="shared" si="2"/>
        <v>0</v>
      </c>
      <c r="O6" s="64">
        <f t="shared" si="3"/>
        <v>1869</v>
      </c>
      <c r="P6" s="535">
        <f t="shared" si="3"/>
        <v>2214</v>
      </c>
      <c r="Q6" s="535">
        <f t="shared" si="3"/>
        <v>185131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2487</v>
      </c>
      <c r="Y6" s="52">
        <f t="shared" ref="Y6:Y32" si="22">X6-X5</f>
        <v>0</v>
      </c>
      <c r="Z6" s="535">
        <f t="shared" ref="Z6:Z35" si="23">Z5</f>
        <v>140398</v>
      </c>
      <c r="AA6" s="65">
        <f t="shared" si="6"/>
        <v>0</v>
      </c>
      <c r="AB6" s="273">
        <f>SUM(Y6*$AB$2)</f>
        <v>0</v>
      </c>
      <c r="AC6" s="535">
        <f t="shared" ref="AC6:AC35" si="24">AC5</f>
        <v>1946</v>
      </c>
      <c r="AD6" s="45">
        <f t="shared" si="7"/>
        <v>0</v>
      </c>
      <c r="AE6" s="535">
        <f t="shared" ref="AE6:AE35" si="25">AE5</f>
        <v>366536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44745</v>
      </c>
      <c r="B7" s="535">
        <v>250</v>
      </c>
      <c r="C7" s="535">
        <v>257</v>
      </c>
      <c r="D7" s="45">
        <f t="shared" ref="D7:D19" si="36">C6-C7</f>
        <v>6</v>
      </c>
      <c r="E7" s="45">
        <f t="shared" si="11"/>
        <v>50.28</v>
      </c>
      <c r="F7" s="535">
        <f t="shared" si="12"/>
        <v>2253</v>
      </c>
      <c r="G7" s="52">
        <f t="shared" si="0"/>
        <v>0</v>
      </c>
      <c r="H7" s="535">
        <f t="shared" si="13"/>
        <v>44335</v>
      </c>
      <c r="I7" s="380">
        <f t="shared" si="1"/>
        <v>0</v>
      </c>
      <c r="J7" s="66">
        <f t="shared" si="14"/>
        <v>0</v>
      </c>
      <c r="K7" s="535">
        <f t="shared" si="15"/>
        <v>2441</v>
      </c>
      <c r="L7" s="52">
        <f t="shared" si="16"/>
        <v>0</v>
      </c>
      <c r="M7" s="535">
        <f t="shared" si="17"/>
        <v>181314</v>
      </c>
      <c r="N7" s="380">
        <f t="shared" si="2"/>
        <v>0</v>
      </c>
      <c r="O7" s="64">
        <f t="shared" si="3"/>
        <v>1869</v>
      </c>
      <c r="P7" s="535">
        <v>2217</v>
      </c>
      <c r="Q7" s="535">
        <v>185348</v>
      </c>
      <c r="R7" s="379">
        <f t="shared" si="4"/>
        <v>217</v>
      </c>
      <c r="S7" s="52">
        <f t="shared" si="5"/>
        <v>3</v>
      </c>
      <c r="T7" s="67">
        <f t="shared" ref="T7:T32" si="37">SUM(S7*$T$2)</f>
        <v>0</v>
      </c>
      <c r="U7" s="386">
        <f t="shared" si="18"/>
        <v>3</v>
      </c>
      <c r="V7" s="62">
        <f>R7+N7+I7:I7</f>
        <v>217</v>
      </c>
      <c r="W7" s="384">
        <f t="shared" si="20"/>
        <v>72.333333333333329</v>
      </c>
      <c r="X7" s="535">
        <v>2487</v>
      </c>
      <c r="Y7" s="52">
        <f t="shared" si="22"/>
        <v>0</v>
      </c>
      <c r="Z7" s="535">
        <v>140398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1</v>
      </c>
      <c r="AE7" s="535">
        <v>366536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217</v>
      </c>
      <c r="AJ7" s="303">
        <f>-tanks!AW8</f>
        <v>217</v>
      </c>
      <c r="AK7" s="303">
        <f t="shared" si="28"/>
        <v>0</v>
      </c>
      <c r="AL7" s="303">
        <f t="shared" si="8"/>
        <v>3</v>
      </c>
      <c r="AM7" s="303">
        <f t="shared" si="29"/>
        <v>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44746</v>
      </c>
      <c r="B8" s="535">
        <v>246</v>
      </c>
      <c r="C8" s="535">
        <v>253</v>
      </c>
      <c r="D8" s="45">
        <f t="shared" si="36"/>
        <v>4</v>
      </c>
      <c r="E8" s="45">
        <f t="shared" si="11"/>
        <v>33.520000000000003</v>
      </c>
      <c r="F8" s="535">
        <f t="shared" si="12"/>
        <v>2253</v>
      </c>
      <c r="G8" s="52">
        <f t="shared" si="0"/>
        <v>0</v>
      </c>
      <c r="H8" s="535">
        <f t="shared" si="13"/>
        <v>44335</v>
      </c>
      <c r="I8" s="380">
        <f t="shared" si="1"/>
        <v>0</v>
      </c>
      <c r="J8" s="66">
        <f t="shared" si="14"/>
        <v>0</v>
      </c>
      <c r="K8" s="535">
        <f t="shared" si="15"/>
        <v>2441</v>
      </c>
      <c r="L8" s="52">
        <f t="shared" si="16"/>
        <v>0</v>
      </c>
      <c r="M8" s="535">
        <v>181324</v>
      </c>
      <c r="N8" s="380">
        <f t="shared" si="2"/>
        <v>10</v>
      </c>
      <c r="O8" s="64">
        <f t="shared" si="3"/>
        <v>1869</v>
      </c>
      <c r="P8" s="535">
        <v>2218</v>
      </c>
      <c r="Q8" s="535">
        <v>185453</v>
      </c>
      <c r="R8" s="379">
        <f t="shared" si="4"/>
        <v>105</v>
      </c>
      <c r="S8" s="52">
        <f t="shared" si="5"/>
        <v>1</v>
      </c>
      <c r="T8" s="67">
        <f t="shared" si="37"/>
        <v>0</v>
      </c>
      <c r="U8" s="386">
        <f t="shared" si="18"/>
        <v>1</v>
      </c>
      <c r="V8" s="62">
        <f>R8+N8+I8:I8</f>
        <v>115</v>
      </c>
      <c r="W8" s="384">
        <f t="shared" si="20"/>
        <v>115</v>
      </c>
      <c r="X8" s="535">
        <f t="shared" si="21"/>
        <v>2487</v>
      </c>
      <c r="Y8" s="52">
        <f t="shared" si="22"/>
        <v>0</v>
      </c>
      <c r="Z8" s="535">
        <v>140408</v>
      </c>
      <c r="AA8" s="65">
        <f t="shared" si="6"/>
        <v>10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v>366543</v>
      </c>
      <c r="AF8" s="293">
        <f t="shared" si="26"/>
        <v>7</v>
      </c>
      <c r="AG8" s="209">
        <f t="shared" si="39"/>
        <v>0</v>
      </c>
      <c r="AH8" s="62">
        <f t="shared" si="40"/>
        <v>17</v>
      </c>
      <c r="AI8" s="303">
        <f t="shared" si="27"/>
        <v>132</v>
      </c>
      <c r="AJ8" s="303">
        <f>-tanks!AW9</f>
        <v>132</v>
      </c>
      <c r="AK8" s="303">
        <f t="shared" si="28"/>
        <v>0</v>
      </c>
      <c r="AL8" s="303">
        <f t="shared" si="8"/>
        <v>1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44747</v>
      </c>
      <c r="B9" s="535">
        <v>242</v>
      </c>
      <c r="C9" s="535">
        <v>249</v>
      </c>
      <c r="D9" s="45">
        <f t="shared" si="36"/>
        <v>4</v>
      </c>
      <c r="E9" s="45">
        <f t="shared" si="11"/>
        <v>33.520000000000003</v>
      </c>
      <c r="F9" s="535">
        <f t="shared" si="12"/>
        <v>2253</v>
      </c>
      <c r="G9" s="52">
        <f t="shared" si="0"/>
        <v>0</v>
      </c>
      <c r="H9" s="535">
        <f t="shared" si="13"/>
        <v>44335</v>
      </c>
      <c r="I9" s="380">
        <f t="shared" si="1"/>
        <v>0</v>
      </c>
      <c r="J9" s="66">
        <f t="shared" si="14"/>
        <v>0</v>
      </c>
      <c r="K9" s="535">
        <f t="shared" si="15"/>
        <v>2441</v>
      </c>
      <c r="L9" s="52">
        <f t="shared" si="16"/>
        <v>0</v>
      </c>
      <c r="M9" s="535">
        <f t="shared" si="17"/>
        <v>181324</v>
      </c>
      <c r="N9" s="380">
        <f t="shared" si="2"/>
        <v>0</v>
      </c>
      <c r="O9" s="64">
        <f t="shared" si="3"/>
        <v>1869</v>
      </c>
      <c r="P9" s="535">
        <v>2219</v>
      </c>
      <c r="Q9" s="535">
        <v>185519</v>
      </c>
      <c r="R9" s="379">
        <f t="shared" si="4"/>
        <v>66</v>
      </c>
      <c r="S9" s="52">
        <f t="shared" si="5"/>
        <v>1</v>
      </c>
      <c r="T9" s="67">
        <f t="shared" si="37"/>
        <v>0</v>
      </c>
      <c r="U9" s="386">
        <f t="shared" si="18"/>
        <v>1</v>
      </c>
      <c r="V9" s="62">
        <f t="shared" si="19"/>
        <v>66</v>
      </c>
      <c r="W9" s="384">
        <f t="shared" si="20"/>
        <v>66</v>
      </c>
      <c r="X9" s="535">
        <f t="shared" si="21"/>
        <v>2487</v>
      </c>
      <c r="Y9" s="52">
        <f t="shared" si="22"/>
        <v>0</v>
      </c>
      <c r="Z9" s="535">
        <f t="shared" si="23"/>
        <v>140408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366543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66</v>
      </c>
      <c r="AJ9" s="303">
        <f>-tanks!AW10</f>
        <v>66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44748</v>
      </c>
      <c r="B10" s="535">
        <v>238</v>
      </c>
      <c r="C10" s="535">
        <v>245</v>
      </c>
      <c r="D10" s="45">
        <f t="shared" si="36"/>
        <v>4</v>
      </c>
      <c r="E10" s="45">
        <f t="shared" si="11"/>
        <v>33.520000000000003</v>
      </c>
      <c r="F10" s="535">
        <f t="shared" si="12"/>
        <v>2253</v>
      </c>
      <c r="G10" s="52">
        <f t="shared" si="0"/>
        <v>0</v>
      </c>
      <c r="H10" s="535">
        <f t="shared" si="13"/>
        <v>44335</v>
      </c>
      <c r="I10" s="380">
        <f t="shared" si="1"/>
        <v>0</v>
      </c>
      <c r="J10" s="66">
        <f t="shared" si="14"/>
        <v>0</v>
      </c>
      <c r="K10" s="535">
        <f t="shared" si="15"/>
        <v>2441</v>
      </c>
      <c r="L10" s="52">
        <f t="shared" si="16"/>
        <v>0</v>
      </c>
      <c r="M10" s="535">
        <f t="shared" si="17"/>
        <v>181324</v>
      </c>
      <c r="N10" s="380">
        <f t="shared" si="2"/>
        <v>0</v>
      </c>
      <c r="O10" s="64">
        <f t="shared" si="3"/>
        <v>1869</v>
      </c>
      <c r="P10" s="535">
        <v>2220</v>
      </c>
      <c r="Q10" s="535">
        <v>185640</v>
      </c>
      <c r="R10" s="379">
        <f t="shared" si="4"/>
        <v>121</v>
      </c>
      <c r="S10" s="52">
        <f t="shared" si="5"/>
        <v>1</v>
      </c>
      <c r="T10" s="67">
        <f t="shared" si="37"/>
        <v>0</v>
      </c>
      <c r="U10" s="386">
        <f t="shared" si="18"/>
        <v>1</v>
      </c>
      <c r="V10" s="62">
        <f t="shared" si="19"/>
        <v>121</v>
      </c>
      <c r="W10" s="384">
        <f t="shared" si="20"/>
        <v>121</v>
      </c>
      <c r="X10" s="535">
        <f t="shared" si="21"/>
        <v>2487</v>
      </c>
      <c r="Y10" s="52">
        <f t="shared" si="22"/>
        <v>0</v>
      </c>
      <c r="Z10" s="535">
        <f t="shared" si="23"/>
        <v>140408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366543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121</v>
      </c>
      <c r="AJ10" s="303">
        <f>-tanks!AW11</f>
        <v>121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44749</v>
      </c>
      <c r="B11" s="535">
        <f t="shared" si="9"/>
        <v>238</v>
      </c>
      <c r="C11" s="535">
        <f t="shared" si="10"/>
        <v>245</v>
      </c>
      <c r="D11" s="45">
        <f t="shared" si="36"/>
        <v>0</v>
      </c>
      <c r="E11" s="45">
        <f t="shared" si="11"/>
        <v>0</v>
      </c>
      <c r="F11" s="535">
        <f t="shared" si="12"/>
        <v>2253</v>
      </c>
      <c r="G11" s="52">
        <f t="shared" si="0"/>
        <v>0</v>
      </c>
      <c r="H11" s="535">
        <f t="shared" si="13"/>
        <v>44335</v>
      </c>
      <c r="I11" s="380">
        <f t="shared" si="1"/>
        <v>0</v>
      </c>
      <c r="J11" s="66">
        <f t="shared" si="14"/>
        <v>0</v>
      </c>
      <c r="K11" s="535">
        <f t="shared" si="15"/>
        <v>2441</v>
      </c>
      <c r="L11" s="52">
        <f t="shared" si="16"/>
        <v>0</v>
      </c>
      <c r="M11" s="535">
        <f t="shared" si="17"/>
        <v>181324</v>
      </c>
      <c r="N11" s="380">
        <f t="shared" si="2"/>
        <v>0</v>
      </c>
      <c r="O11" s="64">
        <f t="shared" si="3"/>
        <v>1869</v>
      </c>
      <c r="P11" s="535">
        <f t="shared" si="3"/>
        <v>2220</v>
      </c>
      <c r="Q11" s="535">
        <f t="shared" si="3"/>
        <v>185640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2487</v>
      </c>
      <c r="Y11" s="52">
        <f t="shared" si="22"/>
        <v>0</v>
      </c>
      <c r="Z11" s="535">
        <f t="shared" si="23"/>
        <v>140408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366543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44750</v>
      </c>
      <c r="B12" s="535">
        <f t="shared" si="9"/>
        <v>238</v>
      </c>
      <c r="C12" s="535">
        <f t="shared" si="10"/>
        <v>245</v>
      </c>
      <c r="D12" s="45">
        <f t="shared" si="36"/>
        <v>0</v>
      </c>
      <c r="E12" s="45">
        <f t="shared" si="11"/>
        <v>0</v>
      </c>
      <c r="F12" s="535">
        <f t="shared" si="12"/>
        <v>2253</v>
      </c>
      <c r="G12" s="52">
        <f t="shared" si="0"/>
        <v>0</v>
      </c>
      <c r="H12" s="535">
        <f t="shared" si="13"/>
        <v>44335</v>
      </c>
      <c r="I12" s="380">
        <f t="shared" si="1"/>
        <v>0</v>
      </c>
      <c r="J12" s="66">
        <f t="shared" si="14"/>
        <v>0</v>
      </c>
      <c r="K12" s="535">
        <f t="shared" si="15"/>
        <v>2441</v>
      </c>
      <c r="L12" s="52">
        <f t="shared" si="16"/>
        <v>0</v>
      </c>
      <c r="M12" s="535">
        <f t="shared" si="17"/>
        <v>181324</v>
      </c>
      <c r="N12" s="380">
        <f t="shared" si="2"/>
        <v>0</v>
      </c>
      <c r="O12" s="64">
        <f t="shared" si="3"/>
        <v>1869</v>
      </c>
      <c r="P12" s="535">
        <f t="shared" si="3"/>
        <v>2220</v>
      </c>
      <c r="Q12" s="535">
        <f t="shared" si="3"/>
        <v>185640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2487</v>
      </c>
      <c r="Y12" s="52">
        <f t="shared" si="22"/>
        <v>0</v>
      </c>
      <c r="Z12" s="535">
        <f t="shared" si="23"/>
        <v>140408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366543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44751</v>
      </c>
      <c r="B13" s="535">
        <f t="shared" si="9"/>
        <v>238</v>
      </c>
      <c r="C13" s="535">
        <f t="shared" si="10"/>
        <v>245</v>
      </c>
      <c r="D13" s="45">
        <f t="shared" si="36"/>
        <v>0</v>
      </c>
      <c r="E13" s="45">
        <f t="shared" si="11"/>
        <v>0</v>
      </c>
      <c r="F13" s="535">
        <f t="shared" si="12"/>
        <v>2253</v>
      </c>
      <c r="G13" s="52">
        <f t="shared" si="0"/>
        <v>0</v>
      </c>
      <c r="H13" s="535">
        <f t="shared" si="13"/>
        <v>44335</v>
      </c>
      <c r="I13" s="380">
        <f t="shared" si="1"/>
        <v>0</v>
      </c>
      <c r="J13" s="66">
        <f t="shared" si="14"/>
        <v>0</v>
      </c>
      <c r="K13" s="535">
        <f t="shared" si="15"/>
        <v>2441</v>
      </c>
      <c r="L13" s="52">
        <f t="shared" si="16"/>
        <v>0</v>
      </c>
      <c r="M13" s="535">
        <f t="shared" si="17"/>
        <v>181324</v>
      </c>
      <c r="N13" s="380">
        <f t="shared" si="2"/>
        <v>0</v>
      </c>
      <c r="O13" s="64">
        <f t="shared" si="3"/>
        <v>1869</v>
      </c>
      <c r="P13" s="535">
        <f t="shared" si="3"/>
        <v>2220</v>
      </c>
      <c r="Q13" s="535">
        <f t="shared" si="3"/>
        <v>185640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2487</v>
      </c>
      <c r="Y13" s="52">
        <f t="shared" si="22"/>
        <v>0</v>
      </c>
      <c r="Z13" s="535">
        <f t="shared" si="23"/>
        <v>140408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366543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44752</v>
      </c>
      <c r="B14" s="535">
        <f t="shared" si="9"/>
        <v>238</v>
      </c>
      <c r="C14" s="535">
        <f t="shared" si="10"/>
        <v>245</v>
      </c>
      <c r="D14" s="45">
        <f t="shared" si="36"/>
        <v>0</v>
      </c>
      <c r="E14" s="45">
        <f t="shared" si="11"/>
        <v>0</v>
      </c>
      <c r="F14" s="535">
        <f t="shared" si="12"/>
        <v>2253</v>
      </c>
      <c r="G14" s="52">
        <f t="shared" si="0"/>
        <v>0</v>
      </c>
      <c r="H14" s="535">
        <f t="shared" si="13"/>
        <v>44335</v>
      </c>
      <c r="I14" s="380">
        <f t="shared" si="1"/>
        <v>0</v>
      </c>
      <c r="J14" s="66">
        <f t="shared" si="14"/>
        <v>0</v>
      </c>
      <c r="K14" s="535">
        <f t="shared" si="15"/>
        <v>2441</v>
      </c>
      <c r="L14" s="52">
        <f t="shared" si="16"/>
        <v>0</v>
      </c>
      <c r="M14" s="535">
        <f t="shared" si="17"/>
        <v>181324</v>
      </c>
      <c r="N14" s="380">
        <f t="shared" si="2"/>
        <v>0</v>
      </c>
      <c r="O14" s="64">
        <f t="shared" si="3"/>
        <v>1869</v>
      </c>
      <c r="P14" s="535">
        <f t="shared" si="3"/>
        <v>2220</v>
      </c>
      <c r="Q14" s="535">
        <f t="shared" si="3"/>
        <v>185640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2487</v>
      </c>
      <c r="Y14" s="52">
        <f t="shared" si="22"/>
        <v>0</v>
      </c>
      <c r="Z14" s="535">
        <f t="shared" si="23"/>
        <v>140408</v>
      </c>
      <c r="AA14" s="65">
        <f t="shared" si="6"/>
        <v>0</v>
      </c>
      <c r="AB14" s="273">
        <f t="shared" si="38"/>
        <v>0</v>
      </c>
      <c r="AC14" s="535">
        <f t="shared" si="24"/>
        <v>1947</v>
      </c>
      <c r="AD14" s="45">
        <f t="shared" si="7"/>
        <v>0</v>
      </c>
      <c r="AE14" s="535">
        <f t="shared" si="25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44753</v>
      </c>
      <c r="B15" s="535">
        <v>235</v>
      </c>
      <c r="C15" s="535">
        <v>241</v>
      </c>
      <c r="D15" s="45">
        <f t="shared" si="36"/>
        <v>4</v>
      </c>
      <c r="E15" s="45">
        <f t="shared" si="11"/>
        <v>33.520000000000003</v>
      </c>
      <c r="F15" s="535">
        <f t="shared" si="12"/>
        <v>2253</v>
      </c>
      <c r="G15" s="52">
        <f t="shared" si="0"/>
        <v>0</v>
      </c>
      <c r="H15" s="535">
        <f t="shared" si="13"/>
        <v>44335</v>
      </c>
      <c r="I15" s="380">
        <f t="shared" si="1"/>
        <v>0</v>
      </c>
      <c r="J15" s="66">
        <f t="shared" si="14"/>
        <v>0</v>
      </c>
      <c r="K15" s="535">
        <f t="shared" si="15"/>
        <v>2441</v>
      </c>
      <c r="L15" s="52">
        <f t="shared" si="16"/>
        <v>0</v>
      </c>
      <c r="M15" s="535">
        <f t="shared" si="17"/>
        <v>181324</v>
      </c>
      <c r="N15" s="380">
        <f t="shared" si="2"/>
        <v>0</v>
      </c>
      <c r="O15" s="64">
        <f t="shared" si="3"/>
        <v>1869</v>
      </c>
      <c r="P15" s="535">
        <v>2222</v>
      </c>
      <c r="Q15" s="535">
        <v>185741</v>
      </c>
      <c r="R15" s="379">
        <f t="shared" si="44"/>
        <v>101</v>
      </c>
      <c r="S15" s="52">
        <f t="shared" si="5"/>
        <v>2</v>
      </c>
      <c r="T15" s="67">
        <f t="shared" si="37"/>
        <v>0</v>
      </c>
      <c r="U15" s="386">
        <f t="shared" si="18"/>
        <v>2</v>
      </c>
      <c r="V15" s="62">
        <f t="shared" si="19"/>
        <v>101</v>
      </c>
      <c r="W15" s="384">
        <f t="shared" si="20"/>
        <v>50.5</v>
      </c>
      <c r="X15" s="535">
        <f t="shared" si="21"/>
        <v>2487</v>
      </c>
      <c r="Y15" s="52">
        <f t="shared" si="22"/>
        <v>0</v>
      </c>
      <c r="Z15" s="535">
        <f t="shared" si="23"/>
        <v>140408</v>
      </c>
      <c r="AA15" s="65">
        <f t="shared" si="6"/>
        <v>0</v>
      </c>
      <c r="AB15" s="273">
        <f t="shared" si="38"/>
        <v>0</v>
      </c>
      <c r="AC15" s="535">
        <f t="shared" si="24"/>
        <v>1947</v>
      </c>
      <c r="AD15" s="45">
        <f t="shared" si="7"/>
        <v>0</v>
      </c>
      <c r="AE15" s="535">
        <f t="shared" si="25"/>
        <v>366543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101</v>
      </c>
      <c r="AJ15" s="303">
        <f>-tanks!AW16</f>
        <v>101</v>
      </c>
      <c r="AK15" s="303">
        <f t="shared" si="28"/>
        <v>0</v>
      </c>
      <c r="AL15" s="303">
        <f t="shared" si="8"/>
        <v>2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44754</v>
      </c>
      <c r="B16" s="535">
        <v>230</v>
      </c>
      <c r="C16" s="535">
        <v>237</v>
      </c>
      <c r="D16" s="45">
        <f t="shared" si="36"/>
        <v>4</v>
      </c>
      <c r="E16" s="45">
        <f t="shared" si="11"/>
        <v>33.520000000000003</v>
      </c>
      <c r="F16" s="535">
        <v>2254</v>
      </c>
      <c r="G16" s="52">
        <f t="shared" si="0"/>
        <v>1</v>
      </c>
      <c r="H16" s="535">
        <v>44415</v>
      </c>
      <c r="I16" s="380">
        <f t="shared" si="1"/>
        <v>80</v>
      </c>
      <c r="J16" s="66">
        <f t="shared" si="14"/>
        <v>80</v>
      </c>
      <c r="K16" s="535">
        <f t="shared" si="15"/>
        <v>2441</v>
      </c>
      <c r="L16" s="52">
        <f t="shared" si="16"/>
        <v>0</v>
      </c>
      <c r="M16" s="535">
        <f t="shared" si="17"/>
        <v>181324</v>
      </c>
      <c r="N16" s="380">
        <f t="shared" si="2"/>
        <v>0</v>
      </c>
      <c r="O16" s="64">
        <f t="shared" si="3"/>
        <v>1869</v>
      </c>
      <c r="P16" s="535">
        <f t="shared" si="3"/>
        <v>2222</v>
      </c>
      <c r="Q16" s="535">
        <f t="shared" si="3"/>
        <v>185741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80</v>
      </c>
      <c r="W16" s="384">
        <f t="shared" si="20"/>
        <v>80</v>
      </c>
      <c r="X16" s="535">
        <f t="shared" si="21"/>
        <v>2487</v>
      </c>
      <c r="Y16" s="52">
        <f t="shared" si="22"/>
        <v>0</v>
      </c>
      <c r="Z16" s="535">
        <f t="shared" si="23"/>
        <v>140408</v>
      </c>
      <c r="AA16" s="65">
        <f t="shared" si="6"/>
        <v>0</v>
      </c>
      <c r="AB16" s="273">
        <f t="shared" si="38"/>
        <v>0</v>
      </c>
      <c r="AC16" s="535">
        <f t="shared" si="24"/>
        <v>1947</v>
      </c>
      <c r="AD16" s="45">
        <f t="shared" si="7"/>
        <v>0</v>
      </c>
      <c r="AE16" s="535">
        <f t="shared" si="25"/>
        <v>366543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80</v>
      </c>
      <c r="AJ16" s="303">
        <f>-tanks!AW17</f>
        <v>80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44755</v>
      </c>
      <c r="B17" s="535">
        <v>227</v>
      </c>
      <c r="C17" s="535">
        <v>233</v>
      </c>
      <c r="D17" s="45">
        <f t="shared" si="36"/>
        <v>4</v>
      </c>
      <c r="E17" s="45">
        <f t="shared" si="11"/>
        <v>33.520000000000003</v>
      </c>
      <c r="F17" s="535">
        <v>2255</v>
      </c>
      <c r="G17" s="52">
        <f t="shared" si="0"/>
        <v>1</v>
      </c>
      <c r="H17" s="535">
        <v>44491</v>
      </c>
      <c r="I17" s="380">
        <f t="shared" si="1"/>
        <v>76</v>
      </c>
      <c r="J17" s="66">
        <f t="shared" si="14"/>
        <v>76</v>
      </c>
      <c r="K17" s="535">
        <f t="shared" si="15"/>
        <v>2441</v>
      </c>
      <c r="L17" s="52">
        <f t="shared" si="16"/>
        <v>0</v>
      </c>
      <c r="M17" s="535">
        <f t="shared" si="17"/>
        <v>181324</v>
      </c>
      <c r="N17" s="380">
        <f t="shared" si="2"/>
        <v>0</v>
      </c>
      <c r="O17" s="64">
        <f t="shared" si="3"/>
        <v>1869</v>
      </c>
      <c r="P17" s="535">
        <f t="shared" si="3"/>
        <v>2222</v>
      </c>
      <c r="Q17" s="535">
        <f t="shared" si="3"/>
        <v>185741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76</v>
      </c>
      <c r="W17" s="384"/>
      <c r="X17" s="535">
        <f t="shared" si="21"/>
        <v>2487</v>
      </c>
      <c r="Y17" s="52">
        <f t="shared" si="22"/>
        <v>0</v>
      </c>
      <c r="Z17" s="535">
        <f t="shared" si="23"/>
        <v>140408</v>
      </c>
      <c r="AA17" s="65">
        <f t="shared" si="6"/>
        <v>0</v>
      </c>
      <c r="AB17" s="273">
        <f t="shared" si="38"/>
        <v>0</v>
      </c>
      <c r="AC17" s="535">
        <f t="shared" si="24"/>
        <v>1947</v>
      </c>
      <c r="AD17" s="45">
        <f t="shared" si="7"/>
        <v>0</v>
      </c>
      <c r="AE17" s="535">
        <f t="shared" si="25"/>
        <v>366543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76</v>
      </c>
      <c r="AJ17" s="303">
        <f>-tanks!AW18</f>
        <v>76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44756</v>
      </c>
      <c r="B18" s="535">
        <v>223</v>
      </c>
      <c r="C18" s="535">
        <v>230</v>
      </c>
      <c r="D18" s="45">
        <f t="shared" si="36"/>
        <v>3</v>
      </c>
      <c r="E18" s="45">
        <f t="shared" si="11"/>
        <v>25.14</v>
      </c>
      <c r="F18" s="535">
        <v>2256</v>
      </c>
      <c r="G18" s="52">
        <f t="shared" si="0"/>
        <v>1</v>
      </c>
      <c r="H18" s="535">
        <v>44521</v>
      </c>
      <c r="I18" s="380">
        <f t="shared" si="1"/>
        <v>30</v>
      </c>
      <c r="J18" s="66">
        <f t="shared" si="14"/>
        <v>30</v>
      </c>
      <c r="K18" s="535">
        <f t="shared" si="15"/>
        <v>2441</v>
      </c>
      <c r="L18" s="52">
        <f t="shared" si="16"/>
        <v>0</v>
      </c>
      <c r="M18" s="535">
        <f t="shared" si="17"/>
        <v>181324</v>
      </c>
      <c r="N18" s="380">
        <f t="shared" si="2"/>
        <v>0</v>
      </c>
      <c r="O18" s="64">
        <v>1869</v>
      </c>
      <c r="P18" s="535">
        <f t="shared" ref="P18:P35" si="45">P17</f>
        <v>2222</v>
      </c>
      <c r="Q18" s="535">
        <f t="shared" ref="Q18:Q35" si="46">Q17</f>
        <v>185741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30</v>
      </c>
      <c r="W18" s="384"/>
      <c r="X18" s="535">
        <v>2488</v>
      </c>
      <c r="Y18" s="52">
        <f t="shared" si="22"/>
        <v>1</v>
      </c>
      <c r="Z18" s="535">
        <v>140500</v>
      </c>
      <c r="AA18" s="65">
        <f t="shared" si="6"/>
        <v>92</v>
      </c>
      <c r="AB18" s="273">
        <f t="shared" ref="AB18:AB23" si="47">SUM(Y18*$AB$2)</f>
        <v>0</v>
      </c>
      <c r="AC18" s="535">
        <f t="shared" si="24"/>
        <v>1947</v>
      </c>
      <c r="AD18" s="45">
        <f t="shared" si="7"/>
        <v>0</v>
      </c>
      <c r="AE18" s="535">
        <f t="shared" si="25"/>
        <v>366543</v>
      </c>
      <c r="AF18" s="293">
        <f t="shared" si="26"/>
        <v>0</v>
      </c>
      <c r="AG18" s="209">
        <f t="shared" si="39"/>
        <v>0</v>
      </c>
      <c r="AH18" s="62">
        <f t="shared" si="40"/>
        <v>92</v>
      </c>
      <c r="AI18" s="303">
        <f t="shared" si="27"/>
        <v>122</v>
      </c>
      <c r="AJ18" s="303">
        <f>-tanks!AW19</f>
        <v>122</v>
      </c>
      <c r="AK18" s="303">
        <f t="shared" si="28"/>
        <v>0</v>
      </c>
      <c r="AL18" s="303">
        <f t="shared" si="8"/>
        <v>1</v>
      </c>
      <c r="AM18" s="303">
        <f t="shared" si="29"/>
        <v>1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44757</v>
      </c>
      <c r="B19" s="535">
        <f t="shared" si="9"/>
        <v>223</v>
      </c>
      <c r="C19" s="535">
        <f t="shared" si="10"/>
        <v>230</v>
      </c>
      <c r="D19" s="45">
        <f t="shared" si="36"/>
        <v>0</v>
      </c>
      <c r="E19" s="45">
        <f t="shared" si="11"/>
        <v>0</v>
      </c>
      <c r="F19" s="535">
        <f t="shared" si="12"/>
        <v>2256</v>
      </c>
      <c r="G19" s="52">
        <f t="shared" si="0"/>
        <v>0</v>
      </c>
      <c r="H19" s="535">
        <f t="shared" si="13"/>
        <v>44521</v>
      </c>
      <c r="I19" s="380">
        <f t="shared" si="1"/>
        <v>0</v>
      </c>
      <c r="J19" s="66">
        <f t="shared" si="14"/>
        <v>0</v>
      </c>
      <c r="K19" s="535">
        <f t="shared" si="15"/>
        <v>2441</v>
      </c>
      <c r="L19" s="52">
        <f t="shared" si="16"/>
        <v>0</v>
      </c>
      <c r="M19" s="535">
        <f t="shared" si="17"/>
        <v>181324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2222</v>
      </c>
      <c r="Q19" s="535">
        <f t="shared" si="46"/>
        <v>185741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2488</v>
      </c>
      <c r="Y19" s="52">
        <f t="shared" si="22"/>
        <v>0</v>
      </c>
      <c r="Z19" s="535">
        <f t="shared" si="23"/>
        <v>140500</v>
      </c>
      <c r="AA19" s="65">
        <f t="shared" si="6"/>
        <v>0</v>
      </c>
      <c r="AB19" s="273">
        <f t="shared" si="47"/>
        <v>0</v>
      </c>
      <c r="AC19" s="535">
        <f t="shared" si="24"/>
        <v>1947</v>
      </c>
      <c r="AD19" s="45">
        <f t="shared" si="7"/>
        <v>0</v>
      </c>
      <c r="AE19" s="535">
        <f t="shared" si="25"/>
        <v>366543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44758</v>
      </c>
      <c r="B20" s="535">
        <f t="shared" si="9"/>
        <v>223</v>
      </c>
      <c r="C20" s="535">
        <f t="shared" si="10"/>
        <v>230</v>
      </c>
      <c r="D20" s="45">
        <f>C19-C20</f>
        <v>0</v>
      </c>
      <c r="E20" s="45">
        <f t="shared" si="11"/>
        <v>0</v>
      </c>
      <c r="F20" s="535">
        <f t="shared" si="12"/>
        <v>2256</v>
      </c>
      <c r="G20" s="52">
        <f t="shared" si="0"/>
        <v>0</v>
      </c>
      <c r="H20" s="535">
        <f t="shared" si="13"/>
        <v>44521</v>
      </c>
      <c r="I20" s="380">
        <f t="shared" si="1"/>
        <v>0</v>
      </c>
      <c r="J20" s="66">
        <f t="shared" si="14"/>
        <v>0</v>
      </c>
      <c r="K20" s="535">
        <f t="shared" si="15"/>
        <v>2441</v>
      </c>
      <c r="L20" s="52">
        <f t="shared" si="16"/>
        <v>0</v>
      </c>
      <c r="M20" s="535">
        <f t="shared" si="17"/>
        <v>181324</v>
      </c>
      <c r="N20" s="380">
        <f t="shared" si="2"/>
        <v>0</v>
      </c>
      <c r="O20" s="64">
        <f t="shared" si="48"/>
        <v>1869</v>
      </c>
      <c r="P20" s="535">
        <f t="shared" si="45"/>
        <v>2222</v>
      </c>
      <c r="Q20" s="535">
        <f t="shared" si="46"/>
        <v>185741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2488</v>
      </c>
      <c r="Y20" s="52">
        <f t="shared" si="22"/>
        <v>0</v>
      </c>
      <c r="Z20" s="535">
        <f t="shared" si="23"/>
        <v>140500</v>
      </c>
      <c r="AA20" s="65">
        <f t="shared" si="6"/>
        <v>0</v>
      </c>
      <c r="AB20" s="273">
        <f t="shared" si="47"/>
        <v>0</v>
      </c>
      <c r="AC20" s="535">
        <f t="shared" si="24"/>
        <v>1947</v>
      </c>
      <c r="AD20" s="45">
        <f t="shared" si="7"/>
        <v>0</v>
      </c>
      <c r="AE20" s="535">
        <f t="shared" si="25"/>
        <v>366543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44759</v>
      </c>
      <c r="B21" s="535">
        <v>239</v>
      </c>
      <c r="C21" s="535">
        <v>245</v>
      </c>
      <c r="D21" s="45">
        <f t="shared" ref="D21:D32" si="49">C20-C21</f>
        <v>-15</v>
      </c>
      <c r="E21" s="45">
        <f t="shared" si="11"/>
        <v>-125.70000000000002</v>
      </c>
      <c r="F21" s="535">
        <v>2258</v>
      </c>
      <c r="G21" s="52">
        <f t="shared" si="0"/>
        <v>2</v>
      </c>
      <c r="H21" s="535">
        <v>44663</v>
      </c>
      <c r="I21" s="380">
        <f t="shared" si="1"/>
        <v>142</v>
      </c>
      <c r="J21" s="66">
        <f t="shared" si="14"/>
        <v>71</v>
      </c>
      <c r="K21" s="535">
        <f t="shared" si="15"/>
        <v>2441</v>
      </c>
      <c r="L21" s="52">
        <f t="shared" si="16"/>
        <v>0</v>
      </c>
      <c r="M21" s="535">
        <f t="shared" si="17"/>
        <v>181324</v>
      </c>
      <c r="N21" s="380">
        <f t="shared" si="2"/>
        <v>0</v>
      </c>
      <c r="O21" s="64">
        <f t="shared" si="48"/>
        <v>1869</v>
      </c>
      <c r="P21" s="535">
        <f t="shared" si="45"/>
        <v>2222</v>
      </c>
      <c r="Q21" s="535">
        <v>185751</v>
      </c>
      <c r="R21" s="379">
        <f t="shared" si="44"/>
        <v>10</v>
      </c>
      <c r="S21" s="52">
        <f t="shared" si="5"/>
        <v>0</v>
      </c>
      <c r="T21" s="67">
        <f t="shared" si="37"/>
        <v>0</v>
      </c>
      <c r="U21" s="386">
        <f t="shared" si="18"/>
        <v>2</v>
      </c>
      <c r="V21" s="62">
        <f t="shared" si="19"/>
        <v>152</v>
      </c>
      <c r="W21" s="384"/>
      <c r="X21" s="535">
        <f t="shared" si="21"/>
        <v>2488</v>
      </c>
      <c r="Y21" s="52">
        <f t="shared" si="22"/>
        <v>0</v>
      </c>
      <c r="Z21" s="535">
        <f t="shared" si="23"/>
        <v>140500</v>
      </c>
      <c r="AA21" s="65">
        <f t="shared" si="6"/>
        <v>0</v>
      </c>
      <c r="AB21" s="273">
        <f t="shared" si="47"/>
        <v>0</v>
      </c>
      <c r="AC21" s="535">
        <f t="shared" si="24"/>
        <v>1947</v>
      </c>
      <c r="AD21" s="45">
        <f t="shared" si="7"/>
        <v>0</v>
      </c>
      <c r="AE21" s="535">
        <f t="shared" si="25"/>
        <v>366543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152</v>
      </c>
      <c r="AJ21" s="303">
        <f>-tanks!AW22</f>
        <v>152</v>
      </c>
      <c r="AK21" s="303">
        <f t="shared" si="28"/>
        <v>0</v>
      </c>
      <c r="AL21" s="303">
        <f t="shared" si="8"/>
        <v>2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44760</v>
      </c>
      <c r="B22" s="535">
        <v>235</v>
      </c>
      <c r="C22" s="535">
        <v>241</v>
      </c>
      <c r="D22" s="45">
        <f t="shared" si="49"/>
        <v>4</v>
      </c>
      <c r="E22" s="45">
        <f t="shared" si="11"/>
        <v>33.520000000000003</v>
      </c>
      <c r="F22" s="535">
        <v>2259</v>
      </c>
      <c r="G22" s="52">
        <f t="shared" si="0"/>
        <v>1</v>
      </c>
      <c r="H22" s="535">
        <v>44732</v>
      </c>
      <c r="I22" s="380">
        <f t="shared" si="1"/>
        <v>69</v>
      </c>
      <c r="J22" s="66">
        <f t="shared" si="14"/>
        <v>69</v>
      </c>
      <c r="K22" s="535">
        <f t="shared" si="15"/>
        <v>2441</v>
      </c>
      <c r="L22" s="52">
        <f t="shared" si="16"/>
        <v>0</v>
      </c>
      <c r="M22" s="535">
        <f t="shared" si="17"/>
        <v>181324</v>
      </c>
      <c r="N22" s="380">
        <f t="shared" si="2"/>
        <v>0</v>
      </c>
      <c r="O22" s="64">
        <f t="shared" si="48"/>
        <v>1869</v>
      </c>
      <c r="P22" s="535">
        <f t="shared" si="45"/>
        <v>2222</v>
      </c>
      <c r="Q22" s="535">
        <f t="shared" si="46"/>
        <v>185751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1</v>
      </c>
      <c r="V22" s="62">
        <f t="shared" si="19"/>
        <v>69</v>
      </c>
      <c r="W22" s="384"/>
      <c r="X22" s="535">
        <f t="shared" si="21"/>
        <v>2488</v>
      </c>
      <c r="Y22" s="52">
        <f t="shared" si="22"/>
        <v>0</v>
      </c>
      <c r="Z22" s="535">
        <f t="shared" si="23"/>
        <v>140500</v>
      </c>
      <c r="AA22" s="65">
        <f t="shared" si="6"/>
        <v>0</v>
      </c>
      <c r="AB22" s="273">
        <f t="shared" si="47"/>
        <v>0</v>
      </c>
      <c r="AC22" s="535">
        <f t="shared" si="24"/>
        <v>1947</v>
      </c>
      <c r="AD22" s="45">
        <f t="shared" si="7"/>
        <v>0</v>
      </c>
      <c r="AE22" s="535">
        <f t="shared" si="25"/>
        <v>366543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69</v>
      </c>
      <c r="AJ22" s="303">
        <f>-tanks!AW23</f>
        <v>69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44761</v>
      </c>
      <c r="B23" s="535">
        <f t="shared" si="9"/>
        <v>235</v>
      </c>
      <c r="C23" s="535">
        <f t="shared" si="10"/>
        <v>241</v>
      </c>
      <c r="D23" s="45">
        <f t="shared" si="49"/>
        <v>0</v>
      </c>
      <c r="E23" s="45">
        <f t="shared" si="11"/>
        <v>0</v>
      </c>
      <c r="F23" s="535">
        <f t="shared" si="12"/>
        <v>2259</v>
      </c>
      <c r="G23" s="52">
        <f t="shared" si="0"/>
        <v>0</v>
      </c>
      <c r="H23" s="535">
        <f t="shared" si="13"/>
        <v>44732</v>
      </c>
      <c r="I23" s="380">
        <f t="shared" si="1"/>
        <v>0</v>
      </c>
      <c r="J23" s="66">
        <f t="shared" si="14"/>
        <v>0</v>
      </c>
      <c r="K23" s="535">
        <f t="shared" si="15"/>
        <v>2441</v>
      </c>
      <c r="L23" s="52">
        <f t="shared" si="16"/>
        <v>0</v>
      </c>
      <c r="M23" s="535">
        <f t="shared" si="17"/>
        <v>181324</v>
      </c>
      <c r="N23" s="380">
        <f t="shared" si="2"/>
        <v>0</v>
      </c>
      <c r="O23" s="64">
        <f t="shared" si="48"/>
        <v>1869</v>
      </c>
      <c r="P23" s="535">
        <f t="shared" si="45"/>
        <v>2222</v>
      </c>
      <c r="Q23" s="535">
        <f t="shared" si="46"/>
        <v>185751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2488</v>
      </c>
      <c r="Y23" s="52">
        <f t="shared" si="22"/>
        <v>0</v>
      </c>
      <c r="Z23" s="535">
        <f t="shared" si="23"/>
        <v>140500</v>
      </c>
      <c r="AA23" s="65">
        <f t="shared" si="6"/>
        <v>0</v>
      </c>
      <c r="AB23" s="273">
        <f t="shared" si="47"/>
        <v>0</v>
      </c>
      <c r="AC23" s="535">
        <f t="shared" si="24"/>
        <v>1947</v>
      </c>
      <c r="AD23" s="45">
        <f t="shared" si="7"/>
        <v>0</v>
      </c>
      <c r="AE23" s="535">
        <f t="shared" si="25"/>
        <v>366543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44762</v>
      </c>
      <c r="B24" s="535">
        <f t="shared" si="9"/>
        <v>235</v>
      </c>
      <c r="C24" s="535">
        <f t="shared" si="10"/>
        <v>241</v>
      </c>
      <c r="D24" s="45">
        <f t="shared" si="49"/>
        <v>0</v>
      </c>
      <c r="E24" s="45">
        <f t="shared" si="11"/>
        <v>0</v>
      </c>
      <c r="F24" s="535">
        <f t="shared" si="12"/>
        <v>2259</v>
      </c>
      <c r="G24" s="52">
        <f t="shared" si="0"/>
        <v>0</v>
      </c>
      <c r="H24" s="535">
        <f t="shared" si="13"/>
        <v>44732</v>
      </c>
      <c r="I24" s="380">
        <f t="shared" si="1"/>
        <v>0</v>
      </c>
      <c r="J24" s="66">
        <f t="shared" si="14"/>
        <v>0</v>
      </c>
      <c r="K24" s="535">
        <f t="shared" si="15"/>
        <v>2441</v>
      </c>
      <c r="L24" s="52">
        <f t="shared" si="16"/>
        <v>0</v>
      </c>
      <c r="M24" s="535">
        <f t="shared" si="17"/>
        <v>181324</v>
      </c>
      <c r="N24" s="380">
        <f t="shared" si="2"/>
        <v>0</v>
      </c>
      <c r="O24" s="64">
        <f t="shared" si="48"/>
        <v>1869</v>
      </c>
      <c r="P24" s="535">
        <f t="shared" si="45"/>
        <v>2222</v>
      </c>
      <c r="Q24" s="535">
        <f t="shared" si="46"/>
        <v>185751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2488</v>
      </c>
      <c r="Y24" s="52">
        <f t="shared" si="22"/>
        <v>0</v>
      </c>
      <c r="Z24" s="535">
        <f t="shared" si="23"/>
        <v>140500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1947</v>
      </c>
      <c r="AD24" s="45">
        <f t="shared" si="7"/>
        <v>0</v>
      </c>
      <c r="AE24" s="535">
        <f t="shared" si="25"/>
        <v>366543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44763</v>
      </c>
      <c r="B25" s="535">
        <f t="shared" si="9"/>
        <v>235</v>
      </c>
      <c r="C25" s="535">
        <f t="shared" si="10"/>
        <v>241</v>
      </c>
      <c r="D25" s="45">
        <f t="shared" si="49"/>
        <v>0</v>
      </c>
      <c r="E25" s="45">
        <f t="shared" si="11"/>
        <v>0</v>
      </c>
      <c r="F25" s="535">
        <f t="shared" si="12"/>
        <v>2259</v>
      </c>
      <c r="G25" s="52">
        <f t="shared" si="0"/>
        <v>0</v>
      </c>
      <c r="H25" s="535">
        <f t="shared" si="13"/>
        <v>44732</v>
      </c>
      <c r="I25" s="380">
        <f t="shared" si="1"/>
        <v>0</v>
      </c>
      <c r="J25" s="66">
        <f t="shared" si="14"/>
        <v>0</v>
      </c>
      <c r="K25" s="535">
        <f t="shared" si="15"/>
        <v>2441</v>
      </c>
      <c r="L25" s="52">
        <f t="shared" si="16"/>
        <v>0</v>
      </c>
      <c r="M25" s="535">
        <f t="shared" si="17"/>
        <v>181324</v>
      </c>
      <c r="N25" s="380">
        <f t="shared" si="2"/>
        <v>0</v>
      </c>
      <c r="O25" s="64">
        <f t="shared" si="48"/>
        <v>1869</v>
      </c>
      <c r="P25" s="535">
        <f t="shared" si="45"/>
        <v>2222</v>
      </c>
      <c r="Q25" s="535">
        <f t="shared" si="46"/>
        <v>185751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2488</v>
      </c>
      <c r="Y25" s="52">
        <f t="shared" si="22"/>
        <v>0</v>
      </c>
      <c r="Z25" s="535">
        <f t="shared" si="23"/>
        <v>140500</v>
      </c>
      <c r="AA25" s="65">
        <f t="shared" si="6"/>
        <v>0</v>
      </c>
      <c r="AB25" s="273">
        <f t="shared" si="50"/>
        <v>0</v>
      </c>
      <c r="AC25" s="535">
        <f t="shared" si="24"/>
        <v>1947</v>
      </c>
      <c r="AD25" s="45">
        <f t="shared" si="7"/>
        <v>0</v>
      </c>
      <c r="AE25" s="535">
        <f t="shared" si="25"/>
        <v>366543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44764</v>
      </c>
      <c r="B26" s="535">
        <f t="shared" si="9"/>
        <v>235</v>
      </c>
      <c r="C26" s="535">
        <f t="shared" si="10"/>
        <v>241</v>
      </c>
      <c r="D26" s="45">
        <f t="shared" si="49"/>
        <v>0</v>
      </c>
      <c r="E26" s="45">
        <f t="shared" si="11"/>
        <v>0</v>
      </c>
      <c r="F26" s="535">
        <f t="shared" si="12"/>
        <v>2259</v>
      </c>
      <c r="G26" s="52">
        <f t="shared" si="0"/>
        <v>0</v>
      </c>
      <c r="H26" s="535">
        <f t="shared" si="13"/>
        <v>44732</v>
      </c>
      <c r="I26" s="380">
        <f t="shared" si="1"/>
        <v>0</v>
      </c>
      <c r="J26" s="66">
        <f t="shared" si="14"/>
        <v>0</v>
      </c>
      <c r="K26" s="535">
        <f t="shared" si="15"/>
        <v>2441</v>
      </c>
      <c r="L26" s="52">
        <f t="shared" si="16"/>
        <v>0</v>
      </c>
      <c r="M26" s="535">
        <f t="shared" si="17"/>
        <v>181324</v>
      </c>
      <c r="N26" s="380">
        <f t="shared" si="2"/>
        <v>0</v>
      </c>
      <c r="O26" s="64">
        <f t="shared" si="48"/>
        <v>1869</v>
      </c>
      <c r="P26" s="535">
        <f t="shared" si="45"/>
        <v>2222</v>
      </c>
      <c r="Q26" s="535">
        <f t="shared" si="46"/>
        <v>185751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2488</v>
      </c>
      <c r="Y26" s="52">
        <f t="shared" si="22"/>
        <v>0</v>
      </c>
      <c r="Z26" s="535">
        <f t="shared" si="23"/>
        <v>140500</v>
      </c>
      <c r="AA26" s="65">
        <f t="shared" si="6"/>
        <v>0</v>
      </c>
      <c r="AB26" s="273">
        <f t="shared" si="50"/>
        <v>0</v>
      </c>
      <c r="AC26" s="535">
        <f t="shared" si="24"/>
        <v>1947</v>
      </c>
      <c r="AD26" s="45">
        <f t="shared" si="7"/>
        <v>0</v>
      </c>
      <c r="AE26" s="535">
        <f t="shared" si="25"/>
        <v>366543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44765</v>
      </c>
      <c r="B27" s="535">
        <f t="shared" si="9"/>
        <v>235</v>
      </c>
      <c r="C27" s="535">
        <f t="shared" si="10"/>
        <v>241</v>
      </c>
      <c r="D27" s="45">
        <f t="shared" si="49"/>
        <v>0</v>
      </c>
      <c r="E27" s="45">
        <f t="shared" si="11"/>
        <v>0</v>
      </c>
      <c r="F27" s="535">
        <f t="shared" si="12"/>
        <v>2259</v>
      </c>
      <c r="G27" s="52">
        <f t="shared" si="0"/>
        <v>0</v>
      </c>
      <c r="H27" s="535">
        <f t="shared" si="13"/>
        <v>44732</v>
      </c>
      <c r="I27" s="380">
        <f t="shared" si="1"/>
        <v>0</v>
      </c>
      <c r="J27" s="66">
        <f t="shared" si="14"/>
        <v>0</v>
      </c>
      <c r="K27" s="535">
        <f t="shared" si="15"/>
        <v>2441</v>
      </c>
      <c r="L27" s="52">
        <f t="shared" si="16"/>
        <v>0</v>
      </c>
      <c r="M27" s="535">
        <f t="shared" si="17"/>
        <v>181324</v>
      </c>
      <c r="N27" s="380">
        <f t="shared" si="2"/>
        <v>0</v>
      </c>
      <c r="O27" s="64">
        <f t="shared" si="48"/>
        <v>1869</v>
      </c>
      <c r="P27" s="535">
        <f t="shared" si="45"/>
        <v>2222</v>
      </c>
      <c r="Q27" s="535">
        <f t="shared" si="46"/>
        <v>185751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2488</v>
      </c>
      <c r="Y27" s="52">
        <f t="shared" si="22"/>
        <v>0</v>
      </c>
      <c r="Z27" s="535">
        <f t="shared" si="23"/>
        <v>140500</v>
      </c>
      <c r="AA27" s="65">
        <f t="shared" si="6"/>
        <v>0</v>
      </c>
      <c r="AB27" s="273">
        <f t="shared" si="50"/>
        <v>0</v>
      </c>
      <c r="AC27" s="535">
        <f t="shared" si="24"/>
        <v>1947</v>
      </c>
      <c r="AD27" s="45">
        <f t="shared" si="7"/>
        <v>0</v>
      </c>
      <c r="AE27" s="535">
        <f t="shared" si="25"/>
        <v>366543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44766</v>
      </c>
      <c r="B28" s="535">
        <f t="shared" si="9"/>
        <v>235</v>
      </c>
      <c r="C28" s="535">
        <f t="shared" si="10"/>
        <v>241</v>
      </c>
      <c r="D28" s="45">
        <f t="shared" si="49"/>
        <v>0</v>
      </c>
      <c r="E28" s="45">
        <f t="shared" si="11"/>
        <v>0</v>
      </c>
      <c r="F28" s="535">
        <f t="shared" si="12"/>
        <v>2259</v>
      </c>
      <c r="G28" s="52">
        <f t="shared" si="0"/>
        <v>0</v>
      </c>
      <c r="H28" s="535">
        <f t="shared" si="13"/>
        <v>44732</v>
      </c>
      <c r="I28" s="380">
        <f t="shared" si="1"/>
        <v>0</v>
      </c>
      <c r="J28" s="66">
        <f t="shared" si="14"/>
        <v>0</v>
      </c>
      <c r="K28" s="535">
        <f t="shared" si="15"/>
        <v>2441</v>
      </c>
      <c r="L28" s="52">
        <f t="shared" si="16"/>
        <v>0</v>
      </c>
      <c r="M28" s="535">
        <f t="shared" si="17"/>
        <v>181324</v>
      </c>
      <c r="N28" s="380">
        <f t="shared" si="2"/>
        <v>0</v>
      </c>
      <c r="O28" s="64">
        <f t="shared" si="48"/>
        <v>1869</v>
      </c>
      <c r="P28" s="535">
        <f t="shared" si="45"/>
        <v>2222</v>
      </c>
      <c r="Q28" s="535">
        <f t="shared" si="46"/>
        <v>185751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2488</v>
      </c>
      <c r="Y28" s="52">
        <f t="shared" si="22"/>
        <v>0</v>
      </c>
      <c r="Z28" s="535">
        <f t="shared" si="23"/>
        <v>140500</v>
      </c>
      <c r="AA28" s="65">
        <f t="shared" si="6"/>
        <v>0</v>
      </c>
      <c r="AB28" s="273">
        <f t="shared" si="50"/>
        <v>0</v>
      </c>
      <c r="AC28" s="535">
        <f t="shared" si="24"/>
        <v>1947</v>
      </c>
      <c r="AD28" s="45">
        <f t="shared" si="7"/>
        <v>0</v>
      </c>
      <c r="AE28" s="535">
        <f t="shared" si="25"/>
        <v>366543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44767</v>
      </c>
      <c r="B29" s="535">
        <f t="shared" si="9"/>
        <v>235</v>
      </c>
      <c r="C29" s="535">
        <f t="shared" si="10"/>
        <v>241</v>
      </c>
      <c r="D29" s="45">
        <f t="shared" si="49"/>
        <v>0</v>
      </c>
      <c r="E29" s="45">
        <f t="shared" si="11"/>
        <v>0</v>
      </c>
      <c r="F29" s="535">
        <f t="shared" si="12"/>
        <v>2259</v>
      </c>
      <c r="G29" s="52">
        <f t="shared" si="0"/>
        <v>0</v>
      </c>
      <c r="H29" s="535">
        <f t="shared" si="13"/>
        <v>44732</v>
      </c>
      <c r="I29" s="380">
        <f t="shared" si="1"/>
        <v>0</v>
      </c>
      <c r="J29" s="66">
        <f t="shared" si="14"/>
        <v>0</v>
      </c>
      <c r="K29" s="535">
        <f t="shared" si="15"/>
        <v>2441</v>
      </c>
      <c r="L29" s="52">
        <f t="shared" si="16"/>
        <v>0</v>
      </c>
      <c r="M29" s="535">
        <f t="shared" si="17"/>
        <v>181324</v>
      </c>
      <c r="N29" s="380">
        <f t="shared" si="2"/>
        <v>0</v>
      </c>
      <c r="O29" s="64">
        <f t="shared" si="48"/>
        <v>1869</v>
      </c>
      <c r="P29" s="535">
        <f t="shared" si="45"/>
        <v>2222</v>
      </c>
      <c r="Q29" s="535">
        <f t="shared" si="46"/>
        <v>185751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2488</v>
      </c>
      <c r="Y29" s="52">
        <f t="shared" si="22"/>
        <v>0</v>
      </c>
      <c r="Z29" s="535">
        <f t="shared" si="23"/>
        <v>140500</v>
      </c>
      <c r="AA29" s="65">
        <f t="shared" si="6"/>
        <v>0</v>
      </c>
      <c r="AB29" s="273">
        <f t="shared" si="50"/>
        <v>0</v>
      </c>
      <c r="AC29" s="535">
        <f t="shared" si="24"/>
        <v>1947</v>
      </c>
      <c r="AD29" s="45">
        <f t="shared" si="7"/>
        <v>0</v>
      </c>
      <c r="AE29" s="535">
        <f t="shared" si="25"/>
        <v>366543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44768</v>
      </c>
      <c r="B30" s="535">
        <f t="shared" si="9"/>
        <v>235</v>
      </c>
      <c r="C30" s="535">
        <f t="shared" si="10"/>
        <v>241</v>
      </c>
      <c r="D30" s="45">
        <f>C29-C30</f>
        <v>0</v>
      </c>
      <c r="E30" s="45">
        <f>D30*8.38</f>
        <v>0</v>
      </c>
      <c r="F30" s="535">
        <f t="shared" si="12"/>
        <v>2259</v>
      </c>
      <c r="G30" s="52">
        <f>F30-F29</f>
        <v>0</v>
      </c>
      <c r="H30" s="535">
        <f t="shared" si="13"/>
        <v>44732</v>
      </c>
      <c r="I30" s="380">
        <f>SUM(H30-H29)</f>
        <v>0</v>
      </c>
      <c r="J30" s="66">
        <f>IF(G30&gt;0,I30/G30,0)</f>
        <v>0</v>
      </c>
      <c r="K30" s="535">
        <f t="shared" si="15"/>
        <v>2441</v>
      </c>
      <c r="L30" s="52">
        <f>K30-K29</f>
        <v>0</v>
      </c>
      <c r="M30" s="535">
        <f t="shared" si="17"/>
        <v>181324</v>
      </c>
      <c r="N30" s="380">
        <f>M30-M29</f>
        <v>0</v>
      </c>
      <c r="O30" s="64">
        <f t="shared" si="48"/>
        <v>1869</v>
      </c>
      <c r="P30" s="535">
        <f t="shared" si="45"/>
        <v>2222</v>
      </c>
      <c r="Q30" s="535">
        <f t="shared" si="46"/>
        <v>185751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2488</v>
      </c>
      <c r="Y30" s="52">
        <f>X30-X29</f>
        <v>0</v>
      </c>
      <c r="Z30" s="535">
        <f t="shared" si="23"/>
        <v>140500</v>
      </c>
      <c r="AA30" s="65">
        <f>Z30-Z29</f>
        <v>0</v>
      </c>
      <c r="AB30" s="273">
        <f>SUM(Y30*$AB$2)</f>
        <v>0</v>
      </c>
      <c r="AC30" s="535">
        <f t="shared" si="24"/>
        <v>1947</v>
      </c>
      <c r="AD30" s="259">
        <f>AC30-AC29</f>
        <v>0</v>
      </c>
      <c r="AE30" s="535">
        <f t="shared" si="25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44769</v>
      </c>
      <c r="B31" s="535">
        <f t="shared" si="9"/>
        <v>235</v>
      </c>
      <c r="C31" s="535">
        <f t="shared" si="10"/>
        <v>241</v>
      </c>
      <c r="D31" s="45">
        <f t="shared" si="49"/>
        <v>0</v>
      </c>
      <c r="E31" s="45">
        <f t="shared" si="11"/>
        <v>0</v>
      </c>
      <c r="F31" s="535">
        <f t="shared" si="12"/>
        <v>2259</v>
      </c>
      <c r="G31" s="52">
        <f t="shared" si="0"/>
        <v>0</v>
      </c>
      <c r="H31" s="535">
        <f t="shared" si="13"/>
        <v>44732</v>
      </c>
      <c r="I31" s="380">
        <f t="shared" si="1"/>
        <v>0</v>
      </c>
      <c r="J31" s="66">
        <f t="shared" si="14"/>
        <v>0</v>
      </c>
      <c r="K31" s="535">
        <f t="shared" si="15"/>
        <v>2441</v>
      </c>
      <c r="L31" s="52">
        <f t="shared" si="16"/>
        <v>0</v>
      </c>
      <c r="M31" s="535">
        <f t="shared" si="17"/>
        <v>181324</v>
      </c>
      <c r="N31" s="380">
        <f t="shared" si="2"/>
        <v>0</v>
      </c>
      <c r="O31" s="64">
        <f t="shared" si="48"/>
        <v>1869</v>
      </c>
      <c r="P31" s="535">
        <f t="shared" si="45"/>
        <v>2222</v>
      </c>
      <c r="Q31" s="535">
        <f t="shared" si="46"/>
        <v>185751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2488</v>
      </c>
      <c r="Y31" s="52">
        <f t="shared" si="22"/>
        <v>0</v>
      </c>
      <c r="Z31" s="535">
        <f t="shared" si="23"/>
        <v>140500</v>
      </c>
      <c r="AA31" s="65">
        <f t="shared" si="6"/>
        <v>0</v>
      </c>
      <c r="AB31" s="273">
        <f t="shared" si="50"/>
        <v>0</v>
      </c>
      <c r="AC31" s="535">
        <f t="shared" si="24"/>
        <v>1947</v>
      </c>
      <c r="AD31" s="259">
        <f t="shared" si="7"/>
        <v>0</v>
      </c>
      <c r="AE31" s="535">
        <f t="shared" si="25"/>
        <v>366543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44770</v>
      </c>
      <c r="B32" s="535">
        <f t="shared" si="9"/>
        <v>235</v>
      </c>
      <c r="C32" s="535">
        <f t="shared" si="10"/>
        <v>241</v>
      </c>
      <c r="D32" s="45">
        <f t="shared" si="49"/>
        <v>0</v>
      </c>
      <c r="E32" s="45">
        <f t="shared" si="11"/>
        <v>0</v>
      </c>
      <c r="F32" s="535">
        <f t="shared" si="12"/>
        <v>2259</v>
      </c>
      <c r="G32" s="52">
        <f t="shared" si="0"/>
        <v>0</v>
      </c>
      <c r="H32" s="535">
        <f t="shared" si="13"/>
        <v>44732</v>
      </c>
      <c r="I32" s="380">
        <f t="shared" si="1"/>
        <v>0</v>
      </c>
      <c r="J32" s="66">
        <f t="shared" si="14"/>
        <v>0</v>
      </c>
      <c r="K32" s="535">
        <f t="shared" si="15"/>
        <v>2441</v>
      </c>
      <c r="L32" s="52">
        <f t="shared" si="16"/>
        <v>0</v>
      </c>
      <c r="M32" s="535">
        <f t="shared" si="17"/>
        <v>181324</v>
      </c>
      <c r="N32" s="380">
        <f t="shared" si="2"/>
        <v>0</v>
      </c>
      <c r="O32" s="64">
        <f t="shared" si="48"/>
        <v>1869</v>
      </c>
      <c r="P32" s="535">
        <f t="shared" si="45"/>
        <v>2222</v>
      </c>
      <c r="Q32" s="535">
        <f t="shared" si="46"/>
        <v>185751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2488</v>
      </c>
      <c r="Y32" s="52">
        <f t="shared" si="22"/>
        <v>0</v>
      </c>
      <c r="Z32" s="535">
        <f t="shared" si="23"/>
        <v>140500</v>
      </c>
      <c r="AA32" s="65">
        <f t="shared" si="6"/>
        <v>0</v>
      </c>
      <c r="AB32" s="273">
        <f t="shared" si="50"/>
        <v>0</v>
      </c>
      <c r="AC32" s="535">
        <f t="shared" si="24"/>
        <v>1947</v>
      </c>
      <c r="AD32" s="259">
        <f t="shared" si="7"/>
        <v>0</v>
      </c>
      <c r="AE32" s="535">
        <f t="shared" si="25"/>
        <v>366543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44771</v>
      </c>
      <c r="B33" s="535">
        <f t="shared" si="9"/>
        <v>235</v>
      </c>
      <c r="C33" s="535">
        <f t="shared" si="10"/>
        <v>241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2259</v>
      </c>
      <c r="G33" s="52">
        <f t="shared" ref="G33:G35" si="55">F33-F32</f>
        <v>0</v>
      </c>
      <c r="H33" s="535">
        <f t="shared" si="13"/>
        <v>44732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2441</v>
      </c>
      <c r="L33" s="52">
        <f t="shared" ref="L33:L35" si="58">K33-K32</f>
        <v>0</v>
      </c>
      <c r="M33" s="535">
        <f t="shared" si="17"/>
        <v>181324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2222</v>
      </c>
      <c r="Q33" s="535">
        <f t="shared" si="46"/>
        <v>185751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2488</v>
      </c>
      <c r="Y33" s="52">
        <f t="shared" ref="Y33:Y35" si="65">X33-X32</f>
        <v>0</v>
      </c>
      <c r="Z33" s="535">
        <f t="shared" si="23"/>
        <v>140500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1947</v>
      </c>
      <c r="AD33" s="259">
        <f t="shared" ref="AD33:AD35" si="68">AC33-AC32</f>
        <v>0</v>
      </c>
      <c r="AE33" s="535">
        <f t="shared" si="25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44772</v>
      </c>
      <c r="B34" s="535">
        <f t="shared" si="9"/>
        <v>235</v>
      </c>
      <c r="C34" s="535">
        <f t="shared" si="10"/>
        <v>241</v>
      </c>
      <c r="D34" s="45">
        <f t="shared" si="53"/>
        <v>0</v>
      </c>
      <c r="E34" s="45">
        <f t="shared" si="54"/>
        <v>0</v>
      </c>
      <c r="F34" s="535">
        <f t="shared" si="12"/>
        <v>2259</v>
      </c>
      <c r="G34" s="52">
        <f t="shared" si="55"/>
        <v>0</v>
      </c>
      <c r="H34" s="535">
        <f t="shared" si="13"/>
        <v>44732</v>
      </c>
      <c r="I34" s="380">
        <f t="shared" si="56"/>
        <v>0</v>
      </c>
      <c r="J34" s="66">
        <f t="shared" si="57"/>
        <v>0</v>
      </c>
      <c r="K34" s="535">
        <f t="shared" si="15"/>
        <v>2441</v>
      </c>
      <c r="L34" s="52">
        <f t="shared" si="58"/>
        <v>0</v>
      </c>
      <c r="M34" s="535">
        <f t="shared" si="17"/>
        <v>181324</v>
      </c>
      <c r="N34" s="380">
        <f t="shared" si="59"/>
        <v>0</v>
      </c>
      <c r="O34" s="64">
        <f t="shared" si="48"/>
        <v>1869</v>
      </c>
      <c r="P34" s="535">
        <f t="shared" si="45"/>
        <v>2222</v>
      </c>
      <c r="Q34" s="535">
        <f t="shared" si="46"/>
        <v>185751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2488</v>
      </c>
      <c r="Y34" s="52">
        <f t="shared" si="65"/>
        <v>0</v>
      </c>
      <c r="Z34" s="535">
        <f t="shared" si="23"/>
        <v>140500</v>
      </c>
      <c r="AA34" s="65">
        <f t="shared" si="66"/>
        <v>0</v>
      </c>
      <c r="AB34" s="273">
        <f t="shared" si="67"/>
        <v>0</v>
      </c>
      <c r="AC34" s="535">
        <f t="shared" si="24"/>
        <v>1947</v>
      </c>
      <c r="AD34" s="259">
        <f t="shared" si="68"/>
        <v>0</v>
      </c>
      <c r="AE34" s="535">
        <f t="shared" si="25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44773</v>
      </c>
      <c r="B35" s="535">
        <f t="shared" si="9"/>
        <v>235</v>
      </c>
      <c r="C35" s="535">
        <f t="shared" si="10"/>
        <v>241</v>
      </c>
      <c r="D35" s="45">
        <f t="shared" si="53"/>
        <v>0</v>
      </c>
      <c r="E35" s="45">
        <f t="shared" si="54"/>
        <v>0</v>
      </c>
      <c r="F35" s="535">
        <f t="shared" si="12"/>
        <v>2259</v>
      </c>
      <c r="G35" s="52">
        <f t="shared" si="55"/>
        <v>0</v>
      </c>
      <c r="H35" s="535">
        <f t="shared" si="13"/>
        <v>44732</v>
      </c>
      <c r="I35" s="380">
        <f t="shared" si="56"/>
        <v>0</v>
      </c>
      <c r="J35" s="66">
        <f t="shared" si="57"/>
        <v>0</v>
      </c>
      <c r="K35" s="535">
        <f t="shared" si="15"/>
        <v>2441</v>
      </c>
      <c r="L35" s="52">
        <f t="shared" si="58"/>
        <v>0</v>
      </c>
      <c r="M35" s="535">
        <f t="shared" si="17"/>
        <v>181324</v>
      </c>
      <c r="N35" s="380">
        <f t="shared" si="59"/>
        <v>0</v>
      </c>
      <c r="O35" s="64">
        <f t="shared" si="48"/>
        <v>1869</v>
      </c>
      <c r="P35" s="535">
        <f t="shared" si="45"/>
        <v>2222</v>
      </c>
      <c r="Q35" s="535">
        <f t="shared" si="46"/>
        <v>185751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2488</v>
      </c>
      <c r="Y35" s="52">
        <f t="shared" si="65"/>
        <v>0</v>
      </c>
      <c r="Z35" s="535">
        <f t="shared" si="23"/>
        <v>140500</v>
      </c>
      <c r="AA35" s="65">
        <f t="shared" si="66"/>
        <v>0</v>
      </c>
      <c r="AB35" s="273">
        <f t="shared" si="67"/>
        <v>0</v>
      </c>
      <c r="AC35" s="535">
        <f t="shared" si="24"/>
        <v>1947</v>
      </c>
      <c r="AD35" s="259">
        <f t="shared" si="68"/>
        <v>0</v>
      </c>
      <c r="AE35" s="535">
        <f t="shared" si="25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54.5</v>
      </c>
      <c r="U36" s="70">
        <f>SUM(U5:U35)</f>
        <v>14</v>
      </c>
      <c r="V36" s="62">
        <f>SUM(V5:V35)</f>
        <v>1027</v>
      </c>
      <c r="AE36" s="71" t="s">
        <v>379</v>
      </c>
      <c r="AG36" s="329"/>
      <c r="AH36" s="62">
        <f>SUM(AH5:AH35)</f>
        <v>109</v>
      </c>
      <c r="AL36" s="62">
        <f>SUM(AL5:AL35)</f>
        <v>14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73.357142857142861</v>
      </c>
      <c r="AH37" s="62">
        <f>AF37+AA37</f>
        <v>0</v>
      </c>
      <c r="AI37" s="306">
        <f>SUM(AI5:AI35)</f>
        <v>1136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90" zoomScaleNormal="90" workbookViewId="0">
      <pane ySplit="3" topLeftCell="A16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8184778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44742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629420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7089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5188</v>
      </c>
      <c r="U5" s="393">
        <f>[2]WATER!U35</f>
        <v>0</v>
      </c>
      <c r="V5" s="393">
        <f>[2]WATER!V35</f>
        <v>496</v>
      </c>
      <c r="W5" s="393">
        <f>[2]WATER!W35</f>
        <v>0</v>
      </c>
      <c r="X5" s="393">
        <f>[2]WATER!X35</f>
        <v>155702</v>
      </c>
      <c r="Y5" s="393">
        <f>[2]WATER!Y35</f>
        <v>0</v>
      </c>
      <c r="Z5" s="393">
        <f>[2]WATER!Z35</f>
        <v>99475</v>
      </c>
      <c r="AA5" s="393">
        <f>[2]WATER!AA35</f>
        <v>0</v>
      </c>
      <c r="AB5" s="393">
        <f>[2]WATER!AB35</f>
        <v>228</v>
      </c>
      <c r="AC5" s="393">
        <f>[2]WATER!AC35</f>
        <v>790</v>
      </c>
      <c r="AD5" s="393">
        <f>[2]WATER!AD35</f>
        <v>0</v>
      </c>
      <c r="AE5" s="393">
        <f>[2]WATER!AE35</f>
        <v>244.4</v>
      </c>
      <c r="AF5" s="393">
        <f>[2]WATER!AF35</f>
        <v>0</v>
      </c>
      <c r="AG5" s="393">
        <f>[2]WATER!AG35</f>
        <v>2247.41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26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1">
        <f>[2]WATER!$AR$35</f>
        <v>44742</v>
      </c>
      <c r="AS5" s="393">
        <f>[2]WATER!AS35</f>
        <v>0.9</v>
      </c>
      <c r="AT5" s="393">
        <f>[2]WATER!AT35</f>
        <v>110</v>
      </c>
      <c r="AU5" s="393">
        <f>[2]WATER!AU35</f>
        <v>1.1000000000000001</v>
      </c>
      <c r="AV5" s="393">
        <f>[2]WATER!AV35</f>
        <v>37</v>
      </c>
      <c r="AW5" s="393">
        <f>[2]WATER!AW35</f>
        <v>2.9</v>
      </c>
      <c r="AX5" s="393">
        <f>[2]WATER!AX35</f>
        <v>132</v>
      </c>
      <c r="AY5" s="393">
        <f>[2]WATER!AY35</f>
        <v>99</v>
      </c>
      <c r="AZ5" s="393">
        <f>[2]WATER!AZ35</f>
        <v>40.700000000000003</v>
      </c>
      <c r="BA5" s="393">
        <f>[2]WATER!BA35</f>
        <v>382.8</v>
      </c>
      <c r="BB5" s="393">
        <f>[2]WATER!BB35</f>
        <v>2.7000000000000028</v>
      </c>
      <c r="BC5" s="393">
        <f>[2]WATER!BC35</f>
        <v>-66</v>
      </c>
      <c r="BD5" s="393">
        <f>[2]WATER!BD35</f>
        <v>0</v>
      </c>
      <c r="BE5" s="393">
        <f>[2]WATER!BE35</f>
        <v>-63.3</v>
      </c>
      <c r="BF5" s="393">
        <f>[2]WATER!BF35</f>
        <v>63.3</v>
      </c>
      <c r="BG5" s="393">
        <f>[2]WATER!BG35</f>
        <v>-63.3</v>
      </c>
    </row>
    <row r="6" spans="1:65" ht="15.75" thickBot="1">
      <c r="A6" s="6">
        <f>ELEC!C4</f>
        <v>44743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629420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5188</v>
      </c>
      <c r="U6" s="5">
        <f t="shared" ref="U6:U33" si="3">SUM(T6-T5)</f>
        <v>0</v>
      </c>
      <c r="V6" s="5">
        <f>V5</f>
        <v>496</v>
      </c>
      <c r="W6" s="309">
        <f>+V6-V5</f>
        <v>0</v>
      </c>
      <c r="X6" s="5">
        <f>X5</f>
        <v>155702</v>
      </c>
      <c r="Y6" s="309">
        <f>SUM(X6-X5)</f>
        <v>0</v>
      </c>
      <c r="Z6" s="5">
        <f>Z5</f>
        <v>99475</v>
      </c>
      <c r="AA6" s="83">
        <f>Z6-Z5</f>
        <v>0</v>
      </c>
      <c r="AB6" s="5">
        <f>AB5</f>
        <v>228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44743</v>
      </c>
      <c r="AS6" s="407">
        <f>AS5</f>
        <v>0.9</v>
      </c>
      <c r="AT6" s="201">
        <f>AT5</f>
        <v>110</v>
      </c>
      <c r="AU6" s="408">
        <f>AU5</f>
        <v>1.1000000000000001</v>
      </c>
      <c r="AV6" s="201">
        <f>AV5</f>
        <v>37</v>
      </c>
      <c r="AW6" s="5">
        <v>2.9</v>
      </c>
      <c r="AX6" s="201">
        <f>AX5</f>
        <v>132</v>
      </c>
      <c r="AY6" s="409">
        <f>AS6*AT6</f>
        <v>99</v>
      </c>
      <c r="AZ6" s="409">
        <f>AU6*AV6</f>
        <v>40.700000000000003</v>
      </c>
      <c r="BA6" s="409">
        <f>AW6*AX6</f>
        <v>382.8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44744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629420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5188</v>
      </c>
      <c r="U7" s="5">
        <f t="shared" si="3"/>
        <v>0</v>
      </c>
      <c r="V7" s="5">
        <f t="shared" ref="V7:V36" si="15">V6</f>
        <v>496</v>
      </c>
      <c r="W7" s="309">
        <f t="shared" ref="W7:W33" si="16">+V7-V6</f>
        <v>0</v>
      </c>
      <c r="X7" s="5">
        <f t="shared" ref="X7:X36" si="17">X6</f>
        <v>155702</v>
      </c>
      <c r="Y7" s="309">
        <f>SUM(X7-X6)</f>
        <v>0</v>
      </c>
      <c r="Z7" s="5">
        <f t="shared" ref="Z7:Z36" si="18">Z6</f>
        <v>99475</v>
      </c>
      <c r="AA7" s="83">
        <f t="shared" ref="AA7:AA33" si="19">Z7-Z6</f>
        <v>0</v>
      </c>
      <c r="AB7" s="5">
        <v>239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244.4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44744</v>
      </c>
      <c r="AS7" s="407">
        <f t="shared" ref="AS7:AT21" si="29">AS6</f>
        <v>0.9</v>
      </c>
      <c r="AT7" s="201">
        <f t="shared" si="29"/>
        <v>110</v>
      </c>
      <c r="AU7" s="408">
        <f>AU6</f>
        <v>1.1000000000000001</v>
      </c>
      <c r="AV7" s="201">
        <f t="shared" ref="AV7:AV36" si="30">AV6</f>
        <v>37</v>
      </c>
      <c r="AW7" s="5">
        <v>2.9</v>
      </c>
      <c r="AX7" s="201">
        <f t="shared" ref="AX7:AX36" si="31">AX6</f>
        <v>132</v>
      </c>
      <c r="AY7" s="409">
        <f>AS7*AT7</f>
        <v>99</v>
      </c>
      <c r="AZ7" s="409">
        <f>AU7*AV7</f>
        <v>40.700000000000003</v>
      </c>
      <c r="BA7" s="409">
        <f>AW7*AX7</f>
        <v>382.8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44745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v>629470</v>
      </c>
      <c r="H8" s="5">
        <f t="shared" si="9"/>
        <v>50</v>
      </c>
      <c r="I8" s="5">
        <f t="shared" si="10"/>
        <v>50</v>
      </c>
      <c r="J8" s="319">
        <f t="shared" si="0"/>
        <v>4.838709677419355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5188</v>
      </c>
      <c r="U8" s="5">
        <f t="shared" si="3"/>
        <v>0</v>
      </c>
      <c r="V8" s="5">
        <v>497</v>
      </c>
      <c r="W8" s="309">
        <f t="shared" si="16"/>
        <v>1</v>
      </c>
      <c r="X8" s="5">
        <f t="shared" si="17"/>
        <v>155702</v>
      </c>
      <c r="Y8" s="309">
        <f>SUM(X8-X7)</f>
        <v>0</v>
      </c>
      <c r="Z8" s="5">
        <f t="shared" si="18"/>
        <v>99475</v>
      </c>
      <c r="AA8" s="83">
        <f t="shared" si="19"/>
        <v>0</v>
      </c>
      <c r="AB8" s="5">
        <f t="shared" ref="AB8:AB36" si="35">AB7</f>
        <v>239</v>
      </c>
      <c r="AC8" s="5">
        <f t="shared" si="20"/>
        <v>790</v>
      </c>
      <c r="AD8" s="83">
        <f t="shared" ref="AD8:AD33" si="36">AC8-AC7</f>
        <v>0</v>
      </c>
      <c r="AE8" s="5">
        <f t="shared" si="21"/>
        <v>244.4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7">SUM(Y8-L8)</f>
        <v>0</v>
      </c>
      <c r="AL8" s="312">
        <f t="shared" si="27"/>
        <v>-1</v>
      </c>
      <c r="AM8" s="312">
        <f>'General information '!D7</f>
        <v>27.5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44745</v>
      </c>
      <c r="AS8" s="407">
        <f t="shared" si="29"/>
        <v>0.9</v>
      </c>
      <c r="AT8" s="201">
        <v>140</v>
      </c>
      <c r="AU8" s="408">
        <v>1.1000000000000001</v>
      </c>
      <c r="AV8" s="201">
        <v>94</v>
      </c>
      <c r="AW8" s="5">
        <v>2.9</v>
      </c>
      <c r="AX8" s="201">
        <v>128</v>
      </c>
      <c r="AY8" s="409">
        <f t="shared" ref="AY8:AY33" si="38">AS8*AT8</f>
        <v>126</v>
      </c>
      <c r="AZ8" s="409">
        <f t="shared" ref="AZ8:AZ33" si="39">AU8*AV8</f>
        <v>103.4</v>
      </c>
      <c r="BA8" s="409">
        <f t="shared" ref="BA8:BA33" si="40">AW8*AX8</f>
        <v>371.2</v>
      </c>
      <c r="BB8" s="21">
        <f t="shared" ref="BB8:BB19" si="41">AY8-AY7</f>
        <v>27</v>
      </c>
      <c r="BC8" s="21">
        <f t="shared" si="32"/>
        <v>62.7</v>
      </c>
      <c r="BD8" s="21">
        <f t="shared" si="32"/>
        <v>-11.600000000000023</v>
      </c>
      <c r="BE8" s="24">
        <f t="shared" si="33"/>
        <v>78.09999999999998</v>
      </c>
      <c r="BF8" s="96">
        <f t="shared" si="34"/>
        <v>-28.09999999999998</v>
      </c>
      <c r="BG8" s="82">
        <f t="shared" si="4"/>
        <v>78.09999999999998</v>
      </c>
      <c r="BI8" s="86"/>
      <c r="BJ8" s="17"/>
      <c r="BK8" s="17"/>
    </row>
    <row r="9" spans="1:65" ht="15.75" thickBot="1">
      <c r="A9" s="6">
        <f>ELEC!C7</f>
        <v>44746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629470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5188</v>
      </c>
      <c r="U9" s="5">
        <f t="shared" si="3"/>
        <v>0</v>
      </c>
      <c r="V9" s="5">
        <f t="shared" si="15"/>
        <v>497</v>
      </c>
      <c r="W9" s="309">
        <f t="shared" si="16"/>
        <v>0</v>
      </c>
      <c r="X9" s="5">
        <f t="shared" si="17"/>
        <v>155702</v>
      </c>
      <c r="Y9" s="309">
        <f t="shared" ref="Y9:Y33" si="43">SUM(X9-X8)</f>
        <v>0</v>
      </c>
      <c r="Z9" s="5">
        <f t="shared" si="18"/>
        <v>99475</v>
      </c>
      <c r="AA9" s="83">
        <f t="shared" si="19"/>
        <v>0</v>
      </c>
      <c r="AB9" s="5">
        <f t="shared" si="35"/>
        <v>239</v>
      </c>
      <c r="AC9" s="5">
        <f t="shared" si="20"/>
        <v>790</v>
      </c>
      <c r="AD9" s="83">
        <f t="shared" si="36"/>
        <v>0</v>
      </c>
      <c r="AE9" s="5">
        <f t="shared" si="21"/>
        <v>244.4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7"/>
        <v>0</v>
      </c>
      <c r="AL9" s="312">
        <f t="shared" si="27"/>
        <v>0</v>
      </c>
      <c r="AM9" s="312">
        <f>'General information '!D8</f>
        <v>27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44746</v>
      </c>
      <c r="AS9" s="407">
        <f t="shared" si="29"/>
        <v>0.9</v>
      </c>
      <c r="AT9" s="201">
        <f t="shared" si="29"/>
        <v>140</v>
      </c>
      <c r="AU9" s="408">
        <f t="shared" ref="AU9:AU36" si="44">AU8</f>
        <v>1.1000000000000001</v>
      </c>
      <c r="AV9" s="201">
        <v>92</v>
      </c>
      <c r="AW9" s="5">
        <v>2.9</v>
      </c>
      <c r="AX9" s="201">
        <v>124</v>
      </c>
      <c r="AY9" s="409">
        <f t="shared" si="38"/>
        <v>126</v>
      </c>
      <c r="AZ9" s="409">
        <f t="shared" si="39"/>
        <v>101.2</v>
      </c>
      <c r="BA9" s="409">
        <f t="shared" si="40"/>
        <v>359.59999999999997</v>
      </c>
      <c r="BB9" s="21">
        <f t="shared" si="41"/>
        <v>0</v>
      </c>
      <c r="BC9" s="21">
        <f t="shared" si="32"/>
        <v>-2.2000000000000028</v>
      </c>
      <c r="BD9" s="21">
        <f t="shared" si="32"/>
        <v>-11.600000000000023</v>
      </c>
      <c r="BE9" s="24">
        <f t="shared" si="33"/>
        <v>-13.800000000000026</v>
      </c>
      <c r="BF9" s="330">
        <f t="shared" si="34"/>
        <v>13.800000000000026</v>
      </c>
      <c r="BG9" s="82">
        <f t="shared" si="4"/>
        <v>-13.800000000000026</v>
      </c>
    </row>
    <row r="10" spans="1:65" ht="15.75" thickBot="1">
      <c r="A10" s="6">
        <f>ELEC!C8</f>
        <v>44747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629470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5188</v>
      </c>
      <c r="U10" s="5">
        <f t="shared" si="3"/>
        <v>0</v>
      </c>
      <c r="V10" s="5">
        <f t="shared" si="15"/>
        <v>497</v>
      </c>
      <c r="W10" s="309">
        <f t="shared" si="16"/>
        <v>0</v>
      </c>
      <c r="X10" s="5">
        <f t="shared" si="17"/>
        <v>155702</v>
      </c>
      <c r="Y10" s="309">
        <f t="shared" si="43"/>
        <v>0</v>
      </c>
      <c r="Z10" s="5">
        <f t="shared" si="18"/>
        <v>99475</v>
      </c>
      <c r="AA10" s="83">
        <f t="shared" si="19"/>
        <v>0</v>
      </c>
      <c r="AB10" s="5">
        <f t="shared" si="35"/>
        <v>239</v>
      </c>
      <c r="AC10" s="5">
        <f t="shared" si="20"/>
        <v>790</v>
      </c>
      <c r="AD10" s="83">
        <f t="shared" si="36"/>
        <v>0</v>
      </c>
      <c r="AE10" s="5">
        <f t="shared" si="21"/>
        <v>244.4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27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44747</v>
      </c>
      <c r="AS10" s="407">
        <f t="shared" si="29"/>
        <v>0.9</v>
      </c>
      <c r="AT10" s="201">
        <v>123</v>
      </c>
      <c r="AU10" s="408">
        <f t="shared" si="44"/>
        <v>1.1000000000000001</v>
      </c>
      <c r="AV10" s="201">
        <v>91</v>
      </c>
      <c r="AW10" s="5">
        <v>2.9</v>
      </c>
      <c r="AX10" s="201">
        <v>123</v>
      </c>
      <c r="AY10" s="409">
        <f t="shared" si="38"/>
        <v>110.7</v>
      </c>
      <c r="AZ10" s="409">
        <f t="shared" si="39"/>
        <v>100.10000000000001</v>
      </c>
      <c r="BA10" s="409">
        <f t="shared" si="40"/>
        <v>356.7</v>
      </c>
      <c r="BB10" s="21">
        <f t="shared" si="41"/>
        <v>-15.299999999999997</v>
      </c>
      <c r="BC10" s="21">
        <f t="shared" si="32"/>
        <v>-1.0999999999999943</v>
      </c>
      <c r="BD10" s="21">
        <f t="shared" si="32"/>
        <v>-2.8999999999999773</v>
      </c>
      <c r="BE10" s="24">
        <f t="shared" si="33"/>
        <v>-19.299999999999969</v>
      </c>
      <c r="BF10" s="96">
        <f t="shared" si="34"/>
        <v>19.299999999999969</v>
      </c>
      <c r="BG10" s="82">
        <f t="shared" si="4"/>
        <v>-19.299999999999969</v>
      </c>
    </row>
    <row r="11" spans="1:65" ht="15.75" thickBot="1">
      <c r="A11" s="6">
        <f>ELEC!C9</f>
        <v>44748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629470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5188</v>
      </c>
      <c r="U11" s="5">
        <f t="shared" si="3"/>
        <v>0</v>
      </c>
      <c r="V11" s="5">
        <f t="shared" si="15"/>
        <v>497</v>
      </c>
      <c r="W11" s="309">
        <f t="shared" si="16"/>
        <v>0</v>
      </c>
      <c r="X11" s="5">
        <f t="shared" si="17"/>
        <v>155702</v>
      </c>
      <c r="Y11" s="309">
        <f t="shared" si="43"/>
        <v>0</v>
      </c>
      <c r="Z11" s="5">
        <f t="shared" si="18"/>
        <v>99475</v>
      </c>
      <c r="AA11" s="83">
        <f t="shared" si="19"/>
        <v>0</v>
      </c>
      <c r="AB11" s="5">
        <f t="shared" si="35"/>
        <v>239</v>
      </c>
      <c r="AC11" s="5">
        <f t="shared" si="20"/>
        <v>790</v>
      </c>
      <c r="AD11" s="83">
        <f t="shared" si="36"/>
        <v>0</v>
      </c>
      <c r="AE11" s="5">
        <f t="shared" si="21"/>
        <v>244.4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7"/>
        <v>0</v>
      </c>
      <c r="AL11" s="312">
        <f t="shared" si="27"/>
        <v>0</v>
      </c>
      <c r="AM11" s="312">
        <f>'General information '!D10</f>
        <v>27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44748</v>
      </c>
      <c r="AS11" s="407">
        <f t="shared" si="29"/>
        <v>0.9</v>
      </c>
      <c r="AT11" s="201">
        <f t="shared" si="29"/>
        <v>123</v>
      </c>
      <c r="AU11" s="408">
        <f t="shared" si="44"/>
        <v>1.1000000000000001</v>
      </c>
      <c r="AV11" s="201">
        <v>90</v>
      </c>
      <c r="AW11" s="5">
        <v>2.9</v>
      </c>
      <c r="AX11" s="201">
        <f t="shared" si="31"/>
        <v>123</v>
      </c>
      <c r="AY11" s="409">
        <f t="shared" si="38"/>
        <v>110.7</v>
      </c>
      <c r="AZ11" s="409">
        <f t="shared" si="39"/>
        <v>99.000000000000014</v>
      </c>
      <c r="BA11" s="409">
        <f t="shared" si="40"/>
        <v>356.7</v>
      </c>
      <c r="BB11" s="21">
        <f t="shared" si="41"/>
        <v>0</v>
      </c>
      <c r="BC11" s="21">
        <f t="shared" si="32"/>
        <v>-1.0999999999999943</v>
      </c>
      <c r="BD11" s="21">
        <f t="shared" si="32"/>
        <v>0</v>
      </c>
      <c r="BE11" s="24">
        <f t="shared" si="33"/>
        <v>-1.0999999999999943</v>
      </c>
      <c r="BF11" s="96">
        <f t="shared" si="34"/>
        <v>1.0999999999999943</v>
      </c>
      <c r="BG11" s="82">
        <f t="shared" si="4"/>
        <v>-1.0999999999999943</v>
      </c>
    </row>
    <row r="12" spans="1:65" ht="15.75" thickBot="1">
      <c r="A12" s="6">
        <f>ELEC!C10</f>
        <v>44749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629470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5188</v>
      </c>
      <c r="U12" s="5">
        <f t="shared" si="3"/>
        <v>0</v>
      </c>
      <c r="V12" s="5">
        <f t="shared" si="15"/>
        <v>497</v>
      </c>
      <c r="W12" s="309">
        <f t="shared" si="16"/>
        <v>0</v>
      </c>
      <c r="X12" s="5">
        <f t="shared" si="17"/>
        <v>155702</v>
      </c>
      <c r="Y12" s="309">
        <f t="shared" si="43"/>
        <v>0</v>
      </c>
      <c r="Z12" s="5">
        <f t="shared" si="18"/>
        <v>99475</v>
      </c>
      <c r="AA12" s="83">
        <f t="shared" si="19"/>
        <v>0</v>
      </c>
      <c r="AB12" s="5">
        <f t="shared" si="35"/>
        <v>239</v>
      </c>
      <c r="AC12" s="5">
        <f t="shared" si="20"/>
        <v>790</v>
      </c>
      <c r="AD12" s="83">
        <f t="shared" si="36"/>
        <v>0</v>
      </c>
      <c r="AE12" s="5">
        <f t="shared" si="21"/>
        <v>244.4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7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44749</v>
      </c>
      <c r="AS12" s="407">
        <f t="shared" si="29"/>
        <v>0.9</v>
      </c>
      <c r="AT12" s="201">
        <f t="shared" si="29"/>
        <v>123</v>
      </c>
      <c r="AU12" s="408">
        <f t="shared" si="44"/>
        <v>1.1000000000000001</v>
      </c>
      <c r="AV12" s="201">
        <f t="shared" si="30"/>
        <v>90</v>
      </c>
      <c r="AW12" s="5">
        <v>2.9</v>
      </c>
      <c r="AX12" s="201">
        <f t="shared" si="31"/>
        <v>123</v>
      </c>
      <c r="AY12" s="409">
        <f t="shared" si="38"/>
        <v>110.7</v>
      </c>
      <c r="AZ12" s="409">
        <f t="shared" si="39"/>
        <v>99.000000000000014</v>
      </c>
      <c r="BA12" s="409">
        <f t="shared" si="40"/>
        <v>356.7</v>
      </c>
      <c r="BB12" s="21">
        <f t="shared" si="4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44750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629470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5188</v>
      </c>
      <c r="U13" s="5">
        <f t="shared" si="3"/>
        <v>0</v>
      </c>
      <c r="V13" s="5">
        <f t="shared" si="15"/>
        <v>497</v>
      </c>
      <c r="W13" s="309">
        <f t="shared" si="16"/>
        <v>0</v>
      </c>
      <c r="X13" s="5">
        <f t="shared" si="17"/>
        <v>155702</v>
      </c>
      <c r="Y13" s="309">
        <f t="shared" si="43"/>
        <v>0</v>
      </c>
      <c r="Z13" s="5">
        <f t="shared" si="18"/>
        <v>99475</v>
      </c>
      <c r="AA13" s="83">
        <f t="shared" si="19"/>
        <v>0</v>
      </c>
      <c r="AB13" s="5">
        <f t="shared" si="35"/>
        <v>239</v>
      </c>
      <c r="AC13" s="5">
        <f t="shared" si="20"/>
        <v>790</v>
      </c>
      <c r="AD13" s="83">
        <f t="shared" si="36"/>
        <v>0</v>
      </c>
      <c r="AE13" s="5">
        <f t="shared" si="21"/>
        <v>244.4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7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44750</v>
      </c>
      <c r="AS13" s="407">
        <f t="shared" si="29"/>
        <v>0.9</v>
      </c>
      <c r="AT13" s="201">
        <f t="shared" si="29"/>
        <v>123</v>
      </c>
      <c r="AU13" s="408">
        <f t="shared" si="44"/>
        <v>1.1000000000000001</v>
      </c>
      <c r="AV13" s="201">
        <f t="shared" si="30"/>
        <v>90</v>
      </c>
      <c r="AW13" s="5">
        <v>2.9</v>
      </c>
      <c r="AX13" s="201">
        <f t="shared" si="31"/>
        <v>123</v>
      </c>
      <c r="AY13" s="409">
        <f t="shared" si="38"/>
        <v>110.7</v>
      </c>
      <c r="AZ13" s="409">
        <f t="shared" si="39"/>
        <v>99.000000000000014</v>
      </c>
      <c r="BA13" s="409">
        <f t="shared" si="40"/>
        <v>356.7</v>
      </c>
      <c r="BB13" s="21">
        <f t="shared" si="4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44751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629470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5188</v>
      </c>
      <c r="U14" s="5">
        <f t="shared" si="3"/>
        <v>0</v>
      </c>
      <c r="V14" s="5">
        <f t="shared" si="15"/>
        <v>497</v>
      </c>
      <c r="W14" s="309">
        <f t="shared" si="16"/>
        <v>0</v>
      </c>
      <c r="X14" s="5">
        <f t="shared" si="17"/>
        <v>155702</v>
      </c>
      <c r="Y14" s="309">
        <f t="shared" si="43"/>
        <v>0</v>
      </c>
      <c r="Z14" s="5">
        <f t="shared" si="18"/>
        <v>99475</v>
      </c>
      <c r="AA14" s="83">
        <f t="shared" si="19"/>
        <v>0</v>
      </c>
      <c r="AB14" s="5">
        <v>239</v>
      </c>
      <c r="AC14" s="5">
        <f t="shared" si="20"/>
        <v>790</v>
      </c>
      <c r="AD14" s="83">
        <f t="shared" si="36"/>
        <v>0</v>
      </c>
      <c r="AE14" s="5">
        <f t="shared" si="21"/>
        <v>244.4</v>
      </c>
      <c r="AF14" s="83">
        <f t="shared" si="22"/>
        <v>0</v>
      </c>
      <c r="AG14" s="5">
        <f t="shared" si="23"/>
        <v>2247.41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7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44751</v>
      </c>
      <c r="AS14" s="407">
        <f t="shared" si="29"/>
        <v>0.9</v>
      </c>
      <c r="AT14" s="201">
        <f t="shared" si="29"/>
        <v>123</v>
      </c>
      <c r="AU14" s="408">
        <f t="shared" si="44"/>
        <v>1.1000000000000001</v>
      </c>
      <c r="AV14" s="201">
        <f t="shared" si="30"/>
        <v>90</v>
      </c>
      <c r="AW14" s="5">
        <v>2.9</v>
      </c>
      <c r="AX14" s="201">
        <f t="shared" si="31"/>
        <v>123</v>
      </c>
      <c r="AY14" s="409">
        <f t="shared" si="38"/>
        <v>110.7</v>
      </c>
      <c r="AZ14" s="409">
        <f t="shared" si="39"/>
        <v>99.000000000000014</v>
      </c>
      <c r="BA14" s="409">
        <f t="shared" si="40"/>
        <v>356.7</v>
      </c>
      <c r="BB14" s="21">
        <f t="shared" si="4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44752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629470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5188</v>
      </c>
      <c r="U15" s="5">
        <f t="shared" si="3"/>
        <v>0</v>
      </c>
      <c r="V15" s="5">
        <f t="shared" si="15"/>
        <v>497</v>
      </c>
      <c r="W15" s="309">
        <f t="shared" si="16"/>
        <v>0</v>
      </c>
      <c r="X15" s="5">
        <f t="shared" si="17"/>
        <v>155702</v>
      </c>
      <c r="Y15" s="309">
        <f t="shared" si="43"/>
        <v>0</v>
      </c>
      <c r="Z15" s="5">
        <f t="shared" si="18"/>
        <v>99475</v>
      </c>
      <c r="AA15" s="83">
        <f t="shared" si="19"/>
        <v>0</v>
      </c>
      <c r="AB15" s="5">
        <f t="shared" si="35"/>
        <v>239</v>
      </c>
      <c r="AC15" s="5">
        <f t="shared" si="20"/>
        <v>790</v>
      </c>
      <c r="AD15" s="83">
        <f t="shared" si="36"/>
        <v>0</v>
      </c>
      <c r="AE15" s="5">
        <f t="shared" si="21"/>
        <v>244.4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44752</v>
      </c>
      <c r="AS15" s="407">
        <f t="shared" si="29"/>
        <v>0.9</v>
      </c>
      <c r="AT15" s="201">
        <f t="shared" si="29"/>
        <v>123</v>
      </c>
      <c r="AU15" s="408">
        <f t="shared" si="44"/>
        <v>1.1000000000000001</v>
      </c>
      <c r="AV15" s="201">
        <f t="shared" si="30"/>
        <v>90</v>
      </c>
      <c r="AW15" s="5">
        <v>2.9</v>
      </c>
      <c r="AX15" s="201">
        <f t="shared" si="31"/>
        <v>123</v>
      </c>
      <c r="AY15" s="409">
        <f t="shared" si="38"/>
        <v>110.7</v>
      </c>
      <c r="AZ15" s="409">
        <f t="shared" si="39"/>
        <v>99.000000000000014</v>
      </c>
      <c r="BA15" s="409">
        <f t="shared" si="40"/>
        <v>356.7</v>
      </c>
      <c r="BB15" s="21">
        <f t="shared" si="4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44753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629470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5188</v>
      </c>
      <c r="U16" s="5">
        <f t="shared" si="3"/>
        <v>0</v>
      </c>
      <c r="V16" s="5">
        <f t="shared" si="15"/>
        <v>497</v>
      </c>
      <c r="W16" s="309">
        <f t="shared" si="16"/>
        <v>0</v>
      </c>
      <c r="X16" s="5">
        <f t="shared" si="17"/>
        <v>155702</v>
      </c>
      <c r="Y16" s="309">
        <f t="shared" si="43"/>
        <v>0</v>
      </c>
      <c r="Z16" s="5">
        <f t="shared" si="18"/>
        <v>99475</v>
      </c>
      <c r="AA16" s="83">
        <f t="shared" si="19"/>
        <v>0</v>
      </c>
      <c r="AB16" s="5">
        <f t="shared" si="35"/>
        <v>239</v>
      </c>
      <c r="AC16" s="5">
        <f t="shared" si="20"/>
        <v>790</v>
      </c>
      <c r="AD16" s="83">
        <f t="shared" si="36"/>
        <v>0</v>
      </c>
      <c r="AE16" s="5">
        <f t="shared" si="21"/>
        <v>244.4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7"/>
        <v>0</v>
      </c>
      <c r="AL16" s="312">
        <f t="shared" si="27"/>
        <v>0</v>
      </c>
      <c r="AM16" s="312">
        <f>'General information '!D15</f>
        <v>27.5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44753</v>
      </c>
      <c r="AS16" s="407">
        <f t="shared" si="29"/>
        <v>0.9</v>
      </c>
      <c r="AT16" s="201">
        <f t="shared" si="29"/>
        <v>123</v>
      </c>
      <c r="AU16" s="408">
        <f t="shared" si="44"/>
        <v>1.1000000000000001</v>
      </c>
      <c r="AV16" s="201">
        <v>89</v>
      </c>
      <c r="AW16" s="5">
        <v>2.9</v>
      </c>
      <c r="AX16" s="201">
        <v>119</v>
      </c>
      <c r="AY16" s="409">
        <f t="shared" si="38"/>
        <v>110.7</v>
      </c>
      <c r="AZ16" s="409">
        <f t="shared" si="39"/>
        <v>97.9</v>
      </c>
      <c r="BA16" s="409">
        <f t="shared" si="40"/>
        <v>345.09999999999997</v>
      </c>
      <c r="BB16" s="21">
        <f t="shared" si="41"/>
        <v>0</v>
      </c>
      <c r="BC16" s="21">
        <f t="shared" si="32"/>
        <v>-1.1000000000000085</v>
      </c>
      <c r="BD16" s="21">
        <f t="shared" si="32"/>
        <v>-11.600000000000023</v>
      </c>
      <c r="BE16" s="24">
        <f t="shared" si="33"/>
        <v>-12.700000000000031</v>
      </c>
      <c r="BF16" s="96">
        <f t="shared" si="34"/>
        <v>12.700000000000031</v>
      </c>
      <c r="BG16" s="82">
        <f t="shared" si="4"/>
        <v>-12.700000000000031</v>
      </c>
    </row>
    <row r="17" spans="1:61" ht="15.75" thickBot="1">
      <c r="A17" s="6">
        <f>ELEC!C15</f>
        <v>44754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629470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5188</v>
      </c>
      <c r="U17" s="5">
        <f t="shared" si="3"/>
        <v>0</v>
      </c>
      <c r="V17" s="5">
        <f t="shared" si="15"/>
        <v>497</v>
      </c>
      <c r="W17" s="309">
        <f t="shared" si="16"/>
        <v>0</v>
      </c>
      <c r="X17" s="5">
        <f t="shared" si="17"/>
        <v>155702</v>
      </c>
      <c r="Y17" s="309">
        <f t="shared" si="43"/>
        <v>0</v>
      </c>
      <c r="Z17" s="5">
        <f t="shared" si="18"/>
        <v>99475</v>
      </c>
      <c r="AA17" s="83">
        <f t="shared" si="19"/>
        <v>0</v>
      </c>
      <c r="AB17" s="5">
        <f t="shared" si="35"/>
        <v>239</v>
      </c>
      <c r="AC17" s="5">
        <f t="shared" si="20"/>
        <v>790</v>
      </c>
      <c r="AD17" s="83">
        <f t="shared" si="36"/>
        <v>0</v>
      </c>
      <c r="AE17" s="5">
        <f t="shared" si="21"/>
        <v>244.4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27.5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44754</v>
      </c>
      <c r="AS17" s="407">
        <f t="shared" si="29"/>
        <v>0.9</v>
      </c>
      <c r="AT17" s="201">
        <v>123</v>
      </c>
      <c r="AU17" s="408">
        <v>87</v>
      </c>
      <c r="AV17" s="201">
        <f t="shared" si="30"/>
        <v>89</v>
      </c>
      <c r="AW17" s="5">
        <v>2.9</v>
      </c>
      <c r="AX17" s="201">
        <v>118</v>
      </c>
      <c r="AY17" s="409">
        <f t="shared" si="38"/>
        <v>110.7</v>
      </c>
      <c r="AZ17" s="409">
        <f t="shared" si="39"/>
        <v>7743</v>
      </c>
      <c r="BA17" s="409">
        <f t="shared" si="40"/>
        <v>342.2</v>
      </c>
      <c r="BB17" s="21">
        <f t="shared" si="41"/>
        <v>0</v>
      </c>
      <c r="BC17" s="21">
        <f t="shared" si="32"/>
        <v>7645.1</v>
      </c>
      <c r="BD17" s="21">
        <f t="shared" si="32"/>
        <v>-2.8999999999999773</v>
      </c>
      <c r="BE17" s="24">
        <f t="shared" si="33"/>
        <v>7642.2000000000007</v>
      </c>
      <c r="BF17" s="96">
        <f t="shared" si="34"/>
        <v>-7642.2000000000007</v>
      </c>
      <c r="BG17" s="82">
        <f t="shared" si="4"/>
        <v>7642.2000000000007</v>
      </c>
    </row>
    <row r="18" spans="1:61" ht="15.75" thickBot="1">
      <c r="A18" s="6">
        <f>ELEC!C16</f>
        <v>44755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629470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5188</v>
      </c>
      <c r="U18" s="5">
        <f t="shared" si="3"/>
        <v>0</v>
      </c>
      <c r="V18" s="5">
        <f t="shared" si="15"/>
        <v>497</v>
      </c>
      <c r="W18" s="309">
        <f t="shared" si="16"/>
        <v>0</v>
      </c>
      <c r="X18" s="5">
        <f t="shared" si="17"/>
        <v>155702</v>
      </c>
      <c r="Y18" s="309">
        <f t="shared" si="43"/>
        <v>0</v>
      </c>
      <c r="Z18" s="5">
        <f t="shared" si="18"/>
        <v>99475</v>
      </c>
      <c r="AA18" s="83">
        <f t="shared" si="19"/>
        <v>0</v>
      </c>
      <c r="AB18" s="5">
        <f t="shared" si="35"/>
        <v>239</v>
      </c>
      <c r="AC18" s="5">
        <f t="shared" si="20"/>
        <v>790</v>
      </c>
      <c r="AD18" s="83">
        <f t="shared" si="36"/>
        <v>0</v>
      </c>
      <c r="AE18" s="5">
        <f t="shared" si="21"/>
        <v>244.4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26.5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44755</v>
      </c>
      <c r="AS18" s="407">
        <f t="shared" si="29"/>
        <v>0.9</v>
      </c>
      <c r="AT18" s="201">
        <v>106</v>
      </c>
      <c r="AU18" s="408">
        <f t="shared" si="44"/>
        <v>87</v>
      </c>
      <c r="AV18" s="201">
        <v>86</v>
      </c>
      <c r="AW18" s="5">
        <v>2.9</v>
      </c>
      <c r="AX18" s="201">
        <v>115</v>
      </c>
      <c r="AY18" s="409">
        <f t="shared" si="38"/>
        <v>95.4</v>
      </c>
      <c r="AZ18" s="409">
        <f t="shared" si="39"/>
        <v>7482</v>
      </c>
      <c r="BA18" s="409">
        <f t="shared" si="40"/>
        <v>333.5</v>
      </c>
      <c r="BB18" s="21">
        <f t="shared" si="41"/>
        <v>-15.299999999999997</v>
      </c>
      <c r="BC18" s="21">
        <f t="shared" si="32"/>
        <v>-261</v>
      </c>
      <c r="BD18" s="21">
        <f t="shared" si="32"/>
        <v>-8.6999999999999886</v>
      </c>
      <c r="BE18" s="24">
        <f t="shared" si="33"/>
        <v>-285</v>
      </c>
      <c r="BF18" s="96">
        <f t="shared" si="34"/>
        <v>285</v>
      </c>
      <c r="BG18" s="82">
        <f t="shared" si="4"/>
        <v>-285</v>
      </c>
    </row>
    <row r="19" spans="1:61" ht="15.75" thickBot="1">
      <c r="A19" s="6">
        <f>ELEC!C17</f>
        <v>44756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629470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5188</v>
      </c>
      <c r="U19" s="5">
        <f t="shared" si="3"/>
        <v>0</v>
      </c>
      <c r="V19" s="5">
        <f t="shared" si="15"/>
        <v>497</v>
      </c>
      <c r="W19" s="309">
        <f t="shared" si="16"/>
        <v>0</v>
      </c>
      <c r="X19" s="5">
        <f t="shared" si="17"/>
        <v>155702</v>
      </c>
      <c r="Y19" s="309">
        <f t="shared" si="43"/>
        <v>0</v>
      </c>
      <c r="Z19" s="5">
        <f t="shared" si="18"/>
        <v>99475</v>
      </c>
      <c r="AA19" s="83">
        <f t="shared" si="19"/>
        <v>0</v>
      </c>
      <c r="AB19" s="5">
        <f t="shared" si="35"/>
        <v>239</v>
      </c>
      <c r="AC19" s="5">
        <f t="shared" si="20"/>
        <v>790</v>
      </c>
      <c r="AD19" s="83">
        <f t="shared" si="36"/>
        <v>0</v>
      </c>
      <c r="AE19" s="5">
        <f t="shared" si="21"/>
        <v>244.4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7"/>
        <v>0</v>
      </c>
      <c r="AL19" s="312">
        <f t="shared" si="27"/>
        <v>0</v>
      </c>
      <c r="AM19" s="312">
        <f>'General information '!D18</f>
        <v>26.5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44756</v>
      </c>
      <c r="AS19" s="407">
        <f t="shared" si="29"/>
        <v>0.9</v>
      </c>
      <c r="AT19" s="201">
        <f t="shared" si="29"/>
        <v>106</v>
      </c>
      <c r="AU19" s="408">
        <f t="shared" si="44"/>
        <v>87</v>
      </c>
      <c r="AV19" s="201">
        <f t="shared" si="30"/>
        <v>86</v>
      </c>
      <c r="AW19" s="5">
        <v>2.9</v>
      </c>
      <c r="AX19" s="201">
        <f t="shared" si="31"/>
        <v>115</v>
      </c>
      <c r="AY19" s="409">
        <f>AS19*AT19</f>
        <v>95.4</v>
      </c>
      <c r="AZ19" s="409">
        <f>AU19*AV19</f>
        <v>7482</v>
      </c>
      <c r="BA19" s="409">
        <f>AW19*AX19</f>
        <v>333.5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44757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629470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5188</v>
      </c>
      <c r="U20" s="5">
        <f t="shared" si="3"/>
        <v>0</v>
      </c>
      <c r="V20" s="5">
        <f t="shared" si="15"/>
        <v>497</v>
      </c>
      <c r="W20" s="309">
        <f t="shared" si="16"/>
        <v>0</v>
      </c>
      <c r="X20" s="5">
        <f t="shared" si="17"/>
        <v>155702</v>
      </c>
      <c r="Y20" s="309">
        <f t="shared" si="43"/>
        <v>0</v>
      </c>
      <c r="Z20" s="5">
        <f t="shared" si="18"/>
        <v>99475</v>
      </c>
      <c r="AA20" s="83">
        <f t="shared" si="19"/>
        <v>0</v>
      </c>
      <c r="AB20" s="5">
        <f t="shared" si="35"/>
        <v>239</v>
      </c>
      <c r="AC20" s="5">
        <f t="shared" si="20"/>
        <v>790</v>
      </c>
      <c r="AD20" s="83">
        <f t="shared" si="36"/>
        <v>0</v>
      </c>
      <c r="AE20" s="5">
        <f t="shared" si="21"/>
        <v>244.4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7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44757</v>
      </c>
      <c r="AS20" s="407">
        <f t="shared" si="29"/>
        <v>0.9</v>
      </c>
      <c r="AT20" s="201">
        <f t="shared" si="29"/>
        <v>106</v>
      </c>
      <c r="AU20" s="408">
        <f t="shared" si="44"/>
        <v>87</v>
      </c>
      <c r="AV20" s="201">
        <f t="shared" si="30"/>
        <v>86</v>
      </c>
      <c r="AW20" s="5">
        <v>2.9</v>
      </c>
      <c r="AX20" s="201">
        <f t="shared" si="31"/>
        <v>115</v>
      </c>
      <c r="AY20" s="409">
        <f>AS20*AT20</f>
        <v>95.4</v>
      </c>
      <c r="AZ20" s="409">
        <f>AU20*AV20</f>
        <v>7482</v>
      </c>
      <c r="BA20" s="409">
        <f>AW20*AX20</f>
        <v>333.5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44758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629470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5188</v>
      </c>
      <c r="U21" s="5">
        <f t="shared" si="3"/>
        <v>0</v>
      </c>
      <c r="V21" s="5">
        <f t="shared" si="15"/>
        <v>497</v>
      </c>
      <c r="W21" s="309">
        <f t="shared" si="16"/>
        <v>0</v>
      </c>
      <c r="X21" s="5">
        <f t="shared" si="17"/>
        <v>155702</v>
      </c>
      <c r="Y21" s="309">
        <f>SUM(X21-X20)</f>
        <v>0</v>
      </c>
      <c r="Z21" s="5">
        <f t="shared" si="18"/>
        <v>99475</v>
      </c>
      <c r="AA21" s="83">
        <f t="shared" si="19"/>
        <v>0</v>
      </c>
      <c r="AB21" s="5">
        <f t="shared" si="35"/>
        <v>239</v>
      </c>
      <c r="AC21" s="5">
        <f t="shared" si="20"/>
        <v>790</v>
      </c>
      <c r="AD21" s="83">
        <f t="shared" si="36"/>
        <v>0</v>
      </c>
      <c r="AE21" s="5">
        <f t="shared" si="21"/>
        <v>244.4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44758</v>
      </c>
      <c r="AS21" s="407">
        <f t="shared" si="29"/>
        <v>0.9</v>
      </c>
      <c r="AT21" s="201">
        <f t="shared" si="29"/>
        <v>106</v>
      </c>
      <c r="AU21" s="408">
        <f t="shared" si="44"/>
        <v>87</v>
      </c>
      <c r="AV21" s="201">
        <f t="shared" si="30"/>
        <v>86</v>
      </c>
      <c r="AW21" s="5">
        <v>2.9</v>
      </c>
      <c r="AX21" s="201">
        <f t="shared" si="31"/>
        <v>115</v>
      </c>
      <c r="AY21" s="409">
        <f>AS21*AT21</f>
        <v>95.4</v>
      </c>
      <c r="AZ21" s="409">
        <f>AU21*AV21</f>
        <v>7482</v>
      </c>
      <c r="BA21" s="409">
        <f>AW21*AX21</f>
        <v>333.5</v>
      </c>
      <c r="BB21" s="21">
        <f t="shared" ref="BB21:BD33" si="49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44759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v>629609</v>
      </c>
      <c r="H22" s="5">
        <f t="shared" si="9"/>
        <v>139</v>
      </c>
      <c r="I22" s="5">
        <f t="shared" si="10"/>
        <v>139</v>
      </c>
      <c r="J22" s="319">
        <f t="shared" si="0"/>
        <v>1.7405430494314227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5188</v>
      </c>
      <c r="U22" s="5">
        <f t="shared" si="3"/>
        <v>0</v>
      </c>
      <c r="V22" s="5">
        <f t="shared" si="15"/>
        <v>497</v>
      </c>
      <c r="W22" s="309">
        <f t="shared" si="16"/>
        <v>0</v>
      </c>
      <c r="X22" s="5">
        <f t="shared" si="17"/>
        <v>155702</v>
      </c>
      <c r="Y22" s="309">
        <f t="shared" si="43"/>
        <v>0</v>
      </c>
      <c r="Z22" s="5">
        <f t="shared" si="18"/>
        <v>99475</v>
      </c>
      <c r="AA22" s="83">
        <f t="shared" si="19"/>
        <v>0</v>
      </c>
      <c r="AB22" s="5">
        <f t="shared" si="35"/>
        <v>239</v>
      </c>
      <c r="AC22" s="5">
        <f t="shared" si="20"/>
        <v>790</v>
      </c>
      <c r="AD22" s="83">
        <f t="shared" si="36"/>
        <v>0</v>
      </c>
      <c r="AE22" s="5">
        <f t="shared" si="21"/>
        <v>244.4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7"/>
        <v>0</v>
      </c>
      <c r="AL22" s="312">
        <f t="shared" si="27"/>
        <v>0</v>
      </c>
      <c r="AM22" s="312">
        <f>'General information '!D21</f>
        <v>27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44759</v>
      </c>
      <c r="AS22" s="407">
        <f t="shared" ref="AS22:AT33" si="50">AS21</f>
        <v>0.9</v>
      </c>
      <c r="AT22" s="201">
        <v>144</v>
      </c>
      <c r="AU22" s="408">
        <f t="shared" si="44"/>
        <v>87</v>
      </c>
      <c r="AV22" s="201">
        <v>124</v>
      </c>
      <c r="AW22" s="5">
        <v>2.9</v>
      </c>
      <c r="AX22" s="201">
        <v>114</v>
      </c>
      <c r="AY22" s="409">
        <f t="shared" si="38"/>
        <v>129.6</v>
      </c>
      <c r="AZ22" s="409">
        <f t="shared" si="39"/>
        <v>10788</v>
      </c>
      <c r="BA22" s="409">
        <f t="shared" si="40"/>
        <v>330.59999999999997</v>
      </c>
      <c r="BB22" s="21">
        <f>AY22-AY21</f>
        <v>34.199999999999989</v>
      </c>
      <c r="BC22" s="21">
        <f t="shared" si="49"/>
        <v>3306</v>
      </c>
      <c r="BD22" s="21">
        <f t="shared" si="49"/>
        <v>-2.9000000000000341</v>
      </c>
      <c r="BE22" s="24">
        <f t="shared" si="33"/>
        <v>3337.2999999999997</v>
      </c>
      <c r="BF22" s="96">
        <f t="shared" si="34"/>
        <v>-3198.2999999999997</v>
      </c>
      <c r="BG22" s="82">
        <f t="shared" si="4"/>
        <v>3337.2999999999997</v>
      </c>
    </row>
    <row r="23" spans="1:61" ht="15.75" thickBot="1">
      <c r="A23" s="6">
        <f>ELEC!C21</f>
        <v>44760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629609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5188</v>
      </c>
      <c r="U23" s="5">
        <f t="shared" si="3"/>
        <v>0</v>
      </c>
      <c r="V23" s="5">
        <f t="shared" si="15"/>
        <v>497</v>
      </c>
      <c r="W23" s="309">
        <f t="shared" si="16"/>
        <v>0</v>
      </c>
      <c r="X23" s="5">
        <f t="shared" si="17"/>
        <v>155702</v>
      </c>
      <c r="Y23" s="309">
        <f t="shared" si="43"/>
        <v>0</v>
      </c>
      <c r="Z23" s="5">
        <f t="shared" si="18"/>
        <v>99475</v>
      </c>
      <c r="AA23" s="83">
        <f t="shared" si="19"/>
        <v>0</v>
      </c>
      <c r="AB23" s="5">
        <f t="shared" si="35"/>
        <v>239</v>
      </c>
      <c r="AC23" s="5">
        <f t="shared" si="20"/>
        <v>790</v>
      </c>
      <c r="AD23" s="83">
        <f t="shared" si="36"/>
        <v>0</v>
      </c>
      <c r="AE23" s="5">
        <f t="shared" si="21"/>
        <v>244.4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7"/>
        <v>0</v>
      </c>
      <c r="AL23" s="312">
        <f t="shared" si="27"/>
        <v>0</v>
      </c>
      <c r="AM23" s="312">
        <f>'General information '!D22</f>
        <v>27.5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44760</v>
      </c>
      <c r="AS23" s="407">
        <f t="shared" si="50"/>
        <v>0.9</v>
      </c>
      <c r="AT23" s="201">
        <f t="shared" si="50"/>
        <v>144</v>
      </c>
      <c r="AU23" s="408">
        <f t="shared" si="44"/>
        <v>87</v>
      </c>
      <c r="AV23" s="201">
        <v>123</v>
      </c>
      <c r="AW23" s="5">
        <v>2.9</v>
      </c>
      <c r="AX23" s="201">
        <v>113</v>
      </c>
      <c r="AY23" s="409">
        <f t="shared" si="38"/>
        <v>129.6</v>
      </c>
      <c r="AZ23" s="409">
        <f t="shared" si="39"/>
        <v>10701</v>
      </c>
      <c r="BA23" s="409">
        <f t="shared" si="40"/>
        <v>327.7</v>
      </c>
      <c r="BB23" s="21">
        <f t="shared" si="49"/>
        <v>0</v>
      </c>
      <c r="BC23" s="21">
        <f t="shared" si="49"/>
        <v>-87</v>
      </c>
      <c r="BD23" s="21">
        <f t="shared" si="49"/>
        <v>-2.8999999999999773</v>
      </c>
      <c r="BE23" s="24">
        <f t="shared" si="33"/>
        <v>-89.899999999999977</v>
      </c>
      <c r="BF23" s="96">
        <f t="shared" si="34"/>
        <v>89.899999999999977</v>
      </c>
      <c r="BG23" s="82">
        <f t="shared" si="4"/>
        <v>-89.899999999999977</v>
      </c>
    </row>
    <row r="24" spans="1:61" ht="15.75" thickBot="1">
      <c r="A24" s="6">
        <f>ELEC!C22</f>
        <v>44761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629609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5188</v>
      </c>
      <c r="U24" s="5">
        <f t="shared" si="3"/>
        <v>0</v>
      </c>
      <c r="V24" s="5">
        <f t="shared" si="15"/>
        <v>497</v>
      </c>
      <c r="W24" s="309">
        <f t="shared" si="16"/>
        <v>0</v>
      </c>
      <c r="X24" s="5">
        <f t="shared" si="17"/>
        <v>155702</v>
      </c>
      <c r="Y24" s="309">
        <f t="shared" si="43"/>
        <v>0</v>
      </c>
      <c r="Z24" s="5">
        <f t="shared" si="18"/>
        <v>99475</v>
      </c>
      <c r="AA24" s="83">
        <f t="shared" si="19"/>
        <v>0</v>
      </c>
      <c r="AB24" s="5">
        <f t="shared" si="35"/>
        <v>239</v>
      </c>
      <c r="AC24" s="5">
        <f t="shared" si="20"/>
        <v>790</v>
      </c>
      <c r="AD24" s="83">
        <f t="shared" si="36"/>
        <v>0</v>
      </c>
      <c r="AE24" s="5">
        <f t="shared" si="21"/>
        <v>244.4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7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44761</v>
      </c>
      <c r="AS24" s="407">
        <f t="shared" si="50"/>
        <v>0.9</v>
      </c>
      <c r="AT24" s="201">
        <f t="shared" si="50"/>
        <v>144</v>
      </c>
      <c r="AU24" s="408">
        <f t="shared" si="44"/>
        <v>87</v>
      </c>
      <c r="AV24" s="201">
        <f t="shared" si="30"/>
        <v>123</v>
      </c>
      <c r="AW24" s="5">
        <v>2.9</v>
      </c>
      <c r="AX24" s="201">
        <f t="shared" si="31"/>
        <v>113</v>
      </c>
      <c r="AY24" s="409">
        <f t="shared" si="38"/>
        <v>129.6</v>
      </c>
      <c r="AZ24" s="409">
        <f t="shared" si="39"/>
        <v>10701</v>
      </c>
      <c r="BA24" s="409">
        <f t="shared" si="40"/>
        <v>327.7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44762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629609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5188</v>
      </c>
      <c r="U25" s="5">
        <f t="shared" si="3"/>
        <v>0</v>
      </c>
      <c r="V25" s="5">
        <f t="shared" si="15"/>
        <v>497</v>
      </c>
      <c r="W25" s="309">
        <f t="shared" si="16"/>
        <v>0</v>
      </c>
      <c r="X25" s="5">
        <f t="shared" si="17"/>
        <v>155702</v>
      </c>
      <c r="Y25" s="309">
        <f t="shared" si="43"/>
        <v>0</v>
      </c>
      <c r="Z25" s="5">
        <v>99475</v>
      </c>
      <c r="AA25" s="83">
        <f t="shared" si="19"/>
        <v>0</v>
      </c>
      <c r="AB25" s="5">
        <f t="shared" si="35"/>
        <v>239</v>
      </c>
      <c r="AC25" s="5">
        <f t="shared" si="20"/>
        <v>790</v>
      </c>
      <c r="AD25" s="83">
        <f t="shared" si="36"/>
        <v>0</v>
      </c>
      <c r="AE25" s="5">
        <f t="shared" si="21"/>
        <v>244.4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7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44762</v>
      </c>
      <c r="AS25" s="407">
        <f t="shared" si="50"/>
        <v>0.9</v>
      </c>
      <c r="AT25" s="201">
        <f t="shared" si="50"/>
        <v>144</v>
      </c>
      <c r="AU25" s="408">
        <f t="shared" si="44"/>
        <v>87</v>
      </c>
      <c r="AV25" s="201">
        <f t="shared" si="30"/>
        <v>123</v>
      </c>
      <c r="AW25" s="5">
        <v>2.9</v>
      </c>
      <c r="AX25" s="201">
        <f t="shared" si="31"/>
        <v>113</v>
      </c>
      <c r="AY25" s="409">
        <f t="shared" si="38"/>
        <v>129.6</v>
      </c>
      <c r="AZ25" s="409">
        <f t="shared" si="39"/>
        <v>10701</v>
      </c>
      <c r="BA25" s="409">
        <f t="shared" si="40"/>
        <v>327.7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44763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629609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5188</v>
      </c>
      <c r="U26" s="5">
        <f t="shared" si="3"/>
        <v>0</v>
      </c>
      <c r="V26" s="5">
        <f t="shared" si="15"/>
        <v>497</v>
      </c>
      <c r="W26" s="309">
        <f t="shared" si="16"/>
        <v>0</v>
      </c>
      <c r="X26" s="5">
        <f t="shared" si="17"/>
        <v>155702</v>
      </c>
      <c r="Y26" s="309">
        <f t="shared" si="43"/>
        <v>0</v>
      </c>
      <c r="Z26" s="5">
        <f t="shared" si="18"/>
        <v>99475</v>
      </c>
      <c r="AA26" s="83">
        <f t="shared" si="19"/>
        <v>0</v>
      </c>
      <c r="AB26" s="5">
        <f t="shared" si="35"/>
        <v>239</v>
      </c>
      <c r="AC26" s="5">
        <f t="shared" si="20"/>
        <v>790</v>
      </c>
      <c r="AD26" s="83">
        <f t="shared" si="36"/>
        <v>0</v>
      </c>
      <c r="AE26" s="5">
        <f t="shared" si="21"/>
        <v>244.4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44763</v>
      </c>
      <c r="AS26" s="407">
        <f t="shared" si="50"/>
        <v>0.9</v>
      </c>
      <c r="AT26" s="201">
        <f t="shared" si="50"/>
        <v>144</v>
      </c>
      <c r="AU26" s="408">
        <f t="shared" si="44"/>
        <v>87</v>
      </c>
      <c r="AV26" s="201">
        <f t="shared" si="30"/>
        <v>123</v>
      </c>
      <c r="AW26" s="5">
        <v>2.9</v>
      </c>
      <c r="AX26" s="201">
        <f t="shared" si="31"/>
        <v>113</v>
      </c>
      <c r="AY26" s="409">
        <f t="shared" si="38"/>
        <v>129.6</v>
      </c>
      <c r="AZ26" s="409">
        <f t="shared" si="39"/>
        <v>10701</v>
      </c>
      <c r="BA26" s="409">
        <f t="shared" si="40"/>
        <v>327.7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44764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629609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5188</v>
      </c>
      <c r="U27" s="5">
        <f t="shared" si="3"/>
        <v>0</v>
      </c>
      <c r="V27" s="5">
        <f t="shared" si="15"/>
        <v>497</v>
      </c>
      <c r="W27" s="309">
        <f t="shared" si="16"/>
        <v>0</v>
      </c>
      <c r="X27" s="5">
        <f t="shared" si="17"/>
        <v>155702</v>
      </c>
      <c r="Y27" s="309">
        <f t="shared" si="43"/>
        <v>0</v>
      </c>
      <c r="Z27" s="5">
        <f t="shared" si="18"/>
        <v>99475</v>
      </c>
      <c r="AA27" s="83">
        <f t="shared" si="19"/>
        <v>0</v>
      </c>
      <c r="AB27" s="5">
        <f t="shared" si="35"/>
        <v>239</v>
      </c>
      <c r="AC27" s="5">
        <f t="shared" si="20"/>
        <v>790</v>
      </c>
      <c r="AD27" s="83">
        <f t="shared" si="36"/>
        <v>0</v>
      </c>
      <c r="AE27" s="5">
        <f t="shared" si="21"/>
        <v>244.4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7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44764</v>
      </c>
      <c r="AS27" s="407">
        <f t="shared" si="50"/>
        <v>0.9</v>
      </c>
      <c r="AT27" s="201">
        <f t="shared" si="50"/>
        <v>144</v>
      </c>
      <c r="AU27" s="408">
        <f t="shared" si="44"/>
        <v>87</v>
      </c>
      <c r="AV27" s="201">
        <f t="shared" si="30"/>
        <v>123</v>
      </c>
      <c r="AW27" s="5">
        <v>2.9</v>
      </c>
      <c r="AX27" s="201">
        <f t="shared" si="31"/>
        <v>113</v>
      </c>
      <c r="AY27" s="409">
        <f t="shared" si="38"/>
        <v>129.6</v>
      </c>
      <c r="AZ27" s="409">
        <f t="shared" si="39"/>
        <v>10701</v>
      </c>
      <c r="BA27" s="409">
        <f t="shared" si="40"/>
        <v>327.7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44765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629609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5188</v>
      </c>
      <c r="U28" s="5">
        <f t="shared" si="3"/>
        <v>0</v>
      </c>
      <c r="V28" s="5">
        <f t="shared" si="15"/>
        <v>497</v>
      </c>
      <c r="W28" s="309">
        <f t="shared" si="16"/>
        <v>0</v>
      </c>
      <c r="X28" s="5">
        <f t="shared" si="17"/>
        <v>155702</v>
      </c>
      <c r="Y28" s="309">
        <f t="shared" si="43"/>
        <v>0</v>
      </c>
      <c r="Z28" s="5">
        <f t="shared" si="18"/>
        <v>99475</v>
      </c>
      <c r="AA28" s="83">
        <f t="shared" si="19"/>
        <v>0</v>
      </c>
      <c r="AB28" s="5">
        <f t="shared" si="35"/>
        <v>239</v>
      </c>
      <c r="AC28" s="5">
        <f t="shared" si="20"/>
        <v>790</v>
      </c>
      <c r="AD28" s="83">
        <f t="shared" si="36"/>
        <v>0</v>
      </c>
      <c r="AE28" s="5">
        <f t="shared" si="21"/>
        <v>244.4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7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44765</v>
      </c>
      <c r="AS28" s="407">
        <f t="shared" si="50"/>
        <v>0.9</v>
      </c>
      <c r="AT28" s="201">
        <f t="shared" si="50"/>
        <v>144</v>
      </c>
      <c r="AU28" s="408">
        <f t="shared" si="44"/>
        <v>87</v>
      </c>
      <c r="AV28" s="201">
        <f t="shared" si="30"/>
        <v>123</v>
      </c>
      <c r="AW28" s="5">
        <v>2.9</v>
      </c>
      <c r="AX28" s="201">
        <f t="shared" si="31"/>
        <v>113</v>
      </c>
      <c r="AY28" s="409">
        <f t="shared" si="38"/>
        <v>129.6</v>
      </c>
      <c r="AZ28" s="409">
        <f t="shared" si="39"/>
        <v>10701</v>
      </c>
      <c r="BA28" s="409">
        <f t="shared" si="40"/>
        <v>327.7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44766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629609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5188</v>
      </c>
      <c r="U29" s="5">
        <f t="shared" si="3"/>
        <v>0</v>
      </c>
      <c r="V29" s="5">
        <f t="shared" si="15"/>
        <v>497</v>
      </c>
      <c r="W29" s="309">
        <f t="shared" si="16"/>
        <v>0</v>
      </c>
      <c r="X29" s="5">
        <f t="shared" si="17"/>
        <v>155702</v>
      </c>
      <c r="Y29" s="309">
        <f t="shared" si="43"/>
        <v>0</v>
      </c>
      <c r="Z29" s="5">
        <f t="shared" si="18"/>
        <v>99475</v>
      </c>
      <c r="AA29" s="83">
        <f t="shared" si="19"/>
        <v>0</v>
      </c>
      <c r="AB29" s="5">
        <f t="shared" si="35"/>
        <v>239</v>
      </c>
      <c r="AC29" s="5">
        <f t="shared" si="20"/>
        <v>790</v>
      </c>
      <c r="AD29" s="83">
        <f t="shared" si="36"/>
        <v>0</v>
      </c>
      <c r="AE29" s="5">
        <f t="shared" si="21"/>
        <v>244.4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7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44766</v>
      </c>
      <c r="AS29" s="407">
        <f t="shared" si="50"/>
        <v>0.9</v>
      </c>
      <c r="AT29" s="201">
        <f t="shared" si="50"/>
        <v>144</v>
      </c>
      <c r="AU29" s="408">
        <f t="shared" si="44"/>
        <v>87</v>
      </c>
      <c r="AV29" s="201">
        <f t="shared" si="30"/>
        <v>123</v>
      </c>
      <c r="AW29" s="5">
        <v>2.9</v>
      </c>
      <c r="AX29" s="201">
        <f t="shared" si="31"/>
        <v>113</v>
      </c>
      <c r="AY29" s="409">
        <f t="shared" si="38"/>
        <v>129.6</v>
      </c>
      <c r="AZ29" s="409">
        <f t="shared" si="39"/>
        <v>10701</v>
      </c>
      <c r="BA29" s="409">
        <f t="shared" si="40"/>
        <v>327.7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44767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629609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5188</v>
      </c>
      <c r="U30" s="5">
        <f t="shared" si="3"/>
        <v>0</v>
      </c>
      <c r="V30" s="5">
        <f t="shared" si="15"/>
        <v>497</v>
      </c>
      <c r="W30" s="309">
        <f t="shared" si="16"/>
        <v>0</v>
      </c>
      <c r="X30" s="5">
        <f t="shared" si="17"/>
        <v>155702</v>
      </c>
      <c r="Y30" s="309">
        <f t="shared" si="43"/>
        <v>0</v>
      </c>
      <c r="Z30" s="5">
        <f t="shared" si="18"/>
        <v>99475</v>
      </c>
      <c r="AA30" s="83">
        <f t="shared" si="19"/>
        <v>0</v>
      </c>
      <c r="AB30" s="5">
        <f t="shared" si="35"/>
        <v>239</v>
      </c>
      <c r="AC30" s="5">
        <f t="shared" si="20"/>
        <v>790</v>
      </c>
      <c r="AD30" s="83">
        <f t="shared" si="36"/>
        <v>0</v>
      </c>
      <c r="AE30" s="5">
        <f t="shared" si="21"/>
        <v>244.4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7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44767</v>
      </c>
      <c r="AS30" s="407">
        <f t="shared" si="50"/>
        <v>0.9</v>
      </c>
      <c r="AT30" s="201">
        <f t="shared" si="50"/>
        <v>144</v>
      </c>
      <c r="AU30" s="408">
        <f t="shared" si="44"/>
        <v>87</v>
      </c>
      <c r="AV30" s="201">
        <f t="shared" si="30"/>
        <v>123</v>
      </c>
      <c r="AW30" s="5">
        <v>2.9</v>
      </c>
      <c r="AX30" s="201">
        <f t="shared" si="31"/>
        <v>113</v>
      </c>
      <c r="AY30" s="409">
        <f t="shared" si="38"/>
        <v>129.6</v>
      </c>
      <c r="AZ30" s="409">
        <f t="shared" si="39"/>
        <v>10701</v>
      </c>
      <c r="BA30" s="409">
        <f t="shared" si="40"/>
        <v>327.7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44768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629609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5188</v>
      </c>
      <c r="U31" s="5">
        <f t="shared" si="3"/>
        <v>0</v>
      </c>
      <c r="V31" s="5">
        <f t="shared" si="15"/>
        <v>497</v>
      </c>
      <c r="W31" s="309">
        <f t="shared" si="16"/>
        <v>0</v>
      </c>
      <c r="X31" s="5">
        <f t="shared" si="17"/>
        <v>155702</v>
      </c>
      <c r="Y31" s="309">
        <f t="shared" si="43"/>
        <v>0</v>
      </c>
      <c r="Z31" s="5">
        <f t="shared" si="18"/>
        <v>99475</v>
      </c>
      <c r="AA31" s="83">
        <f t="shared" si="19"/>
        <v>0</v>
      </c>
      <c r="AB31" s="5">
        <f t="shared" si="35"/>
        <v>239</v>
      </c>
      <c r="AC31" s="5">
        <f t="shared" si="20"/>
        <v>790</v>
      </c>
      <c r="AD31" s="83">
        <f t="shared" si="36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7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44768</v>
      </c>
      <c r="AS31" s="407">
        <f t="shared" si="50"/>
        <v>0.9</v>
      </c>
      <c r="AT31" s="201">
        <f t="shared" si="50"/>
        <v>144</v>
      </c>
      <c r="AU31" s="408">
        <f t="shared" si="44"/>
        <v>87</v>
      </c>
      <c r="AV31" s="201">
        <f t="shared" si="30"/>
        <v>123</v>
      </c>
      <c r="AW31" s="5">
        <v>2.9</v>
      </c>
      <c r="AX31" s="201">
        <f t="shared" si="31"/>
        <v>113</v>
      </c>
      <c r="AY31" s="409">
        <f t="shared" si="38"/>
        <v>129.6</v>
      </c>
      <c r="AZ31" s="409">
        <f>AU31*AV31</f>
        <v>10701</v>
      </c>
      <c r="BA31" s="409">
        <f t="shared" si="40"/>
        <v>327.7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44769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629609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5188</v>
      </c>
      <c r="U32" s="5">
        <f t="shared" si="3"/>
        <v>0</v>
      </c>
      <c r="V32" s="5">
        <f t="shared" si="15"/>
        <v>497</v>
      </c>
      <c r="W32" s="309">
        <f t="shared" si="16"/>
        <v>0</v>
      </c>
      <c r="X32" s="5">
        <f t="shared" si="17"/>
        <v>155702</v>
      </c>
      <c r="Y32" s="309">
        <f t="shared" si="43"/>
        <v>0</v>
      </c>
      <c r="Z32" s="5">
        <f t="shared" si="18"/>
        <v>99475</v>
      </c>
      <c r="AA32" s="83">
        <f t="shared" si="19"/>
        <v>0</v>
      </c>
      <c r="AB32" s="5">
        <f t="shared" si="35"/>
        <v>239</v>
      </c>
      <c r="AC32" s="5">
        <f t="shared" si="20"/>
        <v>790</v>
      </c>
      <c r="AD32" s="83">
        <f t="shared" si="36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7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44769</v>
      </c>
      <c r="AS32" s="407">
        <f t="shared" si="50"/>
        <v>0.9</v>
      </c>
      <c r="AT32" s="201">
        <f t="shared" si="50"/>
        <v>144</v>
      </c>
      <c r="AU32" s="408">
        <f t="shared" si="44"/>
        <v>87</v>
      </c>
      <c r="AV32" s="201">
        <f t="shared" si="30"/>
        <v>123</v>
      </c>
      <c r="AW32" s="5">
        <v>2.9</v>
      </c>
      <c r="AX32" s="201">
        <f t="shared" si="31"/>
        <v>113</v>
      </c>
      <c r="AY32" s="409">
        <f t="shared" si="38"/>
        <v>129.6</v>
      </c>
      <c r="AZ32" s="409">
        <f t="shared" si="39"/>
        <v>10701</v>
      </c>
      <c r="BA32" s="409">
        <f t="shared" si="40"/>
        <v>327.7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44770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629609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5188</v>
      </c>
      <c r="U33" s="5">
        <f t="shared" si="3"/>
        <v>0</v>
      </c>
      <c r="V33" s="5">
        <f t="shared" si="15"/>
        <v>497</v>
      </c>
      <c r="W33" s="309">
        <f t="shared" si="16"/>
        <v>0</v>
      </c>
      <c r="X33" s="5">
        <f t="shared" si="17"/>
        <v>155702</v>
      </c>
      <c r="Y33" s="309">
        <f t="shared" si="43"/>
        <v>0</v>
      </c>
      <c r="Z33" s="5">
        <f t="shared" si="18"/>
        <v>99475</v>
      </c>
      <c r="AA33" s="83">
        <f t="shared" si="19"/>
        <v>0</v>
      </c>
      <c r="AB33" s="5">
        <f t="shared" si="35"/>
        <v>239</v>
      </c>
      <c r="AC33" s="5">
        <f t="shared" si="20"/>
        <v>790</v>
      </c>
      <c r="AD33" s="83">
        <f t="shared" si="36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7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44770</v>
      </c>
      <c r="AS33" s="407">
        <f t="shared" si="50"/>
        <v>0.9</v>
      </c>
      <c r="AT33" s="201">
        <f t="shared" si="50"/>
        <v>144</v>
      </c>
      <c r="AU33" s="408">
        <f t="shared" si="44"/>
        <v>87</v>
      </c>
      <c r="AV33" s="201">
        <f t="shared" si="30"/>
        <v>123</v>
      </c>
      <c r="AW33" s="5">
        <v>2.9</v>
      </c>
      <c r="AX33" s="201">
        <f t="shared" si="31"/>
        <v>113</v>
      </c>
      <c r="AY33" s="409">
        <f t="shared" si="38"/>
        <v>129.6</v>
      </c>
      <c r="AZ33" s="409">
        <f t="shared" si="39"/>
        <v>10701</v>
      </c>
      <c r="BA33" s="409">
        <f t="shared" si="40"/>
        <v>327.7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44771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241.93548387096774</v>
      </c>
      <c r="F34" s="312"/>
      <c r="G34" s="5">
        <f t="shared" si="8"/>
        <v>629609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5188</v>
      </c>
      <c r="U34" s="5">
        <f t="shared" ref="U34:U36" si="60">SUM(T34-T33)</f>
        <v>0</v>
      </c>
      <c r="V34" s="5">
        <f t="shared" si="15"/>
        <v>497</v>
      </c>
      <c r="W34" s="309">
        <f t="shared" ref="W34:W36" si="61">+V34-V33</f>
        <v>0</v>
      </c>
      <c r="X34" s="5">
        <f t="shared" si="17"/>
        <v>155702</v>
      </c>
      <c r="Y34" s="309">
        <f t="shared" ref="Y34:Y36" si="62">SUM(X34-X33)</f>
        <v>0</v>
      </c>
      <c r="Z34" s="5">
        <f t="shared" si="18"/>
        <v>99475</v>
      </c>
      <c r="AA34" s="83">
        <f t="shared" ref="AA34:AA36" si="63">Z34-Z33</f>
        <v>0</v>
      </c>
      <c r="AB34" s="5">
        <f t="shared" si="35"/>
        <v>239</v>
      </c>
      <c r="AC34" s="5">
        <f t="shared" si="20"/>
        <v>790</v>
      </c>
      <c r="AD34" s="83">
        <f t="shared" ref="AD34:AD36" si="64">AC34-AC33</f>
        <v>0</v>
      </c>
      <c r="AE34" s="5">
        <f t="shared" si="21"/>
        <v>244.4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44771</v>
      </c>
      <c r="AS34" s="407">
        <f t="shared" ref="AS34:AT34" si="71">AS33</f>
        <v>0.9</v>
      </c>
      <c r="AT34" s="201">
        <f t="shared" si="71"/>
        <v>144</v>
      </c>
      <c r="AU34" s="408">
        <f t="shared" si="44"/>
        <v>87</v>
      </c>
      <c r="AV34" s="201">
        <f t="shared" si="30"/>
        <v>123</v>
      </c>
      <c r="AW34" s="5">
        <v>2.9</v>
      </c>
      <c r="AX34" s="201">
        <f t="shared" si="31"/>
        <v>113</v>
      </c>
      <c r="AY34" s="409">
        <f t="shared" ref="AY34:AY36" si="72">AS34*AT34</f>
        <v>129.6</v>
      </c>
      <c r="AZ34" s="409">
        <f t="shared" ref="AZ34:AZ36" si="73">AU34*AV34</f>
        <v>10701</v>
      </c>
      <c r="BA34" s="409">
        <f t="shared" ref="BA34:BA36" si="74">AW34*AX34</f>
        <v>327.7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44772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241.93548387096774</v>
      </c>
      <c r="F35" s="312"/>
      <c r="G35" s="5">
        <f t="shared" si="8"/>
        <v>629609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5188</v>
      </c>
      <c r="U35" s="5">
        <f t="shared" si="60"/>
        <v>0</v>
      </c>
      <c r="V35" s="5">
        <f t="shared" si="15"/>
        <v>497</v>
      </c>
      <c r="W35" s="309">
        <f t="shared" si="61"/>
        <v>0</v>
      </c>
      <c r="X35" s="5">
        <f t="shared" si="17"/>
        <v>155702</v>
      </c>
      <c r="Y35" s="309">
        <f t="shared" si="62"/>
        <v>0</v>
      </c>
      <c r="Z35" s="5">
        <f t="shared" si="18"/>
        <v>99475</v>
      </c>
      <c r="AA35" s="83">
        <f t="shared" si="63"/>
        <v>0</v>
      </c>
      <c r="AB35" s="5">
        <f t="shared" si="35"/>
        <v>239</v>
      </c>
      <c r="AC35" s="5">
        <f t="shared" si="20"/>
        <v>790</v>
      </c>
      <c r="AD35" s="83">
        <f t="shared" si="64"/>
        <v>0</v>
      </c>
      <c r="AE35" s="5">
        <f t="shared" si="21"/>
        <v>244.4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44772</v>
      </c>
      <c r="AS35" s="407">
        <f t="shared" ref="AS35:AT35" si="82">AS34</f>
        <v>0.9</v>
      </c>
      <c r="AT35" s="201">
        <f t="shared" si="82"/>
        <v>144</v>
      </c>
      <c r="AU35" s="408">
        <f t="shared" si="44"/>
        <v>87</v>
      </c>
      <c r="AV35" s="201">
        <f t="shared" si="30"/>
        <v>123</v>
      </c>
      <c r="AW35" s="5">
        <v>2.9</v>
      </c>
      <c r="AX35" s="201">
        <f t="shared" si="31"/>
        <v>113</v>
      </c>
      <c r="AY35" s="409">
        <f t="shared" si="72"/>
        <v>129.6</v>
      </c>
      <c r="AZ35" s="409">
        <f t="shared" si="73"/>
        <v>10701</v>
      </c>
      <c r="BA35" s="409">
        <f t="shared" si="74"/>
        <v>327.7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44773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241.93548387096774</v>
      </c>
      <c r="F36" s="312"/>
      <c r="G36" s="5">
        <f t="shared" si="8"/>
        <v>629609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5188</v>
      </c>
      <c r="U36" s="5">
        <f t="shared" si="60"/>
        <v>0</v>
      </c>
      <c r="V36" s="5">
        <f t="shared" si="15"/>
        <v>497</v>
      </c>
      <c r="W36" s="309">
        <f t="shared" si="61"/>
        <v>0</v>
      </c>
      <c r="X36" s="5">
        <f t="shared" si="17"/>
        <v>155702</v>
      </c>
      <c r="Y36" s="309">
        <f t="shared" si="62"/>
        <v>0</v>
      </c>
      <c r="Z36" s="5">
        <f t="shared" si="18"/>
        <v>99475</v>
      </c>
      <c r="AA36" s="83">
        <f t="shared" si="63"/>
        <v>0</v>
      </c>
      <c r="AB36" s="5">
        <f t="shared" si="35"/>
        <v>239</v>
      </c>
      <c r="AC36" s="5">
        <f t="shared" si="20"/>
        <v>790</v>
      </c>
      <c r="AD36" s="83">
        <f t="shared" si="64"/>
        <v>0</v>
      </c>
      <c r="AE36" s="5">
        <f t="shared" si="21"/>
        <v>244.4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44773</v>
      </c>
      <c r="AS36" s="407">
        <f t="shared" ref="AS36:AT36" si="83">AS35</f>
        <v>0.9</v>
      </c>
      <c r="AT36" s="201">
        <f t="shared" si="83"/>
        <v>144</v>
      </c>
      <c r="AU36" s="408">
        <f t="shared" si="44"/>
        <v>87</v>
      </c>
      <c r="AV36" s="201">
        <f t="shared" si="30"/>
        <v>123</v>
      </c>
      <c r="AW36" s="5">
        <v>2.9</v>
      </c>
      <c r="AX36" s="201">
        <f t="shared" si="31"/>
        <v>113</v>
      </c>
      <c r="AY36" s="409">
        <f t="shared" si="72"/>
        <v>129.6</v>
      </c>
      <c r="AZ36" s="409">
        <f t="shared" si="73"/>
        <v>10701</v>
      </c>
      <c r="BA36" s="409">
        <f t="shared" si="74"/>
        <v>327.7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189</v>
      </c>
      <c r="I37" s="395">
        <f>SUM(I6:I36)</f>
        <v>189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189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189</v>
      </c>
      <c r="H39" s="1">
        <f>SUM(H38+C38)</f>
        <v>7500</v>
      </c>
      <c r="K39" s="1">
        <f>SUM(H39/G39)</f>
        <v>39.682539682539684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K20" sqref="K20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44742</v>
      </c>
      <c r="B2" s="260">
        <f>[2]GEN!B32</f>
        <v>422</v>
      </c>
      <c r="C2" s="260">
        <f>[2]GEN!C32</f>
        <v>13</v>
      </c>
      <c r="D2" s="260">
        <f>[2]GEN!D32</f>
        <v>707191</v>
      </c>
      <c r="E2" s="260">
        <f>[2]GEN!E32</f>
        <v>1105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105</v>
      </c>
      <c r="K2" s="260">
        <f>[2]GEN!K32</f>
        <v>0</v>
      </c>
      <c r="L2" s="260">
        <f>[2]GEN!L32</f>
        <v>383191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13908</v>
      </c>
      <c r="S2" s="260">
        <f>[2]GEN!S32</f>
        <v>0</v>
      </c>
      <c r="T2" s="260">
        <f>[2]GEN!T32</f>
        <v>416512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14233</v>
      </c>
      <c r="Y2" s="260" t="str">
        <f>[2]GEN!Y32</f>
        <v>ok</v>
      </c>
      <c r="Z2" s="260">
        <f>[2]GEN!Z32</f>
        <v>13</v>
      </c>
      <c r="AA2" s="260">
        <f>[2]GEN!AA32</f>
        <v>1105</v>
      </c>
      <c r="AB2" s="260">
        <f>[2]GEN!AB32</f>
        <v>585</v>
      </c>
      <c r="AC2" s="260">
        <f>[2]GEN!AC32</f>
        <v>85</v>
      </c>
      <c r="AD2" s="260">
        <f>[2]GEN!AD32</f>
        <v>3254.0000000008149</v>
      </c>
      <c r="AE2" s="260">
        <f>[2]GEN!AE32</f>
        <v>250.30769230775499</v>
      </c>
      <c r="AF2" s="260">
        <f>[2]GEN!AF32</f>
        <v>0.15644230769234688</v>
      </c>
      <c r="AG2" s="260">
        <f>[2]GEN!AG32</f>
        <v>9.77764423077168E-5</v>
      </c>
      <c r="AH2" s="260">
        <f>[2]GEN!AH32</f>
        <v>84.999902223557697</v>
      </c>
      <c r="AI2" s="260">
        <f>[2]GEN!AI32</f>
        <v>837.52742616054741</v>
      </c>
      <c r="AJ2" s="260">
        <f>[2]GEN!AJ32</f>
        <v>0.25738396624472576</v>
      </c>
      <c r="AK2" s="260">
        <f>[2]GEN!AK32</f>
        <v>64.425186627734419</v>
      </c>
      <c r="AL2" s="260">
        <f>[2]GEN!AL32</f>
        <v>1</v>
      </c>
    </row>
    <row r="3" spans="1:38" ht="15.75" thickBot="1">
      <c r="A3" s="4">
        <f>ELEC!C4</f>
        <v>44743</v>
      </c>
      <c r="B3" s="500">
        <f>B2</f>
        <v>422</v>
      </c>
      <c r="C3" s="276">
        <f>B3-B2</f>
        <v>0</v>
      </c>
      <c r="D3" s="501">
        <f>D2+C3*250</f>
        <v>707191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105</v>
      </c>
      <c r="K3" s="276">
        <f t="shared" ref="K3:K33" si="2">J3-J2</f>
        <v>0</v>
      </c>
      <c r="L3" s="501">
        <f>L2</f>
        <v>383191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14233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44744</v>
      </c>
      <c r="B4" s="500">
        <f t="shared" ref="B4:B33" si="11">B3</f>
        <v>422</v>
      </c>
      <c r="C4" s="276">
        <f t="shared" ref="C4:C30" si="12">B4-B3</f>
        <v>0</v>
      </c>
      <c r="D4" s="501">
        <f>D3+C4*85</f>
        <v>707191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105</v>
      </c>
      <c r="K4" s="276">
        <f t="shared" si="2"/>
        <v>0</v>
      </c>
      <c r="L4" s="501">
        <f t="shared" ref="L4:L5" si="16">L3</f>
        <v>383191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14233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44745</v>
      </c>
      <c r="B5" s="500">
        <v>433</v>
      </c>
      <c r="C5" s="276">
        <f t="shared" si="12"/>
        <v>11</v>
      </c>
      <c r="D5" s="501">
        <f t="shared" ref="D5:D33" si="26">D4+C5*85</f>
        <v>708126</v>
      </c>
      <c r="E5" s="276">
        <f t="shared" si="13"/>
        <v>935</v>
      </c>
      <c r="F5" s="276">
        <f t="shared" si="0"/>
        <v>85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105</v>
      </c>
      <c r="K5" s="276">
        <f t="shared" si="2"/>
        <v>0</v>
      </c>
      <c r="L5" s="501">
        <f t="shared" si="16"/>
        <v>383191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14233</v>
      </c>
      <c r="Y5" s="276" t="str">
        <f t="shared" si="20"/>
        <v>ok</v>
      </c>
      <c r="Z5" s="276">
        <f t="shared" si="8"/>
        <v>11</v>
      </c>
      <c r="AA5" s="276">
        <f t="shared" si="21"/>
        <v>935</v>
      </c>
      <c r="AB5" s="276">
        <f t="shared" si="22"/>
        <v>585</v>
      </c>
      <c r="AC5" s="276">
        <f t="shared" si="23"/>
        <v>85</v>
      </c>
      <c r="AD5" s="73">
        <f>ELEC!Q6</f>
        <v>3575.9999999972933</v>
      </c>
      <c r="AE5" s="73">
        <f t="shared" ref="AE5:AE30" si="27">SUM(AD5/Z5)</f>
        <v>325.09090909066305</v>
      </c>
      <c r="AF5" s="387">
        <f t="shared" ref="AF5:AG30" si="28">SUM(AE5/1600)</f>
        <v>0.20318181818166439</v>
      </c>
      <c r="AG5" s="388">
        <f>SUM(320*AF5)</f>
        <v>65.018181818132604</v>
      </c>
      <c r="AH5" s="388">
        <f t="shared" si="24"/>
        <v>19.981818181867396</v>
      </c>
      <c r="AI5" s="73">
        <f t="shared" ref="AI5:AI30" si="29">AD5*AJ5</f>
        <v>920.40506329044263</v>
      </c>
      <c r="AJ5" s="278">
        <f t="shared" si="9"/>
        <v>0.25738396624472576</v>
      </c>
      <c r="AK5" s="278">
        <f t="shared" si="10"/>
        <v>83.673187571858421</v>
      </c>
      <c r="AL5">
        <f t="shared" si="25"/>
        <v>1</v>
      </c>
    </row>
    <row r="6" spans="1:38" ht="15.75" thickBot="1">
      <c r="A6" s="4">
        <f>ELEC!C7</f>
        <v>44746</v>
      </c>
      <c r="B6" s="500">
        <v>445</v>
      </c>
      <c r="C6" s="276">
        <f>B6-B5</f>
        <v>12</v>
      </c>
      <c r="D6" s="501">
        <f t="shared" si="26"/>
        <v>709146</v>
      </c>
      <c r="E6" s="276">
        <f t="shared" si="13"/>
        <v>1020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105</v>
      </c>
      <c r="K6" s="276">
        <f t="shared" si="2"/>
        <v>0</v>
      </c>
      <c r="L6" s="501">
        <f>(K6*N5)+L5</f>
        <v>383191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14413</v>
      </c>
      <c r="Y6" s="276" t="str">
        <f t="shared" si="20"/>
        <v>ok</v>
      </c>
      <c r="Z6" s="276">
        <f t="shared" si="8"/>
        <v>12</v>
      </c>
      <c r="AA6" s="276">
        <f t="shared" si="21"/>
        <v>1020</v>
      </c>
      <c r="AB6" s="276">
        <f t="shared" si="22"/>
        <v>585</v>
      </c>
      <c r="AC6" s="276">
        <f t="shared" si="23"/>
        <v>85</v>
      </c>
      <c r="AD6" s="73">
        <f>ELEC!Q7</f>
        <v>3212.9999999997381</v>
      </c>
      <c r="AE6" s="73">
        <f>SUM(AD6/Z6)</f>
        <v>267.74999999997817</v>
      </c>
      <c r="AF6" s="387">
        <f t="shared" si="28"/>
        <v>0.16734374999998636</v>
      </c>
      <c r="AG6" s="388">
        <f>SUM(320*AF6)</f>
        <v>53.549999999995634</v>
      </c>
      <c r="AH6" s="388">
        <f t="shared" si="24"/>
        <v>31.450000000004366</v>
      </c>
      <c r="AI6" s="73">
        <f t="shared" si="29"/>
        <v>826.97468354423643</v>
      </c>
      <c r="AJ6" s="278">
        <f t="shared" si="9"/>
        <v>0.25738396624472576</v>
      </c>
      <c r="AK6" s="278">
        <f t="shared" si="10"/>
        <v>68.914556962019702</v>
      </c>
      <c r="AL6">
        <f t="shared" si="25"/>
        <v>1</v>
      </c>
    </row>
    <row r="7" spans="1:38" ht="15.75" thickBot="1">
      <c r="A7" s="4">
        <f>ELEC!C8</f>
        <v>44747</v>
      </c>
      <c r="B7" s="500">
        <v>458</v>
      </c>
      <c r="C7" s="276">
        <f t="shared" si="12"/>
        <v>13</v>
      </c>
      <c r="D7" s="501">
        <f t="shared" si="26"/>
        <v>710251</v>
      </c>
      <c r="E7" s="276">
        <f t="shared" si="13"/>
        <v>1105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105</v>
      </c>
      <c r="K7" s="276"/>
      <c r="L7" s="501">
        <f t="shared" ref="L7:L33" si="30">(K7*N6)+L6</f>
        <v>383191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14413</v>
      </c>
      <c r="Y7" s="276" t="str">
        <f>IF(R7-X7&lt;=0,"ok","oil change")</f>
        <v>ok</v>
      </c>
      <c r="Z7" s="276">
        <f t="shared" si="8"/>
        <v>13</v>
      </c>
      <c r="AA7" s="276">
        <f>U7+M7+E7</f>
        <v>1105</v>
      </c>
      <c r="AB7" s="276">
        <f t="shared" si="22"/>
        <v>585</v>
      </c>
      <c r="AC7" s="276">
        <f t="shared" si="23"/>
        <v>85</v>
      </c>
      <c r="AD7" s="73">
        <f>ELEC!Q8</f>
        <v>3585.0000000027649</v>
      </c>
      <c r="AE7" s="73">
        <f t="shared" si="27"/>
        <v>275.76923076944342</v>
      </c>
      <c r="AF7" s="387">
        <f t="shared" si="28"/>
        <v>0.17235576923090215</v>
      </c>
      <c r="AG7" s="387">
        <f t="shared" si="28"/>
        <v>1.0772235576931384E-4</v>
      </c>
      <c r="AH7" s="388">
        <f t="shared" si="24"/>
        <v>84.999892277644236</v>
      </c>
      <c r="AI7" s="73">
        <f t="shared" si="29"/>
        <v>922.7215189880535</v>
      </c>
      <c r="AJ7" s="278">
        <f t="shared" si="9"/>
        <v>0.25738396624472576</v>
      </c>
      <c r="AK7" s="278">
        <f t="shared" si="10"/>
        <v>70.97857838369643</v>
      </c>
      <c r="AL7">
        <f t="shared" si="25"/>
        <v>1</v>
      </c>
    </row>
    <row r="8" spans="1:38" ht="15.75" thickBot="1">
      <c r="A8" s="4">
        <f>ELEC!C9</f>
        <v>44748</v>
      </c>
      <c r="B8" s="500">
        <v>467</v>
      </c>
      <c r="C8" s="276">
        <f t="shared" si="12"/>
        <v>9</v>
      </c>
      <c r="D8" s="501">
        <f t="shared" si="26"/>
        <v>711016</v>
      </c>
      <c r="E8" s="276">
        <f t="shared" si="13"/>
        <v>765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105</v>
      </c>
      <c r="K8" s="276">
        <f t="shared" si="2"/>
        <v>0</v>
      </c>
      <c r="L8" s="501">
        <f t="shared" si="30"/>
        <v>383191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14413</v>
      </c>
      <c r="Y8" s="276" t="str">
        <f t="shared" si="20"/>
        <v>ok</v>
      </c>
      <c r="Z8" s="276">
        <f t="shared" si="8"/>
        <v>9</v>
      </c>
      <c r="AA8" s="276">
        <f t="shared" si="21"/>
        <v>765</v>
      </c>
      <c r="AB8" s="276">
        <f t="shared" si="22"/>
        <v>585</v>
      </c>
      <c r="AC8" s="276">
        <f t="shared" si="23"/>
        <v>85</v>
      </c>
      <c r="AD8" s="73">
        <f>ELEC!Q9</f>
        <v>3069.999999999709</v>
      </c>
      <c r="AE8" s="73">
        <f>SUM(AD8/Z8)</f>
        <v>341.1111111110788</v>
      </c>
      <c r="AF8" s="387">
        <f t="shared" si="28"/>
        <v>0.21319444444442426</v>
      </c>
      <c r="AG8" s="387">
        <f t="shared" si="28"/>
        <v>1.3324652777776515E-4</v>
      </c>
      <c r="AH8" s="388">
        <f t="shared" si="24"/>
        <v>84.999866753472219</v>
      </c>
      <c r="AI8" s="73">
        <f t="shared" si="29"/>
        <v>790.16877637123321</v>
      </c>
      <c r="AJ8" s="278">
        <f t="shared" si="9"/>
        <v>0.25738396624472576</v>
      </c>
      <c r="AK8" s="278">
        <f t="shared" si="10"/>
        <v>87.796530707914798</v>
      </c>
      <c r="AL8">
        <f t="shared" si="25"/>
        <v>1</v>
      </c>
    </row>
    <row r="9" spans="1:38" ht="15.75" thickBot="1">
      <c r="A9" s="4">
        <f>ELEC!C10</f>
        <v>44749</v>
      </c>
      <c r="B9" s="500">
        <f t="shared" si="11"/>
        <v>467</v>
      </c>
      <c r="C9" s="276">
        <f t="shared" si="12"/>
        <v>0</v>
      </c>
      <c r="D9" s="501">
        <f t="shared" si="26"/>
        <v>711016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105</v>
      </c>
      <c r="K9" s="276">
        <f t="shared" si="2"/>
        <v>0</v>
      </c>
      <c r="L9" s="501">
        <f t="shared" si="30"/>
        <v>383191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14413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44750</v>
      </c>
      <c r="B10" s="500">
        <f t="shared" si="11"/>
        <v>467</v>
      </c>
      <c r="C10" s="276">
        <f t="shared" si="12"/>
        <v>0</v>
      </c>
      <c r="D10" s="501">
        <f t="shared" si="26"/>
        <v>711016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105</v>
      </c>
      <c r="K10" s="276">
        <f t="shared" si="2"/>
        <v>0</v>
      </c>
      <c r="L10" s="501">
        <f t="shared" si="30"/>
        <v>383191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14413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44751</v>
      </c>
      <c r="B11" s="500">
        <f t="shared" si="11"/>
        <v>467</v>
      </c>
      <c r="C11" s="276">
        <f t="shared" si="12"/>
        <v>0</v>
      </c>
      <c r="D11" s="501">
        <f t="shared" si="26"/>
        <v>711016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105</v>
      </c>
      <c r="K11" s="276">
        <f t="shared" si="2"/>
        <v>0</v>
      </c>
      <c r="L11" s="501">
        <f t="shared" si="30"/>
        <v>383191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14413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44752</v>
      </c>
      <c r="B12" s="500">
        <f t="shared" si="11"/>
        <v>467</v>
      </c>
      <c r="C12" s="276">
        <f t="shared" si="12"/>
        <v>0</v>
      </c>
      <c r="D12" s="501">
        <f t="shared" si="26"/>
        <v>711016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105</v>
      </c>
      <c r="K12" s="276">
        <f t="shared" si="2"/>
        <v>0</v>
      </c>
      <c r="L12" s="501">
        <f t="shared" si="30"/>
        <v>383191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14413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44753</v>
      </c>
      <c r="B13" s="500">
        <v>477</v>
      </c>
      <c r="C13" s="276">
        <f t="shared" si="12"/>
        <v>10</v>
      </c>
      <c r="D13" s="501">
        <f t="shared" si="26"/>
        <v>711866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v>109</v>
      </c>
      <c r="K13" s="276">
        <f t="shared" si="2"/>
        <v>4</v>
      </c>
      <c r="L13" s="501">
        <f t="shared" si="30"/>
        <v>384191</v>
      </c>
      <c r="M13" s="276">
        <f t="shared" si="3"/>
        <v>1000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14413</v>
      </c>
      <c r="Y13" s="276" t="str">
        <f t="shared" si="20"/>
        <v>ok</v>
      </c>
      <c r="Z13" s="276">
        <f t="shared" si="8"/>
        <v>14</v>
      </c>
      <c r="AA13" s="276">
        <f t="shared" si="21"/>
        <v>1850</v>
      </c>
      <c r="AB13" s="276">
        <f t="shared" si="22"/>
        <v>585</v>
      </c>
      <c r="AC13" s="276">
        <f t="shared" si="23"/>
        <v>132.14285714285714</v>
      </c>
      <c r="AD13" s="73">
        <f>ELEC!Q14</f>
        <v>3341.0000000003492</v>
      </c>
      <c r="AE13" s="73">
        <f t="shared" si="27"/>
        <v>238.64285714288209</v>
      </c>
      <c r="AF13" s="387">
        <f t="shared" si="28"/>
        <v>0.14915178571430132</v>
      </c>
      <c r="AG13" s="387">
        <f t="shared" si="28"/>
        <v>9.3219866071438324E-5</v>
      </c>
      <c r="AH13" s="388">
        <f t="shared" si="24"/>
        <v>132.14276392299107</v>
      </c>
      <c r="AI13" s="73">
        <f t="shared" si="29"/>
        <v>859.91983122371869</v>
      </c>
      <c r="AJ13" s="278">
        <f t="shared" si="9"/>
        <v>0.25738396624472576</v>
      </c>
      <c r="AK13" s="278">
        <f t="shared" si="10"/>
        <v>61.422845087408476</v>
      </c>
      <c r="AL13">
        <f t="shared" si="25"/>
        <v>1</v>
      </c>
    </row>
    <row r="14" spans="1:38" ht="15.75" thickBot="1">
      <c r="A14" s="4">
        <f>ELEC!C15</f>
        <v>44754</v>
      </c>
      <c r="B14" s="500">
        <v>486</v>
      </c>
      <c r="C14" s="276">
        <f t="shared" si="12"/>
        <v>9</v>
      </c>
      <c r="D14" s="501">
        <f t="shared" si="26"/>
        <v>712631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v>109</v>
      </c>
      <c r="K14" s="276">
        <f t="shared" si="2"/>
        <v>0</v>
      </c>
      <c r="L14" s="501">
        <f t="shared" si="30"/>
        <v>384191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14413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5693.9999999995052</v>
      </c>
      <c r="AE14" s="73">
        <f t="shared" si="27"/>
        <v>632.66666666661172</v>
      </c>
      <c r="AF14" s="387">
        <f t="shared" si="28"/>
        <v>0.39541666666663233</v>
      </c>
      <c r="AG14" s="387">
        <f t="shared" si="28"/>
        <v>2.4713541666664519E-4</v>
      </c>
      <c r="AH14" s="388">
        <f t="shared" si="24"/>
        <v>84.999752864583328</v>
      </c>
      <c r="AI14" s="73">
        <f t="shared" si="29"/>
        <v>1465.5443037973412</v>
      </c>
      <c r="AJ14" s="278">
        <f t="shared" si="9"/>
        <v>0.25738396624472576</v>
      </c>
      <c r="AK14" s="278">
        <f t="shared" si="10"/>
        <v>162.83825597748236</v>
      </c>
      <c r="AL14">
        <f t="shared" si="25"/>
        <v>1</v>
      </c>
    </row>
    <row r="15" spans="1:38" ht="15.75" thickBot="1">
      <c r="A15" s="4">
        <f>ELEC!C16</f>
        <v>44755</v>
      </c>
      <c r="B15" s="500">
        <v>496</v>
      </c>
      <c r="C15" s="276">
        <f t="shared" si="12"/>
        <v>10</v>
      </c>
      <c r="D15" s="501">
        <f t="shared" si="26"/>
        <v>713481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109</v>
      </c>
      <c r="K15" s="276">
        <f t="shared" si="2"/>
        <v>0</v>
      </c>
      <c r="L15" s="501">
        <f t="shared" si="30"/>
        <v>384191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14413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859.00000000037835</v>
      </c>
      <c r="AE15" s="73">
        <f t="shared" si="27"/>
        <v>85.900000000037835</v>
      </c>
      <c r="AF15" s="387">
        <f t="shared" si="28"/>
        <v>5.3687500000023647E-2</v>
      </c>
      <c r="AG15" s="387">
        <f t="shared" si="28"/>
        <v>3.3554687500014781E-5</v>
      </c>
      <c r="AH15" s="388">
        <f t="shared" si="24"/>
        <v>84.999966445312495</v>
      </c>
      <c r="AI15" s="73">
        <f t="shared" si="29"/>
        <v>221.0928270043168</v>
      </c>
      <c r="AJ15" s="278">
        <f t="shared" si="9"/>
        <v>0.25738396624472576</v>
      </c>
      <c r="AK15" s="278">
        <f t="shared" si="10"/>
        <v>22.109282700431681</v>
      </c>
      <c r="AL15">
        <f t="shared" si="25"/>
        <v>1</v>
      </c>
    </row>
    <row r="16" spans="1:38" ht="15.75" thickBot="1">
      <c r="A16" s="4">
        <f>ELEC!C17</f>
        <v>44756</v>
      </c>
      <c r="B16" s="500">
        <v>509</v>
      </c>
      <c r="C16" s="276">
        <f t="shared" si="12"/>
        <v>13</v>
      </c>
      <c r="D16" s="501">
        <f t="shared" si="26"/>
        <v>714586</v>
      </c>
      <c r="E16" s="276">
        <f t="shared" si="13"/>
        <v>1105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115</v>
      </c>
      <c r="K16" s="276">
        <f t="shared" si="2"/>
        <v>6</v>
      </c>
      <c r="L16" s="501">
        <f t="shared" si="30"/>
        <v>385691</v>
      </c>
      <c r="M16" s="276">
        <f t="shared" si="3"/>
        <v>1500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14413</v>
      </c>
      <c r="Y16" s="276" t="str">
        <f t="shared" si="20"/>
        <v>ok</v>
      </c>
      <c r="Z16" s="276">
        <f t="shared" si="8"/>
        <v>19</v>
      </c>
      <c r="AA16" s="276">
        <f t="shared" si="21"/>
        <v>2605</v>
      </c>
      <c r="AB16" s="276">
        <f t="shared" si="22"/>
        <v>585</v>
      </c>
      <c r="AC16" s="276">
        <f t="shared" si="23"/>
        <v>137.10526315789474</v>
      </c>
      <c r="AD16" s="73">
        <f>ELEC!Q17</f>
        <v>4862.9999999975553</v>
      </c>
      <c r="AE16" s="73">
        <f t="shared" si="27"/>
        <v>255.94736842092397</v>
      </c>
      <c r="AF16" s="387">
        <f t="shared" si="28"/>
        <v>0.15996710526307747</v>
      </c>
      <c r="AG16" s="387">
        <f t="shared" si="28"/>
        <v>9.9979440789423421E-5</v>
      </c>
      <c r="AH16" s="388">
        <f t="shared" si="24"/>
        <v>137.10516317845395</v>
      </c>
      <c r="AI16" s="73">
        <f t="shared" si="29"/>
        <v>1251.6582278474721</v>
      </c>
      <c r="AJ16" s="278">
        <f t="shared" si="9"/>
        <v>0.25738396624472576</v>
      </c>
      <c r="AK16" s="278">
        <f t="shared" si="10"/>
        <v>65.876748834077475</v>
      </c>
      <c r="AL16">
        <f t="shared" si="25"/>
        <v>1</v>
      </c>
    </row>
    <row r="17" spans="1:38" ht="15.75" thickBot="1">
      <c r="A17" s="4">
        <f>ELEC!C18</f>
        <v>44757</v>
      </c>
      <c r="B17" s="500">
        <f t="shared" si="11"/>
        <v>509</v>
      </c>
      <c r="C17" s="276">
        <f t="shared" si="12"/>
        <v>0</v>
      </c>
      <c r="D17" s="501">
        <f t="shared" si="26"/>
        <v>714586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115</v>
      </c>
      <c r="K17" s="276">
        <f t="shared" si="2"/>
        <v>0</v>
      </c>
      <c r="L17" s="501">
        <f t="shared" si="30"/>
        <v>385691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14413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44758</v>
      </c>
      <c r="B18" s="500">
        <f t="shared" si="11"/>
        <v>509</v>
      </c>
      <c r="C18" s="276">
        <f t="shared" si="12"/>
        <v>0</v>
      </c>
      <c r="D18" s="501">
        <f t="shared" si="26"/>
        <v>714586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115</v>
      </c>
      <c r="K18" s="276">
        <f t="shared" si="2"/>
        <v>0</v>
      </c>
      <c r="L18" s="501">
        <f t="shared" si="30"/>
        <v>385691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14413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44759</v>
      </c>
      <c r="B19" s="500">
        <v>512</v>
      </c>
      <c r="C19" s="276">
        <f t="shared" si="12"/>
        <v>3</v>
      </c>
      <c r="D19" s="501">
        <f t="shared" si="26"/>
        <v>714841</v>
      </c>
      <c r="E19" s="276">
        <f t="shared" si="13"/>
        <v>255</v>
      </c>
      <c r="F19" s="276">
        <f t="shared" si="0"/>
        <v>85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115</v>
      </c>
      <c r="K19" s="276">
        <f t="shared" si="2"/>
        <v>0</v>
      </c>
      <c r="L19" s="501">
        <f t="shared" si="30"/>
        <v>385691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14413</v>
      </c>
      <c r="Y19" s="276" t="str">
        <f t="shared" si="20"/>
        <v>ok</v>
      </c>
      <c r="Z19" s="276">
        <f t="shared" si="8"/>
        <v>3</v>
      </c>
      <c r="AA19" s="276">
        <f t="shared" si="21"/>
        <v>255</v>
      </c>
      <c r="AB19" s="276">
        <f t="shared" si="22"/>
        <v>585</v>
      </c>
      <c r="AC19" s="276">
        <f t="shared" si="23"/>
        <v>85</v>
      </c>
      <c r="AD19" s="73">
        <f>ELEC!Q20</f>
        <v>724.00000000197906</v>
      </c>
      <c r="AE19" s="73">
        <f t="shared" si="27"/>
        <v>241.33333333399301</v>
      </c>
      <c r="AF19" s="387">
        <f t="shared" si="28"/>
        <v>0.15083333333374563</v>
      </c>
      <c r="AG19" s="387">
        <f t="shared" si="28"/>
        <v>9.427083333359102E-5</v>
      </c>
      <c r="AH19" s="388">
        <f t="shared" si="24"/>
        <v>84.99990572916667</v>
      </c>
      <c r="AI19" s="73">
        <f t="shared" si="29"/>
        <v>186.34599156169082</v>
      </c>
      <c r="AJ19" s="278">
        <f t="shared" si="9"/>
        <v>0.25738396624472576</v>
      </c>
      <c r="AK19" s="278">
        <f t="shared" si="10"/>
        <v>62.11533052056361</v>
      </c>
      <c r="AL19">
        <f t="shared" si="25"/>
        <v>1</v>
      </c>
    </row>
    <row r="20" spans="1:38" ht="15.75" thickBot="1">
      <c r="A20" s="4">
        <f>ELEC!C21</f>
        <v>44760</v>
      </c>
      <c r="B20" s="500">
        <v>523</v>
      </c>
      <c r="C20" s="276">
        <f>B20-B19</f>
        <v>11</v>
      </c>
      <c r="D20" s="501">
        <f t="shared" si="26"/>
        <v>715776</v>
      </c>
      <c r="E20" s="276">
        <f t="shared" si="13"/>
        <v>935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115</v>
      </c>
      <c r="K20" s="276">
        <f t="shared" si="2"/>
        <v>0</v>
      </c>
      <c r="L20" s="501">
        <f t="shared" si="30"/>
        <v>385691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14413</v>
      </c>
      <c r="Y20" s="276" t="str">
        <f t="shared" si="20"/>
        <v>ok</v>
      </c>
      <c r="Z20" s="276">
        <f t="shared" si="8"/>
        <v>11</v>
      </c>
      <c r="AA20" s="276">
        <f t="shared" si="21"/>
        <v>935</v>
      </c>
      <c r="AB20" s="276">
        <f t="shared" si="22"/>
        <v>585</v>
      </c>
      <c r="AC20" s="276">
        <f t="shared" si="23"/>
        <v>85</v>
      </c>
      <c r="AD20" s="73">
        <f>ELEC!Q21</f>
        <v>3348.9999999983411</v>
      </c>
      <c r="AE20" s="73">
        <f t="shared" si="27"/>
        <v>304.45454545439463</v>
      </c>
      <c r="AF20" s="387">
        <f t="shared" si="28"/>
        <v>0.19028409090899664</v>
      </c>
      <c r="AG20" s="387">
        <f t="shared" si="28"/>
        <v>1.1892755681812291E-4</v>
      </c>
      <c r="AH20" s="388">
        <f t="shared" si="24"/>
        <v>84.999881072443188</v>
      </c>
      <c r="AI20" s="73">
        <f>AD20*AJ20</f>
        <v>861.9789029531596</v>
      </c>
      <c r="AJ20" s="278">
        <f t="shared" si="9"/>
        <v>0.25738396624472576</v>
      </c>
      <c r="AK20" s="278">
        <f t="shared" si="10"/>
        <v>78.361718450287242</v>
      </c>
      <c r="AL20">
        <f t="shared" si="25"/>
        <v>1</v>
      </c>
    </row>
    <row r="21" spans="1:38" ht="15.75" thickBot="1">
      <c r="A21" s="4">
        <f>ELEC!C22</f>
        <v>44761</v>
      </c>
      <c r="B21" s="500">
        <f t="shared" si="11"/>
        <v>523</v>
      </c>
      <c r="C21" s="276">
        <f>B21-B20</f>
        <v>0</v>
      </c>
      <c r="D21" s="501">
        <f t="shared" si="26"/>
        <v>715776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115</v>
      </c>
      <c r="K21" s="276">
        <f t="shared" si="2"/>
        <v>0</v>
      </c>
      <c r="L21" s="501">
        <f t="shared" si="30"/>
        <v>385691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14413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44762</v>
      </c>
      <c r="B22" s="500">
        <f t="shared" si="11"/>
        <v>523</v>
      </c>
      <c r="C22" s="276">
        <f t="shared" si="12"/>
        <v>0</v>
      </c>
      <c r="D22" s="501">
        <f t="shared" si="26"/>
        <v>715776</v>
      </c>
      <c r="E22" s="276">
        <f>150*C22</f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115</v>
      </c>
      <c r="K22" s="276">
        <f t="shared" si="2"/>
        <v>0</v>
      </c>
      <c r="L22" s="501">
        <f t="shared" si="30"/>
        <v>385691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14413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44763</v>
      </c>
      <c r="B23" s="500">
        <f t="shared" si="11"/>
        <v>523</v>
      </c>
      <c r="C23" s="276">
        <f t="shared" si="12"/>
        <v>0</v>
      </c>
      <c r="D23" s="501">
        <f t="shared" si="26"/>
        <v>715776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115</v>
      </c>
      <c r="K23" s="276">
        <f t="shared" si="2"/>
        <v>0</v>
      </c>
      <c r="L23" s="501">
        <f t="shared" si="30"/>
        <v>385691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14413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44764</v>
      </c>
      <c r="B24" s="500">
        <f t="shared" si="11"/>
        <v>523</v>
      </c>
      <c r="C24" s="276">
        <f t="shared" si="12"/>
        <v>0</v>
      </c>
      <c r="D24" s="501">
        <f t="shared" si="26"/>
        <v>715776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115</v>
      </c>
      <c r="K24" s="276">
        <f t="shared" si="2"/>
        <v>0</v>
      </c>
      <c r="L24" s="501">
        <f t="shared" si="30"/>
        <v>385691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14413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44765</v>
      </c>
      <c r="B25" s="500">
        <f t="shared" si="11"/>
        <v>523</v>
      </c>
      <c r="C25" s="276">
        <f t="shared" si="12"/>
        <v>0</v>
      </c>
      <c r="D25" s="501">
        <f t="shared" si="26"/>
        <v>715776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115</v>
      </c>
      <c r="K25" s="276">
        <f t="shared" si="2"/>
        <v>0</v>
      </c>
      <c r="L25" s="501">
        <f t="shared" si="30"/>
        <v>385691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14413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44766</v>
      </c>
      <c r="B26" s="500">
        <f t="shared" si="11"/>
        <v>523</v>
      </c>
      <c r="C26" s="276">
        <f>B26-B25</f>
        <v>0</v>
      </c>
      <c r="D26" s="501">
        <f t="shared" si="26"/>
        <v>715776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115</v>
      </c>
      <c r="K26" s="276">
        <f t="shared" si="2"/>
        <v>0</v>
      </c>
      <c r="L26" s="501">
        <f t="shared" si="30"/>
        <v>385691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14413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44767</v>
      </c>
      <c r="B27" s="500">
        <f t="shared" si="11"/>
        <v>523</v>
      </c>
      <c r="C27" s="276">
        <f>B27-B26</f>
        <v>0</v>
      </c>
      <c r="D27" s="501">
        <f t="shared" si="26"/>
        <v>715776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115</v>
      </c>
      <c r="K27" s="276">
        <f t="shared" si="2"/>
        <v>0</v>
      </c>
      <c r="L27" s="501">
        <f t="shared" si="30"/>
        <v>385691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14413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44768</v>
      </c>
      <c r="B28" s="500">
        <f t="shared" si="11"/>
        <v>523</v>
      </c>
      <c r="C28" s="276">
        <f t="shared" si="12"/>
        <v>0</v>
      </c>
      <c r="D28" s="501">
        <f t="shared" si="26"/>
        <v>715776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115</v>
      </c>
      <c r="K28" s="276">
        <f t="shared" si="2"/>
        <v>0</v>
      </c>
      <c r="L28" s="501">
        <f t="shared" si="30"/>
        <v>385691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14413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44769</v>
      </c>
      <c r="B29" s="500">
        <f t="shared" si="11"/>
        <v>523</v>
      </c>
      <c r="C29" s="276">
        <f t="shared" si="12"/>
        <v>0</v>
      </c>
      <c r="D29" s="501">
        <f t="shared" si="26"/>
        <v>715776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115</v>
      </c>
      <c r="K29" s="276">
        <f t="shared" si="2"/>
        <v>0</v>
      </c>
      <c r="L29" s="501">
        <f t="shared" si="30"/>
        <v>385691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14413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44770</v>
      </c>
      <c r="B30" s="500">
        <f t="shared" si="11"/>
        <v>523</v>
      </c>
      <c r="C30" s="276">
        <f t="shared" si="12"/>
        <v>0</v>
      </c>
      <c r="D30" s="501">
        <f t="shared" si="26"/>
        <v>715776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115</v>
      </c>
      <c r="K30" s="276">
        <f t="shared" si="2"/>
        <v>0</v>
      </c>
      <c r="L30" s="501">
        <f t="shared" si="30"/>
        <v>385691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14413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44771</v>
      </c>
      <c r="B31" s="500">
        <f t="shared" si="11"/>
        <v>523</v>
      </c>
      <c r="C31" s="276">
        <f t="shared" ref="C31:C33" si="34">B31-B30</f>
        <v>0</v>
      </c>
      <c r="D31" s="501">
        <f t="shared" si="26"/>
        <v>715776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0">
        <f t="shared" si="15"/>
        <v>115</v>
      </c>
      <c r="K31" s="276">
        <f t="shared" si="2"/>
        <v>0</v>
      </c>
      <c r="L31" s="501">
        <f t="shared" si="30"/>
        <v>385691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0">
        <f t="shared" si="18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14413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44772</v>
      </c>
      <c r="B32" s="500">
        <f t="shared" si="11"/>
        <v>523</v>
      </c>
      <c r="C32" s="276">
        <f t="shared" si="34"/>
        <v>0</v>
      </c>
      <c r="D32" s="501">
        <f t="shared" si="26"/>
        <v>715776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0">
        <f t="shared" si="15"/>
        <v>115</v>
      </c>
      <c r="K32" s="276">
        <f t="shared" si="2"/>
        <v>0</v>
      </c>
      <c r="L32" s="501">
        <f t="shared" si="30"/>
        <v>385691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0">
        <f t="shared" si="18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9"/>
        <v>14413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44773</v>
      </c>
      <c r="B33" s="500">
        <f t="shared" si="11"/>
        <v>523</v>
      </c>
      <c r="C33" s="276">
        <f t="shared" si="34"/>
        <v>0</v>
      </c>
      <c r="D33" s="501">
        <f t="shared" si="26"/>
        <v>715776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0">
        <f t="shared" si="15"/>
        <v>115</v>
      </c>
      <c r="K33" s="276">
        <f t="shared" si="2"/>
        <v>0</v>
      </c>
      <c r="L33" s="501">
        <f t="shared" si="30"/>
        <v>385691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0">
        <f t="shared" si="18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9"/>
        <v>14413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111</v>
      </c>
      <c r="V34" s="40"/>
      <c r="X34">
        <v>341</v>
      </c>
      <c r="Z34" s="404">
        <f>SUM(Z3:Z33)</f>
        <v>111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101</v>
      </c>
      <c r="K35" s="40">
        <f>SUM(K3:K33)</f>
        <v>10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abSelected="1" zoomScale="85" zoomScaleNormal="85" workbookViewId="0">
      <pane xSplit="1" topLeftCell="AN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44742</v>
      </c>
      <c r="B5" s="497">
        <f>[2]tanks!B35</f>
        <v>257</v>
      </c>
      <c r="C5" s="497">
        <f>[2]tanks!C35</f>
        <v>5529.6451612903229</v>
      </c>
      <c r="D5" s="497">
        <f>[2]tanks!D35</f>
        <v>257</v>
      </c>
      <c r="E5" s="497">
        <f>[2]tanks!E35</f>
        <v>5529.6451612903229</v>
      </c>
      <c r="F5" s="497">
        <f>[2]tanks!F35</f>
        <v>257</v>
      </c>
      <c r="G5" s="497">
        <f>[2]tanks!G35</f>
        <v>5529.6451612903229</v>
      </c>
      <c r="H5" s="497">
        <f>[2]tanks!H35</f>
        <v>257</v>
      </c>
      <c r="I5" s="497">
        <f>[2]tanks!I35</f>
        <v>5529.6451612903229</v>
      </c>
      <c r="J5" s="497">
        <f>[2]tanks!J35</f>
        <v>257</v>
      </c>
      <c r="K5" s="497">
        <f>[2]tanks!K35</f>
        <v>5529.6451612903229</v>
      </c>
      <c r="L5" s="497">
        <f>[2]tanks!L35</f>
        <v>257</v>
      </c>
      <c r="M5" s="497">
        <f>[2]tanks!M35</f>
        <v>5529.6451612903229</v>
      </c>
      <c r="N5" s="497">
        <f>[2]tanks!N35</f>
        <v>257</v>
      </c>
      <c r="O5" s="497">
        <f>[2]tanks!O35</f>
        <v>5529.6451612903229</v>
      </c>
      <c r="P5" s="497">
        <f>[2]tanks!P35</f>
        <v>257</v>
      </c>
      <c r="Q5" s="497">
        <f>[2]tanks!Q35</f>
        <v>5529.6451612903229</v>
      </c>
      <c r="R5" s="497">
        <f>[2]tanks!R35</f>
        <v>257</v>
      </c>
      <c r="S5" s="497">
        <f>[2]tanks!S35</f>
        <v>5529.6451612903229</v>
      </c>
      <c r="T5" s="497">
        <f>[2]tanks!T35</f>
        <v>257</v>
      </c>
      <c r="U5" s="497">
        <f>[2]tanks!U35</f>
        <v>5529.6451612903229</v>
      </c>
      <c r="V5" s="497">
        <f>[2]tanks!V35</f>
        <v>257</v>
      </c>
      <c r="W5" s="497">
        <f>[2]tanks!W35</f>
        <v>5529.6451612903229</v>
      </c>
      <c r="X5" s="476">
        <f>[2]tanks!X35</f>
        <v>0.82903225806451641</v>
      </c>
      <c r="Y5" s="497">
        <f>[2]tanks!Y35</f>
        <v>60826.096774193567</v>
      </c>
      <c r="Z5" s="497">
        <f>[2]tanks!Z35</f>
        <v>263</v>
      </c>
      <c r="AA5" s="497">
        <f>[2]tanks!AA35</f>
        <v>2630</v>
      </c>
      <c r="AB5" s="497">
        <f>[2]tanks!AB35</f>
        <v>263</v>
      </c>
      <c r="AC5" s="497">
        <f>[2]tanks!AC35</f>
        <v>2630</v>
      </c>
      <c r="AD5" s="497">
        <f>[2]tanks!AD35</f>
        <v>263</v>
      </c>
      <c r="AE5" s="497">
        <f>[2]tanks!AE35</f>
        <v>2630</v>
      </c>
      <c r="AF5" s="497">
        <f>[2]tanks!AF35</f>
        <v>263</v>
      </c>
      <c r="AG5" s="497">
        <f>[2]tanks!AG35</f>
        <v>2630</v>
      </c>
      <c r="AH5" s="497">
        <f>[2]tanks!AH35</f>
        <v>263</v>
      </c>
      <c r="AI5" s="497">
        <f>[2]tanks!AI35</f>
        <v>2630</v>
      </c>
      <c r="AJ5" s="497">
        <f>[2]tanks!AJ35</f>
        <v>263</v>
      </c>
      <c r="AK5" s="497">
        <f>[2]tanks!AK35</f>
        <v>2630</v>
      </c>
      <c r="AL5" s="497">
        <f>[2]tanks!AL35</f>
        <v>263</v>
      </c>
      <c r="AM5" s="497">
        <f>[2]tanks!AM35</f>
        <v>2630</v>
      </c>
      <c r="AN5" s="476">
        <f>[2]tanks!AN35</f>
        <v>0.93928571428571428</v>
      </c>
      <c r="AO5" s="497">
        <f>[2]tanks!AO35</f>
        <v>18410</v>
      </c>
      <c r="AP5" s="497"/>
      <c r="AQ5" s="476">
        <f>[2]tanks!AQ35</f>
        <v>0.85227596831444097</v>
      </c>
      <c r="AR5" s="606">
        <f>[2]tanks!AR35</f>
        <v>79236.096774193575</v>
      </c>
      <c r="AS5" s="606">
        <f>[2]tanks!AS35</f>
        <v>-613.35483870966709</v>
      </c>
      <c r="AT5" s="606">
        <f>[2]tanks!AT35</f>
        <v>0</v>
      </c>
      <c r="AU5" s="606">
        <f>[2]tanks!AU35</f>
        <v>0</v>
      </c>
      <c r="AV5" s="606">
        <f>[2]tanks!AV35</f>
        <v>1.28</v>
      </c>
      <c r="AW5" s="606">
        <f>[2]tanks!AW35</f>
        <v>-105</v>
      </c>
      <c r="AX5" s="606">
        <f>[2]tanks!AX35</f>
        <v>-508.35483870966709</v>
      </c>
      <c r="AY5" s="606">
        <f>[2]tanks!AY35</f>
        <v>-613.35483870966709</v>
      </c>
      <c r="AZ5" s="476">
        <f>[2]tanks!AZ35</f>
        <v>0</v>
      </c>
      <c r="BA5" s="606">
        <f>[2]tanks!BA35</f>
        <v>26</v>
      </c>
      <c r="BB5" s="476">
        <f>[2]tanks!BB35</f>
        <v>0.75</v>
      </c>
      <c r="BC5" s="606">
        <f>[2]tanks!BC35</f>
        <v>0</v>
      </c>
      <c r="BD5" s="606">
        <f>[2]tanks!BD35</f>
        <v>19224</v>
      </c>
      <c r="BE5" s="606" t="e">
        <f>[2]tanks!BE35</f>
        <v>#REF!</v>
      </c>
      <c r="BF5" s="606">
        <f>[2]tanks!BF35</f>
        <v>0</v>
      </c>
      <c r="BG5" s="606" t="e">
        <f>[2]tanks!BG35</f>
        <v>#REF!</v>
      </c>
      <c r="BH5" s="606">
        <f>[2]tanks!BH35</f>
        <v>0</v>
      </c>
      <c r="BI5" s="569">
        <f>[5]tanks!BI36</f>
        <v>23</v>
      </c>
    </row>
    <row r="6" spans="1:63">
      <c r="A6" s="425">
        <f>ELEC!C4</f>
        <v>44743</v>
      </c>
      <c r="B6" s="497">
        <f>'B5'!B5</f>
        <v>257</v>
      </c>
      <c r="C6" s="203">
        <f>B6*$B$4</f>
        <v>5529.6451612903229</v>
      </c>
      <c r="D6">
        <f>SUM(B6)</f>
        <v>257</v>
      </c>
      <c r="E6" s="203">
        <f>D6*$B$4</f>
        <v>5529.6451612903229</v>
      </c>
      <c r="F6">
        <f>SUM(D6)</f>
        <v>257</v>
      </c>
      <c r="G6" s="203">
        <f t="shared" ref="G6:G33" si="1">F6*$B$4</f>
        <v>5529.6451612903229</v>
      </c>
      <c r="H6" s="203">
        <f>SUM(F6)</f>
        <v>257</v>
      </c>
      <c r="I6" s="203">
        <f t="shared" ref="I6:I33" si="2">H6*$B$4</f>
        <v>5529.6451612903229</v>
      </c>
      <c r="J6" s="203">
        <f>SUM(H6)</f>
        <v>257</v>
      </c>
      <c r="K6" s="203">
        <f t="shared" ref="K6:K33" si="3">J6*$B$4</f>
        <v>5529.6451612903229</v>
      </c>
      <c r="L6" s="203">
        <f>SUM(J6)</f>
        <v>257</v>
      </c>
      <c r="M6" s="203">
        <f t="shared" ref="M6:M33" si="4">L6*$B$4</f>
        <v>5529.6451612903229</v>
      </c>
      <c r="N6" s="203">
        <f>SUM(L6)</f>
        <v>257</v>
      </c>
      <c r="O6" s="203">
        <f t="shared" ref="O6:O33" si="5">N6*$B$4</f>
        <v>5529.6451612903229</v>
      </c>
      <c r="P6" s="203">
        <f>SUM(N6)</f>
        <v>257</v>
      </c>
      <c r="Q6" s="203">
        <f t="shared" ref="Q6:Q33" si="6">P6*$B$4</f>
        <v>5529.6451612903229</v>
      </c>
      <c r="R6" s="203">
        <f>SUM(P6)</f>
        <v>257</v>
      </c>
      <c r="S6" s="203">
        <f t="shared" ref="S6:S33" si="7">R6*$B$4</f>
        <v>5529.6451612903229</v>
      </c>
      <c r="T6" s="203">
        <f>SUM(R6)</f>
        <v>257</v>
      </c>
      <c r="U6" s="203">
        <f t="shared" ref="U6:U33" si="8">T6*$B$4</f>
        <v>5529.6451612903229</v>
      </c>
      <c r="V6" s="203">
        <f>SUM(T6)</f>
        <v>257</v>
      </c>
      <c r="W6" s="203">
        <f t="shared" ref="W6:W33" si="9">V6*$B$4</f>
        <v>5529.6451612903229</v>
      </c>
      <c r="X6" s="35">
        <f t="shared" ref="X6:X29" si="10">SUM(Y6/73370)</f>
        <v>0.82903225806451641</v>
      </c>
      <c r="Y6" s="36">
        <f>SUM(C6+E6+G6+I6+K6+M6+O6+Q6+S6+U6+W6)</f>
        <v>60826.096774193567</v>
      </c>
      <c r="Z6" s="203">
        <f>'B5'!C5</f>
        <v>263</v>
      </c>
      <c r="AA6" s="203">
        <f>SUM(Z6*$Z$4)</f>
        <v>2630</v>
      </c>
      <c r="AB6" s="203">
        <f>SUM(Z6)</f>
        <v>263</v>
      </c>
      <c r="AC6" s="203">
        <f>SUM(AB6*$Z$4)</f>
        <v>2630</v>
      </c>
      <c r="AD6" s="203">
        <f>SUM(AB6)</f>
        <v>263</v>
      </c>
      <c r="AE6" s="203">
        <f t="shared" ref="AE6:AE33" si="11">SUM(AD6*$Z$4)</f>
        <v>2630</v>
      </c>
      <c r="AF6" s="203">
        <f>SUM(AD6)</f>
        <v>263</v>
      </c>
      <c r="AG6" s="203">
        <f t="shared" ref="AG6:AG33" si="12">SUM(AF6*$Z$4)</f>
        <v>2630</v>
      </c>
      <c r="AH6" s="203">
        <f>SUM(AF6)</f>
        <v>263</v>
      </c>
      <c r="AI6" s="203">
        <f t="shared" ref="AI6:AI33" si="13">SUM(AH6*$Z$4)</f>
        <v>2630</v>
      </c>
      <c r="AJ6" s="203">
        <f>SUM(AH6)</f>
        <v>263</v>
      </c>
      <c r="AK6" s="203">
        <f t="shared" ref="AK6:AK33" si="14">SUM(AJ6*$Z$4)</f>
        <v>2630</v>
      </c>
      <c r="AL6" s="203">
        <f>SUM(AJ6)</f>
        <v>263</v>
      </c>
      <c r="AM6" s="203">
        <f t="shared" ref="AM6:AM33" si="15">SUM(AL6*$Z$4)</f>
        <v>2630</v>
      </c>
      <c r="AN6" s="35">
        <f t="shared" ref="AN6:AN29" si="16">SUM(AO6/19600)</f>
        <v>0.93928571428571428</v>
      </c>
      <c r="AO6" s="36">
        <f>SUM(AA6+AC6+AE6+AG6+AI6+AK6+AM6)</f>
        <v>18410</v>
      </c>
      <c r="AQ6" s="223">
        <f>SUM(AR6/92970)</f>
        <v>0.85227596831444097</v>
      </c>
      <c r="AR6" s="38">
        <f>Y6+AO6</f>
        <v>79236.096774193575</v>
      </c>
      <c r="AS6" s="197">
        <f>SUM(AR6-AR5-AT6)</f>
        <v>0</v>
      </c>
      <c r="AT6" s="340"/>
      <c r="AU6" s="546"/>
      <c r="AV6" s="485">
        <f>IF(AT6&gt;0,AU6,AV5)</f>
        <v>1.28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6"/>
    </row>
    <row r="7" spans="1:63">
      <c r="A7" s="425">
        <f>ELEC!C5</f>
        <v>44744</v>
      </c>
      <c r="B7">
        <f>'B5'!B6</f>
        <v>257</v>
      </c>
      <c r="C7" s="203">
        <f t="shared" ref="C7:E33" si="18">B7*$B$4</f>
        <v>5529.6451612903229</v>
      </c>
      <c r="D7">
        <f t="shared" ref="D7:D29" si="19">SUM(B7)</f>
        <v>257</v>
      </c>
      <c r="E7" s="203">
        <f t="shared" si="18"/>
        <v>5529.6451612903229</v>
      </c>
      <c r="F7">
        <f t="shared" ref="F7:F29" si="20">SUM(D7)</f>
        <v>257</v>
      </c>
      <c r="G7" s="203">
        <f t="shared" si="1"/>
        <v>5529.6451612903229</v>
      </c>
      <c r="H7" s="203">
        <f t="shared" ref="H7:H29" si="21">SUM(F7)</f>
        <v>257</v>
      </c>
      <c r="I7" s="203">
        <f t="shared" si="2"/>
        <v>5529.6451612903229</v>
      </c>
      <c r="J7" s="203">
        <f t="shared" ref="J7:J29" si="22">SUM(H7)</f>
        <v>257</v>
      </c>
      <c r="K7" s="203">
        <f t="shared" si="3"/>
        <v>5529.6451612903229</v>
      </c>
      <c r="L7" s="203">
        <f t="shared" ref="L7:L29" si="23">SUM(J7)</f>
        <v>257</v>
      </c>
      <c r="M7" s="203">
        <f t="shared" si="4"/>
        <v>5529.6451612903229</v>
      </c>
      <c r="N7" s="203">
        <f t="shared" ref="N7:N29" si="24">SUM(L7)</f>
        <v>257</v>
      </c>
      <c r="O7" s="203">
        <f t="shared" si="5"/>
        <v>5529.6451612903229</v>
      </c>
      <c r="P7" s="203">
        <f t="shared" ref="P7:P29" si="25">SUM(N7)</f>
        <v>257</v>
      </c>
      <c r="Q7" s="203">
        <f t="shared" si="6"/>
        <v>5529.6451612903229</v>
      </c>
      <c r="R7" s="203">
        <f t="shared" ref="R7:R29" si="26">SUM(P7)</f>
        <v>257</v>
      </c>
      <c r="S7" s="203">
        <f t="shared" si="7"/>
        <v>5529.6451612903229</v>
      </c>
      <c r="T7" s="203">
        <f t="shared" ref="T7:T29" si="27">SUM(R7)</f>
        <v>257</v>
      </c>
      <c r="U7" s="203">
        <f t="shared" si="8"/>
        <v>5529.6451612903229</v>
      </c>
      <c r="V7" s="203">
        <f t="shared" ref="V7:V29" si="28">SUM(T7)</f>
        <v>257</v>
      </c>
      <c r="W7" s="203">
        <f t="shared" si="9"/>
        <v>5529.6451612903229</v>
      </c>
      <c r="X7" s="35">
        <f t="shared" si="10"/>
        <v>0.82903225806451641</v>
      </c>
      <c r="Y7" s="36">
        <f t="shared" ref="Y7:Y29" si="29">SUM(C7+E7+G7+I7+K7+M7+O7+Q7+S7+U7+W7)</f>
        <v>60826.096774193567</v>
      </c>
      <c r="Z7" s="203">
        <f>'B5'!C6</f>
        <v>263</v>
      </c>
      <c r="AA7" s="203">
        <f t="shared" ref="AA7:AC33" si="30">SUM(Z7*$Z$4)</f>
        <v>2630</v>
      </c>
      <c r="AB7" s="203">
        <f t="shared" ref="AB7:AB29" si="31">SUM(Z7)</f>
        <v>263</v>
      </c>
      <c r="AC7" s="203">
        <f t="shared" si="30"/>
        <v>2630</v>
      </c>
      <c r="AD7" s="203">
        <f t="shared" ref="AD7:AD29" si="32">SUM(AB7)</f>
        <v>263</v>
      </c>
      <c r="AE7" s="203">
        <f t="shared" si="11"/>
        <v>2630</v>
      </c>
      <c r="AF7" s="203">
        <f t="shared" ref="AF7:AF29" si="33">SUM(AD7)</f>
        <v>263</v>
      </c>
      <c r="AG7" s="203">
        <f t="shared" si="12"/>
        <v>2630</v>
      </c>
      <c r="AH7" s="203">
        <f t="shared" ref="AH7:AH29" si="34">SUM(AF7)</f>
        <v>263</v>
      </c>
      <c r="AI7" s="203">
        <f t="shared" si="13"/>
        <v>2630</v>
      </c>
      <c r="AJ7" s="203">
        <f t="shared" ref="AJ7:AJ29" si="35">SUM(AH7)</f>
        <v>263</v>
      </c>
      <c r="AK7" s="203">
        <f t="shared" si="14"/>
        <v>2630</v>
      </c>
      <c r="AL7" s="203">
        <f t="shared" ref="AL7:AL29" si="36">SUM(AJ7)</f>
        <v>263</v>
      </c>
      <c r="AM7" s="203">
        <f t="shared" si="15"/>
        <v>2630</v>
      </c>
      <c r="AN7" s="35">
        <f>SUM(AO7/19600)</f>
        <v>0.93928571428571428</v>
      </c>
      <c r="AO7" s="36">
        <f>SUM(AA7+AC7+AE7+AG7+AI7+AK7+AM7)</f>
        <v>18410</v>
      </c>
      <c r="AQ7" s="223">
        <f>SUM(AR7/92970)</f>
        <v>0.85227596831444097</v>
      </c>
      <c r="AR7" s="38">
        <f>Y7+AO7</f>
        <v>79236.096774193575</v>
      </c>
      <c r="AS7" s="197">
        <f>SUM(AR7-AR6-AT7)</f>
        <v>0</v>
      </c>
      <c r="AT7" s="340"/>
      <c r="AU7" s="546"/>
      <c r="AV7" s="485">
        <f>IF(AT7&gt;0,AU7,AV6)</f>
        <v>1.28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920.40506329044263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44745</v>
      </c>
      <c r="B8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203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17" si="42">SUM(AR8-AR7-AT8)</f>
        <v>-2076.7419354839076</v>
      </c>
      <c r="AT8" s="340"/>
      <c r="AU8" s="546"/>
      <c r="AV8" s="485">
        <f t="shared" ref="AV8:AV31" si="43">IF(AT8&gt;0,AU8,AV7)</f>
        <v>1.28</v>
      </c>
      <c r="AW8" s="279">
        <f>-SUM('B5'!AI7)</f>
        <v>-217</v>
      </c>
      <c r="AX8" s="279">
        <f t="shared" si="17"/>
        <v>-1859.7419354839076</v>
      </c>
      <c r="AY8" s="37">
        <f t="shared" si="37"/>
        <v>-2076.7419354839076</v>
      </c>
      <c r="AZ8" s="100">
        <f>ELEC!A6</f>
        <v>0</v>
      </c>
      <c r="BA8" s="118">
        <f>'General information '!D7</f>
        <v>27.5</v>
      </c>
      <c r="BB8" s="378">
        <f>SUM('General information '!E7)</f>
        <v>0.76</v>
      </c>
      <c r="BC8" s="3">
        <f t="shared" ref="BC8:BC33" si="44">IF(AR7&gt;=AR8,0,1)</f>
        <v>0</v>
      </c>
      <c r="BD8" s="102">
        <v>19222</v>
      </c>
      <c r="BE8" s="14">
        <f>(305/1185)*ELEC!Q7</f>
        <v>826.97468354423643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-206.63799283154529</v>
      </c>
      <c r="BK8" s="536">
        <f>GEN!AF5</f>
        <v>0.20318181818166439</v>
      </c>
    </row>
    <row r="9" spans="1:63">
      <c r="A9" s="425">
        <f>ELEC!C7</f>
        <v>44746</v>
      </c>
      <c r="B9">
        <f>'B5'!B8</f>
        <v>246</v>
      </c>
      <c r="C9" s="203">
        <f t="shared" si="18"/>
        <v>5292.9677419354839</v>
      </c>
      <c r="D9">
        <f t="shared" si="19"/>
        <v>246</v>
      </c>
      <c r="E9" s="203">
        <f t="shared" si="18"/>
        <v>5292.9677419354839</v>
      </c>
      <c r="F9">
        <f t="shared" si="20"/>
        <v>246</v>
      </c>
      <c r="G9" s="203">
        <f t="shared" si="1"/>
        <v>5292.9677419354839</v>
      </c>
      <c r="H9" s="203">
        <f t="shared" si="21"/>
        <v>246</v>
      </c>
      <c r="I9" s="203">
        <f t="shared" si="2"/>
        <v>5292.9677419354839</v>
      </c>
      <c r="J9" s="203">
        <f t="shared" si="22"/>
        <v>246</v>
      </c>
      <c r="K9" s="203">
        <f t="shared" si="3"/>
        <v>5292.9677419354839</v>
      </c>
      <c r="L9" s="203">
        <f t="shared" si="23"/>
        <v>246</v>
      </c>
      <c r="M9" s="203">
        <f t="shared" si="4"/>
        <v>5292.9677419354839</v>
      </c>
      <c r="N9" s="203">
        <f t="shared" si="24"/>
        <v>246</v>
      </c>
      <c r="O9" s="203">
        <f t="shared" si="5"/>
        <v>5292.9677419354839</v>
      </c>
      <c r="P9" s="203">
        <f t="shared" si="25"/>
        <v>246</v>
      </c>
      <c r="Q9" s="203">
        <f t="shared" si="6"/>
        <v>5292.9677419354839</v>
      </c>
      <c r="R9" s="203">
        <f t="shared" si="26"/>
        <v>246</v>
      </c>
      <c r="S9" s="203">
        <f t="shared" si="7"/>
        <v>5292.9677419354839</v>
      </c>
      <c r="T9" s="203">
        <f t="shared" si="27"/>
        <v>246</v>
      </c>
      <c r="U9" s="203">
        <f t="shared" si="8"/>
        <v>5292.9677419354839</v>
      </c>
      <c r="V9" s="203">
        <f t="shared" si="28"/>
        <v>246</v>
      </c>
      <c r="W9" s="203">
        <f t="shared" si="9"/>
        <v>5292.9677419354839</v>
      </c>
      <c r="X9" s="35">
        <f t="shared" si="10"/>
        <v>0.79354838709677422</v>
      </c>
      <c r="Y9" s="36">
        <f t="shared" si="29"/>
        <v>58222.645161290326</v>
      </c>
      <c r="Z9" s="203">
        <f>'B5'!C8</f>
        <v>253</v>
      </c>
      <c r="AA9" s="203">
        <f t="shared" si="30"/>
        <v>2530</v>
      </c>
      <c r="AB9" s="203">
        <f t="shared" si="31"/>
        <v>253</v>
      </c>
      <c r="AC9" s="203">
        <f t="shared" si="30"/>
        <v>2530</v>
      </c>
      <c r="AD9" s="203">
        <f t="shared" si="32"/>
        <v>253</v>
      </c>
      <c r="AE9" s="203">
        <f t="shared" si="11"/>
        <v>2530</v>
      </c>
      <c r="AF9" s="203">
        <f t="shared" si="33"/>
        <v>253</v>
      </c>
      <c r="AG9" s="203">
        <f t="shared" si="12"/>
        <v>2530</v>
      </c>
      <c r="AH9" s="203">
        <f t="shared" si="34"/>
        <v>253</v>
      </c>
      <c r="AI9" s="203">
        <f t="shared" si="13"/>
        <v>2530</v>
      </c>
      <c r="AJ9" s="203">
        <f t="shared" si="35"/>
        <v>253</v>
      </c>
      <c r="AK9" s="203">
        <f t="shared" si="14"/>
        <v>2530</v>
      </c>
      <c r="AL9" s="203">
        <f t="shared" si="36"/>
        <v>253</v>
      </c>
      <c r="AM9" s="203">
        <f t="shared" si="15"/>
        <v>2530</v>
      </c>
      <c r="AN9" s="35">
        <f t="shared" si="16"/>
        <v>0.90357142857142858</v>
      </c>
      <c r="AO9" s="36">
        <f>SUM(AA9+AC9+AE9+AG9+AI9+AK9+AM9)</f>
        <v>17710</v>
      </c>
      <c r="AQ9" s="223">
        <f t="shared" si="40"/>
        <v>0.81674352114972926</v>
      </c>
      <c r="AR9" s="38">
        <f t="shared" si="41"/>
        <v>75932.645161290333</v>
      </c>
      <c r="AS9" s="197">
        <f>SUM(AR9-AR8-AT9)</f>
        <v>-1226.7096774193342</v>
      </c>
      <c r="AT9" s="340"/>
      <c r="AU9" s="546"/>
      <c r="AV9" s="485">
        <f t="shared" si="43"/>
        <v>1.28</v>
      </c>
      <c r="AW9" s="279">
        <f>-SUM('B5'!AI8)</f>
        <v>-132</v>
      </c>
      <c r="AX9" s="279">
        <f t="shared" si="17"/>
        <v>-1094.7096774193342</v>
      </c>
      <c r="AY9" s="37">
        <f t="shared" si="37"/>
        <v>-1226.7096774193342</v>
      </c>
      <c r="AZ9" s="100">
        <f>ELEC!A7</f>
        <v>0</v>
      </c>
      <c r="BA9" s="118">
        <f>'General information '!D8</f>
        <v>27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922.7215189880535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-182.45161290322235</v>
      </c>
      <c r="BK9" s="536">
        <f>GEN!AF6</f>
        <v>0.16734374999998636</v>
      </c>
    </row>
    <row r="10" spans="1:63">
      <c r="A10" s="425">
        <f>ELEC!C8</f>
        <v>44747</v>
      </c>
      <c r="B10">
        <f>'B5'!B9</f>
        <v>242</v>
      </c>
      <c r="C10" s="203">
        <f t="shared" si="18"/>
        <v>5206.9032258064517</v>
      </c>
      <c r="D10">
        <f t="shared" si="19"/>
        <v>242</v>
      </c>
      <c r="E10" s="203">
        <f t="shared" si="18"/>
        <v>5206.9032258064517</v>
      </c>
      <c r="F10">
        <f t="shared" si="20"/>
        <v>242</v>
      </c>
      <c r="G10" s="203">
        <f t="shared" si="1"/>
        <v>5206.9032258064517</v>
      </c>
      <c r="H10" s="203">
        <f t="shared" si="21"/>
        <v>242</v>
      </c>
      <c r="I10" s="203">
        <f t="shared" si="2"/>
        <v>5206.9032258064517</v>
      </c>
      <c r="J10" s="203">
        <f t="shared" si="22"/>
        <v>242</v>
      </c>
      <c r="K10" s="203">
        <f t="shared" si="3"/>
        <v>5206.9032258064517</v>
      </c>
      <c r="L10" s="203">
        <f t="shared" si="23"/>
        <v>242</v>
      </c>
      <c r="M10" s="203">
        <f t="shared" si="4"/>
        <v>5206.9032258064517</v>
      </c>
      <c r="N10" s="203">
        <f t="shared" si="24"/>
        <v>242</v>
      </c>
      <c r="O10" s="203">
        <f t="shared" si="5"/>
        <v>5206.9032258064517</v>
      </c>
      <c r="P10" s="203">
        <f t="shared" si="25"/>
        <v>242</v>
      </c>
      <c r="Q10" s="203">
        <f t="shared" si="6"/>
        <v>5206.9032258064517</v>
      </c>
      <c r="R10" s="203">
        <f t="shared" si="26"/>
        <v>242</v>
      </c>
      <c r="S10" s="203">
        <f t="shared" si="7"/>
        <v>5206.9032258064517</v>
      </c>
      <c r="T10" s="203">
        <f t="shared" si="27"/>
        <v>242</v>
      </c>
      <c r="U10" s="203">
        <f t="shared" si="8"/>
        <v>5206.9032258064517</v>
      </c>
      <c r="V10" s="203">
        <f t="shared" si="28"/>
        <v>242</v>
      </c>
      <c r="W10" s="203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3">
        <f>'B5'!C9</f>
        <v>249</v>
      </c>
      <c r="AA10" s="203">
        <f t="shared" si="30"/>
        <v>2490</v>
      </c>
      <c r="AB10" s="203">
        <f t="shared" si="31"/>
        <v>249</v>
      </c>
      <c r="AC10" s="203">
        <f t="shared" si="30"/>
        <v>2490</v>
      </c>
      <c r="AD10" s="203">
        <f t="shared" si="32"/>
        <v>249</v>
      </c>
      <c r="AE10" s="203">
        <f t="shared" si="11"/>
        <v>2490</v>
      </c>
      <c r="AF10" s="203">
        <f t="shared" si="33"/>
        <v>249</v>
      </c>
      <c r="AG10" s="203">
        <f t="shared" si="12"/>
        <v>2490</v>
      </c>
      <c r="AH10" s="203">
        <f t="shared" si="34"/>
        <v>249</v>
      </c>
      <c r="AI10" s="203">
        <f t="shared" si="13"/>
        <v>2490</v>
      </c>
      <c r="AJ10" s="203">
        <f t="shared" si="35"/>
        <v>249</v>
      </c>
      <c r="AK10" s="203">
        <f t="shared" si="14"/>
        <v>2490</v>
      </c>
      <c r="AL10" s="203">
        <f t="shared" si="36"/>
        <v>249</v>
      </c>
      <c r="AM10" s="203">
        <f t="shared" si="15"/>
        <v>2490</v>
      </c>
      <c r="AN10" s="35">
        <f t="shared" si="16"/>
        <v>0.88928571428571423</v>
      </c>
      <c r="AO10" s="36">
        <f t="shared" si="39"/>
        <v>17430</v>
      </c>
      <c r="AQ10" s="223">
        <f t="shared" si="40"/>
        <v>0.80354883816146039</v>
      </c>
      <c r="AR10" s="38">
        <f t="shared" si="41"/>
        <v>74705.93548387097</v>
      </c>
      <c r="AS10" s="197">
        <f>SUM(AR10-AR9-AT10)</f>
        <v>-1226.7096774193633</v>
      </c>
      <c r="AT10" s="340"/>
      <c r="AU10" s="546"/>
      <c r="AV10" s="485">
        <f>IF(AT10&gt;0,AU10,AV9)</f>
        <v>1.28</v>
      </c>
      <c r="AW10" s="279">
        <f>-SUM('B5'!AI9)</f>
        <v>-66</v>
      </c>
      <c r="AX10" s="279">
        <f t="shared" si="17"/>
        <v>-1160.7096774193633</v>
      </c>
      <c r="AY10" s="37">
        <f t="shared" si="37"/>
        <v>-1226.7096774193633</v>
      </c>
      <c r="AZ10" s="100">
        <f>ELEC!A8</f>
        <v>0</v>
      </c>
      <c r="BA10" s="118">
        <f>'General information '!D9</f>
        <v>27</v>
      </c>
      <c r="BB10" s="378">
        <f>SUM('General information '!E9)</f>
        <v>0.73</v>
      </c>
      <c r="BC10" s="3">
        <f t="shared" si="44"/>
        <v>0</v>
      </c>
      <c r="BD10" s="102">
        <v>19222</v>
      </c>
      <c r="BE10" s="14">
        <f>(305/1185)*ELEC!Q9</f>
        <v>790.16877637123321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-165.81566820276618</v>
      </c>
      <c r="BK10" s="536">
        <f>GEN!AF7</f>
        <v>0.17235576923090215</v>
      </c>
    </row>
    <row r="11" spans="1:63">
      <c r="A11" s="425">
        <f>ELEC!C9</f>
        <v>44748</v>
      </c>
      <c r="B11">
        <f>'B5'!B10</f>
        <v>238</v>
      </c>
      <c r="C11" s="203">
        <f t="shared" si="18"/>
        <v>5120.8387096774195</v>
      </c>
      <c r="D11">
        <f>SUM(B11)</f>
        <v>238</v>
      </c>
      <c r="E11" s="203">
        <f t="shared" si="18"/>
        <v>5120.8387096774195</v>
      </c>
      <c r="F11">
        <f>SUM(D11)</f>
        <v>238</v>
      </c>
      <c r="G11" s="203">
        <f t="shared" si="1"/>
        <v>5120.8387096774195</v>
      </c>
      <c r="H11" s="203">
        <f>SUM(F11)</f>
        <v>238</v>
      </c>
      <c r="I11" s="203">
        <f t="shared" si="2"/>
        <v>5120.8387096774195</v>
      </c>
      <c r="J11" s="203">
        <f>SUM(H11)</f>
        <v>238</v>
      </c>
      <c r="K11" s="203">
        <f t="shared" si="3"/>
        <v>5120.8387096774195</v>
      </c>
      <c r="L11" s="203">
        <f>SUM(J11)</f>
        <v>238</v>
      </c>
      <c r="M11" s="203">
        <f t="shared" si="4"/>
        <v>5120.8387096774195</v>
      </c>
      <c r="N11" s="203">
        <f>SUM(L11)</f>
        <v>238</v>
      </c>
      <c r="O11" s="203">
        <f t="shared" si="5"/>
        <v>5120.8387096774195</v>
      </c>
      <c r="P11" s="203">
        <f>SUM(N11)</f>
        <v>238</v>
      </c>
      <c r="Q11" s="203">
        <f t="shared" si="6"/>
        <v>5120.8387096774195</v>
      </c>
      <c r="R11" s="203">
        <f>SUM(P11)</f>
        <v>238</v>
      </c>
      <c r="S11" s="203">
        <f t="shared" si="7"/>
        <v>5120.8387096774195</v>
      </c>
      <c r="T11" s="203">
        <f>SUM(R11)</f>
        <v>238</v>
      </c>
      <c r="U11" s="203">
        <f t="shared" si="8"/>
        <v>5120.8387096774195</v>
      </c>
      <c r="V11" s="203">
        <f>SUM(T11)</f>
        <v>238</v>
      </c>
      <c r="W11" s="203">
        <f t="shared" si="9"/>
        <v>5120.8387096774195</v>
      </c>
      <c r="X11" s="35">
        <f>SUM(Y11/73370)</f>
        <v>0.76774193548387093</v>
      </c>
      <c r="Y11" s="36">
        <f>SUM(C11+E11+G11+I11+K11+M11+O11+Q11+S11+U11+W11)</f>
        <v>56329.225806451606</v>
      </c>
      <c r="Z11" s="203">
        <f>'B5'!C10</f>
        <v>245</v>
      </c>
      <c r="AA11" s="203">
        <f t="shared" si="30"/>
        <v>2450</v>
      </c>
      <c r="AB11" s="203">
        <f>SUM(Z11)</f>
        <v>245</v>
      </c>
      <c r="AC11" s="203">
        <f t="shared" si="30"/>
        <v>2450</v>
      </c>
      <c r="AD11" s="203">
        <f>SUM(AB11)</f>
        <v>245</v>
      </c>
      <c r="AE11" s="203">
        <f t="shared" si="11"/>
        <v>2450</v>
      </c>
      <c r="AF11" s="203">
        <f>SUM(AD11)</f>
        <v>245</v>
      </c>
      <c r="AG11" s="203">
        <f t="shared" si="12"/>
        <v>2450</v>
      </c>
      <c r="AH11" s="203">
        <f>SUM(AF11)</f>
        <v>245</v>
      </c>
      <c r="AI11" s="203">
        <f t="shared" si="13"/>
        <v>2450</v>
      </c>
      <c r="AJ11" s="203">
        <f>SUM(AH11)</f>
        <v>245</v>
      </c>
      <c r="AK11" s="203">
        <f t="shared" si="14"/>
        <v>2450</v>
      </c>
      <c r="AL11" s="203">
        <f>SUM(AJ11)</f>
        <v>245</v>
      </c>
      <c r="AM11" s="203">
        <f t="shared" si="15"/>
        <v>2450</v>
      </c>
      <c r="AN11" s="35">
        <f>SUM(AO11/19600)</f>
        <v>0.875</v>
      </c>
      <c r="AO11" s="36">
        <f t="shared" si="39"/>
        <v>17150</v>
      </c>
      <c r="AP11" s="523"/>
      <c r="AQ11" s="223">
        <f t="shared" si="40"/>
        <v>0.79035415517319141</v>
      </c>
      <c r="AR11" s="38">
        <f>Y11+AO11</f>
        <v>73479.225806451606</v>
      </c>
      <c r="AS11" s="197">
        <f t="shared" si="42"/>
        <v>-1226.7096774193633</v>
      </c>
      <c r="AT11" s="340"/>
      <c r="AU11" s="546"/>
      <c r="AV11" s="485">
        <f>IF(AT11&gt;0,AU11,AV10)</f>
        <v>1.28</v>
      </c>
      <c r="AW11" s="279">
        <f>-SUM('B5'!AI10)</f>
        <v>-121</v>
      </c>
      <c r="AX11" s="279">
        <f t="shared" si="17"/>
        <v>-1105.7096774193633</v>
      </c>
      <c r="AY11" s="37">
        <f t="shared" si="37"/>
        <v>-1226.7096774193633</v>
      </c>
      <c r="AZ11" s="100">
        <f>ELEC!A9</f>
        <v>0</v>
      </c>
      <c r="BA11" s="118">
        <f>'General information '!D10</f>
        <v>27</v>
      </c>
      <c r="BB11" s="378">
        <f>SUM('General information '!E10)</f>
        <v>0.72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-118.8935137010161</v>
      </c>
      <c r="BK11" s="536"/>
    </row>
    <row r="12" spans="1:63">
      <c r="A12" s="425">
        <f>ELEC!C10</f>
        <v>44749</v>
      </c>
      <c r="B12">
        <f>'B5'!B11</f>
        <v>238</v>
      </c>
      <c r="C12" s="203">
        <f t="shared" si="18"/>
        <v>5120.8387096774195</v>
      </c>
      <c r="D12">
        <f t="shared" si="19"/>
        <v>238</v>
      </c>
      <c r="E12" s="203">
        <f t="shared" si="18"/>
        <v>5120.8387096774195</v>
      </c>
      <c r="F12">
        <f t="shared" si="20"/>
        <v>238</v>
      </c>
      <c r="G12" s="203">
        <f t="shared" si="1"/>
        <v>5120.8387096774195</v>
      </c>
      <c r="H12" s="203">
        <f t="shared" si="21"/>
        <v>238</v>
      </c>
      <c r="I12" s="203">
        <f t="shared" si="2"/>
        <v>5120.8387096774195</v>
      </c>
      <c r="J12" s="203">
        <f t="shared" si="22"/>
        <v>238</v>
      </c>
      <c r="K12" s="203">
        <f t="shared" si="3"/>
        <v>5120.8387096774195</v>
      </c>
      <c r="L12" s="203">
        <f t="shared" si="23"/>
        <v>238</v>
      </c>
      <c r="M12" s="203">
        <f t="shared" si="4"/>
        <v>5120.8387096774195</v>
      </c>
      <c r="N12" s="203">
        <f t="shared" si="24"/>
        <v>238</v>
      </c>
      <c r="O12" s="203">
        <f t="shared" si="5"/>
        <v>5120.8387096774195</v>
      </c>
      <c r="P12" s="203">
        <f t="shared" si="25"/>
        <v>238</v>
      </c>
      <c r="Q12" s="203">
        <f t="shared" si="6"/>
        <v>5120.8387096774195</v>
      </c>
      <c r="R12" s="203">
        <f t="shared" si="26"/>
        <v>238</v>
      </c>
      <c r="S12" s="203">
        <f t="shared" si="7"/>
        <v>5120.8387096774195</v>
      </c>
      <c r="T12" s="203">
        <f t="shared" si="27"/>
        <v>238</v>
      </c>
      <c r="U12" s="203">
        <f t="shared" si="8"/>
        <v>5120.8387096774195</v>
      </c>
      <c r="V12" s="203">
        <f t="shared" si="28"/>
        <v>238</v>
      </c>
      <c r="W12" s="203">
        <f t="shared" si="9"/>
        <v>5120.8387096774195</v>
      </c>
      <c r="X12" s="35">
        <f t="shared" si="10"/>
        <v>0.76774193548387093</v>
      </c>
      <c r="Y12" s="36">
        <f t="shared" si="29"/>
        <v>56329.225806451606</v>
      </c>
      <c r="Z12" s="203">
        <f>'B5'!C11</f>
        <v>245</v>
      </c>
      <c r="AA12" s="203">
        <f t="shared" si="30"/>
        <v>2450</v>
      </c>
      <c r="AB12" s="203">
        <f t="shared" si="31"/>
        <v>245</v>
      </c>
      <c r="AC12" s="203">
        <f t="shared" si="30"/>
        <v>2450</v>
      </c>
      <c r="AD12" s="203">
        <f t="shared" si="32"/>
        <v>245</v>
      </c>
      <c r="AE12" s="203">
        <f t="shared" si="11"/>
        <v>2450</v>
      </c>
      <c r="AF12" s="203">
        <f t="shared" si="33"/>
        <v>245</v>
      </c>
      <c r="AG12" s="203">
        <f t="shared" si="12"/>
        <v>2450</v>
      </c>
      <c r="AH12" s="203">
        <f t="shared" si="34"/>
        <v>245</v>
      </c>
      <c r="AI12" s="203">
        <f t="shared" si="13"/>
        <v>2450</v>
      </c>
      <c r="AJ12" s="203">
        <f t="shared" si="35"/>
        <v>245</v>
      </c>
      <c r="AK12" s="203">
        <f t="shared" si="14"/>
        <v>2450</v>
      </c>
      <c r="AL12" s="203">
        <f t="shared" si="36"/>
        <v>245</v>
      </c>
      <c r="AM12" s="203">
        <f t="shared" si="15"/>
        <v>2450</v>
      </c>
      <c r="AN12" s="35">
        <f t="shared" si="16"/>
        <v>0.875</v>
      </c>
      <c r="AO12" s="36">
        <f t="shared" si="39"/>
        <v>17150</v>
      </c>
      <c r="AP12" s="523"/>
      <c r="AQ12" s="223">
        <f t="shared" si="40"/>
        <v>0.79035415517319141</v>
      </c>
      <c r="AR12" s="38">
        <f t="shared" si="41"/>
        <v>73479.225806451606</v>
      </c>
      <c r="AS12" s="197">
        <f>SUM(AR12-AR11-AT12)</f>
        <v>0</v>
      </c>
      <c r="AT12" s="340"/>
      <c r="AU12" s="546"/>
      <c r="AV12" s="485">
        <f t="shared" si="43"/>
        <v>1.28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44750</v>
      </c>
      <c r="B13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3"/>
      <c r="AQ13" s="223">
        <f t="shared" si="40"/>
        <v>0.79035415517319141</v>
      </c>
      <c r="AR13" s="38">
        <f>Y13+AO13</f>
        <v>73479.225806451606</v>
      </c>
      <c r="AS13" s="197">
        <f>SUM(AR13-AR12-AT13)</f>
        <v>0</v>
      </c>
      <c r="AT13" s="340"/>
      <c r="AU13" s="546"/>
      <c r="AV13" s="485">
        <f t="shared" si="43"/>
        <v>1.28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44751</v>
      </c>
      <c r="B14">
        <f>'B5'!B13</f>
        <v>238</v>
      </c>
      <c r="C14" s="203">
        <f t="shared" si="18"/>
        <v>5120.8387096774195</v>
      </c>
      <c r="D14">
        <f t="shared" si="19"/>
        <v>238</v>
      </c>
      <c r="E14" s="203">
        <f t="shared" si="18"/>
        <v>5120.8387096774195</v>
      </c>
      <c r="F14">
        <f t="shared" si="20"/>
        <v>238</v>
      </c>
      <c r="G14" s="203">
        <f t="shared" si="1"/>
        <v>5120.8387096774195</v>
      </c>
      <c r="H14" s="203">
        <f t="shared" si="21"/>
        <v>238</v>
      </c>
      <c r="I14" s="203">
        <f t="shared" si="2"/>
        <v>5120.8387096774195</v>
      </c>
      <c r="J14" s="203">
        <f t="shared" si="22"/>
        <v>238</v>
      </c>
      <c r="K14" s="203">
        <f t="shared" si="3"/>
        <v>5120.8387096774195</v>
      </c>
      <c r="L14" s="203">
        <f t="shared" si="23"/>
        <v>238</v>
      </c>
      <c r="M14" s="203">
        <f t="shared" si="4"/>
        <v>5120.8387096774195</v>
      </c>
      <c r="N14" s="203">
        <f t="shared" si="24"/>
        <v>238</v>
      </c>
      <c r="O14" s="203">
        <f t="shared" si="5"/>
        <v>5120.8387096774195</v>
      </c>
      <c r="P14" s="203">
        <f t="shared" si="25"/>
        <v>238</v>
      </c>
      <c r="Q14" s="203">
        <f t="shared" si="6"/>
        <v>5120.8387096774195</v>
      </c>
      <c r="R14" s="203">
        <f t="shared" si="26"/>
        <v>238</v>
      </c>
      <c r="S14" s="203">
        <f t="shared" si="7"/>
        <v>5120.8387096774195</v>
      </c>
      <c r="T14" s="203">
        <f t="shared" si="27"/>
        <v>238</v>
      </c>
      <c r="U14" s="203">
        <f t="shared" si="8"/>
        <v>5120.8387096774195</v>
      </c>
      <c r="V14" s="203">
        <f t="shared" si="28"/>
        <v>238</v>
      </c>
      <c r="W14" s="203">
        <f t="shared" si="9"/>
        <v>5120.8387096774195</v>
      </c>
      <c r="X14" s="35">
        <f t="shared" si="10"/>
        <v>0.76774193548387093</v>
      </c>
      <c r="Y14" s="36">
        <f t="shared" si="29"/>
        <v>56329.225806451606</v>
      </c>
      <c r="Z14" s="203">
        <f>'B5'!C13</f>
        <v>245</v>
      </c>
      <c r="AA14" s="203">
        <f t="shared" si="30"/>
        <v>2450</v>
      </c>
      <c r="AB14" s="203">
        <f t="shared" si="31"/>
        <v>245</v>
      </c>
      <c r="AC14" s="203">
        <f t="shared" si="30"/>
        <v>2450</v>
      </c>
      <c r="AD14" s="203">
        <f t="shared" si="32"/>
        <v>245</v>
      </c>
      <c r="AE14" s="203">
        <f t="shared" si="11"/>
        <v>2450</v>
      </c>
      <c r="AF14" s="203">
        <f t="shared" si="33"/>
        <v>245</v>
      </c>
      <c r="AG14" s="203">
        <f t="shared" si="12"/>
        <v>2450</v>
      </c>
      <c r="AH14" s="203">
        <f t="shared" si="34"/>
        <v>245</v>
      </c>
      <c r="AI14" s="203">
        <f t="shared" si="13"/>
        <v>2450</v>
      </c>
      <c r="AJ14" s="203">
        <f t="shared" si="35"/>
        <v>245</v>
      </c>
      <c r="AK14" s="203">
        <f t="shared" si="14"/>
        <v>2450</v>
      </c>
      <c r="AL14" s="203">
        <f t="shared" si="36"/>
        <v>245</v>
      </c>
      <c r="AM14" s="203">
        <f t="shared" si="15"/>
        <v>2450</v>
      </c>
      <c r="AN14" s="35">
        <f t="shared" si="16"/>
        <v>0.875</v>
      </c>
      <c r="AO14" s="36">
        <f t="shared" si="39"/>
        <v>17150</v>
      </c>
      <c r="AQ14" s="223">
        <f t="shared" si="40"/>
        <v>0.79035415517319141</v>
      </c>
      <c r="AR14" s="38">
        <f t="shared" si="41"/>
        <v>73479.225806451606</v>
      </c>
      <c r="AS14" s="197">
        <f>SUM(AR14-AR13-AT14)</f>
        <v>0</v>
      </c>
      <c r="AT14" s="340"/>
      <c r="AU14" s="546"/>
      <c r="AV14" s="485">
        <f t="shared" si="43"/>
        <v>1.28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44752</v>
      </c>
      <c r="B15">
        <f>'B5'!B14</f>
        <v>238</v>
      </c>
      <c r="C15" s="203">
        <f>B15*$B$4</f>
        <v>5120.8387096774195</v>
      </c>
      <c r="D15">
        <f t="shared" si="19"/>
        <v>238</v>
      </c>
      <c r="E15" s="203">
        <f t="shared" si="18"/>
        <v>5120.8387096774195</v>
      </c>
      <c r="F15">
        <f t="shared" si="20"/>
        <v>238</v>
      </c>
      <c r="G15" s="203">
        <f t="shared" si="1"/>
        <v>5120.8387096774195</v>
      </c>
      <c r="H15" s="203">
        <f t="shared" si="21"/>
        <v>238</v>
      </c>
      <c r="I15" s="203">
        <f t="shared" si="2"/>
        <v>5120.8387096774195</v>
      </c>
      <c r="J15" s="203">
        <f t="shared" si="22"/>
        <v>238</v>
      </c>
      <c r="K15" s="203">
        <f t="shared" si="3"/>
        <v>5120.8387096774195</v>
      </c>
      <c r="L15" s="203">
        <f t="shared" si="23"/>
        <v>238</v>
      </c>
      <c r="M15" s="203">
        <f t="shared" si="4"/>
        <v>5120.8387096774195</v>
      </c>
      <c r="N15" s="203">
        <f t="shared" si="24"/>
        <v>238</v>
      </c>
      <c r="O15" s="203">
        <f t="shared" si="5"/>
        <v>5120.8387096774195</v>
      </c>
      <c r="P15" s="203">
        <f t="shared" si="25"/>
        <v>238</v>
      </c>
      <c r="Q15" s="203">
        <f t="shared" si="6"/>
        <v>5120.8387096774195</v>
      </c>
      <c r="R15" s="203">
        <f t="shared" si="26"/>
        <v>238</v>
      </c>
      <c r="S15" s="203">
        <f t="shared" si="7"/>
        <v>5120.8387096774195</v>
      </c>
      <c r="T15" s="203">
        <f t="shared" si="27"/>
        <v>238</v>
      </c>
      <c r="U15" s="203">
        <f t="shared" si="8"/>
        <v>5120.8387096774195</v>
      </c>
      <c r="V15" s="203">
        <f t="shared" si="28"/>
        <v>238</v>
      </c>
      <c r="W15" s="203">
        <f t="shared" si="9"/>
        <v>5120.8387096774195</v>
      </c>
      <c r="X15" s="35">
        <f t="shared" si="10"/>
        <v>0.76774193548387093</v>
      </c>
      <c r="Y15" s="36">
        <f t="shared" si="29"/>
        <v>56329.225806451606</v>
      </c>
      <c r="Z15" s="203">
        <f>'B5'!C14</f>
        <v>245</v>
      </c>
      <c r="AA15" s="203">
        <f t="shared" si="30"/>
        <v>2450</v>
      </c>
      <c r="AB15" s="203">
        <f t="shared" si="31"/>
        <v>245</v>
      </c>
      <c r="AC15" s="203">
        <f t="shared" si="30"/>
        <v>2450</v>
      </c>
      <c r="AD15" s="203">
        <f t="shared" si="32"/>
        <v>245</v>
      </c>
      <c r="AE15" s="203">
        <f t="shared" si="11"/>
        <v>2450</v>
      </c>
      <c r="AF15" s="203">
        <f t="shared" si="33"/>
        <v>245</v>
      </c>
      <c r="AG15" s="203">
        <f t="shared" si="12"/>
        <v>2450</v>
      </c>
      <c r="AH15" s="203">
        <f t="shared" si="34"/>
        <v>245</v>
      </c>
      <c r="AI15" s="203">
        <f t="shared" si="13"/>
        <v>2450</v>
      </c>
      <c r="AJ15" s="203">
        <f t="shared" si="35"/>
        <v>245</v>
      </c>
      <c r="AK15" s="203">
        <f t="shared" si="14"/>
        <v>2450</v>
      </c>
      <c r="AL15" s="203">
        <f t="shared" si="36"/>
        <v>245</v>
      </c>
      <c r="AM15" s="203">
        <f t="shared" si="15"/>
        <v>2450</v>
      </c>
      <c r="AN15" s="35">
        <f t="shared" si="16"/>
        <v>0.875</v>
      </c>
      <c r="AO15" s="36">
        <f t="shared" si="39"/>
        <v>17150</v>
      </c>
      <c r="AQ15" s="223">
        <f t="shared" si="40"/>
        <v>0.79035415517319141</v>
      </c>
      <c r="AR15" s="38">
        <f t="shared" si="41"/>
        <v>73479.225806451606</v>
      </c>
      <c r="AS15" s="197">
        <f t="shared" si="42"/>
        <v>0</v>
      </c>
      <c r="AT15" s="340"/>
      <c r="AU15" s="546"/>
      <c r="AV15" s="485">
        <f>IF(AT15&gt;0,AU15,AV14)</f>
        <v>1.28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859.91983122371869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44753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>Y16+AO16</f>
        <v>72489.193548387091</v>
      </c>
      <c r="AS16" s="197">
        <f>SUM(AR16-AR15-AT16)</f>
        <v>-990.03225806451519</v>
      </c>
      <c r="AT16" s="340"/>
      <c r="AU16" s="546"/>
      <c r="AV16" s="485">
        <f t="shared" ref="AV16:AV21" si="45">IF(AT16&gt;0,AU16,AV15)</f>
        <v>1.28</v>
      </c>
      <c r="AW16" s="279">
        <f>-SUM('B5'!AI15)</f>
        <v>-101</v>
      </c>
      <c r="AX16" s="279">
        <f t="shared" si="17"/>
        <v>-889.03225806451519</v>
      </c>
      <c r="AY16" s="37">
        <f t="shared" si="37"/>
        <v>-990.03225806451519</v>
      </c>
      <c r="AZ16" s="100">
        <f>ELEC!A14</f>
        <v>0</v>
      </c>
      <c r="BA16" s="118">
        <f>'General information '!D15</f>
        <v>27.5</v>
      </c>
      <c r="BB16" s="378">
        <f>SUM('General information '!E15)</f>
        <v>0.68</v>
      </c>
      <c r="BC16" s="3">
        <f t="shared" si="44"/>
        <v>0</v>
      </c>
      <c r="BD16" s="102">
        <v>19222</v>
      </c>
      <c r="BE16" s="14">
        <f>(305/1185)*ELEC!Q15</f>
        <v>1465.5443037973412</v>
      </c>
      <c r="BF16" s="14"/>
      <c r="BG16" s="14" t="e">
        <f>#REF!-BE16</f>
        <v>#REF!</v>
      </c>
      <c r="BH16" s="11"/>
      <c r="BI16">
        <v>3</v>
      </c>
      <c r="BJ16">
        <f t="shared" si="38"/>
        <v>-296.34408602150506</v>
      </c>
      <c r="BK16" s="536">
        <f>GEN!AF13</f>
        <v>0.14915178571430132</v>
      </c>
    </row>
    <row r="17" spans="1:64">
      <c r="A17" s="425">
        <f>ELEC!C15</f>
        <v>44754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-1463.3870967741823</v>
      </c>
      <c r="AU17" s="3"/>
      <c r="AV17" s="485">
        <f t="shared" si="45"/>
        <v>1.28</v>
      </c>
      <c r="AW17" s="279">
        <f>-SUM('B5'!AI16)</f>
        <v>-80</v>
      </c>
      <c r="AX17" s="279">
        <f t="shared" si="17"/>
        <v>-1383.3870967741823</v>
      </c>
      <c r="AY17" s="37">
        <f t="shared" si="37"/>
        <v>-1463.3870967741823</v>
      </c>
      <c r="AZ17" s="100">
        <f>ELEC!A15</f>
        <v>0</v>
      </c>
      <c r="BA17" s="118">
        <f>'General information '!D16</f>
        <v>27.5</v>
      </c>
      <c r="BB17" s="378">
        <f>SUM('General information '!E16)</f>
        <v>0.7</v>
      </c>
      <c r="BC17" s="3">
        <f t="shared" si="44"/>
        <v>0</v>
      </c>
      <c r="BD17" s="102">
        <v>19222</v>
      </c>
      <c r="BE17" s="14">
        <f>(305/1185)*ELEC!Q16</f>
        <v>221.0928270043168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-345.84677419354557</v>
      </c>
      <c r="BK17" s="536">
        <f>GEN!AF14</f>
        <v>0.39541666666663233</v>
      </c>
    </row>
    <row r="18" spans="1:64">
      <c r="A18" s="425">
        <f>ELEC!C16</f>
        <v>44755</v>
      </c>
      <c r="B18">
        <f>'B5'!B17</f>
        <v>227</v>
      </c>
      <c r="C18" s="203">
        <f t="shared" si="18"/>
        <v>4884.1612903225805</v>
      </c>
      <c r="D18">
        <f t="shared" si="19"/>
        <v>227</v>
      </c>
      <c r="E18" s="203">
        <f t="shared" si="18"/>
        <v>4884.1612903225805</v>
      </c>
      <c r="F18">
        <f t="shared" si="20"/>
        <v>227</v>
      </c>
      <c r="G18" s="203">
        <f t="shared" si="1"/>
        <v>4884.1612903225805</v>
      </c>
      <c r="H18" s="203">
        <f t="shared" si="21"/>
        <v>227</v>
      </c>
      <c r="I18" s="203">
        <f t="shared" si="2"/>
        <v>4884.1612903225805</v>
      </c>
      <c r="J18" s="203">
        <f t="shared" si="22"/>
        <v>227</v>
      </c>
      <c r="K18" s="203">
        <f t="shared" si="3"/>
        <v>4884.1612903225805</v>
      </c>
      <c r="L18" s="203">
        <f t="shared" si="23"/>
        <v>227</v>
      </c>
      <c r="M18" s="203">
        <f t="shared" si="4"/>
        <v>4884.1612903225805</v>
      </c>
      <c r="N18" s="203">
        <f t="shared" si="24"/>
        <v>227</v>
      </c>
      <c r="O18" s="203">
        <f t="shared" si="5"/>
        <v>4884.1612903225805</v>
      </c>
      <c r="P18" s="203">
        <f t="shared" si="25"/>
        <v>227</v>
      </c>
      <c r="Q18" s="203">
        <f t="shared" si="6"/>
        <v>4884.1612903225805</v>
      </c>
      <c r="R18" s="203">
        <f t="shared" si="26"/>
        <v>227</v>
      </c>
      <c r="S18" s="203">
        <f t="shared" si="7"/>
        <v>4884.1612903225805</v>
      </c>
      <c r="T18" s="203">
        <f t="shared" si="27"/>
        <v>227</v>
      </c>
      <c r="U18" s="203">
        <f t="shared" si="8"/>
        <v>4884.1612903225805</v>
      </c>
      <c r="V18" s="203">
        <f t="shared" si="28"/>
        <v>227</v>
      </c>
      <c r="W18" s="203">
        <f t="shared" si="9"/>
        <v>4884.1612903225805</v>
      </c>
      <c r="X18" s="35">
        <f t="shared" si="10"/>
        <v>0.73225806451612907</v>
      </c>
      <c r="Y18" s="36">
        <f t="shared" si="29"/>
        <v>53725.774193548394</v>
      </c>
      <c r="Z18" s="203">
        <f>'B5'!C17</f>
        <v>233</v>
      </c>
      <c r="AA18" s="203">
        <f t="shared" si="30"/>
        <v>2330</v>
      </c>
      <c r="AB18" s="203">
        <f t="shared" si="31"/>
        <v>233</v>
      </c>
      <c r="AC18" s="203">
        <f t="shared" si="30"/>
        <v>2330</v>
      </c>
      <c r="AD18" s="203">
        <f t="shared" si="32"/>
        <v>233</v>
      </c>
      <c r="AE18" s="203">
        <f t="shared" si="11"/>
        <v>2330</v>
      </c>
      <c r="AF18" s="203">
        <f t="shared" si="33"/>
        <v>233</v>
      </c>
      <c r="AG18" s="203">
        <f t="shared" si="12"/>
        <v>2330</v>
      </c>
      <c r="AH18" s="203">
        <f t="shared" si="34"/>
        <v>233</v>
      </c>
      <c r="AI18" s="203">
        <f t="shared" si="13"/>
        <v>2330</v>
      </c>
      <c r="AJ18" s="203">
        <f t="shared" si="35"/>
        <v>233</v>
      </c>
      <c r="AK18" s="203">
        <f t="shared" si="14"/>
        <v>2330</v>
      </c>
      <c r="AL18" s="203">
        <f t="shared" si="36"/>
        <v>233</v>
      </c>
      <c r="AM18" s="203">
        <f t="shared" si="15"/>
        <v>2330</v>
      </c>
      <c r="AN18" s="35">
        <f t="shared" si="16"/>
        <v>0.83214285714285718</v>
      </c>
      <c r="AO18" s="36">
        <f t="shared" si="39"/>
        <v>16310</v>
      </c>
      <c r="AQ18" s="223">
        <f t="shared" si="40"/>
        <v>0.7533158459024244</v>
      </c>
      <c r="AR18" s="38">
        <f t="shared" si="41"/>
        <v>70035.774193548394</v>
      </c>
      <c r="AS18" s="197">
        <f>SUM(AR18-AR17-AT18)</f>
        <v>-990.03225806451519</v>
      </c>
      <c r="AT18" s="340"/>
      <c r="AU18" s="546"/>
      <c r="AV18" s="485">
        <f t="shared" si="45"/>
        <v>1.28</v>
      </c>
      <c r="AW18" s="279">
        <f>-SUM('B5'!AI17)</f>
        <v>-76</v>
      </c>
      <c r="AX18" s="279">
        <f t="shared" si="17"/>
        <v>-914.03225806451519</v>
      </c>
      <c r="AY18" s="37">
        <f t="shared" si="37"/>
        <v>-990.03225806451519</v>
      </c>
      <c r="AZ18" s="100">
        <f>ELEC!A16</f>
        <v>0</v>
      </c>
      <c r="BA18" s="118">
        <f>'General information '!D17</f>
        <v>26.5</v>
      </c>
      <c r="BB18" s="378">
        <f>SUM('General information '!E17)</f>
        <v>0.51</v>
      </c>
      <c r="BC18" s="3">
        <f t="shared" si="44"/>
        <v>0</v>
      </c>
      <c r="BD18" s="102">
        <v>19222</v>
      </c>
      <c r="BE18" s="14">
        <f>(305/1185)*ELEC!Q17</f>
        <v>1251.6582278474721</v>
      </c>
      <c r="BF18" s="14"/>
      <c r="BG18" s="14" t="e">
        <f>#REF!-BE18</f>
        <v>#REF!</v>
      </c>
      <c r="BH18" s="11"/>
      <c r="BI18">
        <v>5</v>
      </c>
      <c r="BJ18">
        <f t="shared" si="46"/>
        <v>-182.80645161290303</v>
      </c>
      <c r="BK18" s="536"/>
    </row>
    <row r="19" spans="1:64">
      <c r="A19" s="425">
        <f>ELEC!C17</f>
        <v>44756</v>
      </c>
      <c r="B19">
        <f>'B5'!B18</f>
        <v>223</v>
      </c>
      <c r="C19" s="203">
        <f t="shared" si="18"/>
        <v>4798.0967741935483</v>
      </c>
      <c r="D19">
        <f t="shared" si="19"/>
        <v>223</v>
      </c>
      <c r="E19" s="203">
        <f t="shared" si="18"/>
        <v>4798.0967741935483</v>
      </c>
      <c r="F19">
        <f t="shared" si="20"/>
        <v>223</v>
      </c>
      <c r="G19" s="203">
        <f t="shared" si="1"/>
        <v>4798.0967741935483</v>
      </c>
      <c r="H19" s="203">
        <f t="shared" si="21"/>
        <v>223</v>
      </c>
      <c r="I19" s="203">
        <f t="shared" si="2"/>
        <v>4798.0967741935483</v>
      </c>
      <c r="J19" s="203">
        <f t="shared" si="22"/>
        <v>223</v>
      </c>
      <c r="K19" s="203">
        <f t="shared" si="3"/>
        <v>4798.0967741935483</v>
      </c>
      <c r="L19" s="203">
        <f t="shared" si="23"/>
        <v>223</v>
      </c>
      <c r="M19" s="203">
        <f t="shared" si="4"/>
        <v>4798.0967741935483</v>
      </c>
      <c r="N19" s="203">
        <f t="shared" si="24"/>
        <v>223</v>
      </c>
      <c r="O19" s="203">
        <f t="shared" si="5"/>
        <v>4798.0967741935483</v>
      </c>
      <c r="P19" s="203">
        <f t="shared" si="25"/>
        <v>223</v>
      </c>
      <c r="Q19" s="203">
        <f t="shared" si="6"/>
        <v>4798.0967741935483</v>
      </c>
      <c r="R19" s="203">
        <f t="shared" si="26"/>
        <v>223</v>
      </c>
      <c r="S19" s="203">
        <f t="shared" si="7"/>
        <v>4798.0967741935483</v>
      </c>
      <c r="T19" s="203">
        <f t="shared" si="27"/>
        <v>223</v>
      </c>
      <c r="U19" s="203">
        <f t="shared" si="8"/>
        <v>4798.0967741935483</v>
      </c>
      <c r="V19" s="203">
        <f t="shared" si="28"/>
        <v>223</v>
      </c>
      <c r="W19" s="203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0.74087409396718329</v>
      </c>
      <c r="AR19" s="38">
        <f t="shared" si="41"/>
        <v>68879.06451612903</v>
      </c>
      <c r="AS19" s="197">
        <f t="shared" ref="AS19:AS32" si="47">SUM(AR19-AR18-AT19)</f>
        <v>-1156.7096774193633</v>
      </c>
      <c r="AT19" s="340"/>
      <c r="AU19" s="546"/>
      <c r="AV19" s="485">
        <f t="shared" si="45"/>
        <v>1.28</v>
      </c>
      <c r="AW19" s="279">
        <f>-SUM('B5'!AI18)</f>
        <v>-122</v>
      </c>
      <c r="AX19" s="279">
        <f t="shared" si="17"/>
        <v>-1034.7096774193633</v>
      </c>
      <c r="AY19" s="37">
        <f t="shared" si="37"/>
        <v>-1156.7096774193633</v>
      </c>
      <c r="AZ19" s="100">
        <f>ELEC!A17</f>
        <v>0</v>
      </c>
      <c r="BA19" s="118">
        <f>'General information '!D18</f>
        <v>26.5</v>
      </c>
      <c r="BB19" s="378">
        <f>SUM('General information '!E18)</f>
        <v>0.76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-172.45161290322721</v>
      </c>
      <c r="BK19" s="536"/>
    </row>
    <row r="20" spans="1:64">
      <c r="A20" s="425">
        <f>ELEC!C18</f>
        <v>44757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0.74087409396718329</v>
      </c>
      <c r="AR20" s="38">
        <f t="shared" si="41"/>
        <v>68879.06451612903</v>
      </c>
      <c r="AS20" s="197">
        <f>SUM(AR20-AR19-AT20)</f>
        <v>0</v>
      </c>
      <c r="AT20" s="340"/>
      <c r="AU20" s="546"/>
      <c r="AV20" s="485">
        <f t="shared" si="45"/>
        <v>1.28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44758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0.74087409396718329</v>
      </c>
      <c r="AR21" s="38">
        <f t="shared" si="41"/>
        <v>68879.06451612903</v>
      </c>
      <c r="AS21" s="197">
        <f>SUM(AR21-AR20-AT21)</f>
        <v>0</v>
      </c>
      <c r="AT21" s="340"/>
      <c r="AU21" s="546"/>
      <c r="AV21" s="485">
        <f t="shared" si="45"/>
        <v>1.28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186.34599156169082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44759</v>
      </c>
      <c r="B22">
        <f>'B5'!B21</f>
        <v>239</v>
      </c>
      <c r="C22" s="203">
        <f t="shared" si="18"/>
        <v>5142.3548387096771</v>
      </c>
      <c r="D22">
        <f t="shared" si="19"/>
        <v>239</v>
      </c>
      <c r="E22" s="203">
        <f t="shared" si="18"/>
        <v>5142.3548387096771</v>
      </c>
      <c r="F22">
        <f t="shared" si="20"/>
        <v>239</v>
      </c>
      <c r="G22" s="203">
        <f t="shared" si="1"/>
        <v>5142.3548387096771</v>
      </c>
      <c r="H22" s="203">
        <f t="shared" si="21"/>
        <v>239</v>
      </c>
      <c r="I22" s="203">
        <f t="shared" si="2"/>
        <v>5142.3548387096771</v>
      </c>
      <c r="J22" s="203">
        <f t="shared" si="22"/>
        <v>239</v>
      </c>
      <c r="K22" s="203">
        <f t="shared" si="3"/>
        <v>5142.3548387096771</v>
      </c>
      <c r="L22" s="203">
        <f t="shared" si="23"/>
        <v>239</v>
      </c>
      <c r="M22" s="203">
        <f t="shared" si="4"/>
        <v>5142.3548387096771</v>
      </c>
      <c r="N22" s="203">
        <f t="shared" si="24"/>
        <v>239</v>
      </c>
      <c r="O22" s="203">
        <f t="shared" si="5"/>
        <v>5142.3548387096771</v>
      </c>
      <c r="P22" s="203">
        <f t="shared" si="25"/>
        <v>239</v>
      </c>
      <c r="Q22" s="203">
        <f t="shared" si="6"/>
        <v>5142.3548387096771</v>
      </c>
      <c r="R22" s="203">
        <f t="shared" si="26"/>
        <v>239</v>
      </c>
      <c r="S22" s="203">
        <f t="shared" si="7"/>
        <v>5142.3548387096771</v>
      </c>
      <c r="T22" s="203">
        <f t="shared" si="27"/>
        <v>239</v>
      </c>
      <c r="U22" s="203">
        <f t="shared" si="8"/>
        <v>5142.3548387096771</v>
      </c>
      <c r="V22" s="203">
        <f t="shared" si="28"/>
        <v>239</v>
      </c>
      <c r="W22" s="203">
        <f t="shared" si="9"/>
        <v>5142.3548387096771</v>
      </c>
      <c r="X22" s="35">
        <f t="shared" si="10"/>
        <v>0.77096774193548367</v>
      </c>
      <c r="Y22" s="36">
        <f t="shared" si="29"/>
        <v>56565.90322580644</v>
      </c>
      <c r="Z22" s="203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0.79289989486723067</v>
      </c>
      <c r="AR22" s="38">
        <f t="shared" si="41"/>
        <v>73715.90322580644</v>
      </c>
      <c r="AS22" s="197">
        <f t="shared" si="47"/>
        <v>-288.1612903225905</v>
      </c>
      <c r="AT22" s="340">
        <v>5125</v>
      </c>
      <c r="AU22" s="546">
        <v>1.23</v>
      </c>
      <c r="AV22" s="485">
        <f t="shared" si="43"/>
        <v>1.23</v>
      </c>
      <c r="AW22" s="279">
        <f>-SUM('B5'!AI21)</f>
        <v>-152</v>
      </c>
      <c r="AX22" s="279">
        <f>-SUM(AW22-AS22)</f>
        <v>-136.1612903225905</v>
      </c>
      <c r="AY22" s="37">
        <f t="shared" si="37"/>
        <v>-288.1612903225905</v>
      </c>
      <c r="AZ22" s="100">
        <f>ELEC!A20</f>
        <v>0</v>
      </c>
      <c r="BA22" s="118">
        <f>'General information '!D21</f>
        <v>27</v>
      </c>
      <c r="BB22" s="378">
        <f>SUM('General information '!E21)</f>
        <v>0.73</v>
      </c>
      <c r="BC22" s="3">
        <f t="shared" si="44"/>
        <v>1</v>
      </c>
      <c r="BD22" s="102">
        <v>19222</v>
      </c>
      <c r="BE22" s="14">
        <f>(305/1185)*ELEC!Q21</f>
        <v>861.9789029531596</v>
      </c>
      <c r="BF22" s="14"/>
      <c r="BG22" s="14" t="e">
        <f>#REF!-BE22</f>
        <v>#REF!</v>
      </c>
      <c r="BH22" s="11"/>
      <c r="BI22">
        <v>9</v>
      </c>
      <c r="BJ22">
        <f t="shared" si="46"/>
        <v>-15.129032258065612</v>
      </c>
      <c r="BK22" s="536">
        <f>GEN!AF19</f>
        <v>0.15083333333374563</v>
      </c>
    </row>
    <row r="23" spans="1:64">
      <c r="A23" s="425">
        <f>ELEC!C21</f>
        <v>44760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0.77970521187896191</v>
      </c>
      <c r="AR23" s="38">
        <f t="shared" si="41"/>
        <v>72489.193548387091</v>
      </c>
      <c r="AS23" s="197">
        <f t="shared" si="47"/>
        <v>-1226.7096774193487</v>
      </c>
      <c r="AT23" s="340"/>
      <c r="AU23" s="546"/>
      <c r="AV23" s="485">
        <f t="shared" si="43"/>
        <v>1.23</v>
      </c>
      <c r="AW23" s="279">
        <f>-SUM('B5'!AI22)</f>
        <v>-69</v>
      </c>
      <c r="AX23" s="279">
        <f t="shared" si="17"/>
        <v>-1157.7096774193487</v>
      </c>
      <c r="AY23" s="37">
        <f t="shared" si="37"/>
        <v>-1226.7096774193487</v>
      </c>
      <c r="AZ23" s="100">
        <f>ELEC!A21</f>
        <v>0</v>
      </c>
      <c r="BA23" s="118">
        <f>'General information '!D22</f>
        <v>27.5</v>
      </c>
      <c r="BB23" s="378">
        <f>SUM('General information '!E22)</f>
        <v>0.75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-115.77096774193487</v>
      </c>
      <c r="BK23" s="536">
        <f>GEN!AF20</f>
        <v>0.19028409090899664</v>
      </c>
    </row>
    <row r="24" spans="1:64">
      <c r="A24" s="425">
        <f>ELEC!C22</f>
        <v>44761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0.77970521187896191</v>
      </c>
      <c r="AR24" s="38">
        <f t="shared" si="41"/>
        <v>72489.193548387091</v>
      </c>
      <c r="AS24" s="197">
        <f t="shared" si="47"/>
        <v>0</v>
      </c>
      <c r="AT24" s="340"/>
      <c r="AU24" s="546"/>
      <c r="AV24" s="485">
        <f t="shared" si="43"/>
        <v>1.23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44762</v>
      </c>
      <c r="B25">
        <f>'B5'!B24</f>
        <v>235</v>
      </c>
      <c r="C25" s="203">
        <f t="shared" si="18"/>
        <v>5056.2903225806449</v>
      </c>
      <c r="D25">
        <f t="shared" si="19"/>
        <v>235</v>
      </c>
      <c r="E25" s="203">
        <f t="shared" si="18"/>
        <v>5056.2903225806449</v>
      </c>
      <c r="F25">
        <f t="shared" si="20"/>
        <v>235</v>
      </c>
      <c r="G25" s="203">
        <f t="shared" si="1"/>
        <v>5056.2903225806449</v>
      </c>
      <c r="H25" s="203">
        <f t="shared" si="21"/>
        <v>235</v>
      </c>
      <c r="I25" s="203">
        <f t="shared" si="2"/>
        <v>5056.2903225806449</v>
      </c>
      <c r="J25" s="203">
        <f t="shared" si="22"/>
        <v>235</v>
      </c>
      <c r="K25" s="203">
        <f t="shared" si="3"/>
        <v>5056.2903225806449</v>
      </c>
      <c r="L25" s="203">
        <f t="shared" si="23"/>
        <v>235</v>
      </c>
      <c r="M25" s="203">
        <f t="shared" si="4"/>
        <v>5056.2903225806449</v>
      </c>
      <c r="N25" s="203">
        <f t="shared" si="24"/>
        <v>235</v>
      </c>
      <c r="O25" s="203">
        <f t="shared" si="5"/>
        <v>5056.2903225806449</v>
      </c>
      <c r="P25" s="203">
        <f t="shared" si="25"/>
        <v>235</v>
      </c>
      <c r="Q25" s="203">
        <f t="shared" si="6"/>
        <v>5056.2903225806449</v>
      </c>
      <c r="R25" s="203">
        <f t="shared" si="26"/>
        <v>235</v>
      </c>
      <c r="S25" s="203">
        <f t="shared" si="7"/>
        <v>5056.2903225806449</v>
      </c>
      <c r="T25" s="203">
        <f t="shared" si="27"/>
        <v>235</v>
      </c>
      <c r="U25" s="203">
        <f t="shared" si="8"/>
        <v>5056.2903225806449</v>
      </c>
      <c r="V25" s="203">
        <f t="shared" si="28"/>
        <v>235</v>
      </c>
      <c r="W25" s="203">
        <f t="shared" si="9"/>
        <v>5056.2903225806449</v>
      </c>
      <c r="X25" s="35">
        <f t="shared" si="10"/>
        <v>0.75806451612903214</v>
      </c>
      <c r="Y25" s="36">
        <f t="shared" si="29"/>
        <v>55619.193548387091</v>
      </c>
      <c r="Z25" s="203">
        <f>'B5'!C24</f>
        <v>241</v>
      </c>
      <c r="AA25" s="203">
        <f t="shared" si="30"/>
        <v>2410</v>
      </c>
      <c r="AB25" s="203">
        <f t="shared" si="31"/>
        <v>241</v>
      </c>
      <c r="AC25" s="203">
        <f t="shared" si="30"/>
        <v>2410</v>
      </c>
      <c r="AD25" s="203">
        <f t="shared" si="32"/>
        <v>241</v>
      </c>
      <c r="AE25" s="203">
        <f t="shared" si="11"/>
        <v>2410</v>
      </c>
      <c r="AF25" s="203">
        <f t="shared" si="33"/>
        <v>241</v>
      </c>
      <c r="AG25" s="203">
        <f t="shared" si="12"/>
        <v>2410</v>
      </c>
      <c r="AH25" s="203">
        <f t="shared" si="34"/>
        <v>241</v>
      </c>
      <c r="AI25" s="203">
        <f t="shared" si="13"/>
        <v>2410</v>
      </c>
      <c r="AJ25" s="203">
        <f t="shared" si="35"/>
        <v>241</v>
      </c>
      <c r="AK25" s="203">
        <f t="shared" si="14"/>
        <v>2410</v>
      </c>
      <c r="AL25" s="203">
        <f t="shared" si="36"/>
        <v>241</v>
      </c>
      <c r="AM25" s="203">
        <f t="shared" si="15"/>
        <v>2410</v>
      </c>
      <c r="AN25" s="35">
        <f t="shared" si="16"/>
        <v>0.86071428571428577</v>
      </c>
      <c r="AO25" s="36">
        <f t="shared" si="39"/>
        <v>16870</v>
      </c>
      <c r="AQ25" s="223">
        <f t="shared" si="40"/>
        <v>0.77970521187896191</v>
      </c>
      <c r="AR25" s="38">
        <f t="shared" si="41"/>
        <v>72489.193548387091</v>
      </c>
      <c r="AS25" s="197">
        <f t="shared" si="47"/>
        <v>0</v>
      </c>
      <c r="AT25" s="340"/>
      <c r="AU25" s="547"/>
      <c r="AV25" s="485">
        <f t="shared" si="43"/>
        <v>1.23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44763</v>
      </c>
      <c r="B26">
        <f>'B5'!B25</f>
        <v>235</v>
      </c>
      <c r="C26" s="203">
        <f t="shared" si="18"/>
        <v>5056.2903225806449</v>
      </c>
      <c r="D26">
        <f t="shared" si="19"/>
        <v>235</v>
      </c>
      <c r="E26" s="203">
        <f t="shared" si="18"/>
        <v>5056.2903225806449</v>
      </c>
      <c r="F26">
        <f t="shared" si="20"/>
        <v>235</v>
      </c>
      <c r="G26" s="203">
        <f t="shared" si="1"/>
        <v>5056.2903225806449</v>
      </c>
      <c r="H26" s="203">
        <f t="shared" si="21"/>
        <v>235</v>
      </c>
      <c r="I26" s="203">
        <f t="shared" si="2"/>
        <v>5056.2903225806449</v>
      </c>
      <c r="J26" s="203">
        <f t="shared" si="22"/>
        <v>235</v>
      </c>
      <c r="K26" s="203">
        <f t="shared" si="3"/>
        <v>5056.2903225806449</v>
      </c>
      <c r="L26" s="203">
        <f t="shared" si="23"/>
        <v>235</v>
      </c>
      <c r="M26" s="203">
        <f t="shared" si="4"/>
        <v>5056.2903225806449</v>
      </c>
      <c r="N26" s="203">
        <f t="shared" si="24"/>
        <v>235</v>
      </c>
      <c r="O26" s="203">
        <f t="shared" si="5"/>
        <v>5056.2903225806449</v>
      </c>
      <c r="P26" s="203">
        <f t="shared" si="25"/>
        <v>235</v>
      </c>
      <c r="Q26" s="203">
        <f t="shared" si="6"/>
        <v>5056.2903225806449</v>
      </c>
      <c r="R26" s="203">
        <f t="shared" si="26"/>
        <v>235</v>
      </c>
      <c r="S26" s="203">
        <f t="shared" si="7"/>
        <v>5056.2903225806449</v>
      </c>
      <c r="T26" s="203">
        <f t="shared" si="27"/>
        <v>235</v>
      </c>
      <c r="U26" s="203">
        <f t="shared" si="8"/>
        <v>5056.2903225806449</v>
      </c>
      <c r="V26" s="203">
        <f t="shared" si="28"/>
        <v>235</v>
      </c>
      <c r="W26" s="203">
        <f t="shared" si="9"/>
        <v>5056.2903225806449</v>
      </c>
      <c r="X26" s="35">
        <f t="shared" si="10"/>
        <v>0.75806451612903214</v>
      </c>
      <c r="Y26" s="36">
        <f t="shared" si="29"/>
        <v>55619.193548387091</v>
      </c>
      <c r="Z26" s="203">
        <f>'B5'!C25</f>
        <v>241</v>
      </c>
      <c r="AA26" s="203">
        <f t="shared" si="30"/>
        <v>2410</v>
      </c>
      <c r="AB26" s="203">
        <f t="shared" si="31"/>
        <v>241</v>
      </c>
      <c r="AC26" s="203">
        <f t="shared" si="30"/>
        <v>2410</v>
      </c>
      <c r="AD26" s="203">
        <f t="shared" si="32"/>
        <v>241</v>
      </c>
      <c r="AE26" s="203">
        <f t="shared" si="11"/>
        <v>2410</v>
      </c>
      <c r="AF26" s="203">
        <f t="shared" si="33"/>
        <v>241</v>
      </c>
      <c r="AG26" s="203">
        <f t="shared" si="12"/>
        <v>2410</v>
      </c>
      <c r="AH26" s="203">
        <f t="shared" si="34"/>
        <v>241</v>
      </c>
      <c r="AI26" s="203">
        <f t="shared" si="13"/>
        <v>2410</v>
      </c>
      <c r="AJ26" s="203">
        <f t="shared" si="35"/>
        <v>241</v>
      </c>
      <c r="AK26" s="203">
        <f t="shared" si="14"/>
        <v>2410</v>
      </c>
      <c r="AL26" s="203">
        <f t="shared" si="36"/>
        <v>241</v>
      </c>
      <c r="AM26" s="203">
        <f t="shared" si="15"/>
        <v>2410</v>
      </c>
      <c r="AN26" s="35">
        <f t="shared" si="16"/>
        <v>0.86071428571428577</v>
      </c>
      <c r="AO26" s="36">
        <f t="shared" si="39"/>
        <v>16870</v>
      </c>
      <c r="AQ26" s="223">
        <f t="shared" si="40"/>
        <v>0.77970521187896191</v>
      </c>
      <c r="AR26" s="38">
        <f t="shared" si="41"/>
        <v>72489.193548387091</v>
      </c>
      <c r="AS26" s="197">
        <f t="shared" si="47"/>
        <v>0</v>
      </c>
      <c r="AT26" s="340"/>
      <c r="AU26" s="546"/>
      <c r="AV26" s="485">
        <f t="shared" si="43"/>
        <v>1.23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44764</v>
      </c>
      <c r="B27">
        <f>'B5'!B26</f>
        <v>235</v>
      </c>
      <c r="C27" s="203">
        <f t="shared" si="18"/>
        <v>5056.2903225806449</v>
      </c>
      <c r="D27">
        <f t="shared" si="19"/>
        <v>235</v>
      </c>
      <c r="E27" s="203">
        <f t="shared" si="18"/>
        <v>5056.2903225806449</v>
      </c>
      <c r="F27">
        <f t="shared" si="20"/>
        <v>235</v>
      </c>
      <c r="G27" s="203">
        <f t="shared" si="1"/>
        <v>5056.2903225806449</v>
      </c>
      <c r="H27" s="203">
        <f t="shared" si="21"/>
        <v>235</v>
      </c>
      <c r="I27" s="203">
        <f t="shared" si="2"/>
        <v>5056.2903225806449</v>
      </c>
      <c r="J27" s="203">
        <f t="shared" si="22"/>
        <v>235</v>
      </c>
      <c r="K27" s="203">
        <f t="shared" si="3"/>
        <v>5056.2903225806449</v>
      </c>
      <c r="L27" s="203">
        <f t="shared" si="23"/>
        <v>235</v>
      </c>
      <c r="M27" s="203">
        <f t="shared" si="4"/>
        <v>5056.2903225806449</v>
      </c>
      <c r="N27" s="203">
        <f t="shared" si="24"/>
        <v>235</v>
      </c>
      <c r="O27" s="203">
        <f t="shared" si="5"/>
        <v>5056.2903225806449</v>
      </c>
      <c r="P27" s="203">
        <f t="shared" si="25"/>
        <v>235</v>
      </c>
      <c r="Q27" s="203">
        <f t="shared" si="6"/>
        <v>5056.2903225806449</v>
      </c>
      <c r="R27" s="203">
        <f t="shared" si="26"/>
        <v>235</v>
      </c>
      <c r="S27" s="203">
        <f t="shared" si="7"/>
        <v>5056.2903225806449</v>
      </c>
      <c r="T27" s="203">
        <f t="shared" si="27"/>
        <v>235</v>
      </c>
      <c r="U27" s="203">
        <f t="shared" si="8"/>
        <v>5056.2903225806449</v>
      </c>
      <c r="V27" s="203">
        <f t="shared" si="28"/>
        <v>235</v>
      </c>
      <c r="W27" s="203">
        <f t="shared" si="9"/>
        <v>5056.2903225806449</v>
      </c>
      <c r="X27" s="35">
        <f t="shared" si="10"/>
        <v>0.75806451612903214</v>
      </c>
      <c r="Y27" s="36">
        <f t="shared" si="29"/>
        <v>55619.193548387091</v>
      </c>
      <c r="Z27" s="203">
        <f>'B5'!C26</f>
        <v>241</v>
      </c>
      <c r="AA27" s="203">
        <f t="shared" si="30"/>
        <v>2410</v>
      </c>
      <c r="AB27" s="203">
        <f t="shared" si="31"/>
        <v>241</v>
      </c>
      <c r="AC27" s="203">
        <f t="shared" si="30"/>
        <v>2410</v>
      </c>
      <c r="AD27" s="203">
        <f t="shared" si="32"/>
        <v>241</v>
      </c>
      <c r="AE27" s="203">
        <f t="shared" si="11"/>
        <v>2410</v>
      </c>
      <c r="AF27" s="203">
        <f t="shared" si="33"/>
        <v>241</v>
      </c>
      <c r="AG27" s="203">
        <f t="shared" si="12"/>
        <v>2410</v>
      </c>
      <c r="AH27" s="203">
        <f t="shared" si="34"/>
        <v>241</v>
      </c>
      <c r="AI27" s="203">
        <f t="shared" si="13"/>
        <v>2410</v>
      </c>
      <c r="AJ27" s="203">
        <f t="shared" si="35"/>
        <v>241</v>
      </c>
      <c r="AK27" s="203">
        <f t="shared" si="14"/>
        <v>2410</v>
      </c>
      <c r="AL27" s="203">
        <f t="shared" si="36"/>
        <v>241</v>
      </c>
      <c r="AM27" s="203">
        <f t="shared" si="15"/>
        <v>2410</v>
      </c>
      <c r="AN27" s="35">
        <f t="shared" si="16"/>
        <v>0.86071428571428577</v>
      </c>
      <c r="AO27" s="36">
        <f t="shared" si="39"/>
        <v>16870</v>
      </c>
      <c r="AQ27" s="223">
        <f t="shared" si="40"/>
        <v>0.77970521187896191</v>
      </c>
      <c r="AR27" s="38">
        <f t="shared" si="41"/>
        <v>72489.193548387091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44765</v>
      </c>
      <c r="B28">
        <f>'B5'!B27</f>
        <v>235</v>
      </c>
      <c r="C28" s="203">
        <f t="shared" si="18"/>
        <v>5056.2903225806449</v>
      </c>
      <c r="D28">
        <f t="shared" si="19"/>
        <v>235</v>
      </c>
      <c r="E28" s="203">
        <f t="shared" si="18"/>
        <v>5056.2903225806449</v>
      </c>
      <c r="F28">
        <f t="shared" si="20"/>
        <v>235</v>
      </c>
      <c r="G28" s="203">
        <f t="shared" si="1"/>
        <v>5056.2903225806449</v>
      </c>
      <c r="H28" s="203">
        <f t="shared" si="21"/>
        <v>235</v>
      </c>
      <c r="I28" s="203">
        <f t="shared" si="2"/>
        <v>5056.2903225806449</v>
      </c>
      <c r="J28" s="203">
        <f t="shared" si="22"/>
        <v>235</v>
      </c>
      <c r="K28" s="203">
        <f t="shared" si="3"/>
        <v>5056.2903225806449</v>
      </c>
      <c r="L28" s="203">
        <f t="shared" si="23"/>
        <v>235</v>
      </c>
      <c r="M28" s="203">
        <f t="shared" si="4"/>
        <v>5056.2903225806449</v>
      </c>
      <c r="N28" s="203">
        <f t="shared" si="24"/>
        <v>235</v>
      </c>
      <c r="O28" s="203">
        <f t="shared" si="5"/>
        <v>5056.2903225806449</v>
      </c>
      <c r="P28" s="203">
        <f t="shared" si="25"/>
        <v>235</v>
      </c>
      <c r="Q28" s="203">
        <f t="shared" si="6"/>
        <v>5056.2903225806449</v>
      </c>
      <c r="R28" s="203">
        <f t="shared" si="26"/>
        <v>235</v>
      </c>
      <c r="S28" s="203">
        <f t="shared" si="7"/>
        <v>5056.2903225806449</v>
      </c>
      <c r="T28" s="203">
        <f t="shared" si="27"/>
        <v>235</v>
      </c>
      <c r="U28" s="203">
        <f t="shared" si="8"/>
        <v>5056.2903225806449</v>
      </c>
      <c r="V28" s="203">
        <f t="shared" si="28"/>
        <v>235</v>
      </c>
      <c r="W28" s="203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3">
        <f>'B5'!C27</f>
        <v>241</v>
      </c>
      <c r="AA28" s="203">
        <f t="shared" si="30"/>
        <v>2410</v>
      </c>
      <c r="AB28" s="203">
        <f t="shared" si="31"/>
        <v>241</v>
      </c>
      <c r="AC28" s="203">
        <f t="shared" si="30"/>
        <v>2410</v>
      </c>
      <c r="AD28" s="203">
        <f t="shared" si="32"/>
        <v>241</v>
      </c>
      <c r="AE28" s="203">
        <f t="shared" si="11"/>
        <v>2410</v>
      </c>
      <c r="AF28" s="203">
        <f t="shared" si="33"/>
        <v>241</v>
      </c>
      <c r="AG28" s="203">
        <f t="shared" si="12"/>
        <v>2410</v>
      </c>
      <c r="AH28" s="203">
        <f t="shared" si="34"/>
        <v>241</v>
      </c>
      <c r="AI28" s="203">
        <f t="shared" si="13"/>
        <v>2410</v>
      </c>
      <c r="AJ28" s="203">
        <f t="shared" si="35"/>
        <v>241</v>
      </c>
      <c r="AK28" s="203">
        <f t="shared" si="14"/>
        <v>2410</v>
      </c>
      <c r="AL28" s="203">
        <f t="shared" si="36"/>
        <v>241</v>
      </c>
      <c r="AM28" s="203">
        <f t="shared" si="15"/>
        <v>2410</v>
      </c>
      <c r="AN28" s="35">
        <f t="shared" si="16"/>
        <v>0.86071428571428577</v>
      </c>
      <c r="AO28" s="36">
        <f t="shared" si="39"/>
        <v>16870</v>
      </c>
      <c r="AQ28" s="223">
        <f t="shared" si="40"/>
        <v>0.77970521187896191</v>
      </c>
      <c r="AR28" s="38">
        <f t="shared" si="41"/>
        <v>72489.193548387091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44766</v>
      </c>
      <c r="B29">
        <f>'B5'!B28</f>
        <v>235</v>
      </c>
      <c r="C29" s="203">
        <f t="shared" si="18"/>
        <v>5056.2903225806449</v>
      </c>
      <c r="D29">
        <f t="shared" si="19"/>
        <v>235</v>
      </c>
      <c r="E29" s="203">
        <f t="shared" si="18"/>
        <v>5056.2903225806449</v>
      </c>
      <c r="F29">
        <f t="shared" si="20"/>
        <v>235</v>
      </c>
      <c r="G29" s="203">
        <f t="shared" si="1"/>
        <v>5056.2903225806449</v>
      </c>
      <c r="H29" s="203">
        <f t="shared" si="21"/>
        <v>235</v>
      </c>
      <c r="I29" s="203">
        <f t="shared" si="2"/>
        <v>5056.2903225806449</v>
      </c>
      <c r="J29" s="203">
        <f t="shared" si="22"/>
        <v>235</v>
      </c>
      <c r="K29" s="203">
        <f t="shared" si="3"/>
        <v>5056.2903225806449</v>
      </c>
      <c r="L29" s="203">
        <f t="shared" si="23"/>
        <v>235</v>
      </c>
      <c r="M29" s="203">
        <f t="shared" si="4"/>
        <v>5056.2903225806449</v>
      </c>
      <c r="N29" s="203">
        <f t="shared" si="24"/>
        <v>235</v>
      </c>
      <c r="O29" s="203">
        <f t="shared" si="5"/>
        <v>5056.2903225806449</v>
      </c>
      <c r="P29" s="203">
        <f t="shared" si="25"/>
        <v>235</v>
      </c>
      <c r="Q29" s="203">
        <f t="shared" si="6"/>
        <v>5056.2903225806449</v>
      </c>
      <c r="R29" s="203">
        <f t="shared" si="26"/>
        <v>235</v>
      </c>
      <c r="S29" s="203">
        <f t="shared" si="7"/>
        <v>5056.2903225806449</v>
      </c>
      <c r="T29" s="203">
        <f t="shared" si="27"/>
        <v>235</v>
      </c>
      <c r="U29" s="203">
        <f t="shared" si="8"/>
        <v>5056.2903225806449</v>
      </c>
      <c r="V29" s="203">
        <f t="shared" si="28"/>
        <v>235</v>
      </c>
      <c r="W29" s="203">
        <f t="shared" si="9"/>
        <v>5056.2903225806449</v>
      </c>
      <c r="X29" s="35">
        <f t="shared" si="10"/>
        <v>0.75806451612903214</v>
      </c>
      <c r="Y29" s="36">
        <f t="shared" si="29"/>
        <v>55619.193548387091</v>
      </c>
      <c r="Z29" s="203">
        <f>'B5'!C28</f>
        <v>241</v>
      </c>
      <c r="AA29" s="203">
        <f t="shared" si="30"/>
        <v>2410</v>
      </c>
      <c r="AB29" s="203">
        <f t="shared" si="31"/>
        <v>241</v>
      </c>
      <c r="AC29" s="203">
        <f t="shared" si="30"/>
        <v>2410</v>
      </c>
      <c r="AD29" s="203">
        <f t="shared" si="32"/>
        <v>241</v>
      </c>
      <c r="AE29" s="203">
        <f t="shared" si="11"/>
        <v>2410</v>
      </c>
      <c r="AF29" s="203">
        <f t="shared" si="33"/>
        <v>241</v>
      </c>
      <c r="AG29" s="203">
        <f t="shared" si="12"/>
        <v>2410</v>
      </c>
      <c r="AH29" s="203">
        <f t="shared" si="34"/>
        <v>241</v>
      </c>
      <c r="AI29" s="203">
        <f t="shared" si="13"/>
        <v>2410</v>
      </c>
      <c r="AJ29" s="203">
        <f t="shared" si="35"/>
        <v>241</v>
      </c>
      <c r="AK29" s="203">
        <f t="shared" si="14"/>
        <v>2410</v>
      </c>
      <c r="AL29" s="203">
        <f t="shared" si="36"/>
        <v>241</v>
      </c>
      <c r="AM29" s="203">
        <f t="shared" si="15"/>
        <v>2410</v>
      </c>
      <c r="AN29" s="35">
        <f t="shared" si="16"/>
        <v>0.86071428571428577</v>
      </c>
      <c r="AO29" s="36">
        <f t="shared" si="39"/>
        <v>16870</v>
      </c>
      <c r="AQ29" s="223">
        <f t="shared" si="40"/>
        <v>0.77970521187896191</v>
      </c>
      <c r="AR29" s="38">
        <f t="shared" si="41"/>
        <v>72489.193548387091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44767</v>
      </c>
      <c r="B30">
        <f>'B5'!B29</f>
        <v>235</v>
      </c>
      <c r="C30" s="203">
        <f t="shared" si="18"/>
        <v>5056.2903225806449</v>
      </c>
      <c r="D30">
        <f>SUM(B30)</f>
        <v>235</v>
      </c>
      <c r="E30" s="203">
        <f t="shared" si="18"/>
        <v>5056.2903225806449</v>
      </c>
      <c r="F30">
        <f>SUM(D30)</f>
        <v>235</v>
      </c>
      <c r="G30" s="203">
        <f t="shared" si="1"/>
        <v>5056.2903225806449</v>
      </c>
      <c r="H30" s="203">
        <f>SUM(F30)</f>
        <v>235</v>
      </c>
      <c r="I30" s="203">
        <f t="shared" si="2"/>
        <v>5056.2903225806449</v>
      </c>
      <c r="J30" s="203">
        <f>SUM(H30)</f>
        <v>235</v>
      </c>
      <c r="K30" s="203">
        <f t="shared" si="3"/>
        <v>5056.2903225806449</v>
      </c>
      <c r="L30" s="203">
        <f>SUM(J30)</f>
        <v>235</v>
      </c>
      <c r="M30" s="203">
        <f t="shared" si="4"/>
        <v>5056.2903225806449</v>
      </c>
      <c r="N30" s="203">
        <f>SUM(L30)</f>
        <v>235</v>
      </c>
      <c r="O30" s="203">
        <f t="shared" si="5"/>
        <v>5056.2903225806449</v>
      </c>
      <c r="P30" s="203">
        <f>SUM(N30)</f>
        <v>235</v>
      </c>
      <c r="Q30" s="203">
        <f t="shared" si="6"/>
        <v>5056.2903225806449</v>
      </c>
      <c r="R30" s="203">
        <f>SUM(P30)</f>
        <v>235</v>
      </c>
      <c r="S30" s="203">
        <f t="shared" si="7"/>
        <v>5056.2903225806449</v>
      </c>
      <c r="T30" s="203">
        <f>SUM(R30)</f>
        <v>235</v>
      </c>
      <c r="U30" s="203">
        <f t="shared" si="8"/>
        <v>5056.2903225806449</v>
      </c>
      <c r="V30" s="203">
        <f>SUM(T30)</f>
        <v>235</v>
      </c>
      <c r="W30" s="203">
        <f t="shared" si="9"/>
        <v>5056.2903225806449</v>
      </c>
      <c r="X30" s="35">
        <f>SUM(Y30/73370)</f>
        <v>0.75806451612903214</v>
      </c>
      <c r="Y30" s="36">
        <f>SUM(C30+E30+G30+I30+K30+M30+O30+Q30+S30+U30+W30)</f>
        <v>55619.193548387091</v>
      </c>
      <c r="Z30" s="203">
        <f>'B5'!C29</f>
        <v>241</v>
      </c>
      <c r="AA30" s="203">
        <f t="shared" si="30"/>
        <v>2410</v>
      </c>
      <c r="AB30" s="203">
        <f>SUM(Z30)</f>
        <v>241</v>
      </c>
      <c r="AC30" s="203">
        <f t="shared" si="30"/>
        <v>2410</v>
      </c>
      <c r="AD30" s="203">
        <f>SUM(AB30)</f>
        <v>241</v>
      </c>
      <c r="AE30" s="203">
        <f t="shared" si="11"/>
        <v>2410</v>
      </c>
      <c r="AF30" s="203">
        <f>SUM(AD30)</f>
        <v>241</v>
      </c>
      <c r="AG30" s="203">
        <f t="shared" si="12"/>
        <v>2410</v>
      </c>
      <c r="AH30" s="203">
        <f>SUM(AF30)</f>
        <v>241</v>
      </c>
      <c r="AI30" s="203">
        <f t="shared" si="13"/>
        <v>2410</v>
      </c>
      <c r="AJ30" s="203">
        <f>SUM(AH30)</f>
        <v>241</v>
      </c>
      <c r="AK30" s="203">
        <f t="shared" si="14"/>
        <v>2410</v>
      </c>
      <c r="AL30" s="203">
        <f>SUM(AJ30)</f>
        <v>241</v>
      </c>
      <c r="AM30" s="203">
        <f t="shared" si="15"/>
        <v>2410</v>
      </c>
      <c r="AN30" s="35">
        <f>SUM(AO30/19600)</f>
        <v>0.86071428571428577</v>
      </c>
      <c r="AO30" s="36">
        <f>SUM(AA30+AC30+AE30+AG30+AI30+AK30+AM30)</f>
        <v>16870</v>
      </c>
      <c r="AQ30" s="223">
        <f t="shared" si="40"/>
        <v>0.77970521187896191</v>
      </c>
      <c r="AR30" s="38">
        <f t="shared" si="41"/>
        <v>72489.193548387091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44768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241</v>
      </c>
      <c r="AA31" s="203">
        <f t="shared" si="30"/>
        <v>2410</v>
      </c>
      <c r="AB31" s="203">
        <f>SUM(Z31)</f>
        <v>241</v>
      </c>
      <c r="AC31" s="203">
        <f t="shared" si="30"/>
        <v>2410</v>
      </c>
      <c r="AD31" s="203">
        <f>SUM(AB31)</f>
        <v>241</v>
      </c>
      <c r="AE31" s="203">
        <f t="shared" si="11"/>
        <v>2410</v>
      </c>
      <c r="AF31" s="203">
        <f>SUM(AD31)</f>
        <v>241</v>
      </c>
      <c r="AG31" s="203">
        <f t="shared" si="12"/>
        <v>2410</v>
      </c>
      <c r="AH31" s="203">
        <f>SUM(AF31)</f>
        <v>241</v>
      </c>
      <c r="AI31" s="203">
        <f t="shared" si="13"/>
        <v>2410</v>
      </c>
      <c r="AJ31" s="203">
        <f>SUM(AH31)</f>
        <v>241</v>
      </c>
      <c r="AK31" s="203">
        <f t="shared" si="14"/>
        <v>2410</v>
      </c>
      <c r="AL31" s="203">
        <f>SUM(AJ31)</f>
        <v>241</v>
      </c>
      <c r="AM31" s="203">
        <f t="shared" si="15"/>
        <v>2410</v>
      </c>
      <c r="AN31" s="35">
        <f>SUM(AO31/19600)</f>
        <v>0.86071428571428577</v>
      </c>
      <c r="AO31" s="36">
        <f>SUM(AA31+AC31+AE31+AG31+AI31+AK31+AM31)</f>
        <v>16870</v>
      </c>
      <c r="AQ31" s="223">
        <f t="shared" si="40"/>
        <v>0.77970521187896191</v>
      </c>
      <c r="AR31" s="38">
        <f t="shared" si="41"/>
        <v>72489.193548387091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44769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241</v>
      </c>
      <c r="AA32" s="203">
        <f t="shared" si="30"/>
        <v>2410</v>
      </c>
      <c r="AB32" s="203">
        <f>SUM(Z32)</f>
        <v>241</v>
      </c>
      <c r="AC32" s="203">
        <f t="shared" si="30"/>
        <v>2410</v>
      </c>
      <c r="AD32" s="203">
        <f>SUM(AB32)</f>
        <v>241</v>
      </c>
      <c r="AE32" s="203">
        <f t="shared" si="11"/>
        <v>2410</v>
      </c>
      <c r="AF32" s="203">
        <f>SUM(AD32)</f>
        <v>241</v>
      </c>
      <c r="AG32" s="203">
        <f t="shared" si="12"/>
        <v>2410</v>
      </c>
      <c r="AH32" s="203">
        <f>SUM(AF32)</f>
        <v>241</v>
      </c>
      <c r="AI32" s="203">
        <f t="shared" si="13"/>
        <v>2410</v>
      </c>
      <c r="AJ32" s="203">
        <f>SUM(AH32)</f>
        <v>241</v>
      </c>
      <c r="AK32" s="203">
        <f t="shared" si="14"/>
        <v>2410</v>
      </c>
      <c r="AL32" s="203">
        <f>SUM(AJ32)</f>
        <v>241</v>
      </c>
      <c r="AM32" s="203">
        <f t="shared" si="15"/>
        <v>2410</v>
      </c>
      <c r="AN32" s="35">
        <f>SUM(AO32/19600)</f>
        <v>0.86071428571428577</v>
      </c>
      <c r="AO32" s="36">
        <f>SUM(AA32+AC32+AE32+AG32+AI32+AK32+AM32)</f>
        <v>16870</v>
      </c>
      <c r="AQ32" s="223">
        <f t="shared" si="40"/>
        <v>0.77970521187896191</v>
      </c>
      <c r="AR32" s="38">
        <f t="shared" si="41"/>
        <v>72489.193548387091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44770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241</v>
      </c>
      <c r="AA33" s="203">
        <f t="shared" si="30"/>
        <v>2410</v>
      </c>
      <c r="AB33" s="203">
        <f>SUM(Z33)</f>
        <v>241</v>
      </c>
      <c r="AC33" s="203">
        <f t="shared" si="30"/>
        <v>2410</v>
      </c>
      <c r="AD33" s="203">
        <f>SUM(AB33)</f>
        <v>241</v>
      </c>
      <c r="AE33" s="203">
        <f t="shared" si="11"/>
        <v>2410</v>
      </c>
      <c r="AF33" s="203">
        <f>SUM(AD33)</f>
        <v>241</v>
      </c>
      <c r="AG33" s="203">
        <f t="shared" si="12"/>
        <v>2410</v>
      </c>
      <c r="AH33" s="203">
        <f>SUM(AF33)</f>
        <v>241</v>
      </c>
      <c r="AI33" s="203">
        <f t="shared" si="13"/>
        <v>2410</v>
      </c>
      <c r="AJ33" s="203">
        <f>SUM(AH33)</f>
        <v>241</v>
      </c>
      <c r="AK33" s="203">
        <f t="shared" si="14"/>
        <v>2410</v>
      </c>
      <c r="AL33" s="203">
        <f>SUM(AJ33)</f>
        <v>241</v>
      </c>
      <c r="AM33" s="203">
        <f t="shared" si="15"/>
        <v>2410</v>
      </c>
      <c r="AN33" s="35">
        <f>SUM(AO33/19600)</f>
        <v>0.86071428571428577</v>
      </c>
      <c r="AO33" s="36">
        <f>SUM(AA33+AC33+AE33+AG33+AI33+AK33+AM33)</f>
        <v>16870</v>
      </c>
      <c r="AQ33" s="223">
        <f t="shared" si="40"/>
        <v>0.77970521187896191</v>
      </c>
      <c r="AR33" s="38">
        <f t="shared" si="41"/>
        <v>72489.193548387091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44771</v>
      </c>
      <c r="B34">
        <f>'B5'!B33</f>
        <v>235</v>
      </c>
      <c r="C34" s="203">
        <f t="shared" ref="C34:C36" si="48">B34*$B$4</f>
        <v>5056.2903225806449</v>
      </c>
      <c r="D34">
        <f t="shared" ref="D34:D36" si="49">SUM(B34)</f>
        <v>235</v>
      </c>
      <c r="E34" s="203">
        <f t="shared" ref="E34:E36" si="50">D34*$B$4</f>
        <v>5056.2903225806449</v>
      </c>
      <c r="F34">
        <f t="shared" ref="F34:F36" si="51">SUM(D34)</f>
        <v>235</v>
      </c>
      <c r="G34" s="203">
        <f t="shared" ref="G34:G36" si="52">F34*$B$4</f>
        <v>5056.2903225806449</v>
      </c>
      <c r="H34" s="203">
        <f t="shared" ref="H34:H36" si="53">SUM(F34)</f>
        <v>235</v>
      </c>
      <c r="I34" s="203">
        <f t="shared" ref="I34:I36" si="54">H34*$B$4</f>
        <v>5056.2903225806449</v>
      </c>
      <c r="J34" s="203">
        <f t="shared" ref="J34:J36" si="55">SUM(H34)</f>
        <v>235</v>
      </c>
      <c r="K34" s="203">
        <f t="shared" ref="K34:K36" si="56">J34*$B$4</f>
        <v>5056.2903225806449</v>
      </c>
      <c r="L34" s="203">
        <f t="shared" ref="L34:L36" si="57">SUM(J34)</f>
        <v>235</v>
      </c>
      <c r="M34" s="203">
        <f t="shared" ref="M34:M36" si="58">L34*$B$4</f>
        <v>5056.2903225806449</v>
      </c>
      <c r="N34" s="203">
        <f t="shared" ref="N34:N36" si="59">SUM(L34)</f>
        <v>235</v>
      </c>
      <c r="O34" s="203">
        <f t="shared" ref="O34:O36" si="60">N34*$B$4</f>
        <v>5056.2903225806449</v>
      </c>
      <c r="P34" s="203">
        <f t="shared" ref="P34:P36" si="61">SUM(N34)</f>
        <v>235</v>
      </c>
      <c r="Q34" s="203">
        <f t="shared" ref="Q34:Q36" si="62">P34*$B$4</f>
        <v>5056.2903225806449</v>
      </c>
      <c r="R34" s="203">
        <f t="shared" ref="R34:R36" si="63">SUM(P34)</f>
        <v>235</v>
      </c>
      <c r="S34" s="203">
        <f t="shared" ref="S34:S36" si="64">R34*$B$4</f>
        <v>5056.2903225806449</v>
      </c>
      <c r="T34" s="203">
        <f t="shared" ref="T34:T36" si="65">SUM(R34)</f>
        <v>235</v>
      </c>
      <c r="U34" s="203">
        <f t="shared" ref="U34:U36" si="66">T34*$B$4</f>
        <v>5056.2903225806449</v>
      </c>
      <c r="V34" s="203">
        <f t="shared" ref="V34:V36" si="67">SUM(T34)</f>
        <v>235</v>
      </c>
      <c r="W34" s="203">
        <f t="shared" ref="W34:W36" si="68">V34*$B$4</f>
        <v>5056.2903225806449</v>
      </c>
      <c r="X34" s="35">
        <f t="shared" ref="X34:X36" si="69">SUM(Y34/73370)</f>
        <v>0.75806451612903214</v>
      </c>
      <c r="Y34" s="36">
        <f t="shared" ref="Y34:Y36" si="70">SUM(C34+E34+G34+I34+K34+M34+O34+Q34+S34+U34+W34)</f>
        <v>55619.193548387091</v>
      </c>
      <c r="Z34" s="203">
        <f>'B5'!C33</f>
        <v>241</v>
      </c>
      <c r="AA34" s="203">
        <f t="shared" ref="AA34:AA36" si="71">SUM(Z34*$Z$4)</f>
        <v>2410</v>
      </c>
      <c r="AB34" s="203">
        <f t="shared" ref="AB34:AB36" si="72">SUM(Z34)</f>
        <v>241</v>
      </c>
      <c r="AC34" s="203">
        <f t="shared" ref="AC34:AC36" si="73">SUM(AB34*$Z$4)</f>
        <v>2410</v>
      </c>
      <c r="AD34" s="203">
        <f t="shared" ref="AD34:AD36" si="74">SUM(AB34)</f>
        <v>241</v>
      </c>
      <c r="AE34" s="203">
        <f t="shared" ref="AE34:AE36" si="75">SUM(AD34*$Z$4)</f>
        <v>2410</v>
      </c>
      <c r="AF34" s="203">
        <f t="shared" ref="AF34:AF36" si="76">SUM(AD34)</f>
        <v>241</v>
      </c>
      <c r="AG34" s="203">
        <f t="shared" ref="AG34:AG36" si="77">SUM(AF34*$Z$4)</f>
        <v>2410</v>
      </c>
      <c r="AH34" s="203">
        <f t="shared" ref="AH34:AH36" si="78">SUM(AF34)</f>
        <v>241</v>
      </c>
      <c r="AI34" s="203">
        <f t="shared" ref="AI34:AI36" si="79">SUM(AH34*$Z$4)</f>
        <v>2410</v>
      </c>
      <c r="AJ34" s="203">
        <f t="shared" ref="AJ34:AJ36" si="80">SUM(AH34)</f>
        <v>241</v>
      </c>
      <c r="AK34" s="203">
        <f t="shared" ref="AK34:AK36" si="81">SUM(AJ34*$Z$4)</f>
        <v>2410</v>
      </c>
      <c r="AL34" s="203">
        <f t="shared" ref="AL34:AL36" si="82">SUM(AJ34)</f>
        <v>241</v>
      </c>
      <c r="AM34" s="203">
        <f t="shared" ref="AM34:AM36" si="83">SUM(AL34*$Z$4)</f>
        <v>2410</v>
      </c>
      <c r="AN34" s="35">
        <f t="shared" ref="AN34:AN36" si="84">SUM(AO34/19600)</f>
        <v>0.86071428571428577</v>
      </c>
      <c r="AO34" s="36">
        <f t="shared" ref="AO34:AO36" si="85">SUM(AA34+AC34+AE34+AG34+AI34+AK34+AM34)</f>
        <v>16870</v>
      </c>
      <c r="AQ34" s="223">
        <f t="shared" ref="AQ34:AQ36" si="86">SUM(AR34/92970)</f>
        <v>0.77970521187896191</v>
      </c>
      <c r="AR34" s="38">
        <f t="shared" si="41"/>
        <v>72489.193548387091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44772</v>
      </c>
      <c r="B35">
        <f>'B5'!B34</f>
        <v>235</v>
      </c>
      <c r="C35" s="203">
        <f t="shared" si="48"/>
        <v>5056.2903225806449</v>
      </c>
      <c r="D35">
        <f t="shared" si="49"/>
        <v>235</v>
      </c>
      <c r="E35" s="203">
        <f t="shared" si="50"/>
        <v>5056.2903225806449</v>
      </c>
      <c r="F35">
        <f t="shared" si="51"/>
        <v>235</v>
      </c>
      <c r="G35" s="203">
        <f t="shared" si="52"/>
        <v>5056.2903225806449</v>
      </c>
      <c r="H35" s="203">
        <f t="shared" si="53"/>
        <v>235</v>
      </c>
      <c r="I35" s="203">
        <f t="shared" si="54"/>
        <v>5056.2903225806449</v>
      </c>
      <c r="J35" s="203">
        <f t="shared" si="55"/>
        <v>235</v>
      </c>
      <c r="K35" s="203">
        <f t="shared" si="56"/>
        <v>5056.2903225806449</v>
      </c>
      <c r="L35" s="203">
        <f t="shared" si="57"/>
        <v>235</v>
      </c>
      <c r="M35" s="203">
        <f t="shared" si="58"/>
        <v>5056.2903225806449</v>
      </c>
      <c r="N35" s="203">
        <f t="shared" si="59"/>
        <v>235</v>
      </c>
      <c r="O35" s="203">
        <f t="shared" si="60"/>
        <v>5056.2903225806449</v>
      </c>
      <c r="P35" s="203">
        <f t="shared" si="61"/>
        <v>235</v>
      </c>
      <c r="Q35" s="203">
        <f t="shared" si="62"/>
        <v>5056.2903225806449</v>
      </c>
      <c r="R35" s="203">
        <f t="shared" si="63"/>
        <v>235</v>
      </c>
      <c r="S35" s="203">
        <f t="shared" si="64"/>
        <v>5056.2903225806449</v>
      </c>
      <c r="T35" s="203">
        <f t="shared" si="65"/>
        <v>235</v>
      </c>
      <c r="U35" s="203">
        <f t="shared" si="66"/>
        <v>5056.2903225806449</v>
      </c>
      <c r="V35" s="203">
        <f t="shared" si="67"/>
        <v>235</v>
      </c>
      <c r="W35" s="203">
        <f t="shared" si="68"/>
        <v>5056.2903225806449</v>
      </c>
      <c r="X35" s="35">
        <f t="shared" si="69"/>
        <v>0.75806451612903214</v>
      </c>
      <c r="Y35" s="36">
        <f t="shared" si="70"/>
        <v>55619.193548387091</v>
      </c>
      <c r="Z35" s="203">
        <f>'B5'!C34</f>
        <v>241</v>
      </c>
      <c r="AA35" s="203">
        <f t="shared" si="71"/>
        <v>2410</v>
      </c>
      <c r="AB35" s="203">
        <f t="shared" si="72"/>
        <v>241</v>
      </c>
      <c r="AC35" s="203">
        <f t="shared" si="73"/>
        <v>2410</v>
      </c>
      <c r="AD35" s="203">
        <f t="shared" si="74"/>
        <v>241</v>
      </c>
      <c r="AE35" s="203">
        <f t="shared" si="75"/>
        <v>2410</v>
      </c>
      <c r="AF35" s="203">
        <f t="shared" si="76"/>
        <v>241</v>
      </c>
      <c r="AG35" s="203">
        <f t="shared" si="77"/>
        <v>2410</v>
      </c>
      <c r="AH35" s="203">
        <f t="shared" si="78"/>
        <v>241</v>
      </c>
      <c r="AI35" s="203">
        <f t="shared" si="79"/>
        <v>2410</v>
      </c>
      <c r="AJ35" s="203">
        <f t="shared" si="80"/>
        <v>241</v>
      </c>
      <c r="AK35" s="203">
        <f t="shared" si="81"/>
        <v>2410</v>
      </c>
      <c r="AL35" s="203">
        <f t="shared" si="82"/>
        <v>241</v>
      </c>
      <c r="AM35" s="203">
        <f t="shared" si="83"/>
        <v>2410</v>
      </c>
      <c r="AN35" s="35">
        <f t="shared" si="84"/>
        <v>0.86071428571428577</v>
      </c>
      <c r="AO35" s="36">
        <f t="shared" si="85"/>
        <v>16870</v>
      </c>
      <c r="AQ35" s="223">
        <f t="shared" si="86"/>
        <v>0.77970521187896191</v>
      </c>
      <c r="AR35" s="38">
        <f t="shared" si="41"/>
        <v>72489.193548387091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44773</v>
      </c>
      <c r="B36">
        <f>'B5'!B35</f>
        <v>235</v>
      </c>
      <c r="C36" s="203">
        <f t="shared" si="48"/>
        <v>5056.2903225806449</v>
      </c>
      <c r="D36">
        <f t="shared" si="49"/>
        <v>235</v>
      </c>
      <c r="E36" s="203">
        <f t="shared" si="50"/>
        <v>5056.2903225806449</v>
      </c>
      <c r="F36">
        <f t="shared" si="51"/>
        <v>235</v>
      </c>
      <c r="G36" s="203">
        <f t="shared" si="52"/>
        <v>5056.2903225806449</v>
      </c>
      <c r="H36" s="203">
        <f t="shared" si="53"/>
        <v>235</v>
      </c>
      <c r="I36" s="203">
        <f t="shared" si="54"/>
        <v>5056.2903225806449</v>
      </c>
      <c r="J36" s="203">
        <f t="shared" si="55"/>
        <v>235</v>
      </c>
      <c r="K36" s="203">
        <f t="shared" si="56"/>
        <v>5056.2903225806449</v>
      </c>
      <c r="L36" s="203">
        <f t="shared" si="57"/>
        <v>235</v>
      </c>
      <c r="M36" s="203">
        <f t="shared" si="58"/>
        <v>5056.2903225806449</v>
      </c>
      <c r="N36" s="203">
        <f t="shared" si="59"/>
        <v>235</v>
      </c>
      <c r="O36" s="203">
        <f t="shared" si="60"/>
        <v>5056.2903225806449</v>
      </c>
      <c r="P36" s="203">
        <f t="shared" si="61"/>
        <v>235</v>
      </c>
      <c r="Q36" s="203">
        <f t="shared" si="62"/>
        <v>5056.2903225806449</v>
      </c>
      <c r="R36" s="203">
        <f t="shared" si="63"/>
        <v>235</v>
      </c>
      <c r="S36" s="203">
        <f t="shared" si="64"/>
        <v>5056.2903225806449</v>
      </c>
      <c r="T36" s="203">
        <f t="shared" si="65"/>
        <v>235</v>
      </c>
      <c r="U36" s="203">
        <f t="shared" si="66"/>
        <v>5056.2903225806449</v>
      </c>
      <c r="V36" s="203">
        <f t="shared" si="67"/>
        <v>235</v>
      </c>
      <c r="W36" s="203">
        <f t="shared" si="68"/>
        <v>5056.2903225806449</v>
      </c>
      <c r="X36" s="35">
        <f t="shared" si="69"/>
        <v>0.75806451612903214</v>
      </c>
      <c r="Y36" s="36">
        <f t="shared" si="70"/>
        <v>55619.193548387091</v>
      </c>
      <c r="Z36" s="203">
        <f>'B5'!C35</f>
        <v>241</v>
      </c>
      <c r="AA36" s="203">
        <f t="shared" si="71"/>
        <v>2410</v>
      </c>
      <c r="AB36" s="203">
        <f t="shared" si="72"/>
        <v>241</v>
      </c>
      <c r="AC36" s="203">
        <f t="shared" si="73"/>
        <v>2410</v>
      </c>
      <c r="AD36" s="203">
        <f t="shared" si="74"/>
        <v>241</v>
      </c>
      <c r="AE36" s="203">
        <f t="shared" si="75"/>
        <v>2410</v>
      </c>
      <c r="AF36" s="203">
        <f t="shared" si="76"/>
        <v>241</v>
      </c>
      <c r="AG36" s="203">
        <f t="shared" si="77"/>
        <v>2410</v>
      </c>
      <c r="AH36" s="203">
        <f t="shared" si="78"/>
        <v>241</v>
      </c>
      <c r="AI36" s="203">
        <f t="shared" si="79"/>
        <v>2410</v>
      </c>
      <c r="AJ36" s="203">
        <f t="shared" si="80"/>
        <v>241</v>
      </c>
      <c r="AK36" s="203">
        <f t="shared" si="81"/>
        <v>2410</v>
      </c>
      <c r="AL36" s="203">
        <f t="shared" si="82"/>
        <v>241</v>
      </c>
      <c r="AM36" s="203">
        <f t="shared" si="83"/>
        <v>2410</v>
      </c>
      <c r="AN36" s="35">
        <f t="shared" si="84"/>
        <v>0.86071428571428577</v>
      </c>
      <c r="AO36" s="36">
        <f t="shared" si="85"/>
        <v>16870</v>
      </c>
      <c r="AQ36" s="223">
        <f t="shared" si="86"/>
        <v>0.77970521187896191</v>
      </c>
      <c r="AR36" s="38">
        <f t="shared" si="41"/>
        <v>72489.193548387091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5125</v>
      </c>
      <c r="AU37" s="542">
        <f>SUM(AU6:AU36)/AS37</f>
        <v>1.23</v>
      </c>
      <c r="AX37" s="203">
        <f>SUM(AX6:AX36)</f>
        <v>-10735.903225806484</v>
      </c>
      <c r="AY37" s="203">
        <f>SUM(AY6:AY36)</f>
        <v>-11871.903225806484</v>
      </c>
    </row>
    <row r="38" spans="1:63">
      <c r="AS38" s="206"/>
      <c r="AT38" s="82">
        <f>+AT37*AU37</f>
        <v>6303.75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50489.193548387091</v>
      </c>
      <c r="AU42" s="203"/>
      <c r="AX42">
        <f>AX37/AX41</f>
        <v>-0.24789081312906056</v>
      </c>
    </row>
    <row r="43" spans="1:63">
      <c r="AR43">
        <f>AR42/5500</f>
        <v>9.1798533724340174</v>
      </c>
    </row>
    <row r="44" spans="1:63">
      <c r="AR44">
        <f>AR43*2</f>
        <v>18.359706744868035</v>
      </c>
    </row>
    <row r="45" spans="1:63">
      <c r="AR45" s="203"/>
    </row>
    <row r="46" spans="1:63">
      <c r="AT46" s="59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42" sqref="D4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44742</v>
      </c>
      <c r="B3" s="254">
        <f>'[2]EDl log'!B33</f>
        <v>1122664</v>
      </c>
      <c r="C3" s="254">
        <f>'[2]EDl log'!C33</f>
        <v>0</v>
      </c>
      <c r="D3" s="254">
        <f>'[2]EDl log'!D33</f>
        <v>0</v>
      </c>
      <c r="E3" s="254">
        <f>'[2]EDl log'!E33</f>
        <v>1122664</v>
      </c>
      <c r="F3" s="254">
        <f>'[2]EDl log'!F33</f>
        <v>161410</v>
      </c>
      <c r="G3" s="254">
        <f>'[2]EDl log'!G33</f>
        <v>0</v>
      </c>
      <c r="H3" s="254">
        <f>'[2]EDl log'!H33</f>
        <v>559523</v>
      </c>
      <c r="I3" s="254">
        <f>'[2]EDl log'!I33</f>
        <v>0</v>
      </c>
      <c r="J3" s="254">
        <f>'[2]EDl log'!J33</f>
        <v>401730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626.29316129030985</v>
      </c>
      <c r="R3" s="254">
        <f>'[2]EDl log'!R33</f>
        <v>786.25630114658406</v>
      </c>
      <c r="S3" s="254">
        <f>'[2]EDl log'!S33</f>
        <v>3866</v>
      </c>
      <c r="T3" s="254">
        <f>'[2]EDl log'!T33</f>
        <v>0.20337721188478636</v>
      </c>
      <c r="Z3" t="s">
        <v>213</v>
      </c>
      <c r="AA3">
        <v>0.1</v>
      </c>
    </row>
    <row r="4" spans="1:32" ht="20.100000000000001" customHeight="1">
      <c r="A4" s="163">
        <f>ELEC!C4</f>
        <v>44743</v>
      </c>
      <c r="B4" s="534">
        <f>B3</f>
        <v>1122664</v>
      </c>
      <c r="C4" s="254">
        <f t="shared" ref="C4:C30" si="0">SUM(B4-B3)</f>
        <v>0</v>
      </c>
      <c r="D4" s="295">
        <f>SUM(G4+I4+K4)</f>
        <v>0</v>
      </c>
      <c r="E4" s="295">
        <f>B3+D4</f>
        <v>1122664</v>
      </c>
      <c r="F4" s="537">
        <f>F3</f>
        <v>161410</v>
      </c>
      <c r="G4" s="160">
        <f t="shared" ref="G4:G30" si="1">F4-F3</f>
        <v>0</v>
      </c>
      <c r="H4" s="537">
        <f>H3</f>
        <v>559523</v>
      </c>
      <c r="I4" s="161">
        <f t="shared" ref="I4:I30" si="2">H4-H3</f>
        <v>0</v>
      </c>
      <c r="J4" s="582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44734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44744</v>
      </c>
      <c r="B5" s="607">
        <f t="shared" ref="B5:B34" si="7">B4</f>
        <v>1122664</v>
      </c>
      <c r="C5" s="254">
        <f t="shared" si="0"/>
        <v>0</v>
      </c>
      <c r="D5" s="295">
        <f>SUM(G5+I5+K5)</f>
        <v>0</v>
      </c>
      <c r="E5" s="295">
        <f>B4+D5</f>
        <v>1122664</v>
      </c>
      <c r="F5" s="607">
        <f t="shared" ref="F5:F34" si="8">F4</f>
        <v>161410</v>
      </c>
      <c r="G5" s="160">
        <f t="shared" si="1"/>
        <v>0</v>
      </c>
      <c r="H5" s="607">
        <f t="shared" ref="H5:H34" si="9">H4</f>
        <v>559523</v>
      </c>
      <c r="I5" s="161">
        <f t="shared" si="2"/>
        <v>0</v>
      </c>
      <c r="J5" s="607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44745</v>
      </c>
      <c r="B6" s="607">
        <f t="shared" si="7"/>
        <v>1122664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1122664</v>
      </c>
      <c r="F6" s="607">
        <f t="shared" si="8"/>
        <v>161410</v>
      </c>
      <c r="G6" s="160">
        <f t="shared" si="1"/>
        <v>0</v>
      </c>
      <c r="H6" s="607">
        <f t="shared" si="9"/>
        <v>559523</v>
      </c>
      <c r="I6" s="161">
        <f t="shared" si="2"/>
        <v>0</v>
      </c>
      <c r="J6" s="607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2287.4825806452063</v>
      </c>
      <c r="R6" s="285">
        <f t="shared" si="13"/>
        <v>2442.2856192157942</v>
      </c>
      <c r="S6" s="287">
        <f>SUM(ELEC!N6)</f>
        <v>3482</v>
      </c>
      <c r="T6" s="321">
        <f t="shared" ref="T6:T30" si="16">IF(S6&gt;0,R6/S6,0)</f>
        <v>0.70140310718431764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44746</v>
      </c>
      <c r="B7" s="607">
        <f t="shared" si="7"/>
        <v>1122664</v>
      </c>
      <c r="C7" s="254">
        <f>SUM(B7-B6)</f>
        <v>0</v>
      </c>
      <c r="D7" s="295">
        <f>SUM(G7+I7+K7)</f>
        <v>0</v>
      </c>
      <c r="E7" s="295">
        <f t="shared" si="15"/>
        <v>1122664</v>
      </c>
      <c r="F7" s="607">
        <f t="shared" si="8"/>
        <v>161410</v>
      </c>
      <c r="G7" s="160">
        <f t="shared" si="1"/>
        <v>0</v>
      </c>
      <c r="H7" s="607">
        <f t="shared" si="9"/>
        <v>559523</v>
      </c>
      <c r="I7" s="161">
        <f t="shared" si="2"/>
        <v>0</v>
      </c>
      <c r="J7" s="607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1346.492903225781</v>
      </c>
      <c r="R7" s="285">
        <f t="shared" si="13"/>
        <v>1501.2959417963689</v>
      </c>
      <c r="S7" s="287">
        <f>SUM(ELEC!N7)</f>
        <v>3120</v>
      </c>
      <c r="T7" s="321">
        <f t="shared" si="16"/>
        <v>0.4811845967296054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44747</v>
      </c>
      <c r="B8" s="607">
        <f t="shared" si="7"/>
        <v>1122664</v>
      </c>
      <c r="C8" s="254">
        <f t="shared" si="0"/>
        <v>0</v>
      </c>
      <c r="D8" s="295">
        <f t="shared" si="14"/>
        <v>0</v>
      </c>
      <c r="E8" s="295">
        <f t="shared" si="15"/>
        <v>1122664</v>
      </c>
      <c r="F8" s="607">
        <f t="shared" si="8"/>
        <v>161410</v>
      </c>
      <c r="G8" s="160">
        <f t="shared" si="1"/>
        <v>0</v>
      </c>
      <c r="H8" s="607">
        <f t="shared" si="9"/>
        <v>559523</v>
      </c>
      <c r="I8" s="161">
        <f t="shared" si="2"/>
        <v>0</v>
      </c>
      <c r="J8" s="607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1427.6729032258168</v>
      </c>
      <c r="R8" s="285">
        <f t="shared" si="13"/>
        <v>1582.4759417964046</v>
      </c>
      <c r="S8" s="287">
        <f>SUM(ELEC!N8)</f>
        <v>3474</v>
      </c>
      <c r="T8" s="321">
        <f>IF(S8&gt;0,R8/S8,0)</f>
        <v>0.45551984507668525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44748</v>
      </c>
      <c r="B9" s="607">
        <f t="shared" si="7"/>
        <v>1122664</v>
      </c>
      <c r="C9" s="254">
        <f t="shared" si="0"/>
        <v>0</v>
      </c>
      <c r="D9" s="295">
        <f t="shared" si="14"/>
        <v>0</v>
      </c>
      <c r="E9" s="295">
        <f t="shared" si="15"/>
        <v>1122664</v>
      </c>
      <c r="F9" s="607">
        <f t="shared" si="8"/>
        <v>161410</v>
      </c>
      <c r="G9" s="160">
        <f t="shared" si="1"/>
        <v>0</v>
      </c>
      <c r="H9" s="607">
        <f t="shared" si="9"/>
        <v>559523</v>
      </c>
      <c r="I9" s="161">
        <f t="shared" si="2"/>
        <v>0</v>
      </c>
      <c r="J9" s="607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1360.0229032258169</v>
      </c>
      <c r="R9" s="285">
        <f>SUM(P9:Q9)</f>
        <v>1514.8259417964048</v>
      </c>
      <c r="S9" s="287">
        <f>SUM(ELEC!N9)</f>
        <v>2978</v>
      </c>
      <c r="T9" s="321">
        <f t="shared" si="16"/>
        <v>0.50867224371941056</v>
      </c>
      <c r="V9" s="246">
        <f>'[2]EDl log'!V26</f>
        <v>401730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0</v>
      </c>
      <c r="AB9" s="605">
        <f>'[2]EDl log'!AB26</f>
        <v>0</v>
      </c>
      <c r="AC9" s="605">
        <f>'[2]EDl log'!AC26</f>
        <v>1033333</v>
      </c>
      <c r="AD9" s="594">
        <f>'[2]EDl log'!AD26</f>
        <v>0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44749</v>
      </c>
      <c r="B10" s="607">
        <f t="shared" si="7"/>
        <v>1122664</v>
      </c>
      <c r="C10" s="254">
        <f t="shared" si="0"/>
        <v>0</v>
      </c>
      <c r="D10" s="295">
        <f t="shared" si="14"/>
        <v>0</v>
      </c>
      <c r="E10" s="295">
        <f t="shared" si="15"/>
        <v>1122664</v>
      </c>
      <c r="F10" s="607">
        <f t="shared" si="8"/>
        <v>161410</v>
      </c>
      <c r="G10" s="160">
        <f t="shared" si="1"/>
        <v>0</v>
      </c>
      <c r="H10" s="607">
        <f t="shared" si="9"/>
        <v>559523</v>
      </c>
      <c r="I10" s="161">
        <f t="shared" si="2"/>
        <v>0</v>
      </c>
      <c r="J10" s="607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557476</v>
      </c>
      <c r="W10" s="246">
        <f>'[2]EDl log'!W27</f>
        <v>559523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2047</v>
      </c>
      <c r="AB10" s="605">
        <f>'[2]EDl log'!AB27</f>
        <v>229264</v>
      </c>
      <c r="AC10" s="605">
        <f>'[2]EDl log'!AC27</f>
        <v>6200000</v>
      </c>
      <c r="AD10" s="594">
        <f>'[2]EDl log'!AD27</f>
        <v>0.99853658536585377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44750</v>
      </c>
      <c r="B11" s="607">
        <f t="shared" si="7"/>
        <v>1122664</v>
      </c>
      <c r="C11" s="254">
        <f>SUM(B11-B10)</f>
        <v>0</v>
      </c>
      <c r="D11" s="295">
        <f>SUM(G11+I11+K11)</f>
        <v>0</v>
      </c>
      <c r="E11" s="295">
        <f t="shared" si="15"/>
        <v>1122664</v>
      </c>
      <c r="F11" s="607">
        <f t="shared" si="8"/>
        <v>161410</v>
      </c>
      <c r="G11" s="160">
        <f t="shared" si="1"/>
        <v>0</v>
      </c>
      <c r="H11" s="607">
        <f t="shared" si="9"/>
        <v>559523</v>
      </c>
      <c r="I11" s="161">
        <f t="shared" si="2"/>
        <v>0</v>
      </c>
      <c r="J11" s="607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05">
        <f>'[2]EDl log'!AB28</f>
        <v>0</v>
      </c>
      <c r="AC11" s="605">
        <f>'[2]EDl log'!AC28</f>
        <v>1000</v>
      </c>
      <c r="AD11" s="59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44751</v>
      </c>
      <c r="B12" s="607">
        <f t="shared" si="7"/>
        <v>1122664</v>
      </c>
      <c r="C12" s="254">
        <f t="shared" si="0"/>
        <v>0</v>
      </c>
      <c r="D12" s="295">
        <f t="shared" si="14"/>
        <v>0</v>
      </c>
      <c r="E12" s="295">
        <f t="shared" si="15"/>
        <v>1122664</v>
      </c>
      <c r="F12" s="607">
        <f t="shared" si="8"/>
        <v>161410</v>
      </c>
      <c r="G12" s="160">
        <f t="shared" si="1"/>
        <v>0</v>
      </c>
      <c r="H12" s="607">
        <f t="shared" si="9"/>
        <v>559523</v>
      </c>
      <c r="I12" s="161">
        <f t="shared" si="2"/>
        <v>0</v>
      </c>
      <c r="J12" s="607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46">
        <f>'[6]EDl log'!W29</f>
        <v>0</v>
      </c>
      <c r="X12" s="214"/>
      <c r="Y12" s="215"/>
      <c r="Z12" s="3"/>
      <c r="AA12" s="246">
        <f>'[2]EDl log'!AA29</f>
        <v>2047</v>
      </c>
      <c r="AB12" s="605">
        <f>'[2]EDl log'!AB29</f>
        <v>229264</v>
      </c>
      <c r="AC12" s="605">
        <f>'[2]EDl log'!AC29</f>
        <v>7234333</v>
      </c>
    </row>
    <row r="13" spans="1:32" ht="20.100000000000001" customHeight="1">
      <c r="A13" s="163">
        <f>ELEC!C13</f>
        <v>44752</v>
      </c>
      <c r="B13" s="607">
        <f t="shared" si="7"/>
        <v>1122664</v>
      </c>
      <c r="C13" s="254">
        <f t="shared" si="0"/>
        <v>0</v>
      </c>
      <c r="D13" s="295">
        <f t="shared" si="14"/>
        <v>0</v>
      </c>
      <c r="E13" s="295">
        <f t="shared" si="15"/>
        <v>1122664</v>
      </c>
      <c r="F13" s="607">
        <f t="shared" si="8"/>
        <v>161410</v>
      </c>
      <c r="G13" s="160">
        <f t="shared" si="1"/>
        <v>0</v>
      </c>
      <c r="H13" s="607">
        <f t="shared" si="9"/>
        <v>559523</v>
      </c>
      <c r="I13" s="161">
        <f t="shared" si="2"/>
        <v>0</v>
      </c>
      <c r="J13" s="607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605">
        <f>'[2]EDl log'!AB30</f>
        <v>7463597</v>
      </c>
      <c r="AC13" s="605">
        <f>'[2]EDl log'!AC30</f>
        <v>0</v>
      </c>
    </row>
    <row r="14" spans="1:32" ht="20.100000000000001" customHeight="1">
      <c r="A14" s="163">
        <f>ELEC!C14</f>
        <v>44753</v>
      </c>
      <c r="B14" s="607">
        <f t="shared" si="7"/>
        <v>1122664</v>
      </c>
      <c r="C14" s="254">
        <f t="shared" si="0"/>
        <v>0</v>
      </c>
      <c r="D14" s="295">
        <f t="shared" si="14"/>
        <v>0</v>
      </c>
      <c r="E14" s="295">
        <f t="shared" si="15"/>
        <v>1122664</v>
      </c>
      <c r="F14" s="607">
        <f t="shared" si="8"/>
        <v>161410</v>
      </c>
      <c r="G14" s="160">
        <f t="shared" si="1"/>
        <v>0</v>
      </c>
      <c r="H14" s="607">
        <f t="shared" si="9"/>
        <v>559523</v>
      </c>
      <c r="I14" s="161">
        <f t="shared" si="2"/>
        <v>0</v>
      </c>
      <c r="J14" s="607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1093.5096774193537</v>
      </c>
      <c r="R14" s="285">
        <f>SUM(P14:Q14)</f>
        <v>1248.3127159899416</v>
      </c>
      <c r="S14" s="287">
        <f>SUM(ELEC!N14)</f>
        <v>3230</v>
      </c>
      <c r="T14" s="321">
        <f>IF(S14&gt;0,R14/S14,0)</f>
        <v>0.38647452507428531</v>
      </c>
      <c r="V14" s="216"/>
      <c r="W14" s="217"/>
      <c r="X14" s="217"/>
      <c r="Y14" s="218"/>
      <c r="Z14" s="3"/>
      <c r="AA14" s="246">
        <f>'[2]EDl log'!AA31</f>
        <v>0</v>
      </c>
      <c r="AB14" s="605">
        <f>'[2]EDl log'!AB31</f>
        <v>0</v>
      </c>
      <c r="AC14" s="605">
        <f>'[2]EDl log'!AC31</f>
        <v>0</v>
      </c>
    </row>
    <row r="15" spans="1:32" ht="20.100000000000001" customHeight="1">
      <c r="A15" s="163">
        <f>ELEC!C15</f>
        <v>44754</v>
      </c>
      <c r="B15" s="607">
        <f t="shared" si="7"/>
        <v>1122664</v>
      </c>
      <c r="C15" s="254">
        <f t="shared" si="0"/>
        <v>0</v>
      </c>
      <c r="D15" s="295">
        <f t="shared" si="14"/>
        <v>0</v>
      </c>
      <c r="E15" s="295">
        <f t="shared" si="15"/>
        <v>1122664</v>
      </c>
      <c r="F15" s="607">
        <f t="shared" si="8"/>
        <v>161410</v>
      </c>
      <c r="G15" s="160">
        <f t="shared" si="1"/>
        <v>0</v>
      </c>
      <c r="H15" s="607">
        <f t="shared" si="9"/>
        <v>559523</v>
      </c>
      <c r="I15" s="161">
        <f t="shared" si="2"/>
        <v>0</v>
      </c>
      <c r="J15" s="607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1701.5661290322441</v>
      </c>
      <c r="R15" s="285">
        <f>SUM(P15:Q15)</f>
        <v>1856.369167602832</v>
      </c>
      <c r="S15" s="287">
        <f>SUM(ELEC!N15)</f>
        <v>5292</v>
      </c>
      <c r="T15" s="321">
        <f>IF(S15&gt;0,R15/S15,0)</f>
        <v>0.35078782456591684</v>
      </c>
      <c r="V15" s="216" t="s">
        <v>315</v>
      </c>
      <c r="W15" s="608">
        <f>-'[2]EDl log'!$W$32</f>
        <v>-222</v>
      </c>
      <c r="X15" s="246">
        <f>'[2]EDl log'!$X$32</f>
        <v>24.666666666666668</v>
      </c>
      <c r="Y15" s="609">
        <f>'[2]EDl log'!$Y$32</f>
        <v>24.666666666666668</v>
      </c>
      <c r="Z15" s="3"/>
      <c r="AA15" s="246">
        <f>'[2]EDl log'!AA32</f>
        <v>0</v>
      </c>
      <c r="AB15" s="605">
        <f>'[2]EDl log'!AB32</f>
        <v>0</v>
      </c>
      <c r="AC15" s="605">
        <f>'[2]EDl log'!AC32</f>
        <v>0</v>
      </c>
    </row>
    <row r="16" spans="1:32" ht="20.100000000000001" customHeight="1">
      <c r="A16" s="163">
        <f>ELEC!C16</f>
        <v>44755</v>
      </c>
      <c r="B16" s="607">
        <f t="shared" si="7"/>
        <v>1122664</v>
      </c>
      <c r="C16" s="254">
        <f t="shared" si="0"/>
        <v>0</v>
      </c>
      <c r="D16" s="295">
        <f t="shared" si="14"/>
        <v>0</v>
      </c>
      <c r="E16" s="295">
        <f t="shared" si="15"/>
        <v>1122664</v>
      </c>
      <c r="F16" s="607">
        <f t="shared" si="8"/>
        <v>161410</v>
      </c>
      <c r="G16" s="160">
        <f t="shared" si="1"/>
        <v>0</v>
      </c>
      <c r="H16" s="607">
        <f t="shared" si="9"/>
        <v>559523</v>
      </c>
      <c r="I16" s="161">
        <f t="shared" si="2"/>
        <v>0</v>
      </c>
      <c r="J16" s="607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1124.2596774193537</v>
      </c>
      <c r="R16" s="285">
        <f>SUM(P16:Q16)</f>
        <v>1279.0627159899416</v>
      </c>
      <c r="S16" s="287">
        <f>SUM(ELEC!N16)</f>
        <v>1069</v>
      </c>
      <c r="T16" s="321">
        <f>IF(S16&gt;0,R16/S16,0)</f>
        <v>1.1965039438633691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605">
        <f>'[2]EDl log'!AB33</f>
        <v>820995.67</v>
      </c>
      <c r="AC16" s="605">
        <f>'[2]EDl log'!AC33</f>
        <v>7234333</v>
      </c>
    </row>
    <row r="17" spans="1:32" ht="20.100000000000001" customHeight="1">
      <c r="A17" s="163">
        <f>ELEC!C17</f>
        <v>44756</v>
      </c>
      <c r="B17" s="607">
        <f t="shared" si="7"/>
        <v>1122664</v>
      </c>
      <c r="C17" s="254">
        <f t="shared" si="0"/>
        <v>0</v>
      </c>
      <c r="D17" s="295">
        <f t="shared" si="14"/>
        <v>0</v>
      </c>
      <c r="E17" s="295">
        <f t="shared" si="15"/>
        <v>1122664</v>
      </c>
      <c r="F17" s="607">
        <f t="shared" si="8"/>
        <v>161410</v>
      </c>
      <c r="G17" s="160">
        <f>F17-F16</f>
        <v>0</v>
      </c>
      <c r="H17" s="607">
        <f t="shared" si="9"/>
        <v>559523</v>
      </c>
      <c r="I17" s="161">
        <f t="shared" si="2"/>
        <v>0</v>
      </c>
      <c r="J17" s="607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1272.6929032258167</v>
      </c>
      <c r="R17" s="285">
        <f>SUM(P17:Q17)</f>
        <v>1427.4959417964046</v>
      </c>
      <c r="S17" s="287">
        <f>SUM(ELEC!N17)</f>
        <v>4720</v>
      </c>
      <c r="T17" s="321">
        <f>IF(S17&gt;0,R17/S17,0)</f>
        <v>0.3024355808890688</v>
      </c>
      <c r="V17" s="216" t="s">
        <v>414</v>
      </c>
      <c r="W17" s="217"/>
      <c r="Z17" s="3"/>
      <c r="AA17" s="246">
        <f>'[2]EDl log'!AA34</f>
        <v>0</v>
      </c>
      <c r="AB17" s="605">
        <f>'[2]EDl log'!AB34</f>
        <v>8284592.6699999999</v>
      </c>
      <c r="AC17" s="605">
        <f>'[2]EDl log'!AC34</f>
        <v>0</v>
      </c>
    </row>
    <row r="18" spans="1:32" ht="20.100000000000001" customHeight="1" thickBot="1">
      <c r="A18" s="163">
        <f>ELEC!C18</f>
        <v>44757</v>
      </c>
      <c r="B18" s="607">
        <f t="shared" si="7"/>
        <v>1122664</v>
      </c>
      <c r="C18" s="254">
        <f>SUM(B18-B17)</f>
        <v>0</v>
      </c>
      <c r="D18" s="295">
        <f>SUM(G18+I18+K18)</f>
        <v>0</v>
      </c>
      <c r="E18" s="295">
        <f t="shared" si="15"/>
        <v>1122664</v>
      </c>
      <c r="F18" s="607">
        <f t="shared" si="8"/>
        <v>161410</v>
      </c>
      <c r="G18" s="160">
        <f t="shared" si="1"/>
        <v>0</v>
      </c>
      <c r="H18" s="607">
        <f t="shared" si="9"/>
        <v>559523</v>
      </c>
      <c r="I18" s="161">
        <f t="shared" si="2"/>
        <v>0</v>
      </c>
      <c r="J18" s="607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05">
        <f>'[2]EDl log'!AB35</f>
        <v>0</v>
      </c>
      <c r="AC18" s="605">
        <f>'[2]EDl log'!AC35</f>
        <v>0</v>
      </c>
    </row>
    <row r="19" spans="1:32" ht="20.100000000000001" customHeight="1" thickBot="1">
      <c r="A19" s="163">
        <f>ELEC!C19</f>
        <v>44758</v>
      </c>
      <c r="B19" s="607">
        <f t="shared" si="7"/>
        <v>1122664</v>
      </c>
      <c r="C19" s="254">
        <f t="shared" si="0"/>
        <v>0</v>
      </c>
      <c r="D19" s="295">
        <f t="shared" si="14"/>
        <v>0</v>
      </c>
      <c r="E19" s="295">
        <f t="shared" si="15"/>
        <v>1122664</v>
      </c>
      <c r="F19" s="607">
        <f t="shared" si="8"/>
        <v>161410</v>
      </c>
      <c r="G19" s="160">
        <f t="shared" si="1"/>
        <v>0</v>
      </c>
      <c r="H19" s="607">
        <f t="shared" si="9"/>
        <v>559523</v>
      </c>
      <c r="I19" s="161">
        <f t="shared" si="2"/>
        <v>0</v>
      </c>
      <c r="J19" s="607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5">
        <f>'[2]EDl log'!AB36</f>
        <v>4950.9764510779432</v>
      </c>
      <c r="AC19" s="605">
        <f>'[2]EDl log'!AC36</f>
        <v>0</v>
      </c>
    </row>
    <row r="20" spans="1:32" ht="20.100000000000001" customHeight="1" thickBot="1">
      <c r="A20" s="163">
        <f>ELEC!C20</f>
        <v>44759</v>
      </c>
      <c r="B20" s="607">
        <f t="shared" si="7"/>
        <v>1122664</v>
      </c>
      <c r="C20" s="254">
        <f t="shared" si="0"/>
        <v>0</v>
      </c>
      <c r="D20" s="295">
        <f t="shared" si="14"/>
        <v>0</v>
      </c>
      <c r="E20" s="295">
        <f t="shared" si="15"/>
        <v>1122664</v>
      </c>
      <c r="F20" s="607">
        <f t="shared" si="8"/>
        <v>161410</v>
      </c>
      <c r="G20" s="160">
        <f t="shared" si="1"/>
        <v>0</v>
      </c>
      <c r="H20" s="607">
        <f t="shared" si="9"/>
        <v>559523</v>
      </c>
      <c r="I20" s="161">
        <f t="shared" si="2"/>
        <v>0</v>
      </c>
      <c r="J20" s="607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167.47838709678632</v>
      </c>
      <c r="R20" s="285">
        <f t="shared" si="13"/>
        <v>322.28142566737426</v>
      </c>
      <c r="S20" s="287">
        <f>SUM(ELEC!N20)</f>
        <v>713</v>
      </c>
      <c r="T20" s="321">
        <f t="shared" si="16"/>
        <v>0.45200760963166098</v>
      </c>
      <c r="AB20" s="525"/>
    </row>
    <row r="21" spans="1:32" ht="20.100000000000001" customHeight="1">
      <c r="A21" s="163">
        <f>ELEC!C21</f>
        <v>44760</v>
      </c>
      <c r="B21" s="607">
        <f t="shared" si="7"/>
        <v>1122664</v>
      </c>
      <c r="C21" s="254">
        <f t="shared" si="0"/>
        <v>0</v>
      </c>
      <c r="D21" s="295">
        <f t="shared" si="14"/>
        <v>0</v>
      </c>
      <c r="E21" s="295">
        <f t="shared" si="15"/>
        <v>1122664</v>
      </c>
      <c r="F21" s="607">
        <f t="shared" si="8"/>
        <v>161410</v>
      </c>
      <c r="G21" s="160">
        <f t="shared" si="1"/>
        <v>0</v>
      </c>
      <c r="H21" s="607">
        <f t="shared" si="9"/>
        <v>559523</v>
      </c>
      <c r="I21" s="161">
        <f t="shared" si="2"/>
        <v>0</v>
      </c>
      <c r="J21" s="607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1423.982903225799</v>
      </c>
      <c r="R21" s="285">
        <f t="shared" si="13"/>
        <v>1578.7859417963869</v>
      </c>
      <c r="S21" s="287">
        <f>SUM(ELEC!N21)</f>
        <v>3251</v>
      </c>
      <c r="T21" s="321">
        <f t="shared" si="16"/>
        <v>0.48563086490199536</v>
      </c>
      <c r="V21" s="166" t="s">
        <v>200</v>
      </c>
      <c r="W21" s="167">
        <v>44764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44761</v>
      </c>
      <c r="B22" s="607">
        <f t="shared" si="7"/>
        <v>1122664</v>
      </c>
      <c r="C22" s="254">
        <f t="shared" si="0"/>
        <v>0</v>
      </c>
      <c r="D22" s="295">
        <f t="shared" si="14"/>
        <v>0</v>
      </c>
      <c r="E22" s="295">
        <f t="shared" si="15"/>
        <v>1122664</v>
      </c>
      <c r="F22" s="607">
        <f t="shared" si="8"/>
        <v>161410</v>
      </c>
      <c r="G22" s="160">
        <f t="shared" si="1"/>
        <v>0</v>
      </c>
      <c r="H22" s="607">
        <f t="shared" si="9"/>
        <v>559523</v>
      </c>
      <c r="I22" s="161">
        <f t="shared" si="2"/>
        <v>0</v>
      </c>
      <c r="J22" s="607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44762</v>
      </c>
      <c r="B23" s="607">
        <f t="shared" si="7"/>
        <v>1122664</v>
      </c>
      <c r="C23" s="254">
        <f t="shared" si="0"/>
        <v>0</v>
      </c>
      <c r="D23" s="295">
        <f t="shared" si="14"/>
        <v>0</v>
      </c>
      <c r="E23" s="295">
        <f t="shared" si="15"/>
        <v>1122664</v>
      </c>
      <c r="F23" s="607">
        <f t="shared" si="8"/>
        <v>161410</v>
      </c>
      <c r="G23" s="160">
        <f t="shared" si="1"/>
        <v>0</v>
      </c>
      <c r="H23" s="607">
        <f t="shared" si="9"/>
        <v>559523</v>
      </c>
      <c r="I23" s="161">
        <f t="shared" si="2"/>
        <v>0</v>
      </c>
      <c r="J23" s="607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44763</v>
      </c>
      <c r="B24" s="607">
        <f t="shared" si="7"/>
        <v>1122664</v>
      </c>
      <c r="C24" s="254">
        <f t="shared" si="0"/>
        <v>0</v>
      </c>
      <c r="D24" s="295">
        <f t="shared" si="14"/>
        <v>0</v>
      </c>
      <c r="E24" s="295">
        <f t="shared" si="15"/>
        <v>1122664</v>
      </c>
      <c r="F24" s="607">
        <f t="shared" si="8"/>
        <v>161410</v>
      </c>
      <c r="G24" s="160">
        <f t="shared" si="1"/>
        <v>0</v>
      </c>
      <c r="H24" s="607">
        <f t="shared" si="9"/>
        <v>559523</v>
      </c>
      <c r="I24" s="161">
        <f t="shared" si="2"/>
        <v>0</v>
      </c>
      <c r="J24" s="607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44764</v>
      </c>
      <c r="B25" s="607">
        <f t="shared" si="7"/>
        <v>1122664</v>
      </c>
      <c r="C25" s="254">
        <f t="shared" si="0"/>
        <v>0</v>
      </c>
      <c r="D25" s="295">
        <f t="shared" si="14"/>
        <v>0</v>
      </c>
      <c r="E25" s="295">
        <f t="shared" si="15"/>
        <v>1122664</v>
      </c>
      <c r="F25" s="607">
        <f t="shared" si="8"/>
        <v>161410</v>
      </c>
      <c r="G25" s="160">
        <f t="shared" si="1"/>
        <v>0</v>
      </c>
      <c r="H25" s="607">
        <f t="shared" si="9"/>
        <v>559523</v>
      </c>
      <c r="I25" s="161">
        <f t="shared" si="2"/>
        <v>0</v>
      </c>
      <c r="J25" s="607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44765</v>
      </c>
      <c r="B26" s="607">
        <f t="shared" si="7"/>
        <v>1122664</v>
      </c>
      <c r="C26" s="254">
        <f t="shared" si="0"/>
        <v>0</v>
      </c>
      <c r="D26" s="295">
        <f t="shared" si="14"/>
        <v>0</v>
      </c>
      <c r="E26" s="295">
        <f t="shared" si="15"/>
        <v>1122664</v>
      </c>
      <c r="F26" s="607">
        <f t="shared" si="8"/>
        <v>161410</v>
      </c>
      <c r="G26" s="160">
        <f t="shared" si="1"/>
        <v>0</v>
      </c>
      <c r="H26" s="607">
        <f t="shared" si="9"/>
        <v>559523</v>
      </c>
      <c r="I26" s="161">
        <f t="shared" si="2"/>
        <v>0</v>
      </c>
      <c r="J26" s="607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44766</v>
      </c>
      <c r="B27" s="607">
        <f t="shared" si="7"/>
        <v>1122664</v>
      </c>
      <c r="C27" s="254">
        <f t="shared" si="0"/>
        <v>0</v>
      </c>
      <c r="D27" s="295">
        <f t="shared" si="14"/>
        <v>0</v>
      </c>
      <c r="E27" s="295">
        <f t="shared" si="15"/>
        <v>1122664</v>
      </c>
      <c r="F27" s="607">
        <f t="shared" si="8"/>
        <v>161410</v>
      </c>
      <c r="G27" s="160">
        <f t="shared" si="1"/>
        <v>0</v>
      </c>
      <c r="H27" s="607">
        <f t="shared" si="9"/>
        <v>559523</v>
      </c>
      <c r="I27" s="161">
        <f t="shared" si="2"/>
        <v>0</v>
      </c>
      <c r="J27" s="607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559523</v>
      </c>
      <c r="W27" s="170">
        <f>H34</f>
        <v>559523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44767</v>
      </c>
      <c r="B28" s="607">
        <f t="shared" si="7"/>
        <v>1122664</v>
      </c>
      <c r="C28" s="254">
        <f t="shared" si="0"/>
        <v>0</v>
      </c>
      <c r="D28" s="295">
        <f t="shared" si="14"/>
        <v>0</v>
      </c>
      <c r="E28" s="295">
        <f t="shared" si="15"/>
        <v>1122664</v>
      </c>
      <c r="F28" s="607">
        <f t="shared" si="8"/>
        <v>161410</v>
      </c>
      <c r="G28" s="160">
        <f t="shared" si="1"/>
        <v>0</v>
      </c>
      <c r="H28" s="607">
        <f t="shared" si="9"/>
        <v>559523</v>
      </c>
      <c r="I28" s="161">
        <f t="shared" si="2"/>
        <v>0</v>
      </c>
      <c r="J28" s="607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44768</v>
      </c>
      <c r="B29" s="607">
        <f t="shared" si="7"/>
        <v>1122664</v>
      </c>
      <c r="C29" s="254">
        <f t="shared" si="0"/>
        <v>0</v>
      </c>
      <c r="D29" s="295">
        <f t="shared" si="14"/>
        <v>0</v>
      </c>
      <c r="E29" s="295">
        <f t="shared" si="15"/>
        <v>1122664</v>
      </c>
      <c r="F29" s="607">
        <f t="shared" si="8"/>
        <v>161410</v>
      </c>
      <c r="G29" s="160">
        <f t="shared" si="1"/>
        <v>0</v>
      </c>
      <c r="H29" s="607">
        <f t="shared" si="9"/>
        <v>559523</v>
      </c>
      <c r="I29" s="161">
        <f t="shared" si="2"/>
        <v>0</v>
      </c>
      <c r="J29" s="607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44769</v>
      </c>
      <c r="B30" s="607">
        <f t="shared" si="7"/>
        <v>1122664</v>
      </c>
      <c r="C30" s="254">
        <f t="shared" si="0"/>
        <v>0</v>
      </c>
      <c r="D30" s="295">
        <f t="shared" si="14"/>
        <v>0</v>
      </c>
      <c r="E30" s="295">
        <f t="shared" si="15"/>
        <v>1122664</v>
      </c>
      <c r="F30" s="607">
        <f t="shared" si="8"/>
        <v>161410</v>
      </c>
      <c r="G30" s="160">
        <f t="shared" si="1"/>
        <v>0</v>
      </c>
      <c r="H30" s="607">
        <f t="shared" si="9"/>
        <v>559523</v>
      </c>
      <c r="I30" s="161">
        <f t="shared" si="2"/>
        <v>0</v>
      </c>
      <c r="J30" s="607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44770</v>
      </c>
      <c r="B31" s="607">
        <f t="shared" si="7"/>
        <v>1122664</v>
      </c>
      <c r="C31" s="254">
        <f>SUM(B31-B30)</f>
        <v>0</v>
      </c>
      <c r="D31" s="295">
        <f t="shared" si="14"/>
        <v>0</v>
      </c>
      <c r="E31" s="295">
        <f t="shared" si="15"/>
        <v>1122664</v>
      </c>
      <c r="F31" s="607">
        <f t="shared" si="8"/>
        <v>161410</v>
      </c>
      <c r="G31" s="160">
        <f>F31-F30</f>
        <v>0</v>
      </c>
      <c r="H31" s="607">
        <f t="shared" si="9"/>
        <v>559523</v>
      </c>
      <c r="I31" s="161">
        <f>H31-H30</f>
        <v>0</v>
      </c>
      <c r="J31" s="607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44771</v>
      </c>
      <c r="B32" s="607">
        <f t="shared" si="7"/>
        <v>1122664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1122664</v>
      </c>
      <c r="F32" s="607">
        <f t="shared" si="8"/>
        <v>161410</v>
      </c>
      <c r="G32" s="160">
        <f t="shared" ref="G32:G34" si="22">F32-F31</f>
        <v>0</v>
      </c>
      <c r="H32" s="607">
        <f t="shared" si="9"/>
        <v>559523</v>
      </c>
      <c r="I32" s="161">
        <f t="shared" ref="I32:I34" si="23">H32-H31</f>
        <v>0</v>
      </c>
      <c r="J32" s="607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111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44772</v>
      </c>
      <c r="B33" s="607">
        <f t="shared" si="7"/>
        <v>1122664</v>
      </c>
      <c r="C33" s="254">
        <f t="shared" si="20"/>
        <v>0</v>
      </c>
      <c r="D33" s="295">
        <f t="shared" si="21"/>
        <v>0</v>
      </c>
      <c r="E33" s="295">
        <f t="shared" si="15"/>
        <v>1122664</v>
      </c>
      <c r="F33" s="607">
        <f t="shared" si="8"/>
        <v>161410</v>
      </c>
      <c r="G33" s="160">
        <f t="shared" si="22"/>
        <v>0</v>
      </c>
      <c r="H33" s="607">
        <f t="shared" si="9"/>
        <v>559523</v>
      </c>
      <c r="I33" s="161">
        <f t="shared" si="23"/>
        <v>0</v>
      </c>
      <c r="J33" s="607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80">
        <v>0.11</v>
      </c>
      <c r="AB33" s="581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44773</v>
      </c>
      <c r="B34" s="607">
        <f t="shared" si="7"/>
        <v>1122664</v>
      </c>
      <c r="C34" s="254">
        <f t="shared" si="20"/>
        <v>0</v>
      </c>
      <c r="D34" s="295">
        <f t="shared" si="21"/>
        <v>0</v>
      </c>
      <c r="E34" s="295">
        <f t="shared" si="15"/>
        <v>1122664</v>
      </c>
      <c r="F34" s="607">
        <f t="shared" si="8"/>
        <v>161410</v>
      </c>
      <c r="G34" s="160">
        <f t="shared" si="22"/>
        <v>0</v>
      </c>
      <c r="H34" s="607">
        <f t="shared" si="9"/>
        <v>559523</v>
      </c>
      <c r="I34" s="161">
        <f t="shared" si="23"/>
        <v>0</v>
      </c>
      <c r="J34" s="607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4"/>
      <c r="AC45" s="654"/>
      <c r="AD45" s="540"/>
      <c r="AE45" s="17"/>
      <c r="AF45" s="17"/>
    </row>
    <row r="46" spans="1:32">
      <c r="V46" s="654"/>
      <c r="W46" s="654"/>
      <c r="X46" s="654"/>
      <c r="Y46" s="654"/>
      <c r="Z46" s="506"/>
      <c r="AA46" s="506"/>
      <c r="AB46" s="654"/>
      <c r="AC46" s="654"/>
      <c r="AD46" s="540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0"/>
      <c r="AE47" s="17"/>
      <c r="AF47" s="17"/>
    </row>
    <row r="48" spans="1:32">
      <c r="V48" s="655"/>
      <c r="W48" s="655"/>
      <c r="X48" s="656"/>
      <c r="Y48" s="656"/>
      <c r="Z48" s="656"/>
      <c r="AA48" s="507"/>
      <c r="AB48" s="654"/>
      <c r="AC48" s="654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25" sqref="G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44743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44744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44745</v>
      </c>
      <c r="B7" s="37">
        <v>29</v>
      </c>
      <c r="C7" s="37">
        <v>26</v>
      </c>
      <c r="D7" s="26">
        <f t="shared" si="0"/>
        <v>27.5</v>
      </c>
      <c r="E7" s="378">
        <v>0.76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44746</v>
      </c>
      <c r="B8" s="37">
        <v>29</v>
      </c>
      <c r="C8" s="37">
        <v>25</v>
      </c>
      <c r="D8" s="26">
        <f>(C8+B8)/2</f>
        <v>27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44747</v>
      </c>
      <c r="B9" s="37">
        <v>30</v>
      </c>
      <c r="C9" s="37">
        <v>24</v>
      </c>
      <c r="D9" s="26">
        <f t="shared" si="0"/>
        <v>27</v>
      </c>
      <c r="E9" s="339">
        <v>0.73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44748</v>
      </c>
      <c r="B10" s="37">
        <v>30</v>
      </c>
      <c r="C10" s="37">
        <v>24</v>
      </c>
      <c r="D10" s="26">
        <f t="shared" si="0"/>
        <v>27</v>
      </c>
      <c r="E10" s="378">
        <v>0.72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44749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44750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44751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44752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44753</v>
      </c>
      <c r="B15" s="37">
        <v>30</v>
      </c>
      <c r="C15" s="37">
        <v>25</v>
      </c>
      <c r="D15" s="26">
        <f>(C15+B15)/2</f>
        <v>27.5</v>
      </c>
      <c r="E15" s="378">
        <v>0.68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44754</v>
      </c>
      <c r="B16" s="37">
        <v>31</v>
      </c>
      <c r="C16" s="37">
        <v>24</v>
      </c>
      <c r="D16" s="26">
        <f t="shared" si="3"/>
        <v>27.5</v>
      </c>
      <c r="E16" s="610">
        <v>0.7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44755</v>
      </c>
      <c r="B17" s="37">
        <v>30</v>
      </c>
      <c r="C17" s="37">
        <v>23</v>
      </c>
      <c r="D17" s="26">
        <f t="shared" si="3"/>
        <v>26.5</v>
      </c>
      <c r="E17" s="410">
        <v>0.51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44756</v>
      </c>
      <c r="B18" s="37">
        <v>27</v>
      </c>
      <c r="C18" s="37">
        <v>26</v>
      </c>
      <c r="D18" s="26">
        <f t="shared" si="3"/>
        <v>26.5</v>
      </c>
      <c r="E18" s="325">
        <v>0.76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44757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44758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44759</v>
      </c>
      <c r="B21" s="37">
        <v>28</v>
      </c>
      <c r="C21" s="37">
        <v>26</v>
      </c>
      <c r="D21" s="26">
        <f t="shared" si="3"/>
        <v>27</v>
      </c>
      <c r="E21" s="325">
        <v>0.73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44760</v>
      </c>
      <c r="B22" s="37">
        <v>30</v>
      </c>
      <c r="C22" s="37">
        <v>25</v>
      </c>
      <c r="D22" s="26">
        <f>(C22+B22)/2</f>
        <v>27.5</v>
      </c>
      <c r="E22" s="325">
        <v>0.75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44761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44762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44763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44764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44765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44766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44767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44768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44769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44770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44771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44772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44773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-66</v>
      </c>
      <c r="J2" s="9">
        <f>'B5'!A4</f>
        <v>44742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44743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3482</v>
      </c>
      <c r="D4" s="3">
        <f t="shared" si="0"/>
        <v>-93.999999997293344</v>
      </c>
      <c r="E4" s="3">
        <f>ELEC!Q6</f>
        <v>3575.9999999972933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78.09999999999998</v>
      </c>
      <c r="J4" s="9">
        <f>'B5'!A6</f>
        <v>44744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-92.999999999738066</v>
      </c>
      <c r="E5" s="3">
        <f>ELEC!Q7</f>
        <v>3212.9999999997381</v>
      </c>
      <c r="F5" s="3">
        <f>GEN!Z5</f>
        <v>11</v>
      </c>
      <c r="G5" s="3">
        <f>WATER!C8+WATER!H8</f>
        <v>50</v>
      </c>
      <c r="H5" s="3">
        <f>WATER!L8</f>
        <v>0</v>
      </c>
      <c r="I5" s="15">
        <f>WATER!BC8+WATER!BD8+WATER!BE9-Sheet1!G5</f>
        <v>-12.700000000000045</v>
      </c>
      <c r="J5" s="9">
        <f>'B5'!A7</f>
        <v>44745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3474</v>
      </c>
      <c r="D6" s="3">
        <f t="shared" si="0"/>
        <v>3474</v>
      </c>
      <c r="E6" s="3">
        <f>ELEC!Q25</f>
        <v>0</v>
      </c>
      <c r="F6" s="3">
        <f>GEN!Z6</f>
        <v>12</v>
      </c>
      <c r="G6" s="3">
        <f>WATER!C9+WATER!H9</f>
        <v>0</v>
      </c>
      <c r="H6" s="3">
        <f>WATER!L9</f>
        <v>0</v>
      </c>
      <c r="I6" s="15">
        <f>WATER!BC9+WATER!BD9+WATER!BE10-Sheet1!G6</f>
        <v>-33.099999999999994</v>
      </c>
      <c r="J6" s="9">
        <f>'B5'!A8</f>
        <v>44746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2978</v>
      </c>
      <c r="D7" s="3">
        <f t="shared" si="0"/>
        <v>-91.999999999708962</v>
      </c>
      <c r="E7" s="3">
        <f>ELEC!Q9</f>
        <v>3069.999999999709</v>
      </c>
      <c r="F7" s="3">
        <f>GEN!Z7</f>
        <v>13</v>
      </c>
      <c r="G7" s="3">
        <f>WATER!C10+WATER!H10</f>
        <v>0</v>
      </c>
      <c r="H7" s="3">
        <f>WATER!L10</f>
        <v>0</v>
      </c>
      <c r="I7" s="15">
        <f>WATER!BC10+WATER!BD10+WATER!BE11-Sheet1!G7</f>
        <v>-5.0999999999999659</v>
      </c>
      <c r="J7" s="9">
        <f>'B5'!A9</f>
        <v>44747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-1.0999999999999943</v>
      </c>
      <c r="J8" s="9">
        <f>'B5'!A10</f>
        <v>44748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44749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44750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44751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3230</v>
      </c>
      <c r="D12" s="3">
        <f t="shared" si="0"/>
        <v>-111.00000000034925</v>
      </c>
      <c r="E12" s="3">
        <f>ELEC!Q14</f>
        <v>3341.0000000003492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-12.700000000000031</v>
      </c>
      <c r="J12" s="9">
        <f>'B5'!A14</f>
        <v>44752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5292</v>
      </c>
      <c r="D13" s="3">
        <f t="shared" si="0"/>
        <v>-401.99999999950523</v>
      </c>
      <c r="E13" s="3">
        <f>ELEC!Q15</f>
        <v>5693.9999999995052</v>
      </c>
      <c r="F13" s="3">
        <f>GEN!Z13</f>
        <v>14</v>
      </c>
      <c r="G13" s="3">
        <f>WATER!C16+WATER!H16</f>
        <v>0</v>
      </c>
      <c r="H13" s="3">
        <f>WATER!L16</f>
        <v>0</v>
      </c>
      <c r="I13" s="15">
        <f>WATER!BC16+WATER!BD16+WATER!BE17-Sheet1!G13</f>
        <v>7629.5000000000009</v>
      </c>
      <c r="J13" s="9">
        <f>'B5'!A15</f>
        <v>44753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1069</v>
      </c>
      <c r="D14" s="3">
        <f t="shared" si="0"/>
        <v>209.99999999962165</v>
      </c>
      <c r="E14" s="3">
        <f>ELEC!Q16</f>
        <v>859.00000000037835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7357.2000000000007</v>
      </c>
      <c r="J14" s="9">
        <f>'B5'!A16</f>
        <v>44754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4720</v>
      </c>
      <c r="D15" s="3">
        <f t="shared" si="0"/>
        <v>-142.99999999755528</v>
      </c>
      <c r="E15" s="3">
        <f>ELEC!Q17</f>
        <v>4862.9999999975553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-269.7</v>
      </c>
      <c r="J15" s="9">
        <f>'B5'!A17</f>
        <v>44755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44756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44757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713</v>
      </c>
      <c r="D18" s="3">
        <f t="shared" si="0"/>
        <v>-11.00000000197906</v>
      </c>
      <c r="E18" s="3">
        <f>ELEC!Q20</f>
        <v>724.00000000197906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3337.2999999999997</v>
      </c>
      <c r="J18" s="9">
        <f>'B5'!A20</f>
        <v>44758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3251</v>
      </c>
      <c r="D19" s="3">
        <f t="shared" si="0"/>
        <v>-97.999999998341082</v>
      </c>
      <c r="E19" s="3">
        <f>ELEC!Q21</f>
        <v>3348.9999999983411</v>
      </c>
      <c r="F19" s="3">
        <f>GEN!Z19</f>
        <v>3</v>
      </c>
      <c r="G19" s="3">
        <f>WATER!C22+WATER!H22</f>
        <v>139</v>
      </c>
      <c r="H19" s="3">
        <f>WATER!L22</f>
        <v>0</v>
      </c>
      <c r="I19" s="15">
        <f>WATER!BC22+WATER!BD22+WATER!BE23-Sheet1!G19</f>
        <v>3074.2</v>
      </c>
      <c r="J19" s="9">
        <f>'B5'!A21</f>
        <v>44759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11</v>
      </c>
      <c r="G20" s="3">
        <f>WATER!C23+WATER!H23</f>
        <v>0</v>
      </c>
      <c r="H20" s="3">
        <f>WATER!L23</f>
        <v>0</v>
      </c>
      <c r="I20" s="15">
        <f>WATER!BC23+WATER!BD23+WATER!BE24-Sheet1!G20</f>
        <v>-89.899999999999977</v>
      </c>
      <c r="J20" s="9">
        <f>'B5'!A22</f>
        <v>44760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44761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44762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44763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44764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44765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44766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44767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44768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44769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44770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44743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-63.3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44744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44745</v>
      </c>
      <c r="B7" s="76">
        <f>'B5'!V7</f>
        <v>217</v>
      </c>
      <c r="C7" s="76">
        <f>'B5'!AH7</f>
        <v>0</v>
      </c>
      <c r="D7" s="76">
        <f>GEN!AI5</f>
        <v>920.40506329044263</v>
      </c>
      <c r="E7" s="239">
        <f t="shared" si="0"/>
        <v>1137.4050632904427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3575.9999999972933</v>
      </c>
      <c r="J7" s="79">
        <f>ELEC!R6</f>
        <v>-93.999999997293344</v>
      </c>
      <c r="K7" s="3"/>
      <c r="L7" s="3"/>
      <c r="M7" s="3"/>
      <c r="N7" s="3"/>
    </row>
    <row r="8" spans="1:14">
      <c r="A8" s="63">
        <f>'B5'!A8</f>
        <v>44746</v>
      </c>
      <c r="B8" s="76">
        <f>'B5'!V8</f>
        <v>115</v>
      </c>
      <c r="C8" s="76">
        <f>'B5'!AH8</f>
        <v>17</v>
      </c>
      <c r="D8" s="76">
        <f>GEN!AI6</f>
        <v>826.97468354423643</v>
      </c>
      <c r="E8" s="239">
        <f t="shared" si="0"/>
        <v>958.97468354423643</v>
      </c>
      <c r="F8" s="75">
        <f>WATER!L8</f>
        <v>0</v>
      </c>
      <c r="G8" s="78">
        <f>WATER!BG8</f>
        <v>78.09999999999998</v>
      </c>
      <c r="H8" s="79">
        <f>ELEC!AF7</f>
        <v>0</v>
      </c>
      <c r="I8" s="79">
        <f>ELEC!Q7</f>
        <v>3212.9999999997381</v>
      </c>
      <c r="J8" s="79">
        <f>ELEC!R7</f>
        <v>-92.999999999738066</v>
      </c>
      <c r="K8" s="3"/>
      <c r="L8" s="3"/>
      <c r="M8" s="3"/>
      <c r="N8" s="3"/>
    </row>
    <row r="9" spans="1:14">
      <c r="A9" s="63">
        <f>'B5'!A9</f>
        <v>44747</v>
      </c>
      <c r="B9" s="76">
        <f>'B5'!V9</f>
        <v>66</v>
      </c>
      <c r="C9" s="76">
        <f>'B5'!AH9</f>
        <v>0</v>
      </c>
      <c r="D9" s="76">
        <f>GEN!AI7</f>
        <v>922.7215189880535</v>
      </c>
      <c r="E9" s="239">
        <f t="shared" si="0"/>
        <v>988.7215189880535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3585.0000000027649</v>
      </c>
      <c r="J9" s="79">
        <f>ELEC!R8</f>
        <v>-111.00000000276486</v>
      </c>
      <c r="K9" s="3"/>
      <c r="L9" s="3"/>
      <c r="M9" s="3"/>
      <c r="N9" s="3"/>
    </row>
    <row r="10" spans="1:14">
      <c r="A10" s="63">
        <f>'B5'!A10</f>
        <v>44748</v>
      </c>
      <c r="B10" s="76">
        <f>'B5'!V10</f>
        <v>121</v>
      </c>
      <c r="C10" s="76">
        <f>'B5'!AH10</f>
        <v>0</v>
      </c>
      <c r="D10" s="76">
        <f>GEN!AI8</f>
        <v>790.16877637123321</v>
      </c>
      <c r="E10" s="239">
        <f t="shared" si="0"/>
        <v>911.16877637123321</v>
      </c>
      <c r="F10" s="75">
        <f>WATER!L10</f>
        <v>0</v>
      </c>
      <c r="G10" s="78">
        <f>WATER!BG10</f>
        <v>-19.299999999999969</v>
      </c>
      <c r="H10" s="79">
        <f>ELEC!AF9</f>
        <v>0</v>
      </c>
      <c r="I10" s="79">
        <f>ELEC!Q9</f>
        <v>3069.999999999709</v>
      </c>
      <c r="J10" s="79">
        <f>ELEC!R9</f>
        <v>-91.999999999708962</v>
      </c>
      <c r="K10" s="3"/>
      <c r="L10" s="3"/>
      <c r="M10" s="3"/>
      <c r="N10" s="3"/>
    </row>
    <row r="11" spans="1:14">
      <c r="A11" s="63">
        <f>'B5'!A11</f>
        <v>44749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-1.0999999999999943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44750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44751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44752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44753</v>
      </c>
      <c r="B15" s="76">
        <f>'B5'!V15</f>
        <v>101</v>
      </c>
      <c r="C15" s="76">
        <f>'B5'!AH15</f>
        <v>0</v>
      </c>
      <c r="D15" s="76">
        <f>GEN!AI13</f>
        <v>859.91983122371869</v>
      </c>
      <c r="E15" s="239">
        <f t="shared" si="0"/>
        <v>960.91983122371869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3341.0000000003492</v>
      </c>
      <c r="J15" s="79">
        <f>ELEC!R14</f>
        <v>-111.00000000034925</v>
      </c>
      <c r="K15" s="3"/>
      <c r="L15" s="3"/>
      <c r="M15" s="3"/>
      <c r="N15" s="3"/>
    </row>
    <row r="16" spans="1:14">
      <c r="A16" s="63">
        <f>'B5'!A16</f>
        <v>44754</v>
      </c>
      <c r="B16" s="76">
        <f>'B5'!V16</f>
        <v>80</v>
      </c>
      <c r="C16" s="76">
        <f>'B5'!AH16</f>
        <v>0</v>
      </c>
      <c r="D16" s="76">
        <f>GEN!AI14</f>
        <v>1465.5443037973412</v>
      </c>
      <c r="E16" s="239">
        <f t="shared" si="0"/>
        <v>1545.5443037973412</v>
      </c>
      <c r="F16" s="75">
        <f>WATER!L16</f>
        <v>0</v>
      </c>
      <c r="G16" s="78">
        <f>WATER!BG16</f>
        <v>-12.700000000000031</v>
      </c>
      <c r="H16" s="79">
        <f>ELEC!AF15</f>
        <v>0</v>
      </c>
      <c r="I16" s="79">
        <f>ELEC!Q15</f>
        <v>5693.9999999995052</v>
      </c>
      <c r="J16" s="79">
        <f>ELEC!R15</f>
        <v>-401.99999999950523</v>
      </c>
      <c r="K16" s="3"/>
      <c r="L16" s="3"/>
      <c r="M16" s="3"/>
      <c r="N16" s="3"/>
    </row>
    <row r="17" spans="1:14">
      <c r="A17" s="63">
        <f>'B5'!A17</f>
        <v>44755</v>
      </c>
      <c r="B17" s="76">
        <f>'B5'!V17</f>
        <v>76</v>
      </c>
      <c r="C17" s="76">
        <f>'B5'!AH17</f>
        <v>0</v>
      </c>
      <c r="D17" s="76">
        <f>GEN!AI15</f>
        <v>221.0928270043168</v>
      </c>
      <c r="E17" s="239">
        <f t="shared" si="0"/>
        <v>297.0928270043168</v>
      </c>
      <c r="F17" s="75">
        <f>WATER!L17</f>
        <v>0</v>
      </c>
      <c r="G17" s="78">
        <f>WATER!BG17</f>
        <v>7642.2000000000007</v>
      </c>
      <c r="H17" s="79">
        <f>ELEC!AF16</f>
        <v>0</v>
      </c>
      <c r="I17" s="79">
        <f>ELEC!Q16</f>
        <v>859.00000000037835</v>
      </c>
      <c r="J17" s="79">
        <f>ELEC!R16</f>
        <v>209.99999999962165</v>
      </c>
      <c r="K17" s="3"/>
      <c r="L17" s="3"/>
      <c r="M17" s="3"/>
      <c r="N17" s="3"/>
    </row>
    <row r="18" spans="1:14">
      <c r="A18" s="63">
        <f>'B5'!A18</f>
        <v>44756</v>
      </c>
      <c r="B18" s="76">
        <f>'B5'!V18</f>
        <v>30</v>
      </c>
      <c r="C18" s="76">
        <f>'B5'!AH18</f>
        <v>92</v>
      </c>
      <c r="D18" s="76">
        <f>GEN!AI16</f>
        <v>1251.6582278474721</v>
      </c>
      <c r="E18" s="239">
        <f t="shared" si="0"/>
        <v>1373.6582278474721</v>
      </c>
      <c r="F18" s="75">
        <f>WATER!L18</f>
        <v>0</v>
      </c>
      <c r="G18" s="78">
        <f>WATER!BG18</f>
        <v>-285</v>
      </c>
      <c r="H18" s="79">
        <f>ELEC!AF17</f>
        <v>0</v>
      </c>
      <c r="I18" s="79">
        <f>ELEC!Q17</f>
        <v>4862.9999999975553</v>
      </c>
      <c r="J18" s="79">
        <f>ELEC!R17</f>
        <v>-142.99999999755528</v>
      </c>
      <c r="K18" s="3"/>
      <c r="L18" s="3"/>
      <c r="M18" s="3"/>
      <c r="N18" s="3"/>
    </row>
    <row r="19" spans="1:14">
      <c r="A19" s="63">
        <f>'B5'!A19</f>
        <v>44757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44758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44759</v>
      </c>
      <c r="B21" s="76">
        <f>'B5'!V21</f>
        <v>152</v>
      </c>
      <c r="C21" s="76">
        <f>'B5'!AH21</f>
        <v>0</v>
      </c>
      <c r="D21" s="76">
        <f>GEN!AI19</f>
        <v>186.34599156169082</v>
      </c>
      <c r="E21" s="239">
        <f t="shared" si="0"/>
        <v>338.34599156169082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724.00000000197906</v>
      </c>
      <c r="J21" s="79">
        <f>ELEC!R20</f>
        <v>-11.00000000197906</v>
      </c>
      <c r="K21" s="3"/>
      <c r="L21" s="3"/>
      <c r="M21" s="3"/>
      <c r="N21" s="3"/>
    </row>
    <row r="22" spans="1:14">
      <c r="A22" s="63">
        <f>'B5'!A22</f>
        <v>44760</v>
      </c>
      <c r="B22" s="76">
        <f>'B5'!V22</f>
        <v>69</v>
      </c>
      <c r="C22" s="76">
        <f>'B5'!AH22</f>
        <v>0</v>
      </c>
      <c r="D22" s="76">
        <f>GEN!AI20</f>
        <v>861.9789029531596</v>
      </c>
      <c r="E22" s="239">
        <f t="shared" si="0"/>
        <v>930.9789029531596</v>
      </c>
      <c r="F22" s="75">
        <f>WATER!L22</f>
        <v>0</v>
      </c>
      <c r="G22" s="78">
        <f>WATER!BG22</f>
        <v>3337.2999999999997</v>
      </c>
      <c r="H22" s="79">
        <f>ELEC!AF21</f>
        <v>0</v>
      </c>
      <c r="I22" s="79">
        <f>ELEC!Q21</f>
        <v>3348.9999999983411</v>
      </c>
      <c r="J22" s="79">
        <f>ELEC!R21</f>
        <v>-97.999999998341082</v>
      </c>
      <c r="K22" s="3"/>
      <c r="L22" s="3"/>
      <c r="M22" s="3"/>
      <c r="N22" s="3"/>
    </row>
    <row r="23" spans="1:14">
      <c r="A23" s="63">
        <f>'B5'!A23</f>
        <v>44761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-89.899999999999977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44762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44763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44764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44765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44766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44767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44768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44769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44770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1</v>
      </c>
      <c r="G8">
        <f t="shared" si="1"/>
        <v>107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8"/>
      <c r="B4" s="583" t="s">
        <v>325</v>
      </c>
      <c r="C4" s="584" t="s">
        <v>320</v>
      </c>
      <c r="D4" s="585" t="s">
        <v>326</v>
      </c>
      <c r="E4" s="586" t="s">
        <v>325</v>
      </c>
      <c r="F4" s="585" t="s">
        <v>320</v>
      </c>
      <c r="G4" s="586" t="s">
        <v>326</v>
      </c>
      <c r="H4" s="570">
        <v>0</v>
      </c>
      <c r="I4" s="571"/>
      <c r="J4" s="572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2"/>
      <c r="B5" s="675" t="s">
        <v>417</v>
      </c>
      <c r="C5" s="676"/>
      <c r="D5" s="676"/>
      <c r="E5" s="676"/>
      <c r="F5" s="676"/>
      <c r="G5" s="677"/>
      <c r="H5" s="603"/>
      <c r="I5" s="604"/>
      <c r="J5" s="591"/>
      <c r="K5" s="579"/>
      <c r="L5" s="498"/>
      <c r="M5" s="477"/>
      <c r="N5" s="477"/>
      <c r="O5" s="477"/>
    </row>
    <row r="6" spans="1:18" ht="15.75" customHeight="1">
      <c r="A6" s="596">
        <f>ELEC!C4</f>
        <v>44743</v>
      </c>
      <c r="B6" s="678"/>
      <c r="C6" s="679"/>
      <c r="D6" s="679"/>
      <c r="E6" s="679"/>
      <c r="F6" s="679"/>
      <c r="G6" s="680"/>
      <c r="H6" s="595">
        <f>H5</f>
        <v>0</v>
      </c>
      <c r="I6" s="601">
        <f>H6-H5</f>
        <v>0</v>
      </c>
      <c r="J6" s="590">
        <v>0.29166666666666669</v>
      </c>
      <c r="L6" s="99">
        <f t="shared" ref="L6:L33" si="0">A6</f>
        <v>44743</v>
      </c>
      <c r="M6" s="3">
        <f>M5</f>
        <v>0</v>
      </c>
      <c r="N6" s="477"/>
      <c r="O6" s="477">
        <f>M6+N6</f>
        <v>0</v>
      </c>
    </row>
    <row r="7" spans="1:18">
      <c r="A7" s="597">
        <f>ELEC!C5</f>
        <v>44744</v>
      </c>
      <c r="B7" s="678"/>
      <c r="C7" s="679"/>
      <c r="D7" s="679"/>
      <c r="E7" s="679"/>
      <c r="F7" s="679"/>
      <c r="G7" s="680"/>
      <c r="H7" s="595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44744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7">
        <f>ELEC!C6</f>
        <v>44745</v>
      </c>
      <c r="B8" s="678"/>
      <c r="C8" s="679"/>
      <c r="D8" s="679"/>
      <c r="E8" s="679"/>
      <c r="F8" s="679"/>
      <c r="G8" s="680"/>
      <c r="H8" s="595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44745</v>
      </c>
      <c r="M8" s="3">
        <f t="shared" si="2"/>
        <v>0</v>
      </c>
      <c r="N8" s="477"/>
      <c r="O8" s="477">
        <f t="shared" si="3"/>
        <v>0</v>
      </c>
    </row>
    <row r="9" spans="1:18">
      <c r="A9" s="597">
        <f>ELEC!C7</f>
        <v>44746</v>
      </c>
      <c r="B9" s="678"/>
      <c r="C9" s="679"/>
      <c r="D9" s="679"/>
      <c r="E9" s="679"/>
      <c r="F9" s="679"/>
      <c r="G9" s="680"/>
      <c r="H9" s="595">
        <v>7082</v>
      </c>
      <c r="I9" s="477">
        <f t="shared" si="4"/>
        <v>7082</v>
      </c>
      <c r="J9" s="462">
        <v>0.25</v>
      </c>
      <c r="L9" s="99">
        <f t="shared" si="0"/>
        <v>44746</v>
      </c>
      <c r="M9" s="3">
        <f t="shared" si="2"/>
        <v>0</v>
      </c>
      <c r="N9" s="477"/>
      <c r="O9" s="477">
        <f t="shared" si="3"/>
        <v>0</v>
      </c>
    </row>
    <row r="10" spans="1:18">
      <c r="A10" s="597">
        <f>ELEC!C8</f>
        <v>44747</v>
      </c>
      <c r="B10" s="678"/>
      <c r="C10" s="679"/>
      <c r="D10" s="679"/>
      <c r="E10" s="679"/>
      <c r="F10" s="679"/>
      <c r="G10" s="680"/>
      <c r="H10" s="595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44747</v>
      </c>
      <c r="M10" s="3">
        <f t="shared" si="2"/>
        <v>0</v>
      </c>
      <c r="N10" s="477"/>
      <c r="O10" s="477">
        <f t="shared" si="3"/>
        <v>0</v>
      </c>
    </row>
    <row r="11" spans="1:18">
      <c r="A11" s="597">
        <f>ELEC!C9</f>
        <v>44748</v>
      </c>
      <c r="B11" s="678"/>
      <c r="C11" s="679"/>
      <c r="D11" s="679"/>
      <c r="E11" s="679"/>
      <c r="F11" s="679"/>
      <c r="G11" s="680"/>
      <c r="H11" s="595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44748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7">
        <f>ELEC!C10</f>
        <v>44749</v>
      </c>
      <c r="B12" s="678"/>
      <c r="C12" s="679"/>
      <c r="D12" s="679"/>
      <c r="E12" s="679"/>
      <c r="F12" s="679"/>
      <c r="G12" s="680"/>
      <c r="H12" s="595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44749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7">
        <f>ELEC!C11</f>
        <v>44750</v>
      </c>
      <c r="B13" s="678"/>
      <c r="C13" s="679"/>
      <c r="D13" s="679"/>
      <c r="E13" s="679"/>
      <c r="F13" s="679"/>
      <c r="G13" s="680"/>
      <c r="H13" s="595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44750</v>
      </c>
      <c r="M13" s="3">
        <f t="shared" si="2"/>
        <v>0</v>
      </c>
      <c r="N13" s="477"/>
      <c r="O13" s="477">
        <f t="shared" si="3"/>
        <v>0</v>
      </c>
    </row>
    <row r="14" spans="1:18">
      <c r="A14" s="597">
        <f>ELEC!C12</f>
        <v>44751</v>
      </c>
      <c r="B14" s="678"/>
      <c r="C14" s="679"/>
      <c r="D14" s="679"/>
      <c r="E14" s="679"/>
      <c r="F14" s="679"/>
      <c r="G14" s="680"/>
      <c r="H14" s="595">
        <v>7088</v>
      </c>
      <c r="I14" s="477">
        <f t="shared" si="4"/>
        <v>6</v>
      </c>
      <c r="J14" s="462">
        <v>0.29166666666666669</v>
      </c>
      <c r="L14" s="99">
        <f t="shared" si="0"/>
        <v>44751</v>
      </c>
      <c r="M14" s="3">
        <f t="shared" si="2"/>
        <v>0</v>
      </c>
      <c r="N14" s="477"/>
      <c r="O14" s="477">
        <f t="shared" si="3"/>
        <v>0</v>
      </c>
    </row>
    <row r="15" spans="1:18">
      <c r="A15" s="597">
        <f>ELEC!C13</f>
        <v>44752</v>
      </c>
      <c r="B15" s="678"/>
      <c r="C15" s="679"/>
      <c r="D15" s="679"/>
      <c r="E15" s="679"/>
      <c r="F15" s="679"/>
      <c r="G15" s="680"/>
      <c r="H15" s="595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44752</v>
      </c>
      <c r="M15" s="3">
        <f t="shared" si="2"/>
        <v>0</v>
      </c>
      <c r="N15" s="477"/>
      <c r="O15" s="477">
        <f t="shared" si="3"/>
        <v>0</v>
      </c>
    </row>
    <row r="16" spans="1:18">
      <c r="A16" s="597">
        <f>ELEC!C14</f>
        <v>44753</v>
      </c>
      <c r="B16" s="678"/>
      <c r="C16" s="679"/>
      <c r="D16" s="679"/>
      <c r="E16" s="679"/>
      <c r="F16" s="679"/>
      <c r="G16" s="680"/>
      <c r="H16" s="595">
        <v>7089</v>
      </c>
      <c r="I16" s="477">
        <f t="shared" si="4"/>
        <v>1</v>
      </c>
      <c r="J16" s="462">
        <v>0.29166666666666669</v>
      </c>
      <c r="L16" s="99">
        <f t="shared" si="0"/>
        <v>44753</v>
      </c>
      <c r="M16" s="3">
        <f t="shared" si="2"/>
        <v>0</v>
      </c>
      <c r="N16" s="477"/>
      <c r="O16" s="477">
        <f t="shared" si="3"/>
        <v>0</v>
      </c>
    </row>
    <row r="17" spans="1:15">
      <c r="A17" s="597">
        <f>ELEC!C15</f>
        <v>44754</v>
      </c>
      <c r="B17" s="678"/>
      <c r="C17" s="679"/>
      <c r="D17" s="679"/>
      <c r="E17" s="679"/>
      <c r="F17" s="679"/>
      <c r="G17" s="680"/>
      <c r="H17" s="595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44754</v>
      </c>
      <c r="M17" s="3">
        <f t="shared" si="2"/>
        <v>0</v>
      </c>
      <c r="N17" s="477"/>
      <c r="O17" s="477">
        <f t="shared" si="3"/>
        <v>0</v>
      </c>
    </row>
    <row r="18" spans="1:15">
      <c r="A18" s="597">
        <f>ELEC!C16</f>
        <v>44755</v>
      </c>
      <c r="B18" s="678"/>
      <c r="C18" s="679"/>
      <c r="D18" s="679"/>
      <c r="E18" s="679"/>
      <c r="F18" s="679"/>
      <c r="G18" s="680"/>
      <c r="H18" s="595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44755</v>
      </c>
      <c r="M18" s="3">
        <f t="shared" si="2"/>
        <v>0</v>
      </c>
      <c r="N18" s="477"/>
      <c r="O18" s="477">
        <f t="shared" si="3"/>
        <v>0</v>
      </c>
    </row>
    <row r="19" spans="1:15">
      <c r="A19" s="597">
        <f>ELEC!C17</f>
        <v>44756</v>
      </c>
      <c r="B19" s="678"/>
      <c r="C19" s="679"/>
      <c r="D19" s="679"/>
      <c r="E19" s="679"/>
      <c r="F19" s="679"/>
      <c r="G19" s="680"/>
      <c r="H19" s="595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44756</v>
      </c>
      <c r="M19" s="3">
        <f t="shared" si="2"/>
        <v>0</v>
      </c>
      <c r="N19" s="477"/>
      <c r="O19" s="477">
        <f t="shared" si="3"/>
        <v>0</v>
      </c>
    </row>
    <row r="20" spans="1:15">
      <c r="A20" s="597">
        <f>ELEC!C18</f>
        <v>44757</v>
      </c>
      <c r="B20" s="678"/>
      <c r="C20" s="679"/>
      <c r="D20" s="679"/>
      <c r="E20" s="679"/>
      <c r="F20" s="679"/>
      <c r="G20" s="680"/>
      <c r="H20" s="595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44757</v>
      </c>
      <c r="M20" s="3">
        <f t="shared" si="2"/>
        <v>0</v>
      </c>
      <c r="N20" s="477"/>
      <c r="O20" s="477">
        <f t="shared" si="3"/>
        <v>0</v>
      </c>
    </row>
    <row r="21" spans="1:15">
      <c r="A21" s="597">
        <f>ELEC!C19</f>
        <v>44758</v>
      </c>
      <c r="B21" s="678"/>
      <c r="C21" s="679"/>
      <c r="D21" s="679"/>
      <c r="E21" s="679"/>
      <c r="F21" s="679"/>
      <c r="G21" s="680"/>
      <c r="H21" s="595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44758</v>
      </c>
      <c r="M21" s="3">
        <f t="shared" si="2"/>
        <v>0</v>
      </c>
      <c r="N21" s="477"/>
      <c r="O21" s="477">
        <f t="shared" si="3"/>
        <v>0</v>
      </c>
    </row>
    <row r="22" spans="1:15">
      <c r="A22" s="597">
        <f>ELEC!C20</f>
        <v>44759</v>
      </c>
      <c r="B22" s="678"/>
      <c r="C22" s="679"/>
      <c r="D22" s="679"/>
      <c r="E22" s="679"/>
      <c r="F22" s="679"/>
      <c r="G22" s="680"/>
      <c r="H22" s="595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44759</v>
      </c>
      <c r="M22" s="3">
        <f t="shared" si="2"/>
        <v>0</v>
      </c>
      <c r="N22" s="477"/>
      <c r="O22" s="477">
        <f t="shared" si="3"/>
        <v>0</v>
      </c>
    </row>
    <row r="23" spans="1:15">
      <c r="A23" s="597">
        <f>ELEC!C21</f>
        <v>44760</v>
      </c>
      <c r="B23" s="678"/>
      <c r="C23" s="679"/>
      <c r="D23" s="679"/>
      <c r="E23" s="679"/>
      <c r="F23" s="679"/>
      <c r="G23" s="680"/>
      <c r="H23" s="595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44760</v>
      </c>
      <c r="M23" s="3">
        <f t="shared" si="2"/>
        <v>0</v>
      </c>
      <c r="N23" s="477"/>
      <c r="O23" s="477">
        <f t="shared" si="3"/>
        <v>0</v>
      </c>
    </row>
    <row r="24" spans="1:15">
      <c r="A24" s="597">
        <f>ELEC!C22</f>
        <v>44761</v>
      </c>
      <c r="B24" s="678"/>
      <c r="C24" s="679"/>
      <c r="D24" s="679"/>
      <c r="E24" s="679"/>
      <c r="F24" s="679"/>
      <c r="G24" s="680"/>
      <c r="H24" s="595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44761</v>
      </c>
      <c r="M24" s="3">
        <f t="shared" si="2"/>
        <v>0</v>
      </c>
      <c r="N24" s="477"/>
      <c r="O24" s="477">
        <f t="shared" si="3"/>
        <v>0</v>
      </c>
    </row>
    <row r="25" spans="1:15">
      <c r="A25" s="597">
        <f>ELEC!C23</f>
        <v>44762</v>
      </c>
      <c r="B25" s="678"/>
      <c r="C25" s="679"/>
      <c r="D25" s="679"/>
      <c r="E25" s="679"/>
      <c r="F25" s="679"/>
      <c r="G25" s="680"/>
      <c r="H25" s="595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44762</v>
      </c>
      <c r="M25" s="3">
        <f t="shared" si="2"/>
        <v>0</v>
      </c>
      <c r="N25" s="477"/>
      <c r="O25" s="477">
        <f t="shared" si="3"/>
        <v>0</v>
      </c>
    </row>
    <row r="26" spans="1:15">
      <c r="A26" s="597">
        <f>ELEC!C24</f>
        <v>44763</v>
      </c>
      <c r="B26" s="678"/>
      <c r="C26" s="679"/>
      <c r="D26" s="679"/>
      <c r="E26" s="679"/>
      <c r="F26" s="679"/>
      <c r="G26" s="680"/>
      <c r="H26" s="595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44763</v>
      </c>
      <c r="M26" s="3">
        <f t="shared" si="2"/>
        <v>0</v>
      </c>
      <c r="N26" s="477"/>
      <c r="O26" s="477">
        <f t="shared" si="3"/>
        <v>0</v>
      </c>
    </row>
    <row r="27" spans="1:15">
      <c r="A27" s="597">
        <f>ELEC!C25</f>
        <v>44764</v>
      </c>
      <c r="B27" s="678"/>
      <c r="C27" s="679"/>
      <c r="D27" s="679"/>
      <c r="E27" s="679"/>
      <c r="F27" s="679"/>
      <c r="G27" s="680"/>
      <c r="H27" s="595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44764</v>
      </c>
      <c r="M27" s="3">
        <f t="shared" si="2"/>
        <v>0</v>
      </c>
      <c r="N27" s="477"/>
      <c r="O27" s="477">
        <f t="shared" si="3"/>
        <v>0</v>
      </c>
    </row>
    <row r="28" spans="1:15">
      <c r="A28" s="597">
        <f>ELEC!C26</f>
        <v>44765</v>
      </c>
      <c r="B28" s="678"/>
      <c r="C28" s="679"/>
      <c r="D28" s="679"/>
      <c r="E28" s="679"/>
      <c r="F28" s="679"/>
      <c r="G28" s="680"/>
      <c r="H28" s="595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44765</v>
      </c>
      <c r="M28" s="3">
        <f t="shared" si="2"/>
        <v>0</v>
      </c>
      <c r="N28" s="477"/>
      <c r="O28" s="477">
        <f t="shared" si="3"/>
        <v>0</v>
      </c>
    </row>
    <row r="29" spans="1:15">
      <c r="A29" s="597">
        <f>ELEC!C27</f>
        <v>44766</v>
      </c>
      <c r="B29" s="678"/>
      <c r="C29" s="679"/>
      <c r="D29" s="679"/>
      <c r="E29" s="679"/>
      <c r="F29" s="679"/>
      <c r="G29" s="680"/>
      <c r="H29" s="595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44766</v>
      </c>
      <c r="M29" s="3">
        <f t="shared" si="2"/>
        <v>0</v>
      </c>
      <c r="N29" s="477"/>
      <c r="O29" s="477">
        <f t="shared" si="3"/>
        <v>0</v>
      </c>
    </row>
    <row r="30" spans="1:15">
      <c r="A30" s="597">
        <f>ELEC!C28</f>
        <v>44767</v>
      </c>
      <c r="B30" s="678"/>
      <c r="C30" s="679"/>
      <c r="D30" s="679"/>
      <c r="E30" s="679"/>
      <c r="F30" s="679"/>
      <c r="G30" s="680"/>
      <c r="H30" s="595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44767</v>
      </c>
      <c r="M30" s="3">
        <f t="shared" si="2"/>
        <v>0</v>
      </c>
      <c r="N30" s="477"/>
      <c r="O30" s="477">
        <f t="shared" si="3"/>
        <v>0</v>
      </c>
    </row>
    <row r="31" spans="1:15">
      <c r="A31" s="597">
        <f>ELEC!C29</f>
        <v>44768</v>
      </c>
      <c r="B31" s="678"/>
      <c r="C31" s="679"/>
      <c r="D31" s="679"/>
      <c r="E31" s="679"/>
      <c r="F31" s="679"/>
      <c r="G31" s="680"/>
      <c r="H31" s="595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44768</v>
      </c>
      <c r="M31" s="3">
        <f t="shared" si="2"/>
        <v>0</v>
      </c>
      <c r="N31" s="477"/>
      <c r="O31" s="477">
        <f t="shared" si="3"/>
        <v>0</v>
      </c>
    </row>
    <row r="32" spans="1:15">
      <c r="A32" s="597">
        <f>ELEC!C30</f>
        <v>44769</v>
      </c>
      <c r="B32" s="678"/>
      <c r="C32" s="679"/>
      <c r="D32" s="679"/>
      <c r="E32" s="679"/>
      <c r="F32" s="679"/>
      <c r="G32" s="680"/>
      <c r="H32" s="595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44769</v>
      </c>
      <c r="M32" s="3">
        <f t="shared" si="2"/>
        <v>0</v>
      </c>
      <c r="N32" s="477"/>
      <c r="O32" s="477">
        <v>6879</v>
      </c>
    </row>
    <row r="33" spans="1:15">
      <c r="A33" s="597">
        <f>ELEC!C31</f>
        <v>44770</v>
      </c>
      <c r="B33" s="678"/>
      <c r="C33" s="679"/>
      <c r="D33" s="679"/>
      <c r="E33" s="679"/>
      <c r="F33" s="679"/>
      <c r="G33" s="680"/>
      <c r="H33" s="595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44770</v>
      </c>
      <c r="M33" s="3">
        <f t="shared" si="2"/>
        <v>0</v>
      </c>
      <c r="N33" s="477"/>
      <c r="O33" s="477">
        <f t="shared" si="3"/>
        <v>0</v>
      </c>
    </row>
    <row r="34" spans="1:15">
      <c r="A34" s="597">
        <f>ELEC!C32</f>
        <v>44771</v>
      </c>
      <c r="B34" s="678"/>
      <c r="C34" s="679"/>
      <c r="D34" s="679"/>
      <c r="E34" s="679"/>
      <c r="F34" s="679"/>
      <c r="G34" s="680"/>
      <c r="H34" s="595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44771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7">
        <f>ELEC!C33</f>
        <v>44772</v>
      </c>
      <c r="B35" s="678"/>
      <c r="C35" s="679"/>
      <c r="D35" s="679"/>
      <c r="E35" s="679"/>
      <c r="F35" s="679"/>
      <c r="G35" s="680"/>
      <c r="H35" s="595">
        <f t="shared" si="1"/>
        <v>7089</v>
      </c>
      <c r="I35" s="477">
        <f t="shared" si="5"/>
        <v>0</v>
      </c>
      <c r="J35" s="462">
        <v>0.375</v>
      </c>
      <c r="L35" s="99">
        <f t="shared" si="6"/>
        <v>44772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8">
        <f>ELEC!C34</f>
        <v>44773</v>
      </c>
      <c r="B36" s="681"/>
      <c r="C36" s="682"/>
      <c r="D36" s="682"/>
      <c r="E36" s="682"/>
      <c r="F36" s="682"/>
      <c r="G36" s="683"/>
      <c r="H36" s="595">
        <f t="shared" si="1"/>
        <v>7089</v>
      </c>
      <c r="I36" s="599">
        <f t="shared" si="5"/>
        <v>0</v>
      </c>
      <c r="J36" s="600">
        <v>0.41666666666666702</v>
      </c>
      <c r="L36" s="99">
        <f t="shared" si="6"/>
        <v>44773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B48" sqref="B48:C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'[6]Degree Days 2022'!R10</f>
        <v>0</v>
      </c>
      <c r="S10" s="261">
        <f>'[6]Degree Days 2022'!S10</f>
        <v>0</v>
      </c>
      <c r="T10" s="261">
        <f>(R10+S10)/2-18.3</f>
        <v>-18.3</v>
      </c>
      <c r="U10" s="496">
        <v>1</v>
      </c>
      <c r="V10" s="261">
        <f>'[2]Degree Days 2022'!V10</f>
        <v>25</v>
      </c>
      <c r="W10" s="261">
        <f>'[2]Degree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'[6]Degree Days 2022'!R11</f>
        <v>0</v>
      </c>
      <c r="S11" s="261">
        <f>'[6]Degree Days 2022'!S11</f>
        <v>0</v>
      </c>
      <c r="T11" s="261">
        <f t="shared" ref="T11:T40" si="1">(R11+S11)/2-18.3</f>
        <v>-18.3</v>
      </c>
      <c r="U11" s="496">
        <v>2</v>
      </c>
      <c r="V11" s="261">
        <f>'[2]Degree Days 2022'!V11</f>
        <v>25</v>
      </c>
      <c r="W11" s="261">
        <f>'[2]Degree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26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'[6]Degree Days 2022'!R12</f>
        <v>0</v>
      </c>
      <c r="S12" s="261">
        <f>'[6]Degree Days 2022'!S12</f>
        <v>0</v>
      </c>
      <c r="T12" s="261">
        <f t="shared" si="1"/>
        <v>-18.3</v>
      </c>
      <c r="U12" s="496">
        <v>3</v>
      </c>
      <c r="V12" s="261">
        <f>'[2]Degree Days 2022'!V12</f>
        <v>0</v>
      </c>
      <c r="W12" s="261">
        <f>'[2]Degree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25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'[6]Degree Days 2022'!R13</f>
        <v>23</v>
      </c>
      <c r="S13" s="261">
        <f>'[6]Degree Days 2022'!S13</f>
        <v>19</v>
      </c>
      <c r="T13" s="261">
        <f t="shared" si="1"/>
        <v>2.6999999999999993</v>
      </c>
      <c r="U13" s="496">
        <v>4</v>
      </c>
      <c r="V13" s="261">
        <f>'[2]Degree Days 2022'!V13</f>
        <v>0</v>
      </c>
      <c r="W13" s="261">
        <f>'[2]Degree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24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'[6]Degree Days 2022'!R14</f>
        <v>22</v>
      </c>
      <c r="S14" s="261">
        <f>'[6]Degree Days 2022'!S14</f>
        <v>18</v>
      </c>
      <c r="T14" s="261">
        <f t="shared" si="1"/>
        <v>1.6999999999999993</v>
      </c>
      <c r="U14" s="496">
        <v>5</v>
      </c>
      <c r="V14" s="261">
        <f>'[2]Degree Days 2022'!V14</f>
        <v>27</v>
      </c>
      <c r="W14" s="261">
        <f>'[2]Degree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24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'[6]Degree Days 2022'!R15</f>
        <v>0</v>
      </c>
      <c r="S15" s="261">
        <f>'[6]Degree Days 2022'!S15</f>
        <v>0</v>
      </c>
      <c r="T15" s="261">
        <f t="shared" si="1"/>
        <v>-18.3</v>
      </c>
      <c r="U15" s="496">
        <v>6</v>
      </c>
      <c r="V15" s="261">
        <f>'[2]Degree Days 2022'!V15</f>
        <v>26</v>
      </c>
      <c r="W15" s="261">
        <f>'[2]Degree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'[6]Degree Days 2022'!R16</f>
        <v>0</v>
      </c>
      <c r="S16" s="261">
        <f>'[6]Degree Days 2022'!S16</f>
        <v>0</v>
      </c>
      <c r="T16" s="261">
        <f t="shared" si="1"/>
        <v>-18.3</v>
      </c>
      <c r="U16" s="496">
        <v>7</v>
      </c>
      <c r="V16" s="261">
        <f>'[2]Degree Days 2022'!V16</f>
        <v>27</v>
      </c>
      <c r="W16" s="261">
        <f>'[2]Degree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'[6]Degree Days 2022'!R17</f>
        <v>22</v>
      </c>
      <c r="S17" s="261">
        <f>'[6]Degree Days 2022'!S17</f>
        <v>17</v>
      </c>
      <c r="T17" s="261">
        <f t="shared" si="1"/>
        <v>1.1999999999999993</v>
      </c>
      <c r="U17" s="496">
        <v>8</v>
      </c>
      <c r="V17" s="261">
        <f>'[2]Degree Days 2022'!V17</f>
        <v>27</v>
      </c>
      <c r="W17" s="261">
        <f>'[2]Degree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'[6]Degree Days 2022'!R18</f>
        <v>23</v>
      </c>
      <c r="S18" s="261">
        <f>'[6]Degree Days 2022'!S18</f>
        <v>18</v>
      </c>
      <c r="T18" s="261">
        <f t="shared" si="1"/>
        <v>2.1999999999999993</v>
      </c>
      <c r="U18" s="496">
        <v>9</v>
      </c>
      <c r="V18" s="261">
        <f>'[2]Degree Days 2022'!V18</f>
        <v>0</v>
      </c>
      <c r="W18" s="261">
        <f>'[2]Degree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'[6]Degree Days 2022'!R19</f>
        <v>23</v>
      </c>
      <c r="S19" s="261">
        <f>'[6]Degree Days 2022'!S19</f>
        <v>17</v>
      </c>
      <c r="T19" s="261">
        <f t="shared" si="1"/>
        <v>1.6999999999999993</v>
      </c>
      <c r="U19" s="496">
        <v>10</v>
      </c>
      <c r="V19" s="261">
        <f>'[2]Degree Days 2022'!V19</f>
        <v>0</v>
      </c>
      <c r="W19" s="261">
        <f>'[2]Degree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25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'[6]Degree Days 2022'!R20</f>
        <v>23</v>
      </c>
      <c r="S20" s="261">
        <f>'[6]Degree Days 2022'!S20</f>
        <v>17</v>
      </c>
      <c r="T20" s="261">
        <f t="shared" si="1"/>
        <v>1.6999999999999993</v>
      </c>
      <c r="U20" s="496">
        <v>11</v>
      </c>
      <c r="V20" s="261">
        <f>'[2]Degree Days 2022'!V20</f>
        <v>0</v>
      </c>
      <c r="W20" s="261">
        <f>'[2]Degree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24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'[6]Degree Days 2022'!R21</f>
        <v>22</v>
      </c>
      <c r="S21" s="261">
        <f>'[6]Degree Days 2022'!S21</f>
        <v>17</v>
      </c>
      <c r="T21" s="261">
        <f t="shared" si="1"/>
        <v>1.1999999999999993</v>
      </c>
      <c r="U21" s="496">
        <v>12</v>
      </c>
      <c r="V21" s="261">
        <f>'[2]Degree Days 2022'!V21</f>
        <v>0</v>
      </c>
      <c r="W21" s="261">
        <f>'[2]Degree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23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'[6]Degree Days 2022'!R22</f>
        <v>0</v>
      </c>
      <c r="S22" s="261">
        <f>'[6]Degree Days 2022'!S22</f>
        <v>0</v>
      </c>
      <c r="T22" s="261">
        <f t="shared" si="1"/>
        <v>-18.3</v>
      </c>
      <c r="U22" s="496">
        <v>13</v>
      </c>
      <c r="V22" s="261">
        <f>'[2]Degree Days 2022'!V22</f>
        <v>0</v>
      </c>
      <c r="W22" s="261">
        <f>'[2]Degree Days 2022'!W22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26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'[6]Degree Days 2022'!R23</f>
        <v>0</v>
      </c>
      <c r="S23" s="261">
        <f>'[6]Degree Days 2022'!S23</f>
        <v>0</v>
      </c>
      <c r="T23" s="261">
        <f t="shared" si="1"/>
        <v>-18.3</v>
      </c>
      <c r="U23" s="496">
        <v>14</v>
      </c>
      <c r="V23" s="261">
        <f>'[2]Degree Days 2022'!V23</f>
        <v>27</v>
      </c>
      <c r="W23" s="261">
        <f>'[2]Degree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'[6]Degree Days 2022'!R24</f>
        <v>22</v>
      </c>
      <c r="S24" s="261">
        <f>'[6]Degree Days 2022'!S24</f>
        <v>18</v>
      </c>
      <c r="T24" s="261">
        <f t="shared" si="1"/>
        <v>1.6999999999999993</v>
      </c>
      <c r="U24" s="496">
        <v>15</v>
      </c>
      <c r="V24" s="261">
        <f>'[2]Degree Days 2022'!V24</f>
        <v>28</v>
      </c>
      <c r="W24" s="261">
        <f>'[2]Degree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'[6]Degree Days 2022'!R25</f>
        <v>22</v>
      </c>
      <c r="S25" s="261">
        <f>'[6]Degree Days 2022'!S25</f>
        <v>18</v>
      </c>
      <c r="T25" s="261">
        <f t="shared" si="1"/>
        <v>1.6999999999999993</v>
      </c>
      <c r="U25" s="496">
        <v>16</v>
      </c>
      <c r="V25" s="261">
        <f>'[2]Degree Days 2022'!V25</f>
        <v>30</v>
      </c>
      <c r="W25" s="261">
        <f>'[2]Degree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'[6]Degree Days 2022'!R26</f>
        <v>23</v>
      </c>
      <c r="S26" s="261">
        <f>'[6]Degree Days 2022'!S26</f>
        <v>18</v>
      </c>
      <c r="T26" s="261">
        <f t="shared" si="1"/>
        <v>2.1999999999999993</v>
      </c>
      <c r="U26" s="496">
        <v>17</v>
      </c>
      <c r="V26" s="261">
        <f>'[2]Degree Days 2022'!V26</f>
        <v>0</v>
      </c>
      <c r="W26" s="261">
        <f>'[2]Degree Days 2022'!W26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25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'[6]Degree Days 2022'!R27</f>
        <v>23</v>
      </c>
      <c r="S27" s="261">
        <f>'[6]Degree Days 2022'!S27</f>
        <v>17</v>
      </c>
      <c r="T27" s="261">
        <f t="shared" si="1"/>
        <v>1.6999999999999993</v>
      </c>
      <c r="U27" s="496">
        <v>18</v>
      </c>
      <c r="V27" s="261">
        <f>'[2]Degree Days 2022'!V27</f>
        <v>0</v>
      </c>
      <c r="W27" s="261">
        <f>'[2]Degree Days 2022'!W27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'[6]Degree Days 2022'!R28</f>
        <v>24</v>
      </c>
      <c r="S28" s="261">
        <f>'[6]Degree Days 2022'!S28</f>
        <v>19</v>
      </c>
      <c r="T28" s="261">
        <f t="shared" si="1"/>
        <v>3.1999999999999993</v>
      </c>
      <c r="U28" s="496">
        <v>19</v>
      </c>
      <c r="V28" s="261">
        <f>'[2]Degree Days 2022'!V28</f>
        <v>0</v>
      </c>
      <c r="W28" s="261">
        <f>'[2]Degree Days 2022'!W28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'[6]Degree Days 2022'!R29</f>
        <v>0</v>
      </c>
      <c r="S29" s="261">
        <f>'[6]Degree Days 2022'!S29</f>
        <v>0</v>
      </c>
      <c r="T29" s="261">
        <f t="shared" si="1"/>
        <v>-18.3</v>
      </c>
      <c r="U29" s="496">
        <v>20</v>
      </c>
      <c r="V29" s="261">
        <f>'[2]Degree Days 2022'!V29</f>
        <v>27</v>
      </c>
      <c r="W29" s="261">
        <f>'[2]Degree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'[6]Degree Days 2022'!R30</f>
        <v>0</v>
      </c>
      <c r="S30" s="261">
        <f>'[6]Degree Days 2022'!S30</f>
        <v>0</v>
      </c>
      <c r="T30" s="261">
        <f t="shared" si="1"/>
        <v>-18.3</v>
      </c>
      <c r="U30" s="496">
        <v>21</v>
      </c>
      <c r="V30" s="261">
        <f>'[2]Degree Days 2022'!V30</f>
        <v>28</v>
      </c>
      <c r="W30" s="261">
        <f>'[2]Degree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'[6]Degree Days 2022'!R31</f>
        <v>24</v>
      </c>
      <c r="S31" s="261">
        <f>'[6]Degree Days 2022'!S31</f>
        <v>21</v>
      </c>
      <c r="T31" s="261">
        <f t="shared" si="1"/>
        <v>4.1999999999999993</v>
      </c>
      <c r="U31" s="496">
        <v>22</v>
      </c>
      <c r="V31" s="261">
        <f>'[2]Degree Days 2022'!V31</f>
        <v>0</v>
      </c>
      <c r="W31" s="261">
        <f>'[2]Degree Days 2022'!W31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'[6]Degree Days 2022'!R32</f>
        <v>24</v>
      </c>
      <c r="S32" s="261">
        <f>'[6]Degree Days 2022'!S32</f>
        <v>20</v>
      </c>
      <c r="T32" s="261">
        <f t="shared" si="1"/>
        <v>3.6999999999999993</v>
      </c>
      <c r="U32" s="496">
        <v>23</v>
      </c>
      <c r="V32" s="261">
        <f>'[2]Degree Days 2022'!V32</f>
        <v>0</v>
      </c>
      <c r="W32" s="261">
        <f>'[2]Degree Days 2022'!W32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'[6]Degree Days 2022'!R33</f>
        <v>24</v>
      </c>
      <c r="S33" s="261">
        <f>'[6]Degree Days 2022'!S33</f>
        <v>20</v>
      </c>
      <c r="T33" s="261">
        <f t="shared" si="1"/>
        <v>3.6999999999999993</v>
      </c>
      <c r="U33" s="496">
        <v>24</v>
      </c>
      <c r="V33" s="261">
        <f>'[2]Degree Days 2022'!V33</f>
        <v>0</v>
      </c>
      <c r="W33" s="261">
        <f>'[2]Degree Days 2022'!W33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'[6]Degree Days 2022'!R34</f>
        <v>24</v>
      </c>
      <c r="S34" s="261">
        <f>'[6]Degree Days 2022'!S34</f>
        <v>20</v>
      </c>
      <c r="T34" s="261">
        <f t="shared" si="1"/>
        <v>3.6999999999999993</v>
      </c>
      <c r="U34" s="496">
        <v>25</v>
      </c>
      <c r="V34" s="261">
        <f>'[2]Degree Days 2022'!V34</f>
        <v>0</v>
      </c>
      <c r="W34" s="261">
        <f>'[2]Degree Days 2022'!W34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'[6]Degree Days 2022'!R35</f>
        <v>28</v>
      </c>
      <c r="S35" s="261">
        <f>'[6]Degree Days 2022'!S35</f>
        <v>19</v>
      </c>
      <c r="T35" s="261">
        <f t="shared" si="1"/>
        <v>5.1999999999999993</v>
      </c>
      <c r="U35" s="496">
        <v>26</v>
      </c>
      <c r="V35" s="261">
        <f>'[2]Degree Days 2022'!V35</f>
        <v>29</v>
      </c>
      <c r="W35" s="261">
        <f>'[2]Degree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'[6]Degree Days 2022'!R36</f>
        <v>0</v>
      </c>
      <c r="S36" s="261">
        <f>'[6]Degree Days 2022'!S36</f>
        <v>0</v>
      </c>
      <c r="T36" s="261">
        <f t="shared" si="1"/>
        <v>-18.3</v>
      </c>
      <c r="U36" s="496">
        <v>27</v>
      </c>
      <c r="V36" s="261">
        <f>'[2]Degree Days 2022'!V36</f>
        <v>29</v>
      </c>
      <c r="W36" s="261">
        <f>'[2]Degree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'[6]Degree Days 2022'!R37</f>
        <v>0</v>
      </c>
      <c r="S37" s="261">
        <f>'[6]Degree Days 2022'!S37</f>
        <v>0</v>
      </c>
      <c r="T37" s="261">
        <f t="shared" si="1"/>
        <v>-18.3</v>
      </c>
      <c r="U37" s="496">
        <v>28</v>
      </c>
      <c r="V37" s="261">
        <f>'[2]Degree Days 2022'!V37</f>
        <v>28</v>
      </c>
      <c r="W37" s="261">
        <f>'[2]Degree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'[6]Degree Days 2022'!R38</f>
        <v>0</v>
      </c>
      <c r="S38" s="261">
        <f>'[6]Degree Days 2022'!S38</f>
        <v>0</v>
      </c>
      <c r="T38" s="261">
        <f t="shared" si="1"/>
        <v>-18.3</v>
      </c>
      <c r="U38" s="496">
        <v>29</v>
      </c>
      <c r="V38" s="261">
        <f>'[2]Degree Days 2022'!V38</f>
        <v>29</v>
      </c>
      <c r="W38" s="261">
        <f>'[2]Degree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'[6]Degree Days 2022'!R39</f>
        <v>27</v>
      </c>
      <c r="S39" s="261">
        <f>'[6]Degree Days 2022'!S39</f>
        <v>22</v>
      </c>
      <c r="T39" s="261">
        <f t="shared" si="1"/>
        <v>6.1999999999999993</v>
      </c>
      <c r="U39" s="496">
        <v>30</v>
      </c>
      <c r="V39" s="261">
        <f>'[2]Degree Days 2022'!V39</f>
        <v>29</v>
      </c>
      <c r="W39" s="261">
        <f>'[2]Degree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'[6]Degree Days 2022'!R40</f>
        <v>26</v>
      </c>
      <c r="S40" s="261">
        <f>'[6]Degree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'General information '!B5</f>
        <v>0</v>
      </c>
      <c r="C48" s="261">
        <f>'General information '!C5</f>
        <v>0</v>
      </c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'General information '!B6</f>
        <v>0</v>
      </c>
      <c r="C49" s="261">
        <f>'General information '!C6</f>
        <v>0</v>
      </c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'General information '!B7</f>
        <v>29</v>
      </c>
      <c r="C50" s="261">
        <f>'General information '!C7</f>
        <v>26</v>
      </c>
      <c r="D50" s="119">
        <f t="shared" si="3"/>
        <v>9.1999999999999993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'General information '!B8</f>
        <v>29</v>
      </c>
      <c r="C51" s="261">
        <f>'General information '!C8</f>
        <v>25</v>
      </c>
      <c r="D51" s="119">
        <f t="shared" si="3"/>
        <v>8.6999999999999993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'General information '!B9</f>
        <v>30</v>
      </c>
      <c r="C52" s="261">
        <f>'General information '!C9</f>
        <v>24</v>
      </c>
      <c r="D52" s="119">
        <f t="shared" si="3"/>
        <v>8.6999999999999993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'General information '!B10</f>
        <v>30</v>
      </c>
      <c r="C53" s="261">
        <f>'General information '!C10</f>
        <v>24</v>
      </c>
      <c r="D53" s="119">
        <f t="shared" si="3"/>
        <v>8.6999999999999993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'General information '!B11</f>
        <v>0</v>
      </c>
      <c r="C54" s="261">
        <f>'General information '!C11</f>
        <v>0</v>
      </c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'General information '!B12</f>
        <v>0</v>
      </c>
      <c r="C55" s="261">
        <f>'General information '!C12</f>
        <v>0</v>
      </c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'General information '!B13</f>
        <v>0</v>
      </c>
      <c r="C56" s="261">
        <f>'General information '!C13</f>
        <v>0</v>
      </c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'General information '!B14</f>
        <v>0</v>
      </c>
      <c r="C57" s="261">
        <f>'General information '!C14</f>
        <v>0</v>
      </c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'General information '!B15</f>
        <v>30</v>
      </c>
      <c r="C58" s="261">
        <f>'General information '!C15</f>
        <v>25</v>
      </c>
      <c r="D58" s="119">
        <f t="shared" si="9"/>
        <v>9.1999999999999993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'General information '!B16</f>
        <v>31</v>
      </c>
      <c r="C59" s="261">
        <f>'General information '!C16</f>
        <v>24</v>
      </c>
      <c r="D59" s="119">
        <f t="shared" si="9"/>
        <v>9.1999999999999993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'General information '!B17</f>
        <v>30</v>
      </c>
      <c r="C60" s="261">
        <f>'General information '!C17</f>
        <v>23</v>
      </c>
      <c r="D60" s="119">
        <f t="shared" si="9"/>
        <v>8.1999999999999993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'General information '!B18</f>
        <v>27</v>
      </c>
      <c r="C61" s="261">
        <f>'General information '!C18</f>
        <v>26</v>
      </c>
      <c r="D61" s="119">
        <f t="shared" si="9"/>
        <v>8.1999999999999993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'General information '!B19</f>
        <v>0</v>
      </c>
      <c r="C62" s="261">
        <f>'General information '!C19</f>
        <v>0</v>
      </c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'General information '!B20</f>
        <v>0</v>
      </c>
      <c r="C63" s="261">
        <f>'General information '!C20</f>
        <v>0</v>
      </c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'General information '!B21</f>
        <v>28</v>
      </c>
      <c r="C64" s="261">
        <f>'General information '!C21</f>
        <v>26</v>
      </c>
      <c r="D64" s="119">
        <f t="shared" si="9"/>
        <v>8.6999999999999993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'General information '!B22</f>
        <v>30</v>
      </c>
      <c r="C65" s="261">
        <f>'General information '!C22</f>
        <v>25</v>
      </c>
      <c r="D65" s="119">
        <f t="shared" si="9"/>
        <v>9.1999999999999993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'General information '!B23</f>
        <v>0</v>
      </c>
      <c r="C66" s="261">
        <f>'General information '!C23</f>
        <v>0</v>
      </c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'General information '!B24</f>
        <v>0</v>
      </c>
      <c r="C67" s="261">
        <f>'General information '!C24</f>
        <v>0</v>
      </c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'General information '!B25</f>
        <v>0</v>
      </c>
      <c r="C68" s="261">
        <f>'General information '!C25</f>
        <v>0</v>
      </c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'General information '!B26</f>
        <v>0</v>
      </c>
      <c r="C69" s="261">
        <f>'General information '!C26</f>
        <v>0</v>
      </c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'General information '!B27</f>
        <v>0</v>
      </c>
      <c r="C70" s="261">
        <f>'General information '!C27</f>
        <v>0</v>
      </c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'General information '!B28</f>
        <v>0</v>
      </c>
      <c r="C71" s="261">
        <f>'General information '!C28</f>
        <v>0</v>
      </c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'General information '!B29</f>
        <v>0</v>
      </c>
      <c r="C72" s="261">
        <f>'General information '!C29</f>
        <v>0</v>
      </c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'General information '!B30</f>
        <v>0</v>
      </c>
      <c r="C73" s="261">
        <f>'General information '!C30</f>
        <v>0</v>
      </c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'General information '!B31</f>
        <v>0</v>
      </c>
      <c r="C74" s="261">
        <f>'General information '!C31</f>
        <v>0</v>
      </c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'General information '!B32</f>
        <v>0</v>
      </c>
      <c r="C75" s="261">
        <f>'General information '!C32</f>
        <v>0</v>
      </c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'General information '!B33</f>
        <v>0</v>
      </c>
      <c r="C76" s="261">
        <f>'General information '!C33</f>
        <v>0</v>
      </c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'General information '!B34</f>
        <v>0</v>
      </c>
      <c r="C77" s="261">
        <f>'General information '!C34</f>
        <v>0</v>
      </c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'General information '!B35</f>
        <v>0</v>
      </c>
      <c r="C78" s="261">
        <f>'General information '!C35</f>
        <v>0</v>
      </c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-384.30000000000013</v>
      </c>
      <c r="C81" s="119">
        <f>SUMIF(D48:D78,"&gt;0")</f>
        <v>88.000000000000014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-4071.7000000000007</v>
      </c>
      <c r="O86" s="142">
        <f>C43+G43+K43+O43+S43+W43+C81+G81+K81+O81+S81+W81</f>
        <v>280.10000000000002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189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5125</v>
      </c>
      <c r="C8" s="466">
        <f>SUM(tanks!AU37)</f>
        <v>1.23</v>
      </c>
      <c r="D8" s="191">
        <f>SUM(B8*C8)*D4</f>
        <v>9502903.125</v>
      </c>
      <c r="E8" s="192">
        <f>SUM(D8/D4/F4)</f>
        <v>203.34677419354838</v>
      </c>
      <c r="F8" s="192">
        <f>SUM(E8*F4)</f>
        <v>6303.75</v>
      </c>
      <c r="G8" s="568">
        <f>E8*$G$4</f>
        <v>2846.8548387096776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2167.2425399882309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622.66594179639435</v>
      </c>
      <c r="F12" s="180">
        <f>SUM(F6:F10)</f>
        <v>19302.644195688226</v>
      </c>
      <c r="G12" s="179">
        <f>SUM(G6:G10)</f>
        <v>13214.097378697908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'!B14</f>
        <v>208.79999999999993</v>
      </c>
      <c r="D14" s="170"/>
      <c r="E14" s="416">
        <f>'[13]Utility Cost '!F14</f>
        <v>0</v>
      </c>
      <c r="F14" s="477">
        <v>0</v>
      </c>
      <c r="G14" s="405"/>
      <c r="H14" s="406">
        <f>SUM(G12-H12)</f>
        <v>-66914.802621302078</v>
      </c>
      <c r="I14" s="406">
        <f>SUM(G12-I12)</f>
        <v>-38029.822341732201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'!B15</f>
        <v>-18.3</v>
      </c>
      <c r="D15" s="170"/>
      <c r="E15" s="416">
        <f>'[13]Utility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'[13]Utility Cost '!B16</f>
        <v>34.888888888888886</v>
      </c>
      <c r="D16" s="415"/>
      <c r="E16" s="416">
        <f>'[13]Utility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'[13]Utility Cost '!B17</f>
        <v>0</v>
      </c>
      <c r="D17" s="455">
        <v>0</v>
      </c>
      <c r="E17" s="416">
        <f>'[13]Utility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111</v>
      </c>
      <c r="C18" s="416">
        <f>'[13]Utility Cost '!B18</f>
        <v>479</v>
      </c>
      <c r="D18" s="413">
        <f>'[14]Other Fuel Calculation 2021'!$G$116</f>
        <v>202.66666666666666</v>
      </c>
      <c r="E18" s="416">
        <f>'[13]Utility Cost '!F18</f>
        <v>276.33333333333337</v>
      </c>
      <c r="F18" s="493">
        <f>B18-D18</f>
        <v>-91.666666666666657</v>
      </c>
    </row>
    <row r="19" spans="1:10">
      <c r="A19" s="489" t="s">
        <v>412</v>
      </c>
      <c r="B19" s="491">
        <f>GEN!AL34</f>
        <v>10</v>
      </c>
      <c r="C19" s="416">
        <f>'[13]Utility Cost '!B19</f>
        <v>26.611111111111111</v>
      </c>
      <c r="D19" s="413"/>
      <c r="E19" s="416"/>
      <c r="F19" s="493"/>
    </row>
    <row r="20" spans="1:10">
      <c r="A20" s="489" t="s">
        <v>406</v>
      </c>
      <c r="B20" s="487">
        <f>B18/B19</f>
        <v>11.1</v>
      </c>
      <c r="C20" s="416">
        <f>'[13]Utility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2022-07-19T06:27:43Z</dcterms:modified>
</cp:coreProperties>
</file>