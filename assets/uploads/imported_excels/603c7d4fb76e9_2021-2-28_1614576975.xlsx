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W7" i="7" l="1"/>
  <c r="AW8" i="7"/>
  <c r="R31" i="9" l="1"/>
  <c r="R32" i="9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P3" i="9" l="1"/>
  <c r="AB38" i="7"/>
  <c r="AC31" i="7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AM35" i="7"/>
  <c r="L30" i="9"/>
  <c r="AG35" i="7"/>
  <c r="F30" i="9"/>
  <c r="AW34" i="7"/>
  <c r="R29" i="9"/>
  <c r="G29" i="5" s="1"/>
  <c r="AW33" i="7"/>
  <c r="R28" i="9"/>
  <c r="AW32" i="7"/>
  <c r="R27" i="9"/>
  <c r="G27" i="5" s="1"/>
  <c r="AW31" i="7"/>
  <c r="R26" i="9"/>
  <c r="AO34" i="7"/>
  <c r="N29" i="9"/>
  <c r="AM34" i="7"/>
  <c r="L29" i="9"/>
  <c r="AL34" i="7"/>
  <c r="K29" i="9"/>
  <c r="AK34" i="7"/>
  <c r="J29" i="9"/>
  <c r="AJ34" i="7"/>
  <c r="I29" i="9"/>
  <c r="AH34" i="7"/>
  <c r="G29" i="9"/>
  <c r="AO33" i="7"/>
  <c r="N28" i="9"/>
  <c r="AN33" i="7"/>
  <c r="M28" i="9"/>
  <c r="AM33" i="7"/>
  <c r="L28" i="9"/>
  <c r="AG33" i="7"/>
  <c r="F28" i="9"/>
  <c r="AO32" i="7"/>
  <c r="N27" i="9"/>
  <c r="AN32" i="7"/>
  <c r="M27" i="9"/>
  <c r="AJ32" i="7"/>
  <c r="I27" i="9"/>
  <c r="AL31" i="7"/>
  <c r="K26" i="9"/>
  <c r="AK31" i="7"/>
  <c r="J26" i="9"/>
  <c r="AI32" i="7"/>
  <c r="H27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C38" i="7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<sst xmlns="http://schemas.openxmlformats.org/spreadsheetml/2006/main" count="128" uniqueCount="49">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</sst>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48326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55474</v>
      </c>
      <c r="F18" s="11">
        <v>5.0000000000000001E-3</v>
      </c>
      <c r="G18" s="12">
        <f>Submetering!R18</f>
        <v>649.19781499999999</v>
      </c>
      <c r="H18" s="11">
        <v>0.52800000000000002</v>
      </c>
      <c r="I18" s="12">
        <f>Hotel!B23</f>
        <v>78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47616</v>
      </c>
      <c r="F19" s="11">
        <v>5.0000000000000001E-3</v>
      </c>
      <c r="G19" s="12">
        <f>Submetering!R19</f>
        <v>515.194301</v>
      </c>
      <c r="H19" s="11">
        <v>0.52800000000000002</v>
      </c>
      <c r="I19" s="12">
        <f>Hotel!B24</f>
        <v>106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49824</v>
      </c>
      <c r="F20" s="11">
        <v>5.0000000000000001E-3</v>
      </c>
      <c r="G20" s="12">
        <f>Submetering!R20</f>
        <v>690.45878399999992</v>
      </c>
      <c r="H20" s="11">
        <v>0.52800000000000002</v>
      </c>
      <c r="I20" s="12">
        <f>Hotel!B25</f>
        <v>135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47890</v>
      </c>
      <c r="F21" s="11">
        <v>5.0000000000000001E-3</v>
      </c>
      <c r="G21" s="12">
        <f>Submetering!R21</f>
        <v>634.81325700000002</v>
      </c>
      <c r="H21" s="11">
        <v>0.52800000000000002</v>
      </c>
      <c r="I21" s="12">
        <f>Hotel!B26</f>
        <v>93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50010</v>
      </c>
      <c r="F22" s="11">
        <v>5.0000000000000001E-3</v>
      </c>
      <c r="G22" s="12">
        <f>Submetering!R22</f>
        <v>888.81426799999997</v>
      </c>
      <c r="H22" s="11">
        <v>0.52800000000000002</v>
      </c>
      <c r="I22" s="12">
        <f>Hotel!B27</f>
        <v>85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50660</v>
      </c>
      <c r="F23" s="11">
        <v>5.0000000000000001E-3</v>
      </c>
      <c r="G23" s="12">
        <f>Submetering!R23</f>
        <v>372.48434399999996</v>
      </c>
      <c r="H23" s="11">
        <v>0.52800000000000002</v>
      </c>
      <c r="I23" s="12">
        <f>Hotel!B28</f>
        <v>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43770</v>
      </c>
      <c r="F24" s="11">
        <v>5.0000000000000001E-3</v>
      </c>
      <c r="G24" s="12">
        <f>Submetering!R24</f>
        <v>598.85186199999998</v>
      </c>
      <c r="H24" s="11">
        <v>0.52800000000000002</v>
      </c>
      <c r="I24" s="12">
        <f>Hotel!B29</f>
        <v>64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50770</v>
      </c>
      <c r="F25" s="11">
        <v>5.0000000000000001E-3</v>
      </c>
      <c r="G25" s="12">
        <f>Submetering!R25</f>
        <v>559.86213899999996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47190</v>
      </c>
      <c r="F26" s="11">
        <v>5.0000000000000001E-3</v>
      </c>
      <c r="G26" s="12">
        <f>Submetering!R26</f>
        <v>298.66884900000002</v>
      </c>
      <c r="H26" s="11">
        <v>0.52800000000000002</v>
      </c>
      <c r="I26" s="12">
        <f>Hotel!B31</f>
        <v>85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45540</v>
      </c>
      <c r="F27" s="11">
        <v>5.0000000000000001E-3</v>
      </c>
      <c r="G27" s="12">
        <f>Submetering!R27</f>
        <v>567.81150000000002</v>
      </c>
      <c r="H27" s="11">
        <v>0.52800000000000002</v>
      </c>
      <c r="I27" s="12">
        <f>Hotel!B32</f>
        <v>77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44451</v>
      </c>
      <c r="F28" s="11">
        <v>5.0000000000000001E-3</v>
      </c>
      <c r="G28" s="12">
        <f>Submetering!R28</f>
        <v>540.17800699999998</v>
      </c>
      <c r="H28" s="11">
        <v>0.52800000000000002</v>
      </c>
      <c r="I28" s="12">
        <f>Hotel!B33</f>
        <v>81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45279</v>
      </c>
      <c r="F29" s="11">
        <v>5.0000000000000001E-3</v>
      </c>
      <c r="G29" s="12">
        <f>Submetering!R29</f>
        <v>532.98572799999999</v>
      </c>
      <c r="H29" s="11">
        <v>0.52800000000000002</v>
      </c>
      <c r="I29" s="12">
        <f>Hotel!B34</f>
        <v>44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3080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570</v>
      </c>
      <c r="F18" s="4">
        <f>Hotel!R23</f>
        <v>2080</v>
      </c>
      <c r="G18" s="4">
        <f>Hotel!S23</f>
        <v>3340</v>
      </c>
      <c r="H18" s="4">
        <f>Hotel!T23</f>
        <v>1570</v>
      </c>
      <c r="I18" s="4">
        <f>Hotel!U23</f>
        <v>8420</v>
      </c>
      <c r="J18" s="4">
        <f>Hotel!V23</f>
        <v>3460</v>
      </c>
      <c r="K18" s="4">
        <f>Hotel!W23</f>
        <v>2500</v>
      </c>
      <c r="L18" s="4">
        <f>Hotel!X23</f>
        <v>4270</v>
      </c>
      <c r="M18" s="4">
        <f>Hotel!Y23</f>
        <v>5570</v>
      </c>
      <c r="N18" s="4">
        <f>Hotel!Z23</f>
        <v>3160</v>
      </c>
      <c r="O18" s="4">
        <f>Hotel!AA23</f>
        <v>3400</v>
      </c>
      <c r="P18" s="4">
        <f>Hotel!AB23</f>
        <v>7280</v>
      </c>
      <c r="Q18" s="4">
        <f>Hotel!AC23</f>
        <v>9854</v>
      </c>
      <c r="R18" s="4">
        <f>Hotel!AV23*0.00378541*100</f>
        <v>649.19781499999999</v>
      </c>
      <c r="S18" s="4">
        <f>Hotel!B23</f>
        <v>78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560</v>
      </c>
      <c r="F19" s="4">
        <f>Hotel!R24</f>
        <v>1940</v>
      </c>
      <c r="G19" s="4">
        <f>Hotel!S24</f>
        <v>2866</v>
      </c>
      <c r="H19" s="4">
        <f>Hotel!T24</f>
        <v>1530</v>
      </c>
      <c r="I19" s="4">
        <f>Hotel!U24</f>
        <v>2250</v>
      </c>
      <c r="J19" s="4">
        <f>Hotel!V24</f>
        <v>3550</v>
      </c>
      <c r="K19" s="4">
        <f>Hotel!W24</f>
        <v>2480</v>
      </c>
      <c r="L19" s="4">
        <f>Hotel!X24</f>
        <v>4300</v>
      </c>
      <c r="M19" s="4">
        <f>Hotel!Y24</f>
        <v>5610</v>
      </c>
      <c r="N19" s="4">
        <f>Hotel!Z24</f>
        <v>2140</v>
      </c>
      <c r="O19" s="4">
        <f>Hotel!AA24</f>
        <v>3420</v>
      </c>
      <c r="P19" s="4">
        <f>Hotel!AB24</f>
        <v>7220</v>
      </c>
      <c r="Q19" s="4">
        <f>Hotel!AC24</f>
        <v>9750</v>
      </c>
      <c r="R19" s="4">
        <f>Hotel!AV24*0.00378541*100</f>
        <v>515.194301</v>
      </c>
      <c r="S19" s="4">
        <f>Hotel!B24</f>
        <v>106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530</v>
      </c>
      <c r="F20" s="4">
        <f>Hotel!R25</f>
        <v>1820</v>
      </c>
      <c r="G20" s="4">
        <f>Hotel!S25</f>
        <v>2564</v>
      </c>
      <c r="H20" s="4">
        <f>Hotel!T25</f>
        <v>1440</v>
      </c>
      <c r="I20" s="4">
        <f>Hotel!U25</f>
        <v>5610</v>
      </c>
      <c r="J20" s="4">
        <f>Hotel!V25</f>
        <v>3420</v>
      </c>
      <c r="K20" s="4">
        <f>Hotel!W25</f>
        <v>2290</v>
      </c>
      <c r="L20" s="4">
        <f>Hotel!X25</f>
        <v>4060</v>
      </c>
      <c r="M20" s="4">
        <f>Hotel!Y25</f>
        <v>5660</v>
      </c>
      <c r="N20" s="4">
        <f>Hotel!Z25</f>
        <v>2660</v>
      </c>
      <c r="O20" s="4">
        <f>Hotel!AA25</f>
        <v>3570</v>
      </c>
      <c r="P20" s="4">
        <f>Hotel!AB25</f>
        <v>6940</v>
      </c>
      <c r="Q20" s="4">
        <f>Hotel!AC25</f>
        <v>9260</v>
      </c>
      <c r="R20" s="4">
        <f>Hotel!AV25*0.00378541*100</f>
        <v>690.45878399999992</v>
      </c>
      <c r="S20" s="4">
        <f>Hotel!B25</f>
        <v>135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520</v>
      </c>
      <c r="F21" s="4">
        <f>Hotel!R26</f>
        <v>1780</v>
      </c>
      <c r="G21" s="4">
        <f>Hotel!S26</f>
        <v>2540</v>
      </c>
      <c r="H21" s="4">
        <f>Hotel!T26</f>
        <v>1400</v>
      </c>
      <c r="I21" s="4">
        <f>Hotel!U26</f>
        <v>4890</v>
      </c>
      <c r="J21" s="4">
        <f>Hotel!V26</f>
        <v>3310</v>
      </c>
      <c r="K21" s="4">
        <f>Hotel!W26</f>
        <v>2240</v>
      </c>
      <c r="L21" s="4">
        <f>Hotel!X26</f>
        <v>3960</v>
      </c>
      <c r="M21" s="4">
        <f>Hotel!Y26</f>
        <v>5480</v>
      </c>
      <c r="N21" s="4">
        <f>Hotel!Z26</f>
        <v>2550</v>
      </c>
      <c r="O21" s="4">
        <f>Hotel!AA26</f>
        <v>3470</v>
      </c>
      <c r="P21" s="4">
        <f>Hotel!AB26</f>
        <v>6720</v>
      </c>
      <c r="Q21" s="4">
        <f>Hotel!AC26</f>
        <v>9030</v>
      </c>
      <c r="R21" s="4">
        <f>Hotel!AV26*0.00378541*100</f>
        <v>634.81325700000002</v>
      </c>
      <c r="S21" s="4">
        <f>Hotel!B26</f>
        <v>93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550</v>
      </c>
      <c r="F22" s="4">
        <f>Hotel!R27</f>
        <v>1890</v>
      </c>
      <c r="G22" s="4">
        <f>Hotel!S27</f>
        <v>2680</v>
      </c>
      <c r="H22" s="4">
        <f>Hotel!T27</f>
        <v>1490</v>
      </c>
      <c r="I22" s="4">
        <f>Hotel!U27</f>
        <v>5140</v>
      </c>
      <c r="J22" s="4">
        <f>Hotel!V27</f>
        <v>3420</v>
      </c>
      <c r="K22" s="4">
        <f>Hotel!W27</f>
        <v>2390</v>
      </c>
      <c r="L22" s="4">
        <f>Hotel!X27</f>
        <v>3890</v>
      </c>
      <c r="M22" s="4">
        <f>Hotel!Y27</f>
        <v>5520</v>
      </c>
      <c r="N22" s="4">
        <f>Hotel!Z27</f>
        <v>2550</v>
      </c>
      <c r="O22" s="4">
        <f>Hotel!AA27</f>
        <v>3700</v>
      </c>
      <c r="P22" s="4">
        <f>Hotel!AB27</f>
        <v>7050</v>
      </c>
      <c r="Q22" s="4">
        <f>Hotel!AC27</f>
        <v>9740</v>
      </c>
      <c r="R22" s="4">
        <f>Hotel!AV27*0.00378541*100</f>
        <v>888.81426799999997</v>
      </c>
      <c r="S22" s="4">
        <f>Hotel!B27</f>
        <v>85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570</v>
      </c>
      <c r="F23" s="4">
        <f>Hotel!R28</f>
        <v>1950</v>
      </c>
      <c r="G23" s="4">
        <f>Hotel!S28</f>
        <v>2720</v>
      </c>
      <c r="H23" s="4">
        <f>Hotel!T28</f>
        <v>1530</v>
      </c>
      <c r="I23" s="4">
        <f>Hotel!U28</f>
        <v>5160</v>
      </c>
      <c r="J23" s="4">
        <f>Hotel!V28</f>
        <v>3550</v>
      </c>
      <c r="K23" s="4">
        <f>Hotel!W28</f>
        <v>2460</v>
      </c>
      <c r="L23" s="4">
        <f>Hotel!X28</f>
        <v>4220</v>
      </c>
      <c r="M23" s="4">
        <f>Hotel!Y28</f>
        <v>5610</v>
      </c>
      <c r="N23" s="4">
        <f>Hotel!Z28</f>
        <v>2540</v>
      </c>
      <c r="O23" s="4">
        <f>Hotel!AA28</f>
        <v>3400</v>
      </c>
      <c r="P23" s="4">
        <f>Hotel!AB28</f>
        <v>7200</v>
      </c>
      <c r="Q23" s="4">
        <f>Hotel!AC28</f>
        <v>9750</v>
      </c>
      <c r="R23" s="4">
        <f>Hotel!AV28*0.00378541*100</f>
        <v>372.48434399999996</v>
      </c>
      <c r="S23" s="4">
        <f>Hotel!B28</f>
        <v>78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480</v>
      </c>
      <c r="F24" s="4">
        <f>Hotel!R29</f>
        <v>1680</v>
      </c>
      <c r="G24" s="4">
        <f>Hotel!S29</f>
        <v>2240</v>
      </c>
      <c r="H24" s="4">
        <f>Hotel!T29</f>
        <v>1320</v>
      </c>
      <c r="I24" s="4">
        <f>Hotel!U29</f>
        <v>4430</v>
      </c>
      <c r="J24" s="4">
        <f>Hotel!V29</f>
        <v>3080</v>
      </c>
      <c r="K24" s="4">
        <f>Hotel!W29</f>
        <v>2130</v>
      </c>
      <c r="L24" s="4">
        <f>Hotel!X29</f>
        <v>3740</v>
      </c>
      <c r="M24" s="4">
        <f>Hotel!Y29</f>
        <v>4850</v>
      </c>
      <c r="N24" s="4">
        <f>Hotel!Z29</f>
        <v>2200</v>
      </c>
      <c r="O24" s="4">
        <f>Hotel!AA29</f>
        <v>2920</v>
      </c>
      <c r="P24" s="4">
        <f>Hotel!AB29</f>
        <v>6230</v>
      </c>
      <c r="Q24" s="4">
        <f>Hotel!AC29</f>
        <v>8470</v>
      </c>
      <c r="R24" s="4">
        <f>Hotel!AV29*0.00378541*100</f>
        <v>598.85186199999998</v>
      </c>
      <c r="S24" s="4">
        <f>Hotel!B29</f>
        <v>64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590</v>
      </c>
      <c r="F25" s="4">
        <f>Hotel!R30</f>
        <v>2020</v>
      </c>
      <c r="G25" s="4">
        <f>Hotel!S30</f>
        <v>2600</v>
      </c>
      <c r="H25" s="4">
        <f>Hotel!T30</f>
        <v>1590</v>
      </c>
      <c r="I25" s="4">
        <f>Hotel!U30</f>
        <v>4900</v>
      </c>
      <c r="J25" s="4">
        <f>Hotel!V30</f>
        <v>3460</v>
      </c>
      <c r="K25" s="4">
        <f>Hotel!W30</f>
        <v>2530</v>
      </c>
      <c r="L25" s="4">
        <f>Hotel!X30</f>
        <v>4310</v>
      </c>
      <c r="M25" s="4">
        <f>Hotel!Y30</f>
        <v>5230</v>
      </c>
      <c r="N25" s="4">
        <f>Hotel!Z30</f>
        <v>2620</v>
      </c>
      <c r="O25" s="4">
        <f>Hotel!AA30</f>
        <v>3750</v>
      </c>
      <c r="P25" s="4">
        <f>Hotel!AB30</f>
        <v>7180</v>
      </c>
      <c r="Q25" s="4">
        <f>Hotel!AC30</f>
        <v>9990</v>
      </c>
      <c r="R25" s="4">
        <f>Hotel!AV30*0.00378541*100</f>
        <v>559.86213899999996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550</v>
      </c>
      <c r="F26" s="4">
        <f>Hotel!R31</f>
        <v>1910</v>
      </c>
      <c r="G26" s="4">
        <f>Hotel!S31</f>
        <v>2420</v>
      </c>
      <c r="H26" s="4">
        <f>Hotel!T31</f>
        <v>1490</v>
      </c>
      <c r="I26" s="4">
        <f>Hotel!U31</f>
        <v>4340</v>
      </c>
      <c r="J26" s="4">
        <f>Hotel!V31</f>
        <v>3260</v>
      </c>
      <c r="K26" s="4">
        <f>Hotel!W31</f>
        <v>2480</v>
      </c>
      <c r="L26" s="4">
        <f>Hotel!X31</f>
        <v>3790</v>
      </c>
      <c r="M26" s="4">
        <f>Hotel!Y31</f>
        <v>4980</v>
      </c>
      <c r="N26" s="4">
        <f>Hotel!Z31</f>
        <v>2260</v>
      </c>
      <c r="O26" s="4">
        <f>Hotel!AA31</f>
        <v>3760</v>
      </c>
      <c r="P26" s="4">
        <f>Hotel!AB31</f>
        <v>6750</v>
      </c>
      <c r="Q26" s="4">
        <f>Hotel!AC31</f>
        <v>9200</v>
      </c>
      <c r="R26" s="4">
        <f>Hotel!AV31*0.00378541*100</f>
        <v>298.66884900000002</v>
      </c>
      <c r="S26" s="4">
        <f>Hotel!B31</f>
        <v>85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540</v>
      </c>
      <c r="F27" s="4">
        <f>Hotel!R32</f>
        <v>1840</v>
      </c>
      <c r="G27" s="4">
        <f>Hotel!S32</f>
        <v>2420</v>
      </c>
      <c r="H27" s="4">
        <f>Hotel!T32</f>
        <v>1440</v>
      </c>
      <c r="I27" s="4">
        <f>Hotel!U32</f>
        <v>4080</v>
      </c>
      <c r="J27" s="4">
        <f>Hotel!V32</f>
        <v>3000</v>
      </c>
      <c r="K27" s="4">
        <f>Hotel!W32</f>
        <v>2290</v>
      </c>
      <c r="L27" s="4">
        <f>Hotel!X32</f>
        <v>3520</v>
      </c>
      <c r="M27" s="4">
        <f>Hotel!Y32</f>
        <v>4680</v>
      </c>
      <c r="N27" s="4">
        <f>Hotel!Z32</f>
        <v>2750</v>
      </c>
      <c r="O27" s="4">
        <f>Hotel!AA32</f>
        <v>3530</v>
      </c>
      <c r="P27" s="4">
        <f>Hotel!AB32</f>
        <v>6650</v>
      </c>
      <c r="Q27" s="4">
        <f>Hotel!AC32</f>
        <v>8800</v>
      </c>
      <c r="R27" s="4">
        <f>Hotel!AV32*0.00378541*100</f>
        <v>567.81150000000002</v>
      </c>
      <c r="S27" s="4">
        <f>Hotel!B32</f>
        <v>77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530</v>
      </c>
      <c r="F28" s="4">
        <f>Hotel!R33</f>
        <v>1840</v>
      </c>
      <c r="G28" s="4">
        <f>Hotel!S33</f>
        <v>2460</v>
      </c>
      <c r="H28" s="4">
        <f>Hotel!T33</f>
        <v>1430</v>
      </c>
      <c r="I28" s="4">
        <f>Hotel!U33</f>
        <v>3900</v>
      </c>
      <c r="J28" s="4">
        <f>Hotel!V33</f>
        <v>3001</v>
      </c>
      <c r="K28" s="4">
        <f>Hotel!W33</f>
        <v>2280</v>
      </c>
      <c r="L28" s="4">
        <f>Hotel!X33</f>
        <v>3470</v>
      </c>
      <c r="M28" s="4">
        <f>Hotel!Y33</f>
        <v>4640</v>
      </c>
      <c r="N28" s="4">
        <f>Hotel!Z33</f>
        <v>2460</v>
      </c>
      <c r="O28" s="4">
        <f>Hotel!AA33</f>
        <v>3190</v>
      </c>
      <c r="P28" s="4">
        <f>Hotel!AB33</f>
        <v>6360</v>
      </c>
      <c r="Q28" s="4">
        <f>Hotel!AC33</f>
        <v>8890</v>
      </c>
      <c r="R28" s="4">
        <f>Hotel!AV33*0.00378541*100</f>
        <v>540.17800699999998</v>
      </c>
      <c r="S28" s="4">
        <f>Hotel!B33</f>
        <v>81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540</v>
      </c>
      <c r="F29" s="4">
        <f>Hotel!R34</f>
        <v>1870</v>
      </c>
      <c r="G29" s="4">
        <f>Hotel!S34</f>
        <v>2510</v>
      </c>
      <c r="H29" s="4">
        <f>Hotel!T34</f>
        <v>1460</v>
      </c>
      <c r="I29" s="4">
        <f>Hotel!U34</f>
        <v>3840</v>
      </c>
      <c r="J29" s="4">
        <f>Hotel!V34</f>
        <v>2979</v>
      </c>
      <c r="K29" s="4">
        <f>Hotel!W34</f>
        <v>2340</v>
      </c>
      <c r="L29" s="4">
        <f>Hotel!X34</f>
        <v>3500</v>
      </c>
      <c r="M29" s="4">
        <f>Hotel!Y34</f>
        <v>4700</v>
      </c>
      <c r="N29" s="4">
        <f>Hotel!Z34</f>
        <v>2530</v>
      </c>
      <c r="O29" s="4">
        <f>Hotel!AA34</f>
        <v>3320</v>
      </c>
      <c r="P29" s="4">
        <f>Hotel!AB34</f>
        <v>6620</v>
      </c>
      <c r="Q29" s="4">
        <f>Hotel!AC34</f>
        <v>9070</v>
      </c>
      <c r="R29" s="4">
        <f>Hotel!AV34*0.00378541*100</f>
        <v>532.98572799999999</v>
      </c>
      <c r="S29" s="4">
        <f>Hotel!B34</f>
        <v>44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34" sqref="A34:O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2385690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3080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48326</v>
      </c>
      <c r="AF22" s="20">
        <f t="shared" si="1"/>
        <v>2.65</v>
      </c>
      <c r="AG22" s="20">
        <f t="shared" si="2"/>
        <v>8.5</v>
      </c>
      <c r="AH22" s="20">
        <f t="shared" si="3"/>
        <v>15.4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241.63000000000005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>
        <v>78</v>
      </c>
      <c r="C23" s="24">
        <v>6533560</v>
      </c>
      <c r="D23" s="24">
        <v>15125080</v>
      </c>
      <c r="E23" s="24">
        <v>2389030</v>
      </c>
      <c r="F23" s="24">
        <v>3305400</v>
      </c>
      <c r="G23" s="24">
        <v>9958840</v>
      </c>
      <c r="H23" s="24">
        <v>5182170</v>
      </c>
      <c r="I23" s="24">
        <v>4825550</v>
      </c>
      <c r="J23" s="24">
        <v>5574650</v>
      </c>
      <c r="K23" s="24">
        <v>8700160</v>
      </c>
      <c r="L23" s="24">
        <v>3566970</v>
      </c>
      <c r="M23" s="24">
        <v>7548760</v>
      </c>
      <c r="N23" s="24">
        <v>11292390</v>
      </c>
      <c r="O23" s="24">
        <v>15549990</v>
      </c>
      <c r="Q23" s="37">
        <f t="shared" si="17"/>
        <v>570</v>
      </c>
      <c r="R23" s="37">
        <f t="shared" si="18"/>
        <v>2080</v>
      </c>
      <c r="S23" s="37">
        <f t="shared" si="16"/>
        <v>3340</v>
      </c>
      <c r="T23" s="37">
        <f t="shared" si="19"/>
        <v>1570</v>
      </c>
      <c r="U23" s="37">
        <f t="shared" si="20"/>
        <v>8420</v>
      </c>
      <c r="V23" s="37">
        <f t="shared" si="21"/>
        <v>3460</v>
      </c>
      <c r="W23" s="37">
        <f t="shared" si="22"/>
        <v>2500</v>
      </c>
      <c r="X23" s="37">
        <f t="shared" si="23"/>
        <v>4270</v>
      </c>
      <c r="Y23" s="37">
        <f t="shared" si="24"/>
        <v>5570</v>
      </c>
      <c r="Z23" s="37">
        <f t="shared" si="25"/>
        <v>3160</v>
      </c>
      <c r="AA23" s="37">
        <f t="shared" si="26"/>
        <v>3400</v>
      </c>
      <c r="AB23" s="37">
        <f t="shared" si="27"/>
        <v>7280</v>
      </c>
      <c r="AC23" s="37">
        <f t="shared" si="28"/>
        <v>9854</v>
      </c>
      <c r="AD23" s="35">
        <f t="shared" si="29"/>
        <v>55474</v>
      </c>
      <c r="AF23" s="20">
        <f t="shared" si="1"/>
        <v>2.85</v>
      </c>
      <c r="AG23" s="20">
        <f t="shared" si="2"/>
        <v>10.4</v>
      </c>
      <c r="AH23" s="20">
        <f t="shared" si="3"/>
        <v>16.7</v>
      </c>
      <c r="AI23" s="20">
        <f t="shared" si="4"/>
        <v>7.8500000000000005</v>
      </c>
      <c r="AJ23" s="20">
        <f t="shared" si="5"/>
        <v>42.1</v>
      </c>
      <c r="AK23" s="20">
        <f t="shared" si="6"/>
        <v>17.3</v>
      </c>
      <c r="AL23" s="20">
        <f t="shared" si="7"/>
        <v>12.5</v>
      </c>
      <c r="AM23" s="20">
        <f t="shared" si="8"/>
        <v>21.35</v>
      </c>
      <c r="AN23" s="20">
        <f t="shared" si="9"/>
        <v>27.85</v>
      </c>
      <c r="AO23" s="20">
        <f t="shared" si="10"/>
        <v>15.8</v>
      </c>
      <c r="AP23" s="20">
        <f t="shared" si="11"/>
        <v>17</v>
      </c>
      <c r="AQ23" s="20">
        <f t="shared" si="12"/>
        <v>36.4</v>
      </c>
      <c r="AR23" s="20">
        <f t="shared" si="13"/>
        <v>49.27</v>
      </c>
      <c r="AS23" s="35">
        <f t="shared" si="30"/>
        <v>277.37</v>
      </c>
      <c r="AU23" s="47">
        <v>466349</v>
      </c>
      <c r="AV23" s="37">
        <f t="shared" si="31"/>
        <v>1715</v>
      </c>
      <c r="AW23" s="35">
        <f t="shared" si="14"/>
        <v>3.43</v>
      </c>
    </row>
    <row r="24" spans="1:49" x14ac:dyDescent="0.25">
      <c r="A24" s="23">
        <v>44245</v>
      </c>
      <c r="B24" s="40">
        <v>106</v>
      </c>
      <c r="C24" s="24">
        <v>6534120</v>
      </c>
      <c r="D24" s="24">
        <v>15127020</v>
      </c>
      <c r="E24" s="24">
        <v>2391896</v>
      </c>
      <c r="F24" s="24">
        <v>3306930</v>
      </c>
      <c r="G24" s="24">
        <v>9961090</v>
      </c>
      <c r="H24" s="24">
        <v>5185720</v>
      </c>
      <c r="I24" s="24">
        <v>4828030</v>
      </c>
      <c r="J24" s="24">
        <v>5578950</v>
      </c>
      <c r="K24" s="24">
        <v>8705770</v>
      </c>
      <c r="L24" s="24">
        <v>3569110</v>
      </c>
      <c r="M24" s="24">
        <v>7552180</v>
      </c>
      <c r="N24" s="24">
        <v>11299610</v>
      </c>
      <c r="O24" s="24">
        <v>15559740</v>
      </c>
      <c r="Q24" s="37">
        <f t="shared" si="17"/>
        <v>560</v>
      </c>
      <c r="R24" s="37">
        <f t="shared" si="18"/>
        <v>1940</v>
      </c>
      <c r="S24" s="37">
        <f t="shared" si="16"/>
        <v>2866</v>
      </c>
      <c r="T24" s="37">
        <f t="shared" si="19"/>
        <v>1530</v>
      </c>
      <c r="U24" s="37">
        <f t="shared" si="20"/>
        <v>2250</v>
      </c>
      <c r="V24" s="37">
        <f t="shared" si="21"/>
        <v>3550</v>
      </c>
      <c r="W24" s="37">
        <f t="shared" si="22"/>
        <v>2480</v>
      </c>
      <c r="X24" s="37">
        <f t="shared" si="23"/>
        <v>4300</v>
      </c>
      <c r="Y24" s="37">
        <f t="shared" si="24"/>
        <v>5610</v>
      </c>
      <c r="Z24" s="37">
        <f t="shared" si="25"/>
        <v>2140</v>
      </c>
      <c r="AA24" s="37">
        <f t="shared" si="26"/>
        <v>3420</v>
      </c>
      <c r="AB24" s="37">
        <f t="shared" si="27"/>
        <v>7220</v>
      </c>
      <c r="AC24" s="37">
        <f t="shared" si="28"/>
        <v>9750</v>
      </c>
      <c r="AD24" s="35">
        <f t="shared" si="29"/>
        <v>47616</v>
      </c>
      <c r="AF24" s="20">
        <f t="shared" si="1"/>
        <v>2.8000000000000003</v>
      </c>
      <c r="AG24" s="20">
        <f t="shared" si="2"/>
        <v>9.7000000000000011</v>
      </c>
      <c r="AH24" s="20">
        <f t="shared" si="3"/>
        <v>14.33</v>
      </c>
      <c r="AI24" s="20">
        <f t="shared" si="4"/>
        <v>7.65</v>
      </c>
      <c r="AJ24" s="20">
        <f t="shared" si="5"/>
        <v>11.25</v>
      </c>
      <c r="AK24" s="20">
        <f t="shared" si="6"/>
        <v>17.75</v>
      </c>
      <c r="AL24" s="20">
        <f t="shared" si="7"/>
        <v>12.4</v>
      </c>
      <c r="AM24" s="20">
        <f t="shared" si="8"/>
        <v>21.5</v>
      </c>
      <c r="AN24" s="20">
        <f t="shared" si="9"/>
        <v>28.05</v>
      </c>
      <c r="AO24" s="20">
        <f t="shared" si="10"/>
        <v>10.700000000000001</v>
      </c>
      <c r="AP24" s="20">
        <f t="shared" si="11"/>
        <v>17.100000000000001</v>
      </c>
      <c r="AQ24" s="20">
        <f t="shared" si="12"/>
        <v>36.1</v>
      </c>
      <c r="AR24" s="20">
        <f t="shared" si="13"/>
        <v>48.75</v>
      </c>
      <c r="AS24" s="35">
        <f t="shared" si="30"/>
        <v>238.07999999999998</v>
      </c>
      <c r="AU24" s="47">
        <v>467710</v>
      </c>
      <c r="AV24" s="37">
        <f t="shared" si="31"/>
        <v>1361</v>
      </c>
      <c r="AW24" s="35">
        <f t="shared" si="14"/>
        <v>2.722</v>
      </c>
    </row>
    <row r="25" spans="1:49" x14ac:dyDescent="0.25">
      <c r="A25" s="23">
        <v>44246</v>
      </c>
      <c r="B25" s="40">
        <v>135</v>
      </c>
      <c r="C25" s="24">
        <v>6534650</v>
      </c>
      <c r="D25" s="24">
        <v>15128840</v>
      </c>
      <c r="E25" s="24">
        <v>2394460</v>
      </c>
      <c r="F25" s="24">
        <v>3308370</v>
      </c>
      <c r="G25" s="24">
        <v>9966700</v>
      </c>
      <c r="H25" s="24">
        <v>5189140</v>
      </c>
      <c r="I25" s="24">
        <v>4830320</v>
      </c>
      <c r="J25" s="24">
        <v>5583010</v>
      </c>
      <c r="K25" s="24">
        <v>8711430</v>
      </c>
      <c r="L25" s="24">
        <v>3571770</v>
      </c>
      <c r="M25" s="24">
        <v>7555750</v>
      </c>
      <c r="N25" s="24">
        <v>11306550</v>
      </c>
      <c r="O25" s="24">
        <v>15569000</v>
      </c>
      <c r="Q25" s="37">
        <f t="shared" ref="Q25:AC27" si="33">IF((C25-C24&lt;0), "0",C25-C24)</f>
        <v>530</v>
      </c>
      <c r="R25" s="37">
        <f t="shared" si="33"/>
        <v>1820</v>
      </c>
      <c r="S25" s="37">
        <f t="shared" si="33"/>
        <v>2564</v>
      </c>
      <c r="T25" s="37">
        <f t="shared" si="33"/>
        <v>1440</v>
      </c>
      <c r="U25" s="37">
        <f t="shared" si="33"/>
        <v>5610</v>
      </c>
      <c r="V25" s="37">
        <f t="shared" si="33"/>
        <v>3420</v>
      </c>
      <c r="W25" s="37">
        <f t="shared" si="33"/>
        <v>2290</v>
      </c>
      <c r="X25" s="37">
        <f t="shared" si="33"/>
        <v>4060</v>
      </c>
      <c r="Y25" s="37">
        <f t="shared" si="33"/>
        <v>5660</v>
      </c>
      <c r="Z25" s="37">
        <f t="shared" si="33"/>
        <v>2660</v>
      </c>
      <c r="AA25" s="37">
        <f t="shared" si="33"/>
        <v>3570</v>
      </c>
      <c r="AB25" s="37">
        <f t="shared" si="33"/>
        <v>6940</v>
      </c>
      <c r="AC25" s="37">
        <f t="shared" si="33"/>
        <v>9260</v>
      </c>
      <c r="AD25" s="35">
        <f t="shared" si="29"/>
        <v>49824</v>
      </c>
      <c r="AF25" s="20">
        <f t="shared" si="1"/>
        <v>2.65</v>
      </c>
      <c r="AG25" s="20">
        <f t="shared" si="2"/>
        <v>9.1</v>
      </c>
      <c r="AH25" s="20">
        <f t="shared" si="3"/>
        <v>12.82</v>
      </c>
      <c r="AI25" s="20">
        <f t="shared" si="4"/>
        <v>7.2</v>
      </c>
      <c r="AJ25" s="20">
        <f t="shared" si="5"/>
        <v>28.05</v>
      </c>
      <c r="AK25" s="20">
        <f t="shared" si="6"/>
        <v>17.100000000000001</v>
      </c>
      <c r="AL25" s="20">
        <f t="shared" si="7"/>
        <v>11.450000000000001</v>
      </c>
      <c r="AM25" s="20">
        <f t="shared" si="8"/>
        <v>20.3</v>
      </c>
      <c r="AN25" s="20">
        <f t="shared" si="9"/>
        <v>28.3</v>
      </c>
      <c r="AO25" s="20">
        <f t="shared" si="10"/>
        <v>13.3</v>
      </c>
      <c r="AP25" s="20">
        <f t="shared" si="11"/>
        <v>17.850000000000001</v>
      </c>
      <c r="AQ25" s="20">
        <f t="shared" si="12"/>
        <v>34.700000000000003</v>
      </c>
      <c r="AR25" s="20">
        <f t="shared" si="13"/>
        <v>46.300000000000004</v>
      </c>
      <c r="AS25" s="35">
        <f t="shared" si="30"/>
        <v>249.12</v>
      </c>
      <c r="AU25" s="47">
        <v>469534</v>
      </c>
      <c r="AV25" s="37">
        <f t="shared" si="31"/>
        <v>1824</v>
      </c>
      <c r="AW25" s="35">
        <f t="shared" si="14"/>
        <v>3.6480000000000001</v>
      </c>
    </row>
    <row r="26" spans="1:49" x14ac:dyDescent="0.25">
      <c r="A26" s="23">
        <v>44247</v>
      </c>
      <c r="B26" s="40">
        <v>93</v>
      </c>
      <c r="C26" s="24">
        <v>6535170</v>
      </c>
      <c r="D26" s="24">
        <v>15130620</v>
      </c>
      <c r="E26" s="24">
        <v>2397000</v>
      </c>
      <c r="F26" s="24">
        <v>3309770</v>
      </c>
      <c r="G26" s="24">
        <v>9971590</v>
      </c>
      <c r="H26" s="24">
        <v>5192450</v>
      </c>
      <c r="I26" s="24">
        <v>4832560</v>
      </c>
      <c r="J26" s="24">
        <v>5586970</v>
      </c>
      <c r="K26" s="24">
        <v>8716910</v>
      </c>
      <c r="L26" s="24">
        <v>3574320</v>
      </c>
      <c r="M26" s="24">
        <v>7559220</v>
      </c>
      <c r="N26" s="24">
        <v>11313270</v>
      </c>
      <c r="O26" s="24">
        <v>15578030</v>
      </c>
      <c r="Q26" s="37">
        <f t="shared" si="33"/>
        <v>520</v>
      </c>
      <c r="R26" s="37">
        <f t="shared" si="33"/>
        <v>1780</v>
      </c>
      <c r="S26" s="37">
        <f t="shared" si="33"/>
        <v>2540</v>
      </c>
      <c r="T26" s="37">
        <f t="shared" si="33"/>
        <v>1400</v>
      </c>
      <c r="U26" s="37">
        <f t="shared" si="33"/>
        <v>4890</v>
      </c>
      <c r="V26" s="37">
        <f t="shared" si="33"/>
        <v>3310</v>
      </c>
      <c r="W26" s="37">
        <f t="shared" si="33"/>
        <v>2240</v>
      </c>
      <c r="X26" s="37">
        <f t="shared" si="33"/>
        <v>3960</v>
      </c>
      <c r="Y26" s="37">
        <f t="shared" si="33"/>
        <v>5480</v>
      </c>
      <c r="Z26" s="37">
        <f t="shared" si="33"/>
        <v>2550</v>
      </c>
      <c r="AA26" s="37">
        <f t="shared" si="33"/>
        <v>3470</v>
      </c>
      <c r="AB26" s="37">
        <f t="shared" si="33"/>
        <v>6720</v>
      </c>
      <c r="AC26" s="37">
        <f t="shared" si="33"/>
        <v>9030</v>
      </c>
      <c r="AD26" s="35">
        <f t="shared" si="29"/>
        <v>47890</v>
      </c>
      <c r="AF26" s="20">
        <f t="shared" si="1"/>
        <v>2.6</v>
      </c>
      <c r="AG26" s="20">
        <f t="shared" si="2"/>
        <v>8.9</v>
      </c>
      <c r="AH26" s="20">
        <f t="shared" si="3"/>
        <v>12.700000000000001</v>
      </c>
      <c r="AI26" s="20">
        <f t="shared" si="4"/>
        <v>7</v>
      </c>
      <c r="AJ26" s="20">
        <f t="shared" si="5"/>
        <v>24.45</v>
      </c>
      <c r="AK26" s="20">
        <f t="shared" si="6"/>
        <v>16.55</v>
      </c>
      <c r="AL26" s="20">
        <f t="shared" si="7"/>
        <v>11.200000000000001</v>
      </c>
      <c r="AM26" s="20">
        <f t="shared" si="8"/>
        <v>19.8</v>
      </c>
      <c r="AN26" s="20">
        <f t="shared" si="9"/>
        <v>27.400000000000002</v>
      </c>
      <c r="AO26" s="20">
        <f t="shared" si="10"/>
        <v>12.75</v>
      </c>
      <c r="AP26" s="20">
        <f t="shared" si="11"/>
        <v>17.350000000000001</v>
      </c>
      <c r="AQ26" s="20">
        <f t="shared" si="12"/>
        <v>33.6</v>
      </c>
      <c r="AR26" s="20">
        <f t="shared" si="13"/>
        <v>45.15</v>
      </c>
      <c r="AS26" s="35">
        <f t="shared" si="30"/>
        <v>239.45</v>
      </c>
      <c r="AU26" s="47">
        <v>471211</v>
      </c>
      <c r="AV26" s="37">
        <f t="shared" si="31"/>
        <v>1677</v>
      </c>
      <c r="AW26" s="35">
        <f t="shared" si="14"/>
        <v>3.3540000000000001</v>
      </c>
    </row>
    <row r="27" spans="1:49" x14ac:dyDescent="0.25">
      <c r="A27" s="23">
        <v>44248</v>
      </c>
      <c r="B27" s="40">
        <v>85</v>
      </c>
      <c r="C27" s="24">
        <v>6535720</v>
      </c>
      <c r="D27" s="24">
        <v>15132510</v>
      </c>
      <c r="E27" s="24">
        <v>2399680</v>
      </c>
      <c r="F27" s="24">
        <v>3311260</v>
      </c>
      <c r="G27" s="24">
        <v>9976730</v>
      </c>
      <c r="H27" s="24">
        <v>5195870</v>
      </c>
      <c r="I27" s="24">
        <v>4834950</v>
      </c>
      <c r="J27" s="24">
        <v>5590860</v>
      </c>
      <c r="K27" s="24">
        <v>8722430</v>
      </c>
      <c r="L27" s="24">
        <v>3576870</v>
      </c>
      <c r="M27" s="24">
        <v>7562920</v>
      </c>
      <c r="N27" s="24">
        <v>11320320</v>
      </c>
      <c r="O27" s="24">
        <v>15587770</v>
      </c>
      <c r="Q27" s="37">
        <f t="shared" si="33"/>
        <v>550</v>
      </c>
      <c r="R27" s="37">
        <f t="shared" si="33"/>
        <v>1890</v>
      </c>
      <c r="S27" s="37">
        <f t="shared" si="33"/>
        <v>2680</v>
      </c>
      <c r="T27" s="37">
        <f t="shared" si="33"/>
        <v>1490</v>
      </c>
      <c r="U27" s="37">
        <f t="shared" si="33"/>
        <v>5140</v>
      </c>
      <c r="V27" s="37">
        <f t="shared" si="33"/>
        <v>3420</v>
      </c>
      <c r="W27" s="37">
        <f t="shared" si="33"/>
        <v>2390</v>
      </c>
      <c r="X27" s="37">
        <f t="shared" si="33"/>
        <v>3890</v>
      </c>
      <c r="Y27" s="37">
        <f t="shared" si="33"/>
        <v>5520</v>
      </c>
      <c r="Z27" s="37">
        <f t="shared" si="33"/>
        <v>2550</v>
      </c>
      <c r="AA27" s="37">
        <f t="shared" si="33"/>
        <v>3700</v>
      </c>
      <c r="AB27" s="37">
        <f t="shared" si="33"/>
        <v>7050</v>
      </c>
      <c r="AC27" s="37">
        <f t="shared" si="33"/>
        <v>9740</v>
      </c>
      <c r="AD27" s="35">
        <f t="shared" si="29"/>
        <v>50010</v>
      </c>
      <c r="AF27" s="20">
        <f t="shared" si="1"/>
        <v>2.75</v>
      </c>
      <c r="AG27" s="20">
        <f t="shared" si="2"/>
        <v>9.4500000000000011</v>
      </c>
      <c r="AH27" s="20">
        <f t="shared" si="3"/>
        <v>13.4</v>
      </c>
      <c r="AI27" s="20">
        <f t="shared" si="4"/>
        <v>7.45</v>
      </c>
      <c r="AJ27" s="20">
        <f t="shared" si="5"/>
        <v>25.7</v>
      </c>
      <c r="AK27" s="20">
        <f t="shared" si="6"/>
        <v>17.100000000000001</v>
      </c>
      <c r="AL27" s="20">
        <f t="shared" si="7"/>
        <v>11.950000000000001</v>
      </c>
      <c r="AM27" s="20">
        <f t="shared" si="8"/>
        <v>19.45</v>
      </c>
      <c r="AN27" s="20">
        <f t="shared" si="9"/>
        <v>27.6</v>
      </c>
      <c r="AO27" s="20">
        <f t="shared" si="10"/>
        <v>12.75</v>
      </c>
      <c r="AP27" s="20">
        <f t="shared" si="11"/>
        <v>18.5</v>
      </c>
      <c r="AQ27" s="20">
        <f t="shared" si="12"/>
        <v>35.25</v>
      </c>
      <c r="AR27" s="20">
        <f t="shared" si="13"/>
        <v>48.7</v>
      </c>
      <c r="AS27" s="35">
        <f t="shared" si="30"/>
        <v>250.05</v>
      </c>
      <c r="AU27" s="47">
        <v>473559</v>
      </c>
      <c r="AV27" s="37">
        <f>IF((AU27-AU26&lt;0),"0",AU27-AU26)</f>
        <v>2348</v>
      </c>
      <c r="AW27" s="35">
        <f t="shared" si="14"/>
        <v>4.6959999999999997</v>
      </c>
    </row>
    <row r="28" spans="1:49" x14ac:dyDescent="0.25">
      <c r="A28" s="23">
        <v>44249</v>
      </c>
      <c r="B28" s="40">
        <v>78</v>
      </c>
      <c r="C28" s="24">
        <v>6536290</v>
      </c>
      <c r="D28" s="24">
        <v>15134460</v>
      </c>
      <c r="E28" s="24">
        <v>2402400</v>
      </c>
      <c r="F28" s="24">
        <v>3312790</v>
      </c>
      <c r="G28" s="24">
        <v>9981890</v>
      </c>
      <c r="H28" s="24">
        <v>5199420</v>
      </c>
      <c r="I28" s="24">
        <v>4837410</v>
      </c>
      <c r="J28" s="24">
        <v>5595080</v>
      </c>
      <c r="K28" s="24">
        <v>8728040</v>
      </c>
      <c r="L28" s="24">
        <v>3579410</v>
      </c>
      <c r="M28" s="24">
        <v>7566320</v>
      </c>
      <c r="N28" s="24">
        <v>11327520</v>
      </c>
      <c r="O28" s="24">
        <v>15597520</v>
      </c>
      <c r="Q28" s="37">
        <f t="shared" si="17"/>
        <v>570</v>
      </c>
      <c r="R28" s="37">
        <f t="shared" si="18"/>
        <v>1950</v>
      </c>
      <c r="S28" s="37">
        <f t="shared" si="16"/>
        <v>2720</v>
      </c>
      <c r="T28" s="37">
        <f t="shared" si="19"/>
        <v>1530</v>
      </c>
      <c r="U28" s="37">
        <f t="shared" si="20"/>
        <v>5160</v>
      </c>
      <c r="V28" s="37">
        <f t="shared" si="21"/>
        <v>3550</v>
      </c>
      <c r="W28" s="37">
        <f t="shared" si="22"/>
        <v>2460</v>
      </c>
      <c r="X28" s="37">
        <f t="shared" si="23"/>
        <v>4220</v>
      </c>
      <c r="Y28" s="37">
        <f t="shared" si="24"/>
        <v>5610</v>
      </c>
      <c r="Z28" s="37">
        <f t="shared" si="25"/>
        <v>2540</v>
      </c>
      <c r="AA28" s="37">
        <f t="shared" si="26"/>
        <v>3400</v>
      </c>
      <c r="AB28" s="37">
        <f t="shared" si="27"/>
        <v>7200</v>
      </c>
      <c r="AC28" s="37">
        <f t="shared" si="28"/>
        <v>9750</v>
      </c>
      <c r="AD28" s="35">
        <f t="shared" si="29"/>
        <v>50660</v>
      </c>
      <c r="AF28" s="20">
        <f t="shared" si="1"/>
        <v>2.85</v>
      </c>
      <c r="AG28" s="20">
        <f t="shared" si="2"/>
        <v>9.75</v>
      </c>
      <c r="AH28" s="20">
        <f t="shared" si="3"/>
        <v>13.6</v>
      </c>
      <c r="AI28" s="20">
        <f t="shared" si="4"/>
        <v>7.65</v>
      </c>
      <c r="AJ28" s="20">
        <f t="shared" si="5"/>
        <v>25.8</v>
      </c>
      <c r="AK28" s="20">
        <f t="shared" si="6"/>
        <v>17.75</v>
      </c>
      <c r="AL28" s="20">
        <f t="shared" si="7"/>
        <v>12.3</v>
      </c>
      <c r="AM28" s="20">
        <f t="shared" si="8"/>
        <v>21.1</v>
      </c>
      <c r="AN28" s="20">
        <f t="shared" si="9"/>
        <v>28.05</v>
      </c>
      <c r="AO28" s="20">
        <f t="shared" si="10"/>
        <v>12.700000000000001</v>
      </c>
      <c r="AP28" s="20">
        <f t="shared" si="11"/>
        <v>17</v>
      </c>
      <c r="AQ28" s="20">
        <f t="shared" si="12"/>
        <v>36</v>
      </c>
      <c r="AR28" s="20">
        <f t="shared" si="13"/>
        <v>48.75</v>
      </c>
      <c r="AS28" s="35">
        <f t="shared" si="30"/>
        <v>253.3</v>
      </c>
      <c r="AU28" s="47">
        <v>474543</v>
      </c>
      <c r="AV28" s="37">
        <f>IF((AU28-AU27&lt;0),"0",AU28-AU27)</f>
        <v>984</v>
      </c>
      <c r="AW28" s="35">
        <f t="shared" si="14"/>
        <v>1.968</v>
      </c>
    </row>
    <row r="29" spans="1:49" x14ac:dyDescent="0.25">
      <c r="A29" s="23">
        <v>44250</v>
      </c>
      <c r="B29" s="40">
        <v>64</v>
      </c>
      <c r="C29" s="24">
        <v>6536770</v>
      </c>
      <c r="D29" s="24">
        <v>15136140</v>
      </c>
      <c r="E29" s="24">
        <v>2404640</v>
      </c>
      <c r="F29" s="24">
        <v>3314110</v>
      </c>
      <c r="G29" s="24">
        <v>9986320</v>
      </c>
      <c r="H29" s="24">
        <v>5202500</v>
      </c>
      <c r="I29" s="24">
        <v>4839540</v>
      </c>
      <c r="J29" s="24">
        <v>5598820</v>
      </c>
      <c r="K29" s="24">
        <v>8732890</v>
      </c>
      <c r="L29" s="24">
        <v>3581610</v>
      </c>
      <c r="M29" s="24">
        <v>7569240</v>
      </c>
      <c r="N29" s="24">
        <v>11333750</v>
      </c>
      <c r="O29" s="24">
        <v>15605990</v>
      </c>
      <c r="Q29" s="37">
        <f t="shared" si="17"/>
        <v>480</v>
      </c>
      <c r="R29" s="37">
        <f t="shared" si="18"/>
        <v>1680</v>
      </c>
      <c r="S29" s="37">
        <f t="shared" si="16"/>
        <v>2240</v>
      </c>
      <c r="T29" s="37">
        <f t="shared" si="19"/>
        <v>1320</v>
      </c>
      <c r="U29" s="37">
        <f t="shared" si="20"/>
        <v>4430</v>
      </c>
      <c r="V29" s="37">
        <f t="shared" si="21"/>
        <v>3080</v>
      </c>
      <c r="W29" s="37">
        <f t="shared" si="22"/>
        <v>2130</v>
      </c>
      <c r="X29" s="37">
        <f t="shared" si="23"/>
        <v>3740</v>
      </c>
      <c r="Y29" s="37">
        <f t="shared" si="24"/>
        <v>4850</v>
      </c>
      <c r="Z29" s="37">
        <f t="shared" si="25"/>
        <v>2200</v>
      </c>
      <c r="AA29" s="37">
        <f t="shared" si="26"/>
        <v>2920</v>
      </c>
      <c r="AB29" s="37">
        <f t="shared" si="27"/>
        <v>6230</v>
      </c>
      <c r="AC29" s="37">
        <f t="shared" si="28"/>
        <v>8470</v>
      </c>
      <c r="AD29" s="35">
        <f t="shared" si="29"/>
        <v>43770</v>
      </c>
      <c r="AF29" s="20">
        <f t="shared" si="1"/>
        <v>2.4</v>
      </c>
      <c r="AG29" s="20">
        <f t="shared" si="2"/>
        <v>8.4</v>
      </c>
      <c r="AH29" s="20">
        <f t="shared" si="3"/>
        <v>11.200000000000001</v>
      </c>
      <c r="AI29" s="20">
        <f t="shared" si="4"/>
        <v>6.6000000000000005</v>
      </c>
      <c r="AJ29" s="20">
        <f t="shared" si="5"/>
        <v>22.150000000000002</v>
      </c>
      <c r="AK29" s="20">
        <f t="shared" si="6"/>
        <v>15.4</v>
      </c>
      <c r="AL29" s="20">
        <f t="shared" si="7"/>
        <v>10.65</v>
      </c>
      <c r="AM29" s="20">
        <f t="shared" si="8"/>
        <v>18.7</v>
      </c>
      <c r="AN29" s="20">
        <f t="shared" si="9"/>
        <v>24.25</v>
      </c>
      <c r="AO29" s="20">
        <f t="shared" si="10"/>
        <v>11</v>
      </c>
      <c r="AP29" s="20">
        <f t="shared" si="11"/>
        <v>14.6</v>
      </c>
      <c r="AQ29" s="20">
        <f t="shared" si="12"/>
        <v>31.150000000000002</v>
      </c>
      <c r="AR29" s="20">
        <f t="shared" si="13"/>
        <v>42.35</v>
      </c>
      <c r="AS29" s="35">
        <f t="shared" si="30"/>
        <v>218.85</v>
      </c>
      <c r="AU29" s="47">
        <v>476125</v>
      </c>
      <c r="AV29" s="37">
        <f t="shared" ref="AV29:AV35" si="34">IF((AU29-AU28&lt;0),"0",AU29-AU28)</f>
        <v>1582</v>
      </c>
      <c r="AW29" s="35">
        <f t="shared" si="14"/>
        <v>3.1640000000000001</v>
      </c>
    </row>
    <row r="30" spans="1:49" x14ac:dyDescent="0.25">
      <c r="A30" s="23">
        <v>44251</v>
      </c>
      <c r="B30" s="40">
        <v>78</v>
      </c>
      <c r="C30" s="24">
        <v>6537360</v>
      </c>
      <c r="D30" s="24">
        <v>15138160</v>
      </c>
      <c r="E30" s="24">
        <v>2407240</v>
      </c>
      <c r="F30" s="24">
        <v>3315700</v>
      </c>
      <c r="G30" s="24">
        <v>9991220</v>
      </c>
      <c r="H30" s="24">
        <v>5205960</v>
      </c>
      <c r="I30" s="24">
        <v>4842070</v>
      </c>
      <c r="J30" s="24">
        <v>5603130</v>
      </c>
      <c r="K30" s="24">
        <v>8738120</v>
      </c>
      <c r="L30" s="24">
        <v>3584230</v>
      </c>
      <c r="M30" s="24">
        <v>7572990</v>
      </c>
      <c r="N30" s="24">
        <v>11340930</v>
      </c>
      <c r="O30" s="24">
        <v>15615980</v>
      </c>
      <c r="Q30" s="37">
        <f t="shared" si="17"/>
        <v>590</v>
      </c>
      <c r="R30" s="37">
        <f t="shared" si="18"/>
        <v>2020</v>
      </c>
      <c r="S30" s="37">
        <f t="shared" si="16"/>
        <v>2600</v>
      </c>
      <c r="T30" s="37">
        <f t="shared" si="19"/>
        <v>1590</v>
      </c>
      <c r="U30" s="37">
        <f t="shared" si="20"/>
        <v>4900</v>
      </c>
      <c r="V30" s="37">
        <f t="shared" si="21"/>
        <v>3460</v>
      </c>
      <c r="W30" s="37">
        <f t="shared" si="22"/>
        <v>2530</v>
      </c>
      <c r="X30" s="37">
        <f t="shared" si="23"/>
        <v>4310</v>
      </c>
      <c r="Y30" s="37">
        <f t="shared" si="24"/>
        <v>5230</v>
      </c>
      <c r="Z30" s="37">
        <f t="shared" si="25"/>
        <v>2620</v>
      </c>
      <c r="AA30" s="37">
        <f t="shared" si="26"/>
        <v>3750</v>
      </c>
      <c r="AB30" s="37">
        <f t="shared" si="27"/>
        <v>7180</v>
      </c>
      <c r="AC30" s="37">
        <f t="shared" si="28"/>
        <v>9990</v>
      </c>
      <c r="AD30" s="35">
        <f t="shared" si="29"/>
        <v>50770</v>
      </c>
      <c r="AF30" s="20">
        <f t="shared" si="1"/>
        <v>2.95</v>
      </c>
      <c r="AG30" s="20">
        <f t="shared" si="2"/>
        <v>10.1</v>
      </c>
      <c r="AH30" s="20">
        <f t="shared" si="3"/>
        <v>13</v>
      </c>
      <c r="AI30" s="20">
        <f t="shared" si="4"/>
        <v>7.95</v>
      </c>
      <c r="AJ30" s="20">
        <f t="shared" si="5"/>
        <v>24.5</v>
      </c>
      <c r="AK30" s="20">
        <f t="shared" si="6"/>
        <v>17.3</v>
      </c>
      <c r="AL30" s="20">
        <f t="shared" si="7"/>
        <v>12.65</v>
      </c>
      <c r="AM30" s="20">
        <f t="shared" si="8"/>
        <v>21.55</v>
      </c>
      <c r="AN30" s="20">
        <f t="shared" si="9"/>
        <v>26.150000000000002</v>
      </c>
      <c r="AO30" s="20">
        <f t="shared" si="10"/>
        <v>13.1</v>
      </c>
      <c r="AP30" s="20">
        <f t="shared" si="11"/>
        <v>18.75</v>
      </c>
      <c r="AQ30" s="20">
        <f t="shared" si="12"/>
        <v>35.9</v>
      </c>
      <c r="AR30" s="20">
        <f t="shared" si="13"/>
        <v>49.95</v>
      </c>
      <c r="AS30" s="35">
        <f t="shared" si="30"/>
        <v>253.85000000000002</v>
      </c>
      <c r="AU30" s="47">
        <v>477604</v>
      </c>
      <c r="AV30" s="37">
        <f t="shared" si="34"/>
        <v>1479</v>
      </c>
      <c r="AW30" s="35">
        <f t="shared" si="14"/>
        <v>2.9580000000000002</v>
      </c>
    </row>
    <row r="31" spans="1:49" x14ac:dyDescent="0.25">
      <c r="A31" s="23">
        <v>44252</v>
      </c>
      <c r="B31" s="40">
        <v>85</v>
      </c>
      <c r="C31" s="24">
        <v>6537910</v>
      </c>
      <c r="D31" s="24">
        <v>15140070</v>
      </c>
      <c r="E31" s="24">
        <v>2409660</v>
      </c>
      <c r="F31" s="24">
        <v>3317190</v>
      </c>
      <c r="G31" s="24">
        <v>9995560</v>
      </c>
      <c r="H31" s="24">
        <v>5209220</v>
      </c>
      <c r="I31" s="24">
        <v>4844550</v>
      </c>
      <c r="J31" s="24">
        <v>5606920</v>
      </c>
      <c r="K31" s="24">
        <v>8743100</v>
      </c>
      <c r="L31" s="24">
        <v>3586490</v>
      </c>
      <c r="M31" s="24">
        <v>7576750</v>
      </c>
      <c r="N31" s="24">
        <v>11347680</v>
      </c>
      <c r="O31" s="24">
        <v>15625180</v>
      </c>
      <c r="Q31" s="37">
        <f>IF((C31-C30&lt;0), "0",C31-C30)</f>
        <v>550</v>
      </c>
      <c r="R31" s="37">
        <f t="shared" si="18"/>
        <v>1910</v>
      </c>
      <c r="S31" s="37">
        <f t="shared" si="16"/>
        <v>2420</v>
      </c>
      <c r="T31" s="37">
        <f t="shared" si="19"/>
        <v>1490</v>
      </c>
      <c r="U31" s="37">
        <f t="shared" si="20"/>
        <v>4340</v>
      </c>
      <c r="V31" s="37">
        <f t="shared" si="21"/>
        <v>3260</v>
      </c>
      <c r="W31" s="37">
        <f t="shared" si="22"/>
        <v>2480</v>
      </c>
      <c r="X31" s="37">
        <f t="shared" si="23"/>
        <v>3790</v>
      </c>
      <c r="Y31" s="37">
        <f t="shared" si="24"/>
        <v>4980</v>
      </c>
      <c r="Z31" s="37">
        <f t="shared" si="25"/>
        <v>2260</v>
      </c>
      <c r="AA31" s="37">
        <f t="shared" si="26"/>
        <v>3760</v>
      </c>
      <c r="AB31" s="37">
        <f t="shared" si="27"/>
        <v>6750</v>
      </c>
      <c r="AC31" s="37">
        <f t="shared" si="28"/>
        <v>9200</v>
      </c>
      <c r="AD31" s="35">
        <f t="shared" si="29"/>
        <v>47190</v>
      </c>
      <c r="AF31" s="20">
        <f t="shared" si="1"/>
        <v>2.75</v>
      </c>
      <c r="AG31" s="20">
        <f t="shared" si="2"/>
        <v>9.5500000000000007</v>
      </c>
      <c r="AH31" s="20">
        <f t="shared" si="3"/>
        <v>12.1</v>
      </c>
      <c r="AI31" s="20">
        <f t="shared" si="4"/>
        <v>7.45</v>
      </c>
      <c r="AJ31" s="20">
        <f t="shared" si="5"/>
        <v>21.7</v>
      </c>
      <c r="AK31" s="20">
        <f t="shared" si="6"/>
        <v>16.3</v>
      </c>
      <c r="AL31" s="20">
        <f t="shared" si="7"/>
        <v>12.4</v>
      </c>
      <c r="AM31" s="20">
        <f t="shared" si="8"/>
        <v>18.95</v>
      </c>
      <c r="AN31" s="20">
        <f t="shared" si="9"/>
        <v>24.900000000000002</v>
      </c>
      <c r="AO31" s="20">
        <f t="shared" si="10"/>
        <v>11.3</v>
      </c>
      <c r="AP31" s="20">
        <f t="shared" si="11"/>
        <v>18.8</v>
      </c>
      <c r="AQ31" s="20">
        <f t="shared" si="12"/>
        <v>33.75</v>
      </c>
      <c r="AR31" s="20">
        <f t="shared" si="13"/>
        <v>46</v>
      </c>
      <c r="AS31" s="35">
        <f t="shared" si="30"/>
        <v>235.95000000000002</v>
      </c>
      <c r="AU31" s="47">
        <v>478393</v>
      </c>
      <c r="AV31" s="37">
        <f t="shared" si="34"/>
        <v>789</v>
      </c>
      <c r="AW31" s="35">
        <f t="shared" si="14"/>
        <v>1.5780000000000001</v>
      </c>
    </row>
    <row r="32" spans="1:49" x14ac:dyDescent="0.25">
      <c r="A32" s="23">
        <v>44253</v>
      </c>
      <c r="B32" s="40">
        <v>77</v>
      </c>
      <c r="C32" s="24">
        <v>6538450</v>
      </c>
      <c r="D32" s="24">
        <v>15141910</v>
      </c>
      <c r="E32" s="24">
        <v>2412080</v>
      </c>
      <c r="F32" s="24">
        <v>3318630</v>
      </c>
      <c r="G32" s="24">
        <v>9999640</v>
      </c>
      <c r="H32" s="24">
        <v>5212220</v>
      </c>
      <c r="I32" s="24">
        <v>4846840</v>
      </c>
      <c r="J32" s="24">
        <v>5610440</v>
      </c>
      <c r="K32" s="24">
        <v>8747780</v>
      </c>
      <c r="L32" s="24">
        <v>3589240</v>
      </c>
      <c r="M32" s="24">
        <v>7580280</v>
      </c>
      <c r="N32" s="24">
        <v>11354330</v>
      </c>
      <c r="O32" s="24">
        <v>15633980</v>
      </c>
      <c r="Q32" s="37">
        <f>IF((C32-C31&lt;0), "0",C32-C31)</f>
        <v>540</v>
      </c>
      <c r="R32" s="37">
        <f t="shared" si="18"/>
        <v>1840</v>
      </c>
      <c r="S32" s="37">
        <f t="shared" si="16"/>
        <v>2420</v>
      </c>
      <c r="T32" s="37">
        <f t="shared" si="19"/>
        <v>1440</v>
      </c>
      <c r="U32" s="37">
        <f t="shared" si="20"/>
        <v>4080</v>
      </c>
      <c r="V32" s="37">
        <f t="shared" si="21"/>
        <v>3000</v>
      </c>
      <c r="W32" s="37">
        <f t="shared" si="22"/>
        <v>2290</v>
      </c>
      <c r="X32" s="37">
        <f t="shared" si="23"/>
        <v>3520</v>
      </c>
      <c r="Y32" s="37">
        <f t="shared" si="24"/>
        <v>4680</v>
      </c>
      <c r="Z32" s="37">
        <f t="shared" si="25"/>
        <v>2750</v>
      </c>
      <c r="AA32" s="37">
        <f t="shared" si="26"/>
        <v>3530</v>
      </c>
      <c r="AB32" s="37">
        <f t="shared" si="27"/>
        <v>6650</v>
      </c>
      <c r="AC32" s="37">
        <f t="shared" si="28"/>
        <v>8800</v>
      </c>
      <c r="AD32" s="35">
        <f t="shared" si="29"/>
        <v>45540</v>
      </c>
      <c r="AF32" s="20">
        <f t="shared" si="1"/>
        <v>2.7</v>
      </c>
      <c r="AG32" s="20">
        <f t="shared" si="2"/>
        <v>9.2000000000000011</v>
      </c>
      <c r="AH32" s="20">
        <f t="shared" si="3"/>
        <v>12.1</v>
      </c>
      <c r="AI32" s="20">
        <f t="shared" si="4"/>
        <v>7.2</v>
      </c>
      <c r="AJ32" s="20">
        <f t="shared" si="5"/>
        <v>20.400000000000002</v>
      </c>
      <c r="AK32" s="20">
        <f t="shared" si="6"/>
        <v>15</v>
      </c>
      <c r="AL32" s="20">
        <f t="shared" si="7"/>
        <v>11.450000000000001</v>
      </c>
      <c r="AM32" s="20">
        <f t="shared" si="8"/>
        <v>17.600000000000001</v>
      </c>
      <c r="AN32" s="20">
        <f t="shared" si="9"/>
        <v>23.400000000000002</v>
      </c>
      <c r="AO32" s="20">
        <f t="shared" si="10"/>
        <v>13.75</v>
      </c>
      <c r="AP32" s="20">
        <f t="shared" si="11"/>
        <v>17.650000000000002</v>
      </c>
      <c r="AQ32" s="20">
        <f t="shared" si="12"/>
        <v>33.25</v>
      </c>
      <c r="AR32" s="20">
        <f t="shared" si="13"/>
        <v>44</v>
      </c>
      <c r="AS32" s="35">
        <f t="shared" si="30"/>
        <v>227.70000000000002</v>
      </c>
      <c r="AU32" s="47">
        <v>479893</v>
      </c>
      <c r="AV32" s="37">
        <f t="shared" si="34"/>
        <v>1500</v>
      </c>
      <c r="AW32" s="35">
        <f t="shared" si="14"/>
        <v>3</v>
      </c>
    </row>
    <row r="33" spans="1:49" x14ac:dyDescent="0.25">
      <c r="A33" s="23">
        <v>44254</v>
      </c>
      <c r="B33" s="40">
        <v>81</v>
      </c>
      <c r="C33" s="24">
        <v>6538980</v>
      </c>
      <c r="D33" s="24">
        <v>15143750</v>
      </c>
      <c r="E33" s="24">
        <v>2414540</v>
      </c>
      <c r="F33" s="24">
        <v>3320060</v>
      </c>
      <c r="G33" s="24">
        <v>10003540</v>
      </c>
      <c r="H33" s="24">
        <v>5215221</v>
      </c>
      <c r="I33" s="24">
        <v>4849120</v>
      </c>
      <c r="J33" s="24">
        <v>5613910</v>
      </c>
      <c r="K33" s="24">
        <v>8752420</v>
      </c>
      <c r="L33" s="24">
        <v>3591700</v>
      </c>
      <c r="M33" s="24">
        <v>7583470</v>
      </c>
      <c r="N33" s="24">
        <v>11360690</v>
      </c>
      <c r="O33" s="24">
        <v>15642870</v>
      </c>
      <c r="Q33" s="37">
        <f>IF((C33-C32&lt;0), "0",C33-C32)</f>
        <v>530</v>
      </c>
      <c r="R33" s="37">
        <f t="shared" si="18"/>
        <v>1840</v>
      </c>
      <c r="S33" s="37">
        <f t="shared" si="16"/>
        <v>2460</v>
      </c>
      <c r="T33" s="37">
        <f t="shared" si="19"/>
        <v>1430</v>
      </c>
      <c r="U33" s="37">
        <f t="shared" si="20"/>
        <v>3900</v>
      </c>
      <c r="V33" s="37">
        <f t="shared" si="21"/>
        <v>3001</v>
      </c>
      <c r="W33" s="37">
        <f t="shared" si="22"/>
        <v>2280</v>
      </c>
      <c r="X33" s="37">
        <f t="shared" si="23"/>
        <v>3470</v>
      </c>
      <c r="Y33" s="37">
        <f t="shared" si="24"/>
        <v>4640</v>
      </c>
      <c r="Z33" s="37">
        <f t="shared" si="25"/>
        <v>2460</v>
      </c>
      <c r="AA33" s="37">
        <f t="shared" si="26"/>
        <v>3190</v>
      </c>
      <c r="AB33" s="37">
        <f t="shared" si="27"/>
        <v>6360</v>
      </c>
      <c r="AC33" s="37">
        <f t="shared" si="28"/>
        <v>8890</v>
      </c>
      <c r="AD33" s="35">
        <f t="shared" si="29"/>
        <v>44451</v>
      </c>
      <c r="AF33" s="20">
        <f t="shared" si="1"/>
        <v>2.65</v>
      </c>
      <c r="AG33" s="20">
        <f t="shared" si="2"/>
        <v>9.2000000000000011</v>
      </c>
      <c r="AH33" s="20">
        <f t="shared" si="3"/>
        <v>12.3</v>
      </c>
      <c r="AI33" s="20">
        <f t="shared" si="4"/>
        <v>7.15</v>
      </c>
      <c r="AJ33" s="20">
        <f t="shared" si="5"/>
        <v>19.5</v>
      </c>
      <c r="AK33" s="20">
        <f t="shared" si="6"/>
        <v>15.005000000000001</v>
      </c>
      <c r="AL33" s="20">
        <f t="shared" si="7"/>
        <v>11.4</v>
      </c>
      <c r="AM33" s="20">
        <f t="shared" si="8"/>
        <v>17.350000000000001</v>
      </c>
      <c r="AN33" s="20">
        <f t="shared" si="9"/>
        <v>23.2</v>
      </c>
      <c r="AO33" s="20">
        <f t="shared" si="10"/>
        <v>12.3</v>
      </c>
      <c r="AP33" s="20">
        <f t="shared" si="11"/>
        <v>15.950000000000001</v>
      </c>
      <c r="AQ33" s="20">
        <f t="shared" si="12"/>
        <v>31.8</v>
      </c>
      <c r="AR33" s="20">
        <f t="shared" si="13"/>
        <v>44.45</v>
      </c>
      <c r="AS33" s="35">
        <f t="shared" si="30"/>
        <v>222.255</v>
      </c>
      <c r="AU33" s="47">
        <v>481320</v>
      </c>
      <c r="AV33" s="37">
        <f t="shared" si="34"/>
        <v>1427</v>
      </c>
      <c r="AW33" s="35">
        <f t="shared" si="14"/>
        <v>2.8540000000000001</v>
      </c>
    </row>
    <row r="34" spans="1:49" x14ac:dyDescent="0.25">
      <c r="A34" s="23">
        <v>44255</v>
      </c>
      <c r="B34" s="51">
        <v>44</v>
      </c>
      <c r="C34" s="50">
        <v>6539520</v>
      </c>
      <c r="D34" s="24">
        <v>15145620</v>
      </c>
      <c r="E34" s="24">
        <v>2417050</v>
      </c>
      <c r="F34" s="24">
        <v>3321520</v>
      </c>
      <c r="G34" s="24">
        <v>10007380</v>
      </c>
      <c r="H34" s="24">
        <v>5218200</v>
      </c>
      <c r="I34" s="24">
        <v>4851460</v>
      </c>
      <c r="J34" s="24">
        <v>5617410</v>
      </c>
      <c r="K34" s="24">
        <v>8757120</v>
      </c>
      <c r="L34" s="24">
        <v>3594230</v>
      </c>
      <c r="M34" s="24">
        <v>7586790</v>
      </c>
      <c r="N34" s="24">
        <v>11367310</v>
      </c>
      <c r="O34" s="24">
        <v>15651940</v>
      </c>
      <c r="Q34" s="37">
        <f>IF((C34-C33&lt;0), "0",C34-C33)</f>
        <v>540</v>
      </c>
      <c r="R34" s="37">
        <f t="shared" si="18"/>
        <v>1870</v>
      </c>
      <c r="S34" s="37">
        <f t="shared" si="16"/>
        <v>2510</v>
      </c>
      <c r="T34" s="37">
        <f t="shared" si="19"/>
        <v>1460</v>
      </c>
      <c r="U34" s="37">
        <f t="shared" si="20"/>
        <v>3840</v>
      </c>
      <c r="V34" s="37">
        <f t="shared" si="21"/>
        <v>2979</v>
      </c>
      <c r="W34" s="37">
        <f t="shared" si="22"/>
        <v>2340</v>
      </c>
      <c r="X34" s="37">
        <f t="shared" si="23"/>
        <v>3500</v>
      </c>
      <c r="Y34" s="37">
        <f t="shared" si="24"/>
        <v>4700</v>
      </c>
      <c r="Z34" s="37">
        <f t="shared" si="25"/>
        <v>2530</v>
      </c>
      <c r="AA34" s="37">
        <f t="shared" si="26"/>
        <v>3320</v>
      </c>
      <c r="AB34" s="37">
        <f t="shared" si="27"/>
        <v>6620</v>
      </c>
      <c r="AC34" s="37">
        <f t="shared" si="28"/>
        <v>9070</v>
      </c>
      <c r="AD34" s="35">
        <f t="shared" si="29"/>
        <v>45279</v>
      </c>
      <c r="AF34" s="20">
        <f>Q34*$D$39</f>
        <v>2.7</v>
      </c>
      <c r="AG34" s="20">
        <f t="shared" si="2"/>
        <v>9.35</v>
      </c>
      <c r="AH34" s="20">
        <f t="shared" si="3"/>
        <v>12.55</v>
      </c>
      <c r="AI34" s="20">
        <f t="shared" si="4"/>
        <v>7.3</v>
      </c>
      <c r="AJ34" s="20">
        <f t="shared" si="5"/>
        <v>19.2</v>
      </c>
      <c r="AK34" s="20">
        <f t="shared" si="6"/>
        <v>14.895</v>
      </c>
      <c r="AL34" s="20">
        <f t="shared" si="7"/>
        <v>11.700000000000001</v>
      </c>
      <c r="AM34" s="20">
        <f t="shared" si="8"/>
        <v>17.5</v>
      </c>
      <c r="AN34" s="20">
        <f t="shared" si="9"/>
        <v>23.5</v>
      </c>
      <c r="AO34" s="20">
        <f t="shared" si="10"/>
        <v>12.65</v>
      </c>
      <c r="AP34" s="20">
        <f t="shared" si="11"/>
        <v>16.600000000000001</v>
      </c>
      <c r="AQ34" s="20">
        <f t="shared" si="12"/>
        <v>33.1</v>
      </c>
      <c r="AR34" s="20">
        <f t="shared" si="13"/>
        <v>45.35</v>
      </c>
      <c r="AS34" s="35">
        <f>SUM(AF34:AR34)</f>
        <v>226.39499999999998</v>
      </c>
      <c r="AU34" s="47">
        <v>482728</v>
      </c>
      <c r="AV34" s="37">
        <f t="shared" si="34"/>
        <v>1408</v>
      </c>
      <c r="AW34" s="35">
        <f t="shared" si="14"/>
        <v>2.8159999999999998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8"/>
        <v>0</v>
      </c>
      <c r="S35" s="37" t="str">
        <f t="shared" si="16"/>
        <v>0</v>
      </c>
      <c r="T35" s="37" t="str">
        <f t="shared" si="19"/>
        <v>0</v>
      </c>
      <c r="U35" s="37" t="str">
        <f t="shared" si="20"/>
        <v>0</v>
      </c>
      <c r="V35" s="37" t="str">
        <f t="shared" si="21"/>
        <v>0</v>
      </c>
      <c r="W35" s="37" t="str">
        <f t="shared" si="22"/>
        <v>0</v>
      </c>
      <c r="X35" s="37" t="str">
        <f t="shared" si="23"/>
        <v>0</v>
      </c>
      <c r="Y35" s="37" t="str">
        <f t="shared" si="24"/>
        <v>0</v>
      </c>
      <c r="Z35" s="37" t="str">
        <f t="shared" si="25"/>
        <v>0</v>
      </c>
      <c r="AA35" s="37" t="str">
        <f t="shared" si="26"/>
        <v>0</v>
      </c>
      <c r="AB35" s="37">
        <v>0</v>
      </c>
      <c r="AC35" s="37" t="str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15190</v>
      </c>
      <c r="R38" s="38">
        <f t="shared" ref="R38:AD38" si="62">SUM(R7:R37)</f>
        <v>52460</v>
      </c>
      <c r="S38" s="38">
        <f t="shared" si="62"/>
        <v>78200</v>
      </c>
      <c r="T38" s="38">
        <f t="shared" si="62"/>
        <v>41260</v>
      </c>
      <c r="U38" s="38">
        <f t="shared" si="62"/>
        <v>140010</v>
      </c>
      <c r="V38" s="38">
        <f t="shared" si="62"/>
        <v>94320</v>
      </c>
      <c r="W38" s="38">
        <f t="shared" si="62"/>
        <v>67190</v>
      </c>
      <c r="X38" s="38">
        <f t="shared" si="62"/>
        <v>108910</v>
      </c>
      <c r="Y38" s="38">
        <f t="shared" si="62"/>
        <v>146670</v>
      </c>
      <c r="Z38" s="38">
        <f t="shared" si="62"/>
        <v>71270</v>
      </c>
      <c r="AA38" s="38">
        <f t="shared" si="62"/>
        <v>96720</v>
      </c>
      <c r="AB38" s="38">
        <f t="shared" si="62"/>
        <v>192570</v>
      </c>
      <c r="AC38" s="38">
        <f t="shared" si="62"/>
        <v>290460</v>
      </c>
      <c r="AD38" s="38">
        <f t="shared" si="62"/>
        <v>1395230</v>
      </c>
      <c r="AF38" s="35">
        <f t="shared" ref="AF38:AS38" si="63">SUM(AF7:AF34)</f>
        <v>75.95</v>
      </c>
      <c r="AG38" s="35">
        <f t="shared" si="63"/>
        <v>262.29999999999995</v>
      </c>
      <c r="AH38" s="35">
        <f t="shared" si="63"/>
        <v>391.00000000000006</v>
      </c>
      <c r="AI38" s="35">
        <f t="shared" si="63"/>
        <v>206.29999999999993</v>
      </c>
      <c r="AJ38" s="35">
        <f t="shared" si="63"/>
        <v>700.05000000000007</v>
      </c>
      <c r="AK38" s="35">
        <f t="shared" si="63"/>
        <v>471.6</v>
      </c>
      <c r="AL38" s="35">
        <f t="shared" si="63"/>
        <v>335.94999999999987</v>
      </c>
      <c r="AM38" s="35">
        <f t="shared" si="63"/>
        <v>544.55000000000007</v>
      </c>
      <c r="AN38" s="35">
        <f t="shared" si="63"/>
        <v>733.34999999999991</v>
      </c>
      <c r="AO38" s="35">
        <f t="shared" si="63"/>
        <v>356.35</v>
      </c>
      <c r="AP38" s="35">
        <f t="shared" si="63"/>
        <v>483.60000000000008</v>
      </c>
      <c r="AQ38" s="35">
        <f t="shared" si="63"/>
        <v>962.85</v>
      </c>
      <c r="AR38" s="35">
        <f t="shared" si="63"/>
        <v>1452.3000000000002</v>
      </c>
      <c r="AS38" s="35">
        <f t="shared" si="63"/>
        <v>6976.1500000000015</v>
      </c>
      <c r="AU38" s="48"/>
      <c r="AV38" s="35">
        <f>SUM(AV7:AV34)</f>
        <v>46263</v>
      </c>
      <c r="AW38" s="35">
        <f>SUM(AW7:AW34)</f>
        <v>92.525999999999996</v>
      </c>
    </row>
    <row r="39" spans="1:49" x14ac:dyDescent="0.25">
      <c r="D39">
        <v>5.0000000000000001E-3</v>
      </c>
      <c r="AV39" s="36">
        <f>AV38*0.00378541*1000</f>
        <v>175124.42283</v>
      </c>
    </row>
    <row r="40" spans="1:49" x14ac:dyDescent="0.25">
      <c r="D40">
        <v>2E-3</v>
      </c>
      <c r="AV40">
        <f>AV39/31</f>
        <v>5649.1749300000001</v>
      </c>
    </row>
    <row r="41" spans="1:49" x14ac:dyDescent="0.25">
      <c r="AV41">
        <f>AV38*0.00378541</f>
        <v>175.12442282999999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2021-03-01T05:32:32Z</dcterms:modified>
</cp:coreProperties>
</file>