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" l="1"/>
  <c r="T5" i="2" l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R3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4"/>
  <c r="X2" i="4"/>
  <c r="Y2" i="4" s="1"/>
  <c r="Z2" i="4"/>
  <c r="P6" i="4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AF6" i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6" i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6" i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6" i="4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6" i="4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N6" i="4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J6" i="4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E6" i="4" l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<sst xmlns="http://schemas.openxmlformats.org/spreadsheetml/2006/main" count="511" uniqueCount="151">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</sst>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F44" sqref="F4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83694.023523999989</v>
      </c>
      <c r="F4" s="126">
        <v>1.27</v>
      </c>
      <c r="G4" s="36">
        <f>Gas!C5*0.9147</f>
        <v>344.84190000000001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26">
        <v>1.27</v>
      </c>
      <c r="G5" s="36">
        <f>Gas!C6*0.9147</f>
        <v>0</v>
      </c>
      <c r="H5" s="127">
        <v>3.65</v>
      </c>
      <c r="I5" s="129">
        <f>Submetering!H5+Submetering!AD5+Submetering!AE5</f>
        <v>-194</v>
      </c>
      <c r="J5" s="129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26">
        <v>1.27</v>
      </c>
      <c r="G6" s="36">
        <f>Gas!C7*0.9147</f>
        <v>0</v>
      </c>
      <c r="H6" s="127">
        <v>3.65</v>
      </c>
      <c r="I6" s="129">
        <f>Submetering!H6+Submetering!AD6+Submetering!AE6</f>
        <v>-194</v>
      </c>
      <c r="J6" s="129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6">
        <v>1.27</v>
      </c>
      <c r="G7" s="36">
        <f>Gas!C8*0.9147</f>
        <v>0</v>
      </c>
      <c r="H7" s="127">
        <v>3.65</v>
      </c>
      <c r="I7" s="129">
        <f>Submetering!H7+Submetering!AD7+Submetering!AE7</f>
        <v>-194</v>
      </c>
      <c r="J7" s="129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6">
        <v>1.27</v>
      </c>
      <c r="G8" s="36">
        <f>Gas!C9*0.9147</f>
        <v>0</v>
      </c>
      <c r="H8" s="127">
        <v>3.65</v>
      </c>
      <c r="I8" s="129">
        <f>Submetering!H8+Submetering!AD8+Submetering!AE8</f>
        <v>-194</v>
      </c>
      <c r="J8" s="129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6">
        <v>1.27</v>
      </c>
      <c r="G9" s="36">
        <f>Gas!C10*0.9147</f>
        <v>0</v>
      </c>
      <c r="H9" s="127">
        <v>3.65</v>
      </c>
      <c r="I9" s="129">
        <f>Submetering!H9+Submetering!AD9+Submetering!AE9</f>
        <v>-194</v>
      </c>
      <c r="J9" s="129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>
        <f>ELECT.!F6</f>
        <v>0</v>
      </c>
      <c r="J5" s="36">
        <f>ELECT.!H6</f>
        <v>0</v>
      </c>
      <c r="K5" s="36">
        <f>ELECT.!K6</f>
        <v>0</v>
      </c>
      <c r="L5" s="36">
        <f>ELECT.!M6</f>
        <v>0</v>
      </c>
      <c r="M5" s="36">
        <f>ELECT.!O6</f>
        <v>0</v>
      </c>
      <c r="N5" s="36">
        <f>ELECT.!Q6</f>
        <v>0</v>
      </c>
      <c r="O5" s="36">
        <f>ELECT.!S6</f>
        <v>0</v>
      </c>
      <c r="P5" s="36">
        <f>ELECT.!W6*2</f>
        <v>0</v>
      </c>
      <c r="Q5" s="36">
        <f>ELECT.!D6</f>
        <v>0</v>
      </c>
      <c r="R5" s="129">
        <f>BTU!C6</f>
        <v>0</v>
      </c>
      <c r="S5" s="129">
        <f>BTU!F6</f>
        <v>0</v>
      </c>
      <c r="T5" s="129">
        <f>BTU!I6</f>
        <v>0</v>
      </c>
      <c r="U5" s="129">
        <f>BTU!O6</f>
        <v>0</v>
      </c>
      <c r="V5" s="129">
        <f>BTU!L6</f>
        <v>0</v>
      </c>
      <c r="W5" s="129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29">
        <f>BTU!C7</f>
        <v>0</v>
      </c>
      <c r="S6" s="129">
        <f>BTU!F7</f>
        <v>0</v>
      </c>
      <c r="T6" s="129">
        <f>BTU!I7</f>
        <v>0</v>
      </c>
      <c r="U6" s="129">
        <f>BTU!O7</f>
        <v>0</v>
      </c>
      <c r="V6" s="129">
        <f>BTU!L7</f>
        <v>0</v>
      </c>
      <c r="W6" s="129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29">
        <f>BTU!C8</f>
        <v>0</v>
      </c>
      <c r="S7" s="129">
        <f>BTU!F8</f>
        <v>0</v>
      </c>
      <c r="T7" s="129">
        <f>BTU!I8</f>
        <v>0</v>
      </c>
      <c r="U7" s="129">
        <f>BTU!O8</f>
        <v>0</v>
      </c>
      <c r="V7" s="129">
        <f>BTU!L8</f>
        <v>0</v>
      </c>
      <c r="W7" s="129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29">
        <f>BTU!C9</f>
        <v>0</v>
      </c>
      <c r="S8" s="129">
        <f>BTU!F9</f>
        <v>0</v>
      </c>
      <c r="T8" s="129">
        <f>BTU!I9</f>
        <v>0</v>
      </c>
      <c r="U8" s="129">
        <f>BTU!O9</f>
        <v>0</v>
      </c>
      <c r="V8" s="129">
        <f>BTU!L9</f>
        <v>0</v>
      </c>
      <c r="W8" s="129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29">
        <f>BTU!C10</f>
        <v>0</v>
      </c>
      <c r="S9" s="129">
        <f>BTU!F10</f>
        <v>0</v>
      </c>
      <c r="T9" s="129">
        <f>BTU!I10</f>
        <v>0</v>
      </c>
      <c r="U9" s="129">
        <f>BTU!O10</f>
        <v>0</v>
      </c>
      <c r="V9" s="129">
        <f>BTU!L10</f>
        <v>0</v>
      </c>
      <c r="W9" s="129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T5" sqref="T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f t="shared" ref="B5:B32" si="11">B4</f>
        <v>47802</v>
      </c>
      <c r="C5" s="14">
        <f t="shared" si="3"/>
        <v>0</v>
      </c>
      <c r="D5" s="32">
        <f t="shared" ref="D5:D32" si="12">D4</f>
        <v>41107</v>
      </c>
      <c r="E5" s="14">
        <f t="shared" si="4"/>
        <v>0</v>
      </c>
      <c r="F5" s="32">
        <f t="shared" ref="F5:F32" si="13">F4</f>
        <v>22242</v>
      </c>
      <c r="G5" s="14">
        <f t="shared" si="5"/>
        <v>0</v>
      </c>
      <c r="H5" s="32">
        <f t="shared" ref="H5:H32" si="14">H4</f>
        <v>259893</v>
      </c>
      <c r="I5" s="14">
        <f t="shared" si="6"/>
        <v>0</v>
      </c>
      <c r="J5" s="32">
        <f t="shared" ref="J5:J32" si="15">J4</f>
        <v>340656</v>
      </c>
      <c r="K5" s="14">
        <f t="shared" si="7"/>
        <v>0</v>
      </c>
      <c r="L5" s="32">
        <f t="shared" ref="L5:L32" si="16">L4</f>
        <v>26644</v>
      </c>
      <c r="M5" s="14">
        <f t="shared" si="8"/>
        <v>0</v>
      </c>
      <c r="N5" s="32">
        <f t="shared" ref="N5:N32" si="17">N4</f>
        <v>226531</v>
      </c>
      <c r="O5" s="14">
        <f t="shared" si="9"/>
        <v>0</v>
      </c>
      <c r="P5" s="32">
        <f t="shared" ref="P5:P32" si="18">P4</f>
        <v>177226</v>
      </c>
      <c r="Q5" s="14">
        <f t="shared" si="2"/>
        <v>0</v>
      </c>
      <c r="R5" s="1">
        <f t="shared" ref="R5:R32" si="19">R4</f>
        <v>55047</v>
      </c>
      <c r="S5" s="14">
        <f t="shared" ref="S5:S32" si="20">R5-R4</f>
        <v>0</v>
      </c>
      <c r="T5" s="32">
        <f t="shared" ref="T5:T32" si="21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f t="shared" si="11"/>
        <v>47802</v>
      </c>
      <c r="C6" s="14">
        <f t="shared" si="3"/>
        <v>0</v>
      </c>
      <c r="D6" s="32">
        <f t="shared" si="12"/>
        <v>41107</v>
      </c>
      <c r="E6" s="14">
        <f t="shared" si="4"/>
        <v>0</v>
      </c>
      <c r="F6" s="32">
        <f t="shared" si="13"/>
        <v>22242</v>
      </c>
      <c r="G6" s="14">
        <f t="shared" si="5"/>
        <v>0</v>
      </c>
      <c r="H6" s="32">
        <f t="shared" si="14"/>
        <v>259893</v>
      </c>
      <c r="I6" s="14">
        <f t="shared" si="6"/>
        <v>0</v>
      </c>
      <c r="J6" s="32">
        <f t="shared" si="15"/>
        <v>340656</v>
      </c>
      <c r="K6" s="14">
        <f t="shared" si="7"/>
        <v>0</v>
      </c>
      <c r="L6" s="32">
        <f t="shared" si="16"/>
        <v>26644</v>
      </c>
      <c r="M6" s="14">
        <f t="shared" si="8"/>
        <v>0</v>
      </c>
      <c r="N6" s="32">
        <f t="shared" si="17"/>
        <v>226531</v>
      </c>
      <c r="O6" s="14">
        <f t="shared" si="9"/>
        <v>0</v>
      </c>
      <c r="P6" s="32">
        <f t="shared" si="18"/>
        <v>177226</v>
      </c>
      <c r="Q6" s="14">
        <f t="shared" si="2"/>
        <v>0</v>
      </c>
      <c r="R6" s="1">
        <f t="shared" si="19"/>
        <v>55047</v>
      </c>
      <c r="S6" s="14">
        <v>0</v>
      </c>
      <c r="T6" s="32">
        <f t="shared" si="21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f t="shared" si="11"/>
        <v>47802</v>
      </c>
      <c r="C7" s="14">
        <f t="shared" si="3"/>
        <v>0</v>
      </c>
      <c r="D7" s="32">
        <f t="shared" si="12"/>
        <v>41107</v>
      </c>
      <c r="E7" s="14">
        <f t="shared" si="4"/>
        <v>0</v>
      </c>
      <c r="F7" s="32">
        <f t="shared" si="13"/>
        <v>22242</v>
      </c>
      <c r="G7" s="14">
        <f t="shared" si="5"/>
        <v>0</v>
      </c>
      <c r="H7" s="32">
        <f t="shared" si="14"/>
        <v>259893</v>
      </c>
      <c r="I7" s="14">
        <f t="shared" si="6"/>
        <v>0</v>
      </c>
      <c r="J7" s="32">
        <f t="shared" si="15"/>
        <v>340656</v>
      </c>
      <c r="K7" s="14">
        <f t="shared" si="7"/>
        <v>0</v>
      </c>
      <c r="L7" s="32">
        <f t="shared" si="16"/>
        <v>26644</v>
      </c>
      <c r="M7" s="14">
        <f t="shared" si="8"/>
        <v>0</v>
      </c>
      <c r="N7" s="32">
        <f t="shared" si="17"/>
        <v>226531</v>
      </c>
      <c r="O7" s="14">
        <f t="shared" si="9"/>
        <v>0</v>
      </c>
      <c r="P7" s="32">
        <f t="shared" si="18"/>
        <v>177226</v>
      </c>
      <c r="Q7" s="14">
        <f t="shared" si="2"/>
        <v>0</v>
      </c>
      <c r="R7" s="1">
        <f t="shared" si="19"/>
        <v>55047</v>
      </c>
      <c r="S7" s="14">
        <v>0</v>
      </c>
      <c r="T7" s="32">
        <f t="shared" si="21"/>
        <v>4084</v>
      </c>
      <c r="U7" s="14">
        <f t="shared" si="10"/>
        <v>0</v>
      </c>
    </row>
    <row r="8" spans="1:24" ht="13.5" thickBot="1" x14ac:dyDescent="0.25">
      <c r="A8" s="9">
        <v>44871</v>
      </c>
      <c r="B8" s="32">
        <f t="shared" si="11"/>
        <v>47802</v>
      </c>
      <c r="C8" s="14">
        <f t="shared" si="3"/>
        <v>0</v>
      </c>
      <c r="D8" s="32">
        <f t="shared" si="12"/>
        <v>41107</v>
      </c>
      <c r="E8" s="14">
        <f t="shared" si="4"/>
        <v>0</v>
      </c>
      <c r="F8" s="32">
        <f t="shared" si="13"/>
        <v>22242</v>
      </c>
      <c r="G8" s="14">
        <f t="shared" si="5"/>
        <v>0</v>
      </c>
      <c r="H8" s="32">
        <f t="shared" si="14"/>
        <v>259893</v>
      </c>
      <c r="I8" s="14">
        <f t="shared" si="6"/>
        <v>0</v>
      </c>
      <c r="J8" s="32">
        <f t="shared" si="15"/>
        <v>340656</v>
      </c>
      <c r="K8" s="14">
        <f t="shared" si="7"/>
        <v>0</v>
      </c>
      <c r="L8" s="32">
        <f t="shared" si="16"/>
        <v>26644</v>
      </c>
      <c r="M8" s="14">
        <f t="shared" si="8"/>
        <v>0</v>
      </c>
      <c r="N8" s="32">
        <f t="shared" si="17"/>
        <v>226531</v>
      </c>
      <c r="O8" s="14">
        <f t="shared" si="9"/>
        <v>0</v>
      </c>
      <c r="P8" s="32">
        <f t="shared" si="18"/>
        <v>177226</v>
      </c>
      <c r="Q8" s="14">
        <f t="shared" si="2"/>
        <v>0</v>
      </c>
      <c r="R8" s="1">
        <f t="shared" si="19"/>
        <v>55047</v>
      </c>
      <c r="S8" s="14">
        <f>R8-R7</f>
        <v>0</v>
      </c>
      <c r="T8" s="32">
        <f t="shared" si="21"/>
        <v>4084</v>
      </c>
      <c r="U8" s="14">
        <f t="shared" si="10"/>
        <v>0</v>
      </c>
    </row>
    <row r="9" spans="1:24" ht="13.5" thickBot="1" x14ac:dyDescent="0.25">
      <c r="A9" s="9">
        <v>44872</v>
      </c>
      <c r="B9" s="32">
        <f t="shared" si="11"/>
        <v>47802</v>
      </c>
      <c r="C9" s="14">
        <f t="shared" si="3"/>
        <v>0</v>
      </c>
      <c r="D9" s="32">
        <f t="shared" si="12"/>
        <v>41107</v>
      </c>
      <c r="E9" s="14">
        <f t="shared" si="4"/>
        <v>0</v>
      </c>
      <c r="F9" s="32">
        <f t="shared" si="13"/>
        <v>22242</v>
      </c>
      <c r="G9" s="14">
        <f t="shared" si="5"/>
        <v>0</v>
      </c>
      <c r="H9" s="32">
        <f t="shared" si="14"/>
        <v>259893</v>
      </c>
      <c r="I9" s="14">
        <f t="shared" si="6"/>
        <v>0</v>
      </c>
      <c r="J9" s="32">
        <f t="shared" si="15"/>
        <v>340656</v>
      </c>
      <c r="K9" s="14">
        <f t="shared" si="7"/>
        <v>0</v>
      </c>
      <c r="L9" s="32">
        <f t="shared" si="16"/>
        <v>26644</v>
      </c>
      <c r="M9" s="14">
        <f t="shared" si="8"/>
        <v>0</v>
      </c>
      <c r="N9" s="32">
        <f t="shared" si="17"/>
        <v>226531</v>
      </c>
      <c r="O9" s="14">
        <f t="shared" si="9"/>
        <v>0</v>
      </c>
      <c r="P9" s="32">
        <f t="shared" si="18"/>
        <v>177226</v>
      </c>
      <c r="Q9" s="14">
        <f t="shared" si="2"/>
        <v>0</v>
      </c>
      <c r="R9" s="1">
        <f t="shared" si="19"/>
        <v>55047</v>
      </c>
      <c r="S9" s="14">
        <f>R9-R8</f>
        <v>0</v>
      </c>
      <c r="T9" s="32">
        <f t="shared" si="21"/>
        <v>4084</v>
      </c>
      <c r="U9" s="14">
        <f t="shared" si="10"/>
        <v>0</v>
      </c>
    </row>
    <row r="10" spans="1:24" ht="13.5" thickBot="1" x14ac:dyDescent="0.25">
      <c r="A10" s="9">
        <v>44873</v>
      </c>
      <c r="B10" s="32">
        <f t="shared" si="11"/>
        <v>47802</v>
      </c>
      <c r="C10" s="14">
        <f t="shared" si="3"/>
        <v>0</v>
      </c>
      <c r="D10" s="32">
        <f t="shared" si="12"/>
        <v>41107</v>
      </c>
      <c r="E10" s="14">
        <f t="shared" si="4"/>
        <v>0</v>
      </c>
      <c r="F10" s="32">
        <f t="shared" si="13"/>
        <v>22242</v>
      </c>
      <c r="G10" s="14">
        <f t="shared" si="5"/>
        <v>0</v>
      </c>
      <c r="H10" s="32">
        <f t="shared" si="14"/>
        <v>259893</v>
      </c>
      <c r="I10" s="14">
        <f t="shared" si="6"/>
        <v>0</v>
      </c>
      <c r="J10" s="32">
        <f t="shared" si="15"/>
        <v>340656</v>
      </c>
      <c r="K10" s="14">
        <f t="shared" si="7"/>
        <v>0</v>
      </c>
      <c r="L10" s="32">
        <f t="shared" si="16"/>
        <v>26644</v>
      </c>
      <c r="M10" s="14">
        <f t="shared" si="8"/>
        <v>0</v>
      </c>
      <c r="N10" s="32">
        <f t="shared" si="17"/>
        <v>226531</v>
      </c>
      <c r="O10" s="14">
        <f t="shared" si="9"/>
        <v>0</v>
      </c>
      <c r="P10" s="32">
        <f t="shared" si="18"/>
        <v>177226</v>
      </c>
      <c r="Q10" s="14">
        <f t="shared" si="2"/>
        <v>0</v>
      </c>
      <c r="R10" s="1">
        <f t="shared" si="19"/>
        <v>55047</v>
      </c>
      <c r="S10" s="14">
        <f>R10-R9</f>
        <v>0</v>
      </c>
      <c r="T10" s="32">
        <f t="shared" si="21"/>
        <v>4084</v>
      </c>
      <c r="U10" s="14">
        <f t="shared" si="10"/>
        <v>0</v>
      </c>
    </row>
    <row r="11" spans="1:24" ht="13.5" thickBot="1" x14ac:dyDescent="0.25">
      <c r="A11" s="9">
        <v>44874</v>
      </c>
      <c r="B11" s="32">
        <f t="shared" si="11"/>
        <v>47802</v>
      </c>
      <c r="C11" s="14">
        <f t="shared" si="3"/>
        <v>0</v>
      </c>
      <c r="D11" s="32">
        <f t="shared" si="12"/>
        <v>41107</v>
      </c>
      <c r="E11" s="14">
        <f t="shared" si="4"/>
        <v>0</v>
      </c>
      <c r="F11" s="32">
        <f t="shared" si="13"/>
        <v>22242</v>
      </c>
      <c r="G11" s="14">
        <f t="shared" si="5"/>
        <v>0</v>
      </c>
      <c r="H11" s="32">
        <f t="shared" si="14"/>
        <v>259893</v>
      </c>
      <c r="I11" s="14">
        <f t="shared" si="6"/>
        <v>0</v>
      </c>
      <c r="J11" s="32">
        <f t="shared" si="15"/>
        <v>340656</v>
      </c>
      <c r="K11" s="14">
        <f t="shared" si="7"/>
        <v>0</v>
      </c>
      <c r="L11" s="32">
        <f t="shared" si="16"/>
        <v>26644</v>
      </c>
      <c r="M11" s="14">
        <f t="shared" si="8"/>
        <v>0</v>
      </c>
      <c r="N11" s="32">
        <f t="shared" si="17"/>
        <v>226531</v>
      </c>
      <c r="O11" s="14">
        <f t="shared" si="9"/>
        <v>0</v>
      </c>
      <c r="P11" s="32">
        <f t="shared" si="18"/>
        <v>177226</v>
      </c>
      <c r="Q11" s="14">
        <f t="shared" si="2"/>
        <v>0</v>
      </c>
      <c r="R11" s="1">
        <f t="shared" si="19"/>
        <v>55047</v>
      </c>
      <c r="S11" s="14">
        <f t="shared" si="20"/>
        <v>0</v>
      </c>
      <c r="T11" s="32">
        <f t="shared" si="21"/>
        <v>4084</v>
      </c>
      <c r="U11" s="14">
        <f t="shared" si="10"/>
        <v>0</v>
      </c>
    </row>
    <row r="12" spans="1:24" ht="13.5" thickBot="1" x14ac:dyDescent="0.25">
      <c r="A12" s="9">
        <v>44875</v>
      </c>
      <c r="B12" s="32">
        <f t="shared" si="11"/>
        <v>47802</v>
      </c>
      <c r="C12" s="14">
        <f t="shared" si="3"/>
        <v>0</v>
      </c>
      <c r="D12" s="32">
        <f t="shared" si="12"/>
        <v>41107</v>
      </c>
      <c r="E12" s="14">
        <f t="shared" si="4"/>
        <v>0</v>
      </c>
      <c r="F12" s="32">
        <f t="shared" si="13"/>
        <v>22242</v>
      </c>
      <c r="G12" s="14">
        <f t="shared" si="5"/>
        <v>0</v>
      </c>
      <c r="H12" s="32">
        <f t="shared" si="14"/>
        <v>259893</v>
      </c>
      <c r="I12" s="14">
        <f t="shared" si="6"/>
        <v>0</v>
      </c>
      <c r="J12" s="32">
        <f t="shared" si="15"/>
        <v>340656</v>
      </c>
      <c r="K12" s="14">
        <f t="shared" si="7"/>
        <v>0</v>
      </c>
      <c r="L12" s="32">
        <f t="shared" si="16"/>
        <v>26644</v>
      </c>
      <c r="M12" s="14">
        <f t="shared" si="8"/>
        <v>0</v>
      </c>
      <c r="N12" s="32">
        <f t="shared" si="17"/>
        <v>226531</v>
      </c>
      <c r="O12" s="14">
        <f t="shared" si="9"/>
        <v>0</v>
      </c>
      <c r="P12" s="32">
        <f t="shared" si="18"/>
        <v>177226</v>
      </c>
      <c r="Q12" s="14">
        <f t="shared" si="2"/>
        <v>0</v>
      </c>
      <c r="R12" s="1">
        <f t="shared" si="19"/>
        <v>55047</v>
      </c>
      <c r="S12" s="14">
        <f t="shared" si="20"/>
        <v>0</v>
      </c>
      <c r="T12" s="32">
        <f t="shared" si="21"/>
        <v>4084</v>
      </c>
      <c r="U12" s="14">
        <f t="shared" si="10"/>
        <v>0</v>
      </c>
    </row>
    <row r="13" spans="1:24" ht="13.5" thickBot="1" x14ac:dyDescent="0.25">
      <c r="A13" s="9">
        <v>44876</v>
      </c>
      <c r="B13" s="32">
        <f t="shared" si="11"/>
        <v>47802</v>
      </c>
      <c r="C13" s="14">
        <f t="shared" si="3"/>
        <v>0</v>
      </c>
      <c r="D13" s="32">
        <f t="shared" si="12"/>
        <v>41107</v>
      </c>
      <c r="E13" s="14">
        <f t="shared" si="4"/>
        <v>0</v>
      </c>
      <c r="F13" s="32">
        <f t="shared" si="13"/>
        <v>22242</v>
      </c>
      <c r="G13" s="14">
        <f t="shared" si="5"/>
        <v>0</v>
      </c>
      <c r="H13" s="32">
        <f t="shared" si="14"/>
        <v>259893</v>
      </c>
      <c r="I13" s="14">
        <f t="shared" si="6"/>
        <v>0</v>
      </c>
      <c r="J13" s="32">
        <f t="shared" si="15"/>
        <v>340656</v>
      </c>
      <c r="K13" s="14">
        <f t="shared" si="7"/>
        <v>0</v>
      </c>
      <c r="L13" s="32">
        <f t="shared" si="16"/>
        <v>26644</v>
      </c>
      <c r="M13" s="14">
        <f t="shared" si="8"/>
        <v>0</v>
      </c>
      <c r="N13" s="32">
        <f t="shared" si="17"/>
        <v>226531</v>
      </c>
      <c r="O13" s="14">
        <f t="shared" si="9"/>
        <v>0</v>
      </c>
      <c r="P13" s="32">
        <f t="shared" si="18"/>
        <v>177226</v>
      </c>
      <c r="Q13" s="14">
        <f t="shared" si="2"/>
        <v>0</v>
      </c>
      <c r="R13" s="1">
        <f t="shared" si="19"/>
        <v>55047</v>
      </c>
      <c r="S13" s="14">
        <f t="shared" si="20"/>
        <v>0</v>
      </c>
      <c r="T13" s="32">
        <f t="shared" si="21"/>
        <v>4084</v>
      </c>
      <c r="U13" s="14">
        <f t="shared" si="10"/>
        <v>0</v>
      </c>
    </row>
    <row r="14" spans="1:24" ht="13.5" thickBot="1" x14ac:dyDescent="0.25">
      <c r="A14" s="9">
        <v>44877</v>
      </c>
      <c r="B14" s="32">
        <f t="shared" si="11"/>
        <v>47802</v>
      </c>
      <c r="C14" s="14">
        <f t="shared" si="3"/>
        <v>0</v>
      </c>
      <c r="D14" s="32">
        <f t="shared" si="12"/>
        <v>41107</v>
      </c>
      <c r="E14" s="14">
        <f t="shared" si="4"/>
        <v>0</v>
      </c>
      <c r="F14" s="32">
        <f t="shared" si="13"/>
        <v>22242</v>
      </c>
      <c r="G14" s="14">
        <f t="shared" si="5"/>
        <v>0</v>
      </c>
      <c r="H14" s="32">
        <f t="shared" si="14"/>
        <v>259893</v>
      </c>
      <c r="I14" s="14">
        <f t="shared" si="6"/>
        <v>0</v>
      </c>
      <c r="J14" s="32">
        <f t="shared" si="15"/>
        <v>340656</v>
      </c>
      <c r="K14" s="14">
        <f t="shared" si="7"/>
        <v>0</v>
      </c>
      <c r="L14" s="32">
        <f t="shared" si="16"/>
        <v>26644</v>
      </c>
      <c r="M14" s="14">
        <f t="shared" si="8"/>
        <v>0</v>
      </c>
      <c r="N14" s="32">
        <f t="shared" si="17"/>
        <v>226531</v>
      </c>
      <c r="O14" s="14">
        <f t="shared" si="9"/>
        <v>0</v>
      </c>
      <c r="P14" s="32">
        <f t="shared" si="18"/>
        <v>177226</v>
      </c>
      <c r="Q14" s="14">
        <f t="shared" si="2"/>
        <v>0</v>
      </c>
      <c r="R14" s="1">
        <f t="shared" si="19"/>
        <v>55047</v>
      </c>
      <c r="S14" s="14">
        <v>0</v>
      </c>
      <c r="T14" s="32">
        <f t="shared" si="21"/>
        <v>4084</v>
      </c>
      <c r="U14" s="14">
        <f t="shared" si="10"/>
        <v>0</v>
      </c>
    </row>
    <row r="15" spans="1:24" ht="13.5" thickBot="1" x14ac:dyDescent="0.25">
      <c r="A15" s="9">
        <v>44878</v>
      </c>
      <c r="B15" s="32">
        <f t="shared" si="11"/>
        <v>47802</v>
      </c>
      <c r="C15" s="14">
        <f t="shared" si="3"/>
        <v>0</v>
      </c>
      <c r="D15" s="32">
        <f t="shared" si="12"/>
        <v>41107</v>
      </c>
      <c r="E15" s="14">
        <f t="shared" si="4"/>
        <v>0</v>
      </c>
      <c r="F15" s="32">
        <f t="shared" si="13"/>
        <v>22242</v>
      </c>
      <c r="G15" s="14">
        <f t="shared" si="5"/>
        <v>0</v>
      </c>
      <c r="H15" s="32">
        <f t="shared" si="14"/>
        <v>259893</v>
      </c>
      <c r="I15" s="14">
        <f t="shared" si="6"/>
        <v>0</v>
      </c>
      <c r="J15" s="32">
        <f t="shared" si="15"/>
        <v>340656</v>
      </c>
      <c r="K15" s="14">
        <f t="shared" si="7"/>
        <v>0</v>
      </c>
      <c r="L15" s="32">
        <f t="shared" si="16"/>
        <v>26644</v>
      </c>
      <c r="M15" s="14">
        <f t="shared" si="8"/>
        <v>0</v>
      </c>
      <c r="N15" s="32">
        <f t="shared" si="17"/>
        <v>226531</v>
      </c>
      <c r="O15" s="14">
        <f t="shared" si="9"/>
        <v>0</v>
      </c>
      <c r="P15" s="32">
        <f t="shared" si="18"/>
        <v>177226</v>
      </c>
      <c r="Q15" s="14">
        <f t="shared" si="2"/>
        <v>0</v>
      </c>
      <c r="R15" s="1">
        <f t="shared" si="19"/>
        <v>55047</v>
      </c>
      <c r="S15" s="14">
        <v>0</v>
      </c>
      <c r="T15" s="32">
        <f t="shared" si="21"/>
        <v>4084</v>
      </c>
      <c r="U15" s="14">
        <f t="shared" si="10"/>
        <v>0</v>
      </c>
      <c r="X15" t="s">
        <v>12</v>
      </c>
    </row>
    <row r="16" spans="1:24" ht="13.5" thickBot="1" x14ac:dyDescent="0.25">
      <c r="A16" s="9">
        <v>44879</v>
      </c>
      <c r="B16" s="32">
        <f t="shared" si="11"/>
        <v>47802</v>
      </c>
      <c r="C16" s="14">
        <f t="shared" si="3"/>
        <v>0</v>
      </c>
      <c r="D16" s="32">
        <f t="shared" si="12"/>
        <v>41107</v>
      </c>
      <c r="E16" s="14">
        <f t="shared" si="4"/>
        <v>0</v>
      </c>
      <c r="F16" s="32">
        <f t="shared" si="13"/>
        <v>22242</v>
      </c>
      <c r="G16" s="14">
        <f t="shared" si="5"/>
        <v>0</v>
      </c>
      <c r="H16" s="32">
        <f t="shared" si="14"/>
        <v>259893</v>
      </c>
      <c r="I16" s="14">
        <f t="shared" si="6"/>
        <v>0</v>
      </c>
      <c r="J16" s="32">
        <f t="shared" si="15"/>
        <v>340656</v>
      </c>
      <c r="K16" s="14">
        <f t="shared" si="7"/>
        <v>0</v>
      </c>
      <c r="L16" s="32">
        <f t="shared" si="16"/>
        <v>26644</v>
      </c>
      <c r="M16" s="14">
        <f t="shared" si="8"/>
        <v>0</v>
      </c>
      <c r="N16" s="32">
        <f t="shared" si="17"/>
        <v>226531</v>
      </c>
      <c r="O16" s="14">
        <f t="shared" si="9"/>
        <v>0</v>
      </c>
      <c r="P16" s="32">
        <f t="shared" si="18"/>
        <v>177226</v>
      </c>
      <c r="Q16" s="14">
        <f t="shared" si="2"/>
        <v>0</v>
      </c>
      <c r="R16" s="1">
        <f t="shared" si="19"/>
        <v>55047</v>
      </c>
      <c r="S16" s="14">
        <f t="shared" si="20"/>
        <v>0</v>
      </c>
      <c r="T16" s="32">
        <f t="shared" si="21"/>
        <v>4084</v>
      </c>
      <c r="U16" s="14">
        <f t="shared" si="10"/>
        <v>0</v>
      </c>
      <c r="W16" t="s">
        <v>12</v>
      </c>
    </row>
    <row r="17" spans="1:23" ht="13.5" thickBot="1" x14ac:dyDescent="0.25">
      <c r="A17" s="9">
        <v>44880</v>
      </c>
      <c r="B17" s="32">
        <f t="shared" si="11"/>
        <v>47802</v>
      </c>
      <c r="C17" s="14">
        <f t="shared" si="3"/>
        <v>0</v>
      </c>
      <c r="D17" s="32">
        <f t="shared" si="12"/>
        <v>41107</v>
      </c>
      <c r="E17" s="14">
        <f t="shared" si="4"/>
        <v>0</v>
      </c>
      <c r="F17" s="32">
        <f t="shared" si="13"/>
        <v>22242</v>
      </c>
      <c r="G17" s="14">
        <f t="shared" si="5"/>
        <v>0</v>
      </c>
      <c r="H17" s="32">
        <f t="shared" si="14"/>
        <v>259893</v>
      </c>
      <c r="I17" s="14">
        <f t="shared" si="6"/>
        <v>0</v>
      </c>
      <c r="J17" s="32">
        <f t="shared" si="15"/>
        <v>340656</v>
      </c>
      <c r="K17" s="14">
        <f t="shared" si="7"/>
        <v>0</v>
      </c>
      <c r="L17" s="32">
        <f t="shared" si="16"/>
        <v>26644</v>
      </c>
      <c r="M17" s="14">
        <f t="shared" si="8"/>
        <v>0</v>
      </c>
      <c r="N17" s="32">
        <f t="shared" si="17"/>
        <v>226531</v>
      </c>
      <c r="O17" s="14">
        <f t="shared" si="9"/>
        <v>0</v>
      </c>
      <c r="P17" s="32">
        <f t="shared" si="18"/>
        <v>177226</v>
      </c>
      <c r="Q17" s="14">
        <f t="shared" si="2"/>
        <v>0</v>
      </c>
      <c r="R17" s="1">
        <f t="shared" si="19"/>
        <v>55047</v>
      </c>
      <c r="S17" s="14">
        <f>S16</f>
        <v>0</v>
      </c>
      <c r="T17" s="32">
        <f t="shared" si="21"/>
        <v>4084</v>
      </c>
      <c r="U17" s="14">
        <f t="shared" si="10"/>
        <v>0</v>
      </c>
    </row>
    <row r="18" spans="1:23" ht="13.5" thickBot="1" x14ac:dyDescent="0.25">
      <c r="A18" s="9">
        <v>44881</v>
      </c>
      <c r="B18" s="32">
        <f t="shared" si="11"/>
        <v>47802</v>
      </c>
      <c r="C18" s="14">
        <f t="shared" si="3"/>
        <v>0</v>
      </c>
      <c r="D18" s="32">
        <f t="shared" si="12"/>
        <v>41107</v>
      </c>
      <c r="E18" s="14">
        <f t="shared" si="4"/>
        <v>0</v>
      </c>
      <c r="F18" s="32">
        <f t="shared" si="13"/>
        <v>22242</v>
      </c>
      <c r="G18" s="14">
        <f t="shared" si="5"/>
        <v>0</v>
      </c>
      <c r="H18" s="32">
        <f t="shared" si="14"/>
        <v>259893</v>
      </c>
      <c r="I18" s="14">
        <f t="shared" si="6"/>
        <v>0</v>
      </c>
      <c r="J18" s="32">
        <f t="shared" si="15"/>
        <v>340656</v>
      </c>
      <c r="K18" s="14">
        <f t="shared" si="7"/>
        <v>0</v>
      </c>
      <c r="L18" s="32">
        <f t="shared" si="16"/>
        <v>26644</v>
      </c>
      <c r="M18" s="14">
        <f t="shared" si="8"/>
        <v>0</v>
      </c>
      <c r="N18" s="32">
        <f t="shared" si="17"/>
        <v>226531</v>
      </c>
      <c r="O18" s="14">
        <f t="shared" si="9"/>
        <v>0</v>
      </c>
      <c r="P18" s="32">
        <f t="shared" si="18"/>
        <v>177226</v>
      </c>
      <c r="Q18" s="14">
        <f t="shared" si="2"/>
        <v>0</v>
      </c>
      <c r="R18" s="1">
        <f t="shared" si="19"/>
        <v>55047</v>
      </c>
      <c r="S18" s="14">
        <f t="shared" si="20"/>
        <v>0</v>
      </c>
      <c r="T18" s="32">
        <f t="shared" si="21"/>
        <v>4084</v>
      </c>
      <c r="U18" s="14">
        <f t="shared" si="10"/>
        <v>0</v>
      </c>
    </row>
    <row r="19" spans="1:23" ht="13.5" thickBot="1" x14ac:dyDescent="0.25">
      <c r="A19" s="9">
        <v>44882</v>
      </c>
      <c r="B19" s="32">
        <f t="shared" si="11"/>
        <v>47802</v>
      </c>
      <c r="C19" s="14">
        <f t="shared" si="3"/>
        <v>0</v>
      </c>
      <c r="D19" s="32">
        <f t="shared" si="12"/>
        <v>41107</v>
      </c>
      <c r="E19" s="14">
        <f t="shared" si="4"/>
        <v>0</v>
      </c>
      <c r="F19" s="32">
        <f t="shared" si="13"/>
        <v>22242</v>
      </c>
      <c r="G19" s="14">
        <f t="shared" si="5"/>
        <v>0</v>
      </c>
      <c r="H19" s="32">
        <f t="shared" si="14"/>
        <v>259893</v>
      </c>
      <c r="I19" s="14">
        <f t="shared" si="6"/>
        <v>0</v>
      </c>
      <c r="J19" s="32">
        <f t="shared" si="15"/>
        <v>340656</v>
      </c>
      <c r="K19" s="14">
        <f t="shared" si="7"/>
        <v>0</v>
      </c>
      <c r="L19" s="32">
        <f t="shared" si="16"/>
        <v>26644</v>
      </c>
      <c r="M19" s="14">
        <f t="shared" si="8"/>
        <v>0</v>
      </c>
      <c r="N19" s="32">
        <f t="shared" si="17"/>
        <v>226531</v>
      </c>
      <c r="O19" s="14">
        <f t="shared" si="9"/>
        <v>0</v>
      </c>
      <c r="P19" s="32">
        <f t="shared" si="18"/>
        <v>177226</v>
      </c>
      <c r="Q19" s="14">
        <f t="shared" si="2"/>
        <v>0</v>
      </c>
      <c r="R19" s="1">
        <f t="shared" si="19"/>
        <v>55047</v>
      </c>
      <c r="S19" s="14">
        <f t="shared" si="20"/>
        <v>0</v>
      </c>
      <c r="T19" s="32">
        <f t="shared" si="21"/>
        <v>4084</v>
      </c>
      <c r="U19" s="14">
        <f t="shared" si="10"/>
        <v>0</v>
      </c>
      <c r="W19" t="s">
        <v>12</v>
      </c>
    </row>
    <row r="20" spans="1:23" ht="13.5" thickBot="1" x14ac:dyDescent="0.25">
      <c r="A20" s="9">
        <v>44883</v>
      </c>
      <c r="B20" s="32">
        <f t="shared" si="11"/>
        <v>47802</v>
      </c>
      <c r="C20" s="14">
        <f t="shared" si="3"/>
        <v>0</v>
      </c>
      <c r="D20" s="32">
        <f t="shared" si="12"/>
        <v>41107</v>
      </c>
      <c r="E20" s="14">
        <f t="shared" si="4"/>
        <v>0</v>
      </c>
      <c r="F20" s="32">
        <f t="shared" si="13"/>
        <v>22242</v>
      </c>
      <c r="G20" s="14">
        <f t="shared" si="5"/>
        <v>0</v>
      </c>
      <c r="H20" s="32">
        <f t="shared" si="14"/>
        <v>259893</v>
      </c>
      <c r="I20" s="14">
        <f t="shared" si="6"/>
        <v>0</v>
      </c>
      <c r="J20" s="32">
        <f t="shared" si="15"/>
        <v>340656</v>
      </c>
      <c r="K20" s="14">
        <f t="shared" si="7"/>
        <v>0</v>
      </c>
      <c r="L20" s="32">
        <f t="shared" si="16"/>
        <v>26644</v>
      </c>
      <c r="M20" s="14">
        <f t="shared" si="8"/>
        <v>0</v>
      </c>
      <c r="N20" s="32">
        <f t="shared" si="17"/>
        <v>226531</v>
      </c>
      <c r="O20" s="14">
        <f t="shared" si="9"/>
        <v>0</v>
      </c>
      <c r="P20" s="32">
        <f t="shared" si="18"/>
        <v>177226</v>
      </c>
      <c r="Q20" s="14">
        <f t="shared" si="2"/>
        <v>0</v>
      </c>
      <c r="R20" s="1">
        <f t="shared" si="19"/>
        <v>55047</v>
      </c>
      <c r="S20" s="14">
        <f t="shared" si="20"/>
        <v>0</v>
      </c>
      <c r="T20" s="32">
        <f t="shared" si="21"/>
        <v>4084</v>
      </c>
      <c r="U20" s="14">
        <f t="shared" si="10"/>
        <v>0</v>
      </c>
    </row>
    <row r="21" spans="1:23" ht="13.5" thickBot="1" x14ac:dyDescent="0.25">
      <c r="A21" s="9">
        <v>44884</v>
      </c>
      <c r="B21" s="32">
        <f t="shared" si="11"/>
        <v>47802</v>
      </c>
      <c r="C21" s="14">
        <f t="shared" si="3"/>
        <v>0</v>
      </c>
      <c r="D21" s="32">
        <f t="shared" si="12"/>
        <v>41107</v>
      </c>
      <c r="E21" s="14">
        <f t="shared" si="4"/>
        <v>0</v>
      </c>
      <c r="F21" s="32">
        <f t="shared" si="13"/>
        <v>22242</v>
      </c>
      <c r="G21" s="14">
        <f t="shared" si="5"/>
        <v>0</v>
      </c>
      <c r="H21" s="32">
        <f t="shared" si="14"/>
        <v>259893</v>
      </c>
      <c r="I21" s="14">
        <f t="shared" si="6"/>
        <v>0</v>
      </c>
      <c r="J21" s="32">
        <f t="shared" si="15"/>
        <v>340656</v>
      </c>
      <c r="K21" s="14">
        <f t="shared" si="7"/>
        <v>0</v>
      </c>
      <c r="L21" s="32">
        <f t="shared" si="16"/>
        <v>26644</v>
      </c>
      <c r="M21" s="14">
        <f t="shared" si="8"/>
        <v>0</v>
      </c>
      <c r="N21" s="32">
        <f t="shared" si="17"/>
        <v>226531</v>
      </c>
      <c r="O21" s="14">
        <f t="shared" si="9"/>
        <v>0</v>
      </c>
      <c r="P21" s="32">
        <f t="shared" si="18"/>
        <v>177226</v>
      </c>
      <c r="Q21" s="14">
        <f t="shared" si="2"/>
        <v>0</v>
      </c>
      <c r="R21" s="1">
        <f t="shared" si="19"/>
        <v>55047</v>
      </c>
      <c r="S21" s="14">
        <f t="shared" si="20"/>
        <v>0</v>
      </c>
      <c r="T21" s="32">
        <f t="shared" si="21"/>
        <v>4084</v>
      </c>
      <c r="U21" s="14">
        <f t="shared" si="10"/>
        <v>0</v>
      </c>
    </row>
    <row r="22" spans="1:23" ht="13.5" thickBot="1" x14ac:dyDescent="0.25">
      <c r="A22" s="9">
        <v>44885</v>
      </c>
      <c r="B22" s="32">
        <f t="shared" si="11"/>
        <v>47802</v>
      </c>
      <c r="C22" s="14">
        <f t="shared" si="3"/>
        <v>0</v>
      </c>
      <c r="D22" s="32">
        <f t="shared" si="12"/>
        <v>41107</v>
      </c>
      <c r="E22" s="14">
        <f t="shared" si="4"/>
        <v>0</v>
      </c>
      <c r="F22" s="32">
        <f t="shared" si="13"/>
        <v>22242</v>
      </c>
      <c r="G22" s="14">
        <f t="shared" si="5"/>
        <v>0</v>
      </c>
      <c r="H22" s="32">
        <f t="shared" si="14"/>
        <v>259893</v>
      </c>
      <c r="I22" s="14">
        <f t="shared" si="6"/>
        <v>0</v>
      </c>
      <c r="J22" s="32">
        <f t="shared" si="15"/>
        <v>340656</v>
      </c>
      <c r="K22" s="14">
        <f t="shared" si="7"/>
        <v>0</v>
      </c>
      <c r="L22" s="32">
        <f t="shared" si="16"/>
        <v>26644</v>
      </c>
      <c r="M22" s="14">
        <f t="shared" si="8"/>
        <v>0</v>
      </c>
      <c r="N22" s="32">
        <f t="shared" si="17"/>
        <v>226531</v>
      </c>
      <c r="O22" s="14">
        <f t="shared" si="9"/>
        <v>0</v>
      </c>
      <c r="P22" s="32">
        <f t="shared" si="18"/>
        <v>177226</v>
      </c>
      <c r="Q22" s="14">
        <f t="shared" si="2"/>
        <v>0</v>
      </c>
      <c r="R22" s="1">
        <f t="shared" si="19"/>
        <v>55047</v>
      </c>
      <c r="S22" s="14">
        <f t="shared" si="20"/>
        <v>0</v>
      </c>
      <c r="T22" s="32">
        <f t="shared" si="21"/>
        <v>4084</v>
      </c>
      <c r="U22" s="14">
        <f t="shared" si="10"/>
        <v>0</v>
      </c>
    </row>
    <row r="23" spans="1:23" ht="13.5" thickBot="1" x14ac:dyDescent="0.25">
      <c r="A23" s="9">
        <v>44886</v>
      </c>
      <c r="B23" s="32">
        <f t="shared" si="11"/>
        <v>47802</v>
      </c>
      <c r="C23" s="14">
        <f t="shared" si="3"/>
        <v>0</v>
      </c>
      <c r="D23" s="32">
        <f t="shared" si="12"/>
        <v>41107</v>
      </c>
      <c r="E23" s="14">
        <f t="shared" si="4"/>
        <v>0</v>
      </c>
      <c r="F23" s="32">
        <f t="shared" si="13"/>
        <v>22242</v>
      </c>
      <c r="G23" s="14">
        <f t="shared" si="5"/>
        <v>0</v>
      </c>
      <c r="H23" s="32">
        <f t="shared" si="14"/>
        <v>259893</v>
      </c>
      <c r="I23" s="14">
        <f t="shared" si="6"/>
        <v>0</v>
      </c>
      <c r="J23" s="32">
        <f t="shared" si="15"/>
        <v>340656</v>
      </c>
      <c r="K23" s="14">
        <f t="shared" si="7"/>
        <v>0</v>
      </c>
      <c r="L23" s="32">
        <f t="shared" si="16"/>
        <v>26644</v>
      </c>
      <c r="M23" s="14">
        <f t="shared" si="8"/>
        <v>0</v>
      </c>
      <c r="N23" s="32">
        <f t="shared" si="17"/>
        <v>226531</v>
      </c>
      <c r="O23" s="14">
        <f t="shared" si="9"/>
        <v>0</v>
      </c>
      <c r="P23" s="32">
        <f t="shared" si="18"/>
        <v>177226</v>
      </c>
      <c r="Q23" s="14">
        <f t="shared" si="2"/>
        <v>0</v>
      </c>
      <c r="R23" s="1">
        <f t="shared" si="19"/>
        <v>55047</v>
      </c>
      <c r="S23" s="14">
        <f t="shared" si="20"/>
        <v>0</v>
      </c>
      <c r="T23" s="32">
        <f t="shared" si="21"/>
        <v>4084</v>
      </c>
      <c r="U23" s="14">
        <f t="shared" si="10"/>
        <v>0</v>
      </c>
    </row>
    <row r="24" spans="1:23" s="119" customFormat="1" ht="13.5" thickBot="1" x14ac:dyDescent="0.25">
      <c r="A24" s="9">
        <v>44887</v>
      </c>
      <c r="B24" s="32">
        <f t="shared" si="11"/>
        <v>47802</v>
      </c>
      <c r="C24" s="14">
        <f t="shared" si="3"/>
        <v>0</v>
      </c>
      <c r="D24" s="32">
        <f t="shared" si="12"/>
        <v>41107</v>
      </c>
      <c r="E24" s="14">
        <f t="shared" si="4"/>
        <v>0</v>
      </c>
      <c r="F24" s="32">
        <f t="shared" si="13"/>
        <v>22242</v>
      </c>
      <c r="G24" s="14">
        <f t="shared" si="5"/>
        <v>0</v>
      </c>
      <c r="H24" s="32">
        <f t="shared" si="14"/>
        <v>259893</v>
      </c>
      <c r="I24" s="14">
        <f t="shared" si="6"/>
        <v>0</v>
      </c>
      <c r="J24" s="32">
        <f t="shared" si="15"/>
        <v>340656</v>
      </c>
      <c r="K24" s="14">
        <f t="shared" si="7"/>
        <v>0</v>
      </c>
      <c r="L24" s="32">
        <f t="shared" si="16"/>
        <v>26644</v>
      </c>
      <c r="M24" s="14">
        <f t="shared" si="8"/>
        <v>0</v>
      </c>
      <c r="N24" s="32">
        <f t="shared" si="17"/>
        <v>226531</v>
      </c>
      <c r="O24" s="14">
        <f t="shared" si="9"/>
        <v>0</v>
      </c>
      <c r="P24" s="32">
        <f t="shared" si="18"/>
        <v>177226</v>
      </c>
      <c r="Q24" s="14">
        <f t="shared" si="2"/>
        <v>0</v>
      </c>
      <c r="R24" s="1">
        <f t="shared" si="19"/>
        <v>55047</v>
      </c>
      <c r="S24" s="14">
        <f t="shared" si="20"/>
        <v>0</v>
      </c>
      <c r="T24" s="32">
        <f t="shared" si="21"/>
        <v>4084</v>
      </c>
      <c r="U24" s="14">
        <f t="shared" si="10"/>
        <v>0</v>
      </c>
    </row>
    <row r="25" spans="1:23" ht="13.5" thickBot="1" x14ac:dyDescent="0.25">
      <c r="A25" s="9">
        <v>44888</v>
      </c>
      <c r="B25" s="32">
        <f t="shared" si="11"/>
        <v>47802</v>
      </c>
      <c r="C25" s="14">
        <f t="shared" si="3"/>
        <v>0</v>
      </c>
      <c r="D25" s="32">
        <f t="shared" si="12"/>
        <v>41107</v>
      </c>
      <c r="E25" s="14">
        <f t="shared" si="4"/>
        <v>0</v>
      </c>
      <c r="F25" s="32">
        <f t="shared" si="13"/>
        <v>22242</v>
      </c>
      <c r="G25" s="14">
        <f t="shared" si="5"/>
        <v>0</v>
      </c>
      <c r="H25" s="32">
        <f t="shared" si="14"/>
        <v>259893</v>
      </c>
      <c r="I25" s="14">
        <f t="shared" si="6"/>
        <v>0</v>
      </c>
      <c r="J25" s="32">
        <f t="shared" si="15"/>
        <v>340656</v>
      </c>
      <c r="K25" s="14">
        <f t="shared" si="7"/>
        <v>0</v>
      </c>
      <c r="L25" s="32">
        <f t="shared" si="16"/>
        <v>26644</v>
      </c>
      <c r="M25" s="14">
        <f t="shared" si="8"/>
        <v>0</v>
      </c>
      <c r="N25" s="32">
        <f t="shared" si="17"/>
        <v>226531</v>
      </c>
      <c r="O25" s="14">
        <f t="shared" si="9"/>
        <v>0</v>
      </c>
      <c r="P25" s="32">
        <f t="shared" si="18"/>
        <v>177226</v>
      </c>
      <c r="Q25" s="14">
        <f t="shared" si="2"/>
        <v>0</v>
      </c>
      <c r="R25" s="1">
        <f t="shared" si="19"/>
        <v>55047</v>
      </c>
      <c r="S25" s="14">
        <f t="shared" si="20"/>
        <v>0</v>
      </c>
      <c r="T25" s="32">
        <f t="shared" si="21"/>
        <v>4084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44889</v>
      </c>
      <c r="B26" s="32">
        <f t="shared" si="11"/>
        <v>47802</v>
      </c>
      <c r="C26" s="14">
        <f t="shared" si="3"/>
        <v>0</v>
      </c>
      <c r="D26" s="32">
        <f t="shared" si="12"/>
        <v>41107</v>
      </c>
      <c r="E26" s="14">
        <f t="shared" si="4"/>
        <v>0</v>
      </c>
      <c r="F26" s="32">
        <f t="shared" si="13"/>
        <v>22242</v>
      </c>
      <c r="G26" s="14">
        <f t="shared" si="5"/>
        <v>0</v>
      </c>
      <c r="H26" s="32">
        <f t="shared" si="14"/>
        <v>259893</v>
      </c>
      <c r="I26" s="14">
        <f t="shared" si="6"/>
        <v>0</v>
      </c>
      <c r="J26" s="32">
        <f t="shared" si="15"/>
        <v>340656</v>
      </c>
      <c r="K26" s="14">
        <f t="shared" si="7"/>
        <v>0</v>
      </c>
      <c r="L26" s="32">
        <f t="shared" si="16"/>
        <v>26644</v>
      </c>
      <c r="M26" s="14">
        <f t="shared" si="8"/>
        <v>0</v>
      </c>
      <c r="N26" s="32">
        <f t="shared" si="17"/>
        <v>226531</v>
      </c>
      <c r="O26" s="14">
        <f t="shared" si="9"/>
        <v>0</v>
      </c>
      <c r="P26" s="32">
        <f t="shared" si="18"/>
        <v>177226</v>
      </c>
      <c r="Q26" s="14">
        <f t="shared" si="2"/>
        <v>0</v>
      </c>
      <c r="R26" s="1">
        <f t="shared" si="19"/>
        <v>55047</v>
      </c>
      <c r="S26" s="14">
        <f t="shared" si="20"/>
        <v>0</v>
      </c>
      <c r="T26" s="32">
        <f t="shared" si="21"/>
        <v>4084</v>
      </c>
      <c r="U26" s="14">
        <f t="shared" si="10"/>
        <v>0</v>
      </c>
      <c r="W26" t="s">
        <v>12</v>
      </c>
    </row>
    <row r="27" spans="1:23" ht="13.5" thickBot="1" x14ac:dyDescent="0.25">
      <c r="A27" s="9">
        <v>44890</v>
      </c>
      <c r="B27" s="32">
        <f t="shared" si="11"/>
        <v>47802</v>
      </c>
      <c r="C27" s="14">
        <f t="shared" si="3"/>
        <v>0</v>
      </c>
      <c r="D27" s="32">
        <f t="shared" si="12"/>
        <v>41107</v>
      </c>
      <c r="E27" s="14">
        <f t="shared" si="4"/>
        <v>0</v>
      </c>
      <c r="F27" s="32">
        <f t="shared" si="13"/>
        <v>22242</v>
      </c>
      <c r="G27" s="14">
        <f t="shared" si="5"/>
        <v>0</v>
      </c>
      <c r="H27" s="32">
        <f t="shared" si="14"/>
        <v>259893</v>
      </c>
      <c r="I27" s="14">
        <f t="shared" si="6"/>
        <v>0</v>
      </c>
      <c r="J27" s="32">
        <f t="shared" si="15"/>
        <v>340656</v>
      </c>
      <c r="K27" s="14">
        <f t="shared" si="7"/>
        <v>0</v>
      </c>
      <c r="L27" s="32">
        <f t="shared" si="16"/>
        <v>26644</v>
      </c>
      <c r="M27" s="14">
        <f t="shared" si="8"/>
        <v>0</v>
      </c>
      <c r="N27" s="32">
        <f t="shared" si="17"/>
        <v>226531</v>
      </c>
      <c r="O27" s="14">
        <f t="shared" si="9"/>
        <v>0</v>
      </c>
      <c r="P27" s="32">
        <f t="shared" si="18"/>
        <v>177226</v>
      </c>
      <c r="Q27" s="14">
        <f t="shared" si="2"/>
        <v>0</v>
      </c>
      <c r="R27" s="1">
        <f t="shared" si="19"/>
        <v>55047</v>
      </c>
      <c r="S27" s="14">
        <f t="shared" si="20"/>
        <v>0</v>
      </c>
      <c r="T27" s="32">
        <f t="shared" si="21"/>
        <v>4084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1"/>
        <v>47802</v>
      </c>
      <c r="C28" s="14">
        <f t="shared" si="3"/>
        <v>0</v>
      </c>
      <c r="D28" s="32">
        <f t="shared" si="12"/>
        <v>41107</v>
      </c>
      <c r="E28" s="14">
        <f t="shared" si="4"/>
        <v>0</v>
      </c>
      <c r="F28" s="32">
        <f t="shared" si="13"/>
        <v>22242</v>
      </c>
      <c r="G28" s="14">
        <f t="shared" si="5"/>
        <v>0</v>
      </c>
      <c r="H28" s="32">
        <f t="shared" si="14"/>
        <v>259893</v>
      </c>
      <c r="I28" s="14">
        <f t="shared" si="6"/>
        <v>0</v>
      </c>
      <c r="J28" s="32">
        <f t="shared" si="15"/>
        <v>340656</v>
      </c>
      <c r="K28" s="14">
        <f t="shared" si="7"/>
        <v>0</v>
      </c>
      <c r="L28" s="32">
        <f t="shared" si="16"/>
        <v>26644</v>
      </c>
      <c r="M28" s="14">
        <f t="shared" si="8"/>
        <v>0</v>
      </c>
      <c r="N28" s="32">
        <f t="shared" si="17"/>
        <v>226531</v>
      </c>
      <c r="O28" s="14">
        <f t="shared" si="9"/>
        <v>0</v>
      </c>
      <c r="P28" s="32">
        <f t="shared" si="18"/>
        <v>177226</v>
      </c>
      <c r="Q28" s="14">
        <f t="shared" si="2"/>
        <v>0</v>
      </c>
      <c r="R28" s="1">
        <f t="shared" si="19"/>
        <v>55047</v>
      </c>
      <c r="S28" s="15">
        <f t="shared" si="20"/>
        <v>0</v>
      </c>
      <c r="T28" s="32">
        <f t="shared" si="21"/>
        <v>4084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1"/>
        <v>47802</v>
      </c>
      <c r="C29" s="14">
        <f t="shared" si="3"/>
        <v>0</v>
      </c>
      <c r="D29" s="32">
        <f t="shared" si="12"/>
        <v>41107</v>
      </c>
      <c r="E29" s="14">
        <f t="shared" si="4"/>
        <v>0</v>
      </c>
      <c r="F29" s="32">
        <f t="shared" si="13"/>
        <v>22242</v>
      </c>
      <c r="G29" s="14">
        <f t="shared" si="5"/>
        <v>0</v>
      </c>
      <c r="H29" s="32">
        <f t="shared" si="14"/>
        <v>259893</v>
      </c>
      <c r="I29" s="14">
        <f t="shared" si="6"/>
        <v>0</v>
      </c>
      <c r="J29" s="32">
        <f t="shared" si="15"/>
        <v>340656</v>
      </c>
      <c r="K29" s="14">
        <f t="shared" si="7"/>
        <v>0</v>
      </c>
      <c r="L29" s="32">
        <f t="shared" si="16"/>
        <v>26644</v>
      </c>
      <c r="M29" s="14">
        <f t="shared" si="8"/>
        <v>0</v>
      </c>
      <c r="N29" s="32">
        <f t="shared" si="17"/>
        <v>226531</v>
      </c>
      <c r="O29" s="14">
        <f t="shared" si="9"/>
        <v>0</v>
      </c>
      <c r="P29" s="32">
        <f t="shared" si="18"/>
        <v>177226</v>
      </c>
      <c r="Q29" s="14">
        <f t="shared" si="2"/>
        <v>0</v>
      </c>
      <c r="R29" s="1">
        <f t="shared" si="19"/>
        <v>55047</v>
      </c>
      <c r="S29" s="14">
        <f t="shared" si="20"/>
        <v>0</v>
      </c>
      <c r="T29" s="32">
        <f t="shared" si="21"/>
        <v>4084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1"/>
        <v>47802</v>
      </c>
      <c r="C30" s="14">
        <f t="shared" si="3"/>
        <v>0</v>
      </c>
      <c r="D30" s="32">
        <f t="shared" si="12"/>
        <v>41107</v>
      </c>
      <c r="E30" s="14">
        <f t="shared" si="4"/>
        <v>0</v>
      </c>
      <c r="F30" s="32">
        <f t="shared" si="13"/>
        <v>22242</v>
      </c>
      <c r="G30" s="14">
        <f t="shared" si="5"/>
        <v>0</v>
      </c>
      <c r="H30" s="32">
        <f t="shared" si="14"/>
        <v>259893</v>
      </c>
      <c r="I30" s="14">
        <f t="shared" si="6"/>
        <v>0</v>
      </c>
      <c r="J30" s="32">
        <f t="shared" si="15"/>
        <v>340656</v>
      </c>
      <c r="K30" s="14">
        <f t="shared" si="7"/>
        <v>0</v>
      </c>
      <c r="L30" s="32">
        <f t="shared" si="16"/>
        <v>26644</v>
      </c>
      <c r="M30" s="14">
        <f t="shared" si="8"/>
        <v>0</v>
      </c>
      <c r="N30" s="32">
        <f t="shared" si="17"/>
        <v>226531</v>
      </c>
      <c r="O30" s="14">
        <f t="shared" si="9"/>
        <v>0</v>
      </c>
      <c r="P30" s="32">
        <f t="shared" si="18"/>
        <v>177226</v>
      </c>
      <c r="Q30" s="14">
        <f t="shared" si="2"/>
        <v>0</v>
      </c>
      <c r="R30" s="1">
        <f t="shared" si="19"/>
        <v>55047</v>
      </c>
      <c r="S30" s="14">
        <f t="shared" si="20"/>
        <v>0</v>
      </c>
      <c r="T30" s="32">
        <f t="shared" si="21"/>
        <v>4084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1"/>
        <v>47802</v>
      </c>
      <c r="C31" s="14">
        <f t="shared" si="3"/>
        <v>0</v>
      </c>
      <c r="D31" s="32">
        <f t="shared" si="12"/>
        <v>41107</v>
      </c>
      <c r="E31" s="14">
        <f t="shared" si="4"/>
        <v>0</v>
      </c>
      <c r="F31" s="32">
        <f t="shared" si="13"/>
        <v>22242</v>
      </c>
      <c r="G31" s="14">
        <f t="shared" si="5"/>
        <v>0</v>
      </c>
      <c r="H31" s="32">
        <f t="shared" si="14"/>
        <v>259893</v>
      </c>
      <c r="I31" s="14">
        <f t="shared" si="6"/>
        <v>0</v>
      </c>
      <c r="J31" s="32">
        <f t="shared" si="15"/>
        <v>340656</v>
      </c>
      <c r="K31" s="14">
        <f t="shared" si="7"/>
        <v>0</v>
      </c>
      <c r="L31" s="32">
        <f t="shared" si="16"/>
        <v>26644</v>
      </c>
      <c r="M31" s="14">
        <f t="shared" si="8"/>
        <v>0</v>
      </c>
      <c r="N31" s="32">
        <f t="shared" si="17"/>
        <v>226531</v>
      </c>
      <c r="O31" s="14">
        <f t="shared" si="9"/>
        <v>0</v>
      </c>
      <c r="P31" s="32">
        <f t="shared" si="18"/>
        <v>177226</v>
      </c>
      <c r="Q31" s="14">
        <f t="shared" si="2"/>
        <v>0</v>
      </c>
      <c r="R31" s="1">
        <f t="shared" si="19"/>
        <v>55047</v>
      </c>
      <c r="S31" s="14">
        <v>0</v>
      </c>
      <c r="T31" s="32">
        <f t="shared" si="21"/>
        <v>4084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1"/>
        <v>47802</v>
      </c>
      <c r="C32" s="14">
        <f t="shared" si="3"/>
        <v>0</v>
      </c>
      <c r="D32" s="32">
        <f t="shared" si="12"/>
        <v>41107</v>
      </c>
      <c r="E32" s="14">
        <f t="shared" si="4"/>
        <v>0</v>
      </c>
      <c r="F32" s="32">
        <f t="shared" si="13"/>
        <v>22242</v>
      </c>
      <c r="G32" s="14">
        <f t="shared" si="5"/>
        <v>0</v>
      </c>
      <c r="H32" s="32">
        <f t="shared" si="14"/>
        <v>259893</v>
      </c>
      <c r="I32" s="14">
        <f t="shared" si="6"/>
        <v>0</v>
      </c>
      <c r="J32" s="32">
        <f t="shared" si="15"/>
        <v>340656</v>
      </c>
      <c r="K32" s="14">
        <f t="shared" si="7"/>
        <v>0</v>
      </c>
      <c r="L32" s="32">
        <f t="shared" si="16"/>
        <v>26644</v>
      </c>
      <c r="M32" s="14">
        <f t="shared" si="8"/>
        <v>0</v>
      </c>
      <c r="N32" s="32">
        <f t="shared" si="17"/>
        <v>226531</v>
      </c>
      <c r="O32" s="14">
        <f t="shared" si="9"/>
        <v>0</v>
      </c>
      <c r="P32" s="32">
        <f t="shared" si="18"/>
        <v>177226</v>
      </c>
      <c r="Q32" s="14">
        <f t="shared" si="2"/>
        <v>0</v>
      </c>
      <c r="R32" s="1">
        <f t="shared" si="19"/>
        <v>55047</v>
      </c>
      <c r="S32" s="14">
        <f t="shared" si="20"/>
        <v>0</v>
      </c>
      <c r="T32" s="32">
        <f t="shared" si="21"/>
        <v>4084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1440</v>
      </c>
      <c r="D33" s="14"/>
      <c r="E33" s="14">
        <f>SUM(E3:E32)</f>
        <v>960</v>
      </c>
      <c r="F33" s="14"/>
      <c r="G33" s="14">
        <f>SUM(G3:G32)</f>
        <v>120</v>
      </c>
      <c r="H33" s="14"/>
      <c r="I33" s="14">
        <f>SUM(I3:I32)</f>
        <v>43</v>
      </c>
      <c r="J33" s="14"/>
      <c r="K33" s="14">
        <f>SUM(K3:K32)</f>
        <v>347</v>
      </c>
      <c r="L33" s="14"/>
      <c r="M33" s="14">
        <f>SUM(M3:M32)</f>
        <v>420</v>
      </c>
      <c r="N33" s="14"/>
      <c r="O33" s="14">
        <f>SUM(O3:O32)</f>
        <v>6</v>
      </c>
      <c r="P33" s="14"/>
      <c r="Q33" s="14">
        <f>SUM(Q3:Q32)</f>
        <v>265</v>
      </c>
      <c r="R33" s="14"/>
      <c r="S33" s="14">
        <f>SUM(S3:S32)</f>
        <v>0</v>
      </c>
      <c r="T33" s="14"/>
      <c r="U33" s="14">
        <f>SUM(U3:U32)</f>
        <v>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abSelected="1" zoomScaleNormal="100" zoomScaleSheetLayoutView="110" workbookViewId="0">
      <pane ySplit="1" topLeftCell="A2" activePane="bottomLeft" state="frozen"/>
      <selection pane="bottomLeft" activeCell="B7" sqref="B7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/>
      <c r="C6" s="131">
        <f t="shared" ref="C5:C32" si="17">C5</f>
        <v>20292</v>
      </c>
      <c r="D6" s="38">
        <f t="shared" si="4"/>
        <v>0</v>
      </c>
      <c r="E6" s="132">
        <f t="shared" ref="E5:E32" si="18">E5</f>
        <v>34523955</v>
      </c>
      <c r="F6" s="38">
        <f t="shared" si="5"/>
        <v>0</v>
      </c>
      <c r="G6" s="133">
        <f t="shared" ref="G5:G32" si="19">G5</f>
        <v>8188500</v>
      </c>
      <c r="H6" s="38">
        <f t="shared" si="6"/>
        <v>0</v>
      </c>
      <c r="I6" s="134">
        <f t="shared" si="7"/>
        <v>0</v>
      </c>
      <c r="J6" s="132">
        <f t="shared" ref="J5:J32" si="20">J5</f>
        <v>797796</v>
      </c>
      <c r="K6" s="38">
        <f t="shared" si="15"/>
        <v>0</v>
      </c>
      <c r="L6" s="135">
        <f t="shared" ref="L5:L32" si="21">L5</f>
        <v>1109879</v>
      </c>
      <c r="M6" s="38">
        <f t="shared" si="8"/>
        <v>0</v>
      </c>
      <c r="N6" s="132">
        <f t="shared" ref="N5:N32" si="22">N5</f>
        <v>7836986</v>
      </c>
      <c r="O6" s="38">
        <f t="shared" si="16"/>
        <v>0</v>
      </c>
      <c r="P6" s="135">
        <f t="shared" ref="P5:P32" si="23">P5</f>
        <v>8699470</v>
      </c>
      <c r="Q6" s="38">
        <f t="shared" si="9"/>
        <v>0</v>
      </c>
      <c r="R6" s="132">
        <f t="shared" ref="R5:R32" si="24">R5</f>
        <v>22938944</v>
      </c>
      <c r="S6" s="38">
        <f t="shared" si="10"/>
        <v>0</v>
      </c>
      <c r="T6" s="132">
        <v>0</v>
      </c>
      <c r="U6" s="136"/>
      <c r="V6" s="132">
        <f t="shared" ref="V5:V32" si="25">V5</f>
        <v>1010778</v>
      </c>
      <c r="W6" s="38">
        <f t="shared" si="11"/>
        <v>0</v>
      </c>
      <c r="X6" s="19">
        <f t="shared" si="12"/>
        <v>0</v>
      </c>
      <c r="Y6" s="151">
        <f t="shared" si="13"/>
        <v>0</v>
      </c>
      <c r="Z6" s="3">
        <f t="shared" si="14"/>
        <v>0</v>
      </c>
      <c r="AA6" s="3">
        <f>SUM(Z1:Z6)</f>
        <v>24700.496620799997</v>
      </c>
    </row>
    <row r="7" spans="1:27" ht="16.5" thickBot="1" x14ac:dyDescent="0.3">
      <c r="A7" s="9">
        <v>44870</v>
      </c>
      <c r="B7" s="38"/>
      <c r="C7" s="131">
        <f t="shared" si="17"/>
        <v>20292</v>
      </c>
      <c r="D7" s="38">
        <f t="shared" si="4"/>
        <v>0</v>
      </c>
      <c r="E7" s="132">
        <f t="shared" si="18"/>
        <v>34523955</v>
      </c>
      <c r="F7" s="38">
        <f t="shared" si="5"/>
        <v>0</v>
      </c>
      <c r="G7" s="133">
        <f t="shared" si="19"/>
        <v>8188500</v>
      </c>
      <c r="H7" s="38">
        <f t="shared" si="6"/>
        <v>0</v>
      </c>
      <c r="I7" s="134">
        <f t="shared" si="7"/>
        <v>0</v>
      </c>
      <c r="J7" s="132">
        <f t="shared" si="20"/>
        <v>797796</v>
      </c>
      <c r="K7" s="38">
        <f t="shared" si="15"/>
        <v>0</v>
      </c>
      <c r="L7" s="135">
        <f t="shared" si="21"/>
        <v>1109879</v>
      </c>
      <c r="M7" s="38">
        <f t="shared" si="8"/>
        <v>0</v>
      </c>
      <c r="N7" s="132">
        <f t="shared" si="22"/>
        <v>7836986</v>
      </c>
      <c r="O7" s="38">
        <f t="shared" si="16"/>
        <v>0</v>
      </c>
      <c r="P7" s="135">
        <f t="shared" si="23"/>
        <v>8699470</v>
      </c>
      <c r="Q7" s="38">
        <f t="shared" si="9"/>
        <v>0</v>
      </c>
      <c r="R7" s="132">
        <f t="shared" si="24"/>
        <v>22938944</v>
      </c>
      <c r="S7" s="38">
        <f t="shared" si="10"/>
        <v>0</v>
      </c>
      <c r="T7" s="132">
        <v>0</v>
      </c>
      <c r="U7" s="136"/>
      <c r="V7" s="132">
        <f t="shared" si="25"/>
        <v>1010778</v>
      </c>
      <c r="W7" s="38">
        <f t="shared" si="11"/>
        <v>0</v>
      </c>
      <c r="X7" s="19">
        <f t="shared" si="12"/>
        <v>0</v>
      </c>
      <c r="Y7" s="151">
        <f t="shared" si="13"/>
        <v>0</v>
      </c>
      <c r="Z7" s="3">
        <f t="shared" si="14"/>
        <v>0</v>
      </c>
      <c r="AA7" s="3">
        <f>SUM(Z1:Z7)</f>
        <v>24700.496620799997</v>
      </c>
    </row>
    <row r="8" spans="1:27" ht="16.5" thickBot="1" x14ac:dyDescent="0.3">
      <c r="A8" s="9">
        <v>44871</v>
      </c>
      <c r="B8" s="38"/>
      <c r="C8" s="131">
        <f t="shared" si="17"/>
        <v>20292</v>
      </c>
      <c r="D8" s="38">
        <f t="shared" si="4"/>
        <v>0</v>
      </c>
      <c r="E8" s="132">
        <f t="shared" si="18"/>
        <v>34523955</v>
      </c>
      <c r="F8" s="38">
        <f t="shared" si="5"/>
        <v>0</v>
      </c>
      <c r="G8" s="133">
        <f t="shared" si="19"/>
        <v>8188500</v>
      </c>
      <c r="H8" s="38">
        <f t="shared" si="6"/>
        <v>0</v>
      </c>
      <c r="I8" s="134">
        <f t="shared" si="7"/>
        <v>0</v>
      </c>
      <c r="J8" s="132">
        <f t="shared" si="20"/>
        <v>797796</v>
      </c>
      <c r="K8" s="38">
        <f t="shared" si="15"/>
        <v>0</v>
      </c>
      <c r="L8" s="135">
        <f t="shared" si="21"/>
        <v>1109879</v>
      </c>
      <c r="M8" s="38">
        <f t="shared" si="8"/>
        <v>0</v>
      </c>
      <c r="N8" s="132">
        <f t="shared" si="22"/>
        <v>7836986</v>
      </c>
      <c r="O8" s="38">
        <f t="shared" si="16"/>
        <v>0</v>
      </c>
      <c r="P8" s="135">
        <f t="shared" si="23"/>
        <v>8699470</v>
      </c>
      <c r="Q8" s="38">
        <f t="shared" si="9"/>
        <v>0</v>
      </c>
      <c r="R8" s="132">
        <f t="shared" si="24"/>
        <v>22938944</v>
      </c>
      <c r="S8" s="38">
        <f t="shared" si="10"/>
        <v>0</v>
      </c>
      <c r="T8" s="132">
        <v>0</v>
      </c>
      <c r="U8" s="136"/>
      <c r="V8" s="132">
        <f t="shared" si="25"/>
        <v>1010778</v>
      </c>
      <c r="W8" s="38">
        <f t="shared" si="11"/>
        <v>0</v>
      </c>
      <c r="X8" s="19">
        <f t="shared" si="12"/>
        <v>0</v>
      </c>
      <c r="Y8" s="151">
        <f t="shared" si="13"/>
        <v>0</v>
      </c>
      <c r="Z8" s="3">
        <f t="shared" si="14"/>
        <v>0</v>
      </c>
      <c r="AA8" s="3">
        <f>SUM(Z1:Z8)</f>
        <v>24700.496620799997</v>
      </c>
    </row>
    <row r="9" spans="1:27" ht="16.5" thickBot="1" x14ac:dyDescent="0.3">
      <c r="A9" s="9">
        <v>44872</v>
      </c>
      <c r="B9" s="38"/>
      <c r="C9" s="131">
        <f t="shared" si="17"/>
        <v>20292</v>
      </c>
      <c r="D9" s="38">
        <f t="shared" si="4"/>
        <v>0</v>
      </c>
      <c r="E9" s="132">
        <f t="shared" si="18"/>
        <v>34523955</v>
      </c>
      <c r="F9" s="38">
        <f t="shared" si="5"/>
        <v>0</v>
      </c>
      <c r="G9" s="133">
        <f t="shared" si="19"/>
        <v>8188500</v>
      </c>
      <c r="H9" s="38">
        <f t="shared" si="6"/>
        <v>0</v>
      </c>
      <c r="I9" s="134">
        <f t="shared" si="7"/>
        <v>0</v>
      </c>
      <c r="J9" s="132">
        <f t="shared" si="20"/>
        <v>797796</v>
      </c>
      <c r="K9" s="38">
        <f t="shared" si="15"/>
        <v>0</v>
      </c>
      <c r="L9" s="135">
        <f t="shared" si="21"/>
        <v>1109879</v>
      </c>
      <c r="M9" s="38">
        <f t="shared" si="8"/>
        <v>0</v>
      </c>
      <c r="N9" s="132">
        <f t="shared" si="22"/>
        <v>7836986</v>
      </c>
      <c r="O9" s="38">
        <f t="shared" si="16"/>
        <v>0</v>
      </c>
      <c r="P9" s="135">
        <f t="shared" si="23"/>
        <v>8699470</v>
      </c>
      <c r="Q9" s="38">
        <f t="shared" si="9"/>
        <v>0</v>
      </c>
      <c r="R9" s="132">
        <f t="shared" si="24"/>
        <v>22938944</v>
      </c>
      <c r="S9" s="38">
        <f t="shared" si="10"/>
        <v>0</v>
      </c>
      <c r="T9" s="132">
        <v>0</v>
      </c>
      <c r="U9" s="136"/>
      <c r="V9" s="132">
        <f t="shared" si="25"/>
        <v>1010778</v>
      </c>
      <c r="W9" s="38">
        <f t="shared" si="11"/>
        <v>0</v>
      </c>
      <c r="X9" s="19">
        <f t="shared" si="12"/>
        <v>0</v>
      </c>
      <c r="Y9" s="151">
        <f t="shared" si="13"/>
        <v>0</v>
      </c>
      <c r="Z9" s="3">
        <f t="shared" si="14"/>
        <v>0</v>
      </c>
      <c r="AA9" s="3">
        <f>SUM(Z1:Z9)</f>
        <v>24700.496620799997</v>
      </c>
    </row>
    <row r="10" spans="1:27" ht="16.5" thickBot="1" x14ac:dyDescent="0.3">
      <c r="A10" s="9">
        <v>44873</v>
      </c>
      <c r="B10" s="38"/>
      <c r="C10" s="131">
        <f t="shared" si="17"/>
        <v>20292</v>
      </c>
      <c r="D10" s="38">
        <f>IF((C10-C9)&lt;0,"0",(C10-C9))*160</f>
        <v>0</v>
      </c>
      <c r="E10" s="132">
        <f t="shared" si="18"/>
        <v>34523955</v>
      </c>
      <c r="F10" s="38">
        <f t="shared" si="5"/>
        <v>0</v>
      </c>
      <c r="G10" s="133">
        <f t="shared" si="19"/>
        <v>8188500</v>
      </c>
      <c r="H10" s="38">
        <f t="shared" si="6"/>
        <v>0</v>
      </c>
      <c r="I10" s="134">
        <f t="shared" si="7"/>
        <v>0</v>
      </c>
      <c r="J10" s="132">
        <f t="shared" si="20"/>
        <v>797796</v>
      </c>
      <c r="K10" s="38">
        <f t="shared" si="15"/>
        <v>0</v>
      </c>
      <c r="L10" s="135">
        <f t="shared" si="21"/>
        <v>1109879</v>
      </c>
      <c r="M10" s="38">
        <f t="shared" si="8"/>
        <v>0</v>
      </c>
      <c r="N10" s="132">
        <f t="shared" si="22"/>
        <v>7836986</v>
      </c>
      <c r="O10" s="38">
        <f t="shared" si="16"/>
        <v>0</v>
      </c>
      <c r="P10" s="135">
        <f t="shared" si="23"/>
        <v>8699470</v>
      </c>
      <c r="Q10" s="38">
        <f t="shared" si="9"/>
        <v>0</v>
      </c>
      <c r="R10" s="132">
        <f t="shared" si="24"/>
        <v>22938944</v>
      </c>
      <c r="S10" s="38">
        <f t="shared" si="10"/>
        <v>0</v>
      </c>
      <c r="T10" s="132">
        <v>0</v>
      </c>
      <c r="U10" s="136"/>
      <c r="V10" s="132">
        <f t="shared" si="25"/>
        <v>1010778</v>
      </c>
      <c r="W10" s="38">
        <f t="shared" si="11"/>
        <v>0</v>
      </c>
      <c r="X10" s="19">
        <f t="shared" si="12"/>
        <v>0</v>
      </c>
      <c r="Y10" s="151">
        <f t="shared" si="13"/>
        <v>0</v>
      </c>
      <c r="Z10" s="3">
        <f t="shared" si="14"/>
        <v>0</v>
      </c>
      <c r="AA10" s="3">
        <f>SUM(Z1:Z10)</f>
        <v>24700.496620799997</v>
      </c>
    </row>
    <row r="11" spans="1:27" ht="15.75" customHeight="1" thickBot="1" x14ac:dyDescent="0.3">
      <c r="A11" s="9">
        <v>44874</v>
      </c>
      <c r="B11" s="38"/>
      <c r="C11" s="131">
        <f t="shared" si="17"/>
        <v>20292</v>
      </c>
      <c r="D11" s="38">
        <f>IF((C11-C10)&lt;0,"0",(C11-C10))*160</f>
        <v>0</v>
      </c>
      <c r="E11" s="132">
        <f t="shared" si="18"/>
        <v>34523955</v>
      </c>
      <c r="F11" s="38">
        <f t="shared" si="5"/>
        <v>0</v>
      </c>
      <c r="G11" s="133">
        <f t="shared" si="19"/>
        <v>8188500</v>
      </c>
      <c r="H11" s="38">
        <f t="shared" si="6"/>
        <v>0</v>
      </c>
      <c r="I11" s="134">
        <f t="shared" si="7"/>
        <v>0</v>
      </c>
      <c r="J11" s="132">
        <f t="shared" si="20"/>
        <v>797796</v>
      </c>
      <c r="K11" s="38">
        <f t="shared" si="15"/>
        <v>0</v>
      </c>
      <c r="L11" s="135">
        <f t="shared" si="21"/>
        <v>1109879</v>
      </c>
      <c r="M11" s="38">
        <f t="shared" si="8"/>
        <v>0</v>
      </c>
      <c r="N11" s="132">
        <f t="shared" si="22"/>
        <v>7836986</v>
      </c>
      <c r="O11" s="38">
        <f t="shared" si="16"/>
        <v>0</v>
      </c>
      <c r="P11" s="135">
        <f t="shared" si="23"/>
        <v>8699470</v>
      </c>
      <c r="Q11" s="38">
        <f t="shared" si="9"/>
        <v>0</v>
      </c>
      <c r="R11" s="132">
        <f t="shared" si="24"/>
        <v>22938944</v>
      </c>
      <c r="S11" s="38">
        <f t="shared" si="10"/>
        <v>0</v>
      </c>
      <c r="T11" s="132">
        <v>0</v>
      </c>
      <c r="U11" s="136"/>
      <c r="V11" s="132">
        <f t="shared" si="25"/>
        <v>1010778</v>
      </c>
      <c r="W11" s="38">
        <f t="shared" si="11"/>
        <v>0</v>
      </c>
      <c r="X11" s="19">
        <f t="shared" si="12"/>
        <v>0</v>
      </c>
      <c r="Y11" s="151">
        <f t="shared" si="13"/>
        <v>0</v>
      </c>
      <c r="Z11" s="3">
        <f t="shared" si="14"/>
        <v>0</v>
      </c>
      <c r="AA11" s="3">
        <f>SUM(Z1:Z11)</f>
        <v>24700.496620799997</v>
      </c>
    </row>
    <row r="12" spans="1:27" ht="16.5" thickBot="1" x14ac:dyDescent="0.3">
      <c r="A12" s="9">
        <v>44875</v>
      </c>
      <c r="B12" s="38"/>
      <c r="C12" s="131">
        <f t="shared" si="17"/>
        <v>20292</v>
      </c>
      <c r="D12" s="38">
        <f>IF((C12-C11)&lt;0,"0",(C12-C11))*160</f>
        <v>0</v>
      </c>
      <c r="E12" s="132">
        <f t="shared" si="18"/>
        <v>34523955</v>
      </c>
      <c r="F12" s="38">
        <f t="shared" si="5"/>
        <v>0</v>
      </c>
      <c r="G12" s="133">
        <f t="shared" si="19"/>
        <v>8188500</v>
      </c>
      <c r="H12" s="38">
        <f t="shared" si="6"/>
        <v>0</v>
      </c>
      <c r="I12" s="134">
        <f t="shared" si="7"/>
        <v>0</v>
      </c>
      <c r="J12" s="132">
        <f t="shared" si="20"/>
        <v>797796</v>
      </c>
      <c r="K12" s="38">
        <f t="shared" si="15"/>
        <v>0</v>
      </c>
      <c r="L12" s="135">
        <f t="shared" si="21"/>
        <v>1109879</v>
      </c>
      <c r="M12" s="38">
        <f t="shared" si="8"/>
        <v>0</v>
      </c>
      <c r="N12" s="132">
        <f t="shared" si="22"/>
        <v>7836986</v>
      </c>
      <c r="O12" s="38">
        <f t="shared" si="16"/>
        <v>0</v>
      </c>
      <c r="P12" s="135">
        <f t="shared" si="23"/>
        <v>8699470</v>
      </c>
      <c r="Q12" s="38">
        <f t="shared" si="9"/>
        <v>0</v>
      </c>
      <c r="R12" s="132">
        <f t="shared" si="24"/>
        <v>22938944</v>
      </c>
      <c r="S12" s="38">
        <f t="shared" si="10"/>
        <v>0</v>
      </c>
      <c r="T12" s="132">
        <v>0</v>
      </c>
      <c r="U12" s="136"/>
      <c r="V12" s="132">
        <f t="shared" si="25"/>
        <v>1010778</v>
      </c>
      <c r="W12" s="38">
        <f t="shared" si="11"/>
        <v>0</v>
      </c>
      <c r="X12" s="19">
        <f t="shared" si="12"/>
        <v>0</v>
      </c>
      <c r="Y12" s="151">
        <f t="shared" si="13"/>
        <v>0</v>
      </c>
      <c r="Z12" s="3">
        <f t="shared" si="14"/>
        <v>0</v>
      </c>
      <c r="AA12" s="3">
        <f>SUM(Z1:Z12)</f>
        <v>24700.496620799997</v>
      </c>
    </row>
    <row r="13" spans="1:27" ht="16.5" thickBot="1" x14ac:dyDescent="0.3">
      <c r="A13" s="9">
        <v>44876</v>
      </c>
      <c r="B13" s="38"/>
      <c r="C13" s="131">
        <f t="shared" si="17"/>
        <v>20292</v>
      </c>
      <c r="D13" s="38">
        <f t="shared" ref="D13" si="26">IF((C13-C12)&lt;0,"0",(C13-C12))*160</f>
        <v>0</v>
      </c>
      <c r="E13" s="132">
        <f t="shared" si="18"/>
        <v>34523955</v>
      </c>
      <c r="F13" s="38">
        <f t="shared" ref="F13" si="27">IF((E13-E12)&lt;0,"0",(E13-E12))</f>
        <v>0</v>
      </c>
      <c r="G13" s="133">
        <f t="shared" si="19"/>
        <v>8188500</v>
      </c>
      <c r="H13" s="38">
        <f t="shared" si="6"/>
        <v>0</v>
      </c>
      <c r="I13" s="134">
        <f t="shared" ref="I13" si="28">F13+H13</f>
        <v>0</v>
      </c>
      <c r="J13" s="132">
        <f t="shared" si="20"/>
        <v>797796</v>
      </c>
      <c r="K13" s="38">
        <f t="shared" ref="K13" si="29">(IF((J13-J12)&lt;0,"0",(J13-J12)))*2</f>
        <v>0</v>
      </c>
      <c r="L13" s="135">
        <f t="shared" si="21"/>
        <v>1109879</v>
      </c>
      <c r="M13" s="38">
        <f t="shared" ref="M13" si="30">IF((L13-L12)&lt;0,"0",(L13-L12))</f>
        <v>0</v>
      </c>
      <c r="N13" s="132">
        <f t="shared" si="22"/>
        <v>7836986</v>
      </c>
      <c r="O13" s="38">
        <f t="shared" ref="O13" si="31">(IF((N13-N12)&lt;0,"0",(N13-N12)))*2</f>
        <v>0</v>
      </c>
      <c r="P13" s="135">
        <f t="shared" si="23"/>
        <v>8699470</v>
      </c>
      <c r="Q13" s="38">
        <f t="shared" ref="Q13" si="32">IF((P13-P12)&lt;0,"0",(P13-P12))</f>
        <v>0</v>
      </c>
      <c r="R13" s="132">
        <f t="shared" si="24"/>
        <v>22938944</v>
      </c>
      <c r="S13" s="38">
        <f t="shared" ref="S13" si="33">IF((R13-R12)&lt;0,"0",(R13-R12))</f>
        <v>0</v>
      </c>
      <c r="T13" s="132">
        <v>0</v>
      </c>
      <c r="U13" s="136"/>
      <c r="V13" s="132">
        <f t="shared" si="25"/>
        <v>1010778</v>
      </c>
      <c r="W13" s="38">
        <f t="shared" si="11"/>
        <v>0</v>
      </c>
      <c r="X13" s="19">
        <f t="shared" ref="X13" si="34">K13+M13+O13+Q13+S13+U13+W13</f>
        <v>0</v>
      </c>
      <c r="Y13" s="151">
        <f t="shared" si="13"/>
        <v>0</v>
      </c>
      <c r="Z13" s="3">
        <f t="shared" ref="Z13" si="35">(0.93352*(W13+S13)+0.5568*(Q13+O13))*0.26</f>
        <v>0</v>
      </c>
      <c r="AA13" s="3">
        <f>SUM(Z1:Z13)</f>
        <v>24700.496620799997</v>
      </c>
    </row>
    <row r="14" spans="1:27" ht="16.5" thickBot="1" x14ac:dyDescent="0.3">
      <c r="A14" s="9">
        <v>44877</v>
      </c>
      <c r="B14" s="38"/>
      <c r="C14" s="131">
        <f t="shared" si="17"/>
        <v>20292</v>
      </c>
      <c r="D14" s="38">
        <f t="shared" si="4"/>
        <v>0</v>
      </c>
      <c r="E14" s="132">
        <f t="shared" si="18"/>
        <v>34523955</v>
      </c>
      <c r="F14" s="38">
        <f t="shared" si="5"/>
        <v>0</v>
      </c>
      <c r="G14" s="133">
        <f t="shared" si="19"/>
        <v>8188500</v>
      </c>
      <c r="H14" s="38">
        <f t="shared" si="6"/>
        <v>0</v>
      </c>
      <c r="I14" s="134">
        <f t="shared" si="7"/>
        <v>0</v>
      </c>
      <c r="J14" s="132">
        <f t="shared" si="20"/>
        <v>797796</v>
      </c>
      <c r="K14" s="38">
        <f t="shared" si="15"/>
        <v>0</v>
      </c>
      <c r="L14" s="135">
        <f t="shared" si="21"/>
        <v>1109879</v>
      </c>
      <c r="M14" s="38">
        <f t="shared" si="8"/>
        <v>0</v>
      </c>
      <c r="N14" s="132">
        <f t="shared" si="22"/>
        <v>7836986</v>
      </c>
      <c r="O14" s="38">
        <f t="shared" si="16"/>
        <v>0</v>
      </c>
      <c r="P14" s="135">
        <f t="shared" si="23"/>
        <v>8699470</v>
      </c>
      <c r="Q14" s="38">
        <f t="shared" si="9"/>
        <v>0</v>
      </c>
      <c r="R14" s="132">
        <f t="shared" si="24"/>
        <v>22938944</v>
      </c>
      <c r="S14" s="38">
        <f>IF((R14-R13)&lt;0,"0",(R14-R13))</f>
        <v>0</v>
      </c>
      <c r="T14" s="132">
        <v>0</v>
      </c>
      <c r="U14" s="136"/>
      <c r="V14" s="132">
        <f t="shared" si="25"/>
        <v>1010778</v>
      </c>
      <c r="W14" s="38">
        <f t="shared" si="11"/>
        <v>0</v>
      </c>
      <c r="X14" s="19">
        <f t="shared" si="12"/>
        <v>0</v>
      </c>
      <c r="Y14" s="151">
        <f t="shared" si="13"/>
        <v>0</v>
      </c>
      <c r="Z14" s="3">
        <f t="shared" si="14"/>
        <v>0</v>
      </c>
      <c r="AA14" s="3">
        <f>SUM(Z1:Z14)</f>
        <v>24700.496620799997</v>
      </c>
    </row>
    <row r="15" spans="1:27" ht="16.5" thickBot="1" x14ac:dyDescent="0.3">
      <c r="A15" s="9">
        <v>44878</v>
      </c>
      <c r="B15" s="38"/>
      <c r="C15" s="131">
        <f t="shared" si="17"/>
        <v>20292</v>
      </c>
      <c r="D15" s="38">
        <f t="shared" si="4"/>
        <v>0</v>
      </c>
      <c r="E15" s="132">
        <f t="shared" si="18"/>
        <v>34523955</v>
      </c>
      <c r="F15" s="38">
        <f t="shared" si="5"/>
        <v>0</v>
      </c>
      <c r="G15" s="133">
        <f t="shared" si="19"/>
        <v>8188500</v>
      </c>
      <c r="H15" s="38">
        <f t="shared" si="6"/>
        <v>0</v>
      </c>
      <c r="I15" s="134">
        <f t="shared" si="7"/>
        <v>0</v>
      </c>
      <c r="J15" s="132">
        <f t="shared" si="20"/>
        <v>797796</v>
      </c>
      <c r="K15" s="38">
        <f t="shared" si="15"/>
        <v>0</v>
      </c>
      <c r="L15" s="135">
        <f t="shared" si="21"/>
        <v>1109879</v>
      </c>
      <c r="M15" s="38">
        <f t="shared" si="8"/>
        <v>0</v>
      </c>
      <c r="N15" s="132">
        <f t="shared" si="22"/>
        <v>7836986</v>
      </c>
      <c r="O15" s="38">
        <f t="shared" si="16"/>
        <v>0</v>
      </c>
      <c r="P15" s="135">
        <f t="shared" si="23"/>
        <v>8699470</v>
      </c>
      <c r="Q15" s="38">
        <f t="shared" si="9"/>
        <v>0</v>
      </c>
      <c r="R15" s="132">
        <f t="shared" si="24"/>
        <v>22938944</v>
      </c>
      <c r="S15" s="38">
        <f>IF((R15-R14)&lt;0,"0",(R15-R14))</f>
        <v>0</v>
      </c>
      <c r="T15" s="132">
        <v>0</v>
      </c>
      <c r="U15" s="136"/>
      <c r="V15" s="132">
        <f t="shared" si="25"/>
        <v>1010778</v>
      </c>
      <c r="W15" s="38">
        <f t="shared" si="11"/>
        <v>0</v>
      </c>
      <c r="X15" s="19">
        <f t="shared" si="12"/>
        <v>0</v>
      </c>
      <c r="Y15" s="151">
        <f t="shared" si="13"/>
        <v>0</v>
      </c>
      <c r="Z15" s="3">
        <f t="shared" si="14"/>
        <v>0</v>
      </c>
      <c r="AA15" s="3">
        <f>SUM(Z1:Z15)</f>
        <v>24700.496620799997</v>
      </c>
    </row>
    <row r="16" spans="1:27" ht="16.5" thickBot="1" x14ac:dyDescent="0.3">
      <c r="A16" s="9">
        <v>44879</v>
      </c>
      <c r="B16" s="38"/>
      <c r="C16" s="131">
        <f t="shared" si="17"/>
        <v>20292</v>
      </c>
      <c r="D16" s="38">
        <f t="shared" si="4"/>
        <v>0</v>
      </c>
      <c r="E16" s="132">
        <f t="shared" si="18"/>
        <v>34523955</v>
      </c>
      <c r="F16" s="38">
        <f t="shared" si="5"/>
        <v>0</v>
      </c>
      <c r="G16" s="133">
        <f t="shared" si="19"/>
        <v>8188500</v>
      </c>
      <c r="H16" s="38">
        <f t="shared" si="6"/>
        <v>0</v>
      </c>
      <c r="I16" s="134">
        <f t="shared" si="7"/>
        <v>0</v>
      </c>
      <c r="J16" s="132">
        <f t="shared" si="20"/>
        <v>797796</v>
      </c>
      <c r="K16" s="38">
        <f t="shared" si="15"/>
        <v>0</v>
      </c>
      <c r="L16" s="135">
        <f t="shared" si="21"/>
        <v>1109879</v>
      </c>
      <c r="M16" s="38">
        <f t="shared" si="8"/>
        <v>0</v>
      </c>
      <c r="N16" s="132">
        <f t="shared" si="22"/>
        <v>7836986</v>
      </c>
      <c r="O16" s="38">
        <f t="shared" si="16"/>
        <v>0</v>
      </c>
      <c r="P16" s="135">
        <f t="shared" si="23"/>
        <v>8699470</v>
      </c>
      <c r="Q16" s="38">
        <f t="shared" si="9"/>
        <v>0</v>
      </c>
      <c r="R16" s="132">
        <f t="shared" si="24"/>
        <v>22938944</v>
      </c>
      <c r="S16" s="38">
        <f t="shared" si="10"/>
        <v>0</v>
      </c>
      <c r="T16" s="132">
        <v>0</v>
      </c>
      <c r="U16" s="136"/>
      <c r="V16" s="132">
        <f t="shared" si="25"/>
        <v>1010778</v>
      </c>
      <c r="W16" s="38">
        <f t="shared" si="11"/>
        <v>0</v>
      </c>
      <c r="X16" s="19">
        <f t="shared" si="12"/>
        <v>0</v>
      </c>
      <c r="Y16" s="151">
        <f t="shared" si="13"/>
        <v>0</v>
      </c>
      <c r="Z16" s="3">
        <f t="shared" si="14"/>
        <v>0</v>
      </c>
      <c r="AA16" s="3">
        <f>SUM(Z1:Z16)</f>
        <v>24700.496620799997</v>
      </c>
    </row>
    <row r="17" spans="1:27" s="118" customFormat="1" ht="16.5" thickBot="1" x14ac:dyDescent="0.3">
      <c r="A17" s="9">
        <v>44880</v>
      </c>
      <c r="B17" s="38"/>
      <c r="C17" s="131">
        <f t="shared" si="17"/>
        <v>20292</v>
      </c>
      <c r="D17" s="38">
        <f t="shared" si="4"/>
        <v>0</v>
      </c>
      <c r="E17" s="132">
        <f t="shared" si="18"/>
        <v>34523955</v>
      </c>
      <c r="F17" s="38">
        <f t="shared" si="5"/>
        <v>0</v>
      </c>
      <c r="G17" s="133">
        <f t="shared" si="19"/>
        <v>8188500</v>
      </c>
      <c r="H17" s="38">
        <f t="shared" si="6"/>
        <v>0</v>
      </c>
      <c r="I17" s="137">
        <f t="shared" si="7"/>
        <v>0</v>
      </c>
      <c r="J17" s="132">
        <f t="shared" si="20"/>
        <v>797796</v>
      </c>
      <c r="K17" s="117">
        <f t="shared" si="15"/>
        <v>0</v>
      </c>
      <c r="L17" s="135">
        <f t="shared" si="21"/>
        <v>1109879</v>
      </c>
      <c r="M17" s="117">
        <f t="shared" si="8"/>
        <v>0</v>
      </c>
      <c r="N17" s="132">
        <f t="shared" si="22"/>
        <v>7836986</v>
      </c>
      <c r="O17" s="117">
        <f t="shared" si="16"/>
        <v>0</v>
      </c>
      <c r="P17" s="135">
        <f t="shared" si="23"/>
        <v>8699470</v>
      </c>
      <c r="Q17" s="117">
        <f t="shared" si="9"/>
        <v>0</v>
      </c>
      <c r="R17" s="132">
        <f t="shared" si="24"/>
        <v>22938944</v>
      </c>
      <c r="S17" s="117">
        <f t="shared" si="10"/>
        <v>0</v>
      </c>
      <c r="T17" s="138">
        <v>0</v>
      </c>
      <c r="U17" s="136"/>
      <c r="V17" s="132">
        <f t="shared" si="25"/>
        <v>1010778</v>
      </c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24700.496620799997</v>
      </c>
    </row>
    <row r="18" spans="1:27" s="118" customFormat="1" ht="16.5" thickBot="1" x14ac:dyDescent="0.3">
      <c r="A18" s="9">
        <v>44881</v>
      </c>
      <c r="B18" s="38"/>
      <c r="C18" s="131">
        <f t="shared" si="17"/>
        <v>20292</v>
      </c>
      <c r="D18" s="38">
        <f t="shared" si="4"/>
        <v>0</v>
      </c>
      <c r="E18" s="132">
        <f t="shared" si="18"/>
        <v>34523955</v>
      </c>
      <c r="F18" s="38">
        <f t="shared" si="5"/>
        <v>0</v>
      </c>
      <c r="G18" s="133">
        <f t="shared" si="19"/>
        <v>8188500</v>
      </c>
      <c r="H18" s="38">
        <f t="shared" si="6"/>
        <v>0</v>
      </c>
      <c r="I18" s="137">
        <f t="shared" si="7"/>
        <v>0</v>
      </c>
      <c r="J18" s="132">
        <f t="shared" si="20"/>
        <v>797796</v>
      </c>
      <c r="K18" s="117">
        <f t="shared" si="15"/>
        <v>0</v>
      </c>
      <c r="L18" s="135">
        <f t="shared" si="21"/>
        <v>1109879</v>
      </c>
      <c r="M18" s="117">
        <f t="shared" si="8"/>
        <v>0</v>
      </c>
      <c r="N18" s="132">
        <f t="shared" si="22"/>
        <v>7836986</v>
      </c>
      <c r="O18" s="117">
        <f t="shared" si="16"/>
        <v>0</v>
      </c>
      <c r="P18" s="135">
        <f t="shared" si="23"/>
        <v>8699470</v>
      </c>
      <c r="Q18" s="117">
        <f t="shared" si="9"/>
        <v>0</v>
      </c>
      <c r="R18" s="132">
        <f t="shared" si="24"/>
        <v>22938944</v>
      </c>
      <c r="S18" s="117">
        <f t="shared" si="10"/>
        <v>0</v>
      </c>
      <c r="T18" s="138">
        <v>0</v>
      </c>
      <c r="U18" s="136"/>
      <c r="V18" s="132">
        <f t="shared" si="25"/>
        <v>1010778</v>
      </c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24700.496620799997</v>
      </c>
    </row>
    <row r="19" spans="1:27" s="118" customFormat="1" ht="16.5" thickBot="1" x14ac:dyDescent="0.3">
      <c r="A19" s="9">
        <v>44882</v>
      </c>
      <c r="B19" s="38"/>
      <c r="C19" s="131">
        <f t="shared" si="17"/>
        <v>20292</v>
      </c>
      <c r="D19" s="38">
        <f t="shared" si="4"/>
        <v>0</v>
      </c>
      <c r="E19" s="132">
        <f t="shared" si="18"/>
        <v>34523955</v>
      </c>
      <c r="F19" s="38">
        <f t="shared" si="5"/>
        <v>0</v>
      </c>
      <c r="G19" s="133">
        <f t="shared" si="19"/>
        <v>8188500</v>
      </c>
      <c r="H19" s="38">
        <f t="shared" si="6"/>
        <v>0</v>
      </c>
      <c r="I19" s="137">
        <f t="shared" si="7"/>
        <v>0</v>
      </c>
      <c r="J19" s="132">
        <f t="shared" si="20"/>
        <v>797796</v>
      </c>
      <c r="K19" s="117">
        <f t="shared" si="15"/>
        <v>0</v>
      </c>
      <c r="L19" s="135">
        <f t="shared" si="21"/>
        <v>1109879</v>
      </c>
      <c r="M19" s="117">
        <f t="shared" si="8"/>
        <v>0</v>
      </c>
      <c r="N19" s="132">
        <f t="shared" si="22"/>
        <v>7836986</v>
      </c>
      <c r="O19" s="117">
        <f t="shared" si="16"/>
        <v>0</v>
      </c>
      <c r="P19" s="135">
        <f t="shared" si="23"/>
        <v>8699470</v>
      </c>
      <c r="Q19" s="117">
        <f t="shared" si="9"/>
        <v>0</v>
      </c>
      <c r="R19" s="132">
        <f t="shared" si="24"/>
        <v>22938944</v>
      </c>
      <c r="S19" s="117">
        <f t="shared" si="10"/>
        <v>0</v>
      </c>
      <c r="T19" s="138">
        <v>0</v>
      </c>
      <c r="U19" s="136"/>
      <c r="V19" s="132">
        <f t="shared" si="25"/>
        <v>1010778</v>
      </c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24700.496620799997</v>
      </c>
    </row>
    <row r="20" spans="1:27" s="118" customFormat="1" ht="16.5" thickBot="1" x14ac:dyDescent="0.3">
      <c r="A20" s="9">
        <v>44883</v>
      </c>
      <c r="B20" s="38"/>
      <c r="C20" s="131">
        <f t="shared" si="17"/>
        <v>20292</v>
      </c>
      <c r="D20" s="38">
        <f t="shared" si="4"/>
        <v>0</v>
      </c>
      <c r="E20" s="132">
        <f t="shared" si="18"/>
        <v>34523955</v>
      </c>
      <c r="F20" s="38">
        <f t="shared" si="5"/>
        <v>0</v>
      </c>
      <c r="G20" s="133">
        <f t="shared" si="19"/>
        <v>8188500</v>
      </c>
      <c r="H20" s="38">
        <f t="shared" si="6"/>
        <v>0</v>
      </c>
      <c r="I20" s="137">
        <f t="shared" si="7"/>
        <v>0</v>
      </c>
      <c r="J20" s="132">
        <f t="shared" si="20"/>
        <v>797796</v>
      </c>
      <c r="K20" s="117">
        <f t="shared" si="15"/>
        <v>0</v>
      </c>
      <c r="L20" s="135">
        <f t="shared" si="21"/>
        <v>1109879</v>
      </c>
      <c r="M20" s="117">
        <f t="shared" si="8"/>
        <v>0</v>
      </c>
      <c r="N20" s="132">
        <f t="shared" si="22"/>
        <v>7836986</v>
      </c>
      <c r="O20" s="117">
        <f t="shared" si="16"/>
        <v>0</v>
      </c>
      <c r="P20" s="135">
        <f t="shared" si="23"/>
        <v>8699470</v>
      </c>
      <c r="Q20" s="117">
        <f t="shared" si="9"/>
        <v>0</v>
      </c>
      <c r="R20" s="132">
        <f t="shared" si="24"/>
        <v>22938944</v>
      </c>
      <c r="S20" s="117">
        <f t="shared" si="10"/>
        <v>0</v>
      </c>
      <c r="T20" s="138">
        <v>0</v>
      </c>
      <c r="U20" s="136"/>
      <c r="V20" s="132">
        <f t="shared" si="25"/>
        <v>1010778</v>
      </c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24700.496620799997</v>
      </c>
    </row>
    <row r="21" spans="1:27" s="118" customFormat="1" ht="16.5" thickBot="1" x14ac:dyDescent="0.3">
      <c r="A21" s="9">
        <v>44884</v>
      </c>
      <c r="B21" s="38"/>
      <c r="C21" s="131">
        <f t="shared" si="17"/>
        <v>20292</v>
      </c>
      <c r="D21" s="38">
        <f t="shared" si="4"/>
        <v>0</v>
      </c>
      <c r="E21" s="132">
        <f t="shared" si="18"/>
        <v>34523955</v>
      </c>
      <c r="F21" s="38">
        <f t="shared" si="5"/>
        <v>0</v>
      </c>
      <c r="G21" s="133">
        <f t="shared" si="19"/>
        <v>8188500</v>
      </c>
      <c r="H21" s="38">
        <f t="shared" si="6"/>
        <v>0</v>
      </c>
      <c r="I21" s="137">
        <f t="shared" si="7"/>
        <v>0</v>
      </c>
      <c r="J21" s="132">
        <f t="shared" si="20"/>
        <v>797796</v>
      </c>
      <c r="K21" s="117">
        <f t="shared" si="15"/>
        <v>0</v>
      </c>
      <c r="L21" s="135">
        <f t="shared" si="21"/>
        <v>1109879</v>
      </c>
      <c r="M21" s="117">
        <f t="shared" si="8"/>
        <v>0</v>
      </c>
      <c r="N21" s="132">
        <f t="shared" si="22"/>
        <v>7836986</v>
      </c>
      <c r="O21" s="117">
        <f t="shared" si="16"/>
        <v>0</v>
      </c>
      <c r="P21" s="135">
        <f t="shared" si="23"/>
        <v>8699470</v>
      </c>
      <c r="Q21" s="117">
        <f t="shared" si="9"/>
        <v>0</v>
      </c>
      <c r="R21" s="132">
        <f t="shared" si="24"/>
        <v>22938944</v>
      </c>
      <c r="S21" s="117">
        <f t="shared" si="10"/>
        <v>0</v>
      </c>
      <c r="T21" s="138">
        <v>0</v>
      </c>
      <c r="U21" s="136"/>
      <c r="V21" s="132">
        <f t="shared" si="25"/>
        <v>1010778</v>
      </c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24700.496620799997</v>
      </c>
    </row>
    <row r="22" spans="1:27" ht="16.5" thickBot="1" x14ac:dyDescent="0.3">
      <c r="A22" s="9">
        <v>44885</v>
      </c>
      <c r="B22" s="38"/>
      <c r="C22" s="131">
        <f t="shared" si="17"/>
        <v>20292</v>
      </c>
      <c r="D22" s="38">
        <f t="shared" si="4"/>
        <v>0</v>
      </c>
      <c r="E22" s="132">
        <f t="shared" si="18"/>
        <v>34523955</v>
      </c>
      <c r="F22" s="38">
        <f t="shared" si="5"/>
        <v>0</v>
      </c>
      <c r="G22" s="133">
        <f t="shared" si="19"/>
        <v>8188500</v>
      </c>
      <c r="H22" s="38">
        <f t="shared" si="6"/>
        <v>0</v>
      </c>
      <c r="I22" s="134">
        <f t="shared" si="7"/>
        <v>0</v>
      </c>
      <c r="J22" s="132">
        <f t="shared" si="20"/>
        <v>797796</v>
      </c>
      <c r="K22" s="117">
        <f t="shared" si="15"/>
        <v>0</v>
      </c>
      <c r="L22" s="135">
        <f t="shared" si="21"/>
        <v>1109879</v>
      </c>
      <c r="M22" s="38">
        <f t="shared" si="8"/>
        <v>0</v>
      </c>
      <c r="N22" s="132">
        <f t="shared" si="22"/>
        <v>7836986</v>
      </c>
      <c r="O22" s="38">
        <f t="shared" si="16"/>
        <v>0</v>
      </c>
      <c r="P22" s="135">
        <f t="shared" si="23"/>
        <v>8699470</v>
      </c>
      <c r="Q22" s="38">
        <f t="shared" si="9"/>
        <v>0</v>
      </c>
      <c r="R22" s="132">
        <f t="shared" si="24"/>
        <v>22938944</v>
      </c>
      <c r="S22" s="38">
        <f t="shared" si="10"/>
        <v>0</v>
      </c>
      <c r="T22" s="132">
        <v>0</v>
      </c>
      <c r="U22" s="136"/>
      <c r="V22" s="132">
        <f t="shared" si="25"/>
        <v>1010778</v>
      </c>
      <c r="W22" s="38">
        <f t="shared" si="11"/>
        <v>0</v>
      </c>
      <c r="X22" s="19">
        <f t="shared" si="12"/>
        <v>0</v>
      </c>
      <c r="Y22" s="151">
        <f t="shared" si="13"/>
        <v>0</v>
      </c>
      <c r="Z22" s="3">
        <f t="shared" si="14"/>
        <v>0</v>
      </c>
      <c r="AA22" s="3">
        <f>SUM(Z1:Z22)</f>
        <v>24700.496620799997</v>
      </c>
    </row>
    <row r="23" spans="1:27" ht="16.5" thickBot="1" x14ac:dyDescent="0.3">
      <c r="A23" s="9">
        <v>44886</v>
      </c>
      <c r="B23" s="38"/>
      <c r="C23" s="131">
        <f t="shared" si="17"/>
        <v>20292</v>
      </c>
      <c r="D23" s="38">
        <f t="shared" si="4"/>
        <v>0</v>
      </c>
      <c r="E23" s="132">
        <f t="shared" si="18"/>
        <v>34523955</v>
      </c>
      <c r="F23" s="38">
        <f t="shared" si="5"/>
        <v>0</v>
      </c>
      <c r="G23" s="133">
        <f t="shared" si="19"/>
        <v>8188500</v>
      </c>
      <c r="H23" s="38">
        <f t="shared" si="6"/>
        <v>0</v>
      </c>
      <c r="I23" s="134">
        <f t="shared" si="7"/>
        <v>0</v>
      </c>
      <c r="J23" s="132">
        <f t="shared" si="20"/>
        <v>797796</v>
      </c>
      <c r="K23" s="117">
        <f t="shared" si="15"/>
        <v>0</v>
      </c>
      <c r="L23" s="135">
        <f t="shared" si="21"/>
        <v>1109879</v>
      </c>
      <c r="M23" s="38">
        <f t="shared" si="8"/>
        <v>0</v>
      </c>
      <c r="N23" s="132">
        <f t="shared" si="22"/>
        <v>7836986</v>
      </c>
      <c r="O23" s="38">
        <f t="shared" si="16"/>
        <v>0</v>
      </c>
      <c r="P23" s="135">
        <f t="shared" si="23"/>
        <v>8699470</v>
      </c>
      <c r="Q23" s="38">
        <f t="shared" si="9"/>
        <v>0</v>
      </c>
      <c r="R23" s="132">
        <f t="shared" si="24"/>
        <v>22938944</v>
      </c>
      <c r="S23" s="38">
        <f t="shared" si="10"/>
        <v>0</v>
      </c>
      <c r="T23" s="132">
        <v>0</v>
      </c>
      <c r="U23" s="136"/>
      <c r="V23" s="132">
        <f t="shared" si="25"/>
        <v>1010778</v>
      </c>
      <c r="W23" s="38">
        <f t="shared" si="11"/>
        <v>0</v>
      </c>
      <c r="X23" s="19">
        <f t="shared" si="12"/>
        <v>0</v>
      </c>
      <c r="Y23" s="151">
        <f t="shared" si="13"/>
        <v>0</v>
      </c>
      <c r="Z23" s="3">
        <f t="shared" si="14"/>
        <v>0</v>
      </c>
      <c r="AA23" s="3">
        <f>SUM(Z1:Z23)</f>
        <v>24700.496620799997</v>
      </c>
    </row>
    <row r="24" spans="1:27" ht="16.5" thickBot="1" x14ac:dyDescent="0.3">
      <c r="A24" s="9">
        <v>44887</v>
      </c>
      <c r="B24" s="38"/>
      <c r="C24" s="131">
        <f t="shared" si="17"/>
        <v>20292</v>
      </c>
      <c r="D24" s="38">
        <f t="shared" si="4"/>
        <v>0</v>
      </c>
      <c r="E24" s="132">
        <f t="shared" si="18"/>
        <v>34523955</v>
      </c>
      <c r="F24" s="38">
        <f t="shared" si="5"/>
        <v>0</v>
      </c>
      <c r="G24" s="133">
        <f t="shared" si="19"/>
        <v>8188500</v>
      </c>
      <c r="H24" s="38">
        <f t="shared" si="6"/>
        <v>0</v>
      </c>
      <c r="I24" s="134">
        <f t="shared" si="7"/>
        <v>0</v>
      </c>
      <c r="J24" s="132">
        <f t="shared" si="20"/>
        <v>797796</v>
      </c>
      <c r="K24" s="117">
        <f t="shared" si="15"/>
        <v>0</v>
      </c>
      <c r="L24" s="135">
        <f t="shared" si="21"/>
        <v>1109879</v>
      </c>
      <c r="M24" s="38">
        <f t="shared" si="8"/>
        <v>0</v>
      </c>
      <c r="N24" s="132">
        <f t="shared" si="22"/>
        <v>7836986</v>
      </c>
      <c r="O24" s="38">
        <f t="shared" si="16"/>
        <v>0</v>
      </c>
      <c r="P24" s="135">
        <f t="shared" si="23"/>
        <v>8699470</v>
      </c>
      <c r="Q24" s="38">
        <f t="shared" si="9"/>
        <v>0</v>
      </c>
      <c r="R24" s="132">
        <f t="shared" si="24"/>
        <v>22938944</v>
      </c>
      <c r="S24" s="38">
        <f t="shared" si="10"/>
        <v>0</v>
      </c>
      <c r="T24" s="132">
        <v>0</v>
      </c>
      <c r="U24" s="136"/>
      <c r="V24" s="132">
        <f t="shared" si="25"/>
        <v>1010778</v>
      </c>
      <c r="W24" s="38">
        <f t="shared" si="11"/>
        <v>0</v>
      </c>
      <c r="X24" s="19">
        <f t="shared" si="12"/>
        <v>0</v>
      </c>
      <c r="Y24" s="151">
        <f t="shared" si="13"/>
        <v>0</v>
      </c>
      <c r="Z24" s="3">
        <f t="shared" si="14"/>
        <v>0</v>
      </c>
      <c r="AA24" s="3">
        <f>SUM(Z1:Z24)</f>
        <v>24700.496620799997</v>
      </c>
    </row>
    <row r="25" spans="1:27" ht="16.5" thickBot="1" x14ac:dyDescent="0.3">
      <c r="A25" s="9">
        <v>44888</v>
      </c>
      <c r="B25" s="38"/>
      <c r="C25" s="131">
        <f t="shared" si="17"/>
        <v>20292</v>
      </c>
      <c r="D25" s="38">
        <f t="shared" si="4"/>
        <v>0</v>
      </c>
      <c r="E25" s="132">
        <f t="shared" si="18"/>
        <v>34523955</v>
      </c>
      <c r="F25" s="38">
        <f t="shared" si="5"/>
        <v>0</v>
      </c>
      <c r="G25" s="133">
        <f t="shared" si="19"/>
        <v>8188500</v>
      </c>
      <c r="H25" s="38">
        <f t="shared" si="6"/>
        <v>0</v>
      </c>
      <c r="I25" s="134">
        <f t="shared" si="7"/>
        <v>0</v>
      </c>
      <c r="J25" s="132">
        <f t="shared" si="20"/>
        <v>797796</v>
      </c>
      <c r="K25" s="117">
        <f t="shared" si="15"/>
        <v>0</v>
      </c>
      <c r="L25" s="135">
        <f t="shared" si="21"/>
        <v>1109879</v>
      </c>
      <c r="M25" s="38">
        <f t="shared" si="8"/>
        <v>0</v>
      </c>
      <c r="N25" s="132">
        <f t="shared" si="22"/>
        <v>7836986</v>
      </c>
      <c r="O25" s="38">
        <f t="shared" si="16"/>
        <v>0</v>
      </c>
      <c r="P25" s="135">
        <f t="shared" si="23"/>
        <v>8699470</v>
      </c>
      <c r="Q25" s="38">
        <f t="shared" si="9"/>
        <v>0</v>
      </c>
      <c r="R25" s="132">
        <f t="shared" si="24"/>
        <v>22938944</v>
      </c>
      <c r="S25" s="38">
        <f t="shared" si="10"/>
        <v>0</v>
      </c>
      <c r="T25" s="132">
        <v>0</v>
      </c>
      <c r="U25" s="136"/>
      <c r="V25" s="132">
        <f t="shared" si="25"/>
        <v>1010778</v>
      </c>
      <c r="W25" s="38">
        <f t="shared" si="11"/>
        <v>0</v>
      </c>
      <c r="X25" s="19">
        <f t="shared" si="12"/>
        <v>0</v>
      </c>
      <c r="Y25" s="151">
        <f t="shared" si="13"/>
        <v>0</v>
      </c>
      <c r="Z25" s="3">
        <f t="shared" si="14"/>
        <v>0</v>
      </c>
      <c r="AA25" s="3">
        <f>SUM(Z1:Z25)</f>
        <v>24700.496620799997</v>
      </c>
    </row>
    <row r="26" spans="1:27" ht="16.5" thickBot="1" x14ac:dyDescent="0.3">
      <c r="A26" s="9">
        <v>44889</v>
      </c>
      <c r="B26" s="38"/>
      <c r="C26" s="131">
        <f t="shared" si="17"/>
        <v>20292</v>
      </c>
      <c r="D26" s="38">
        <f t="shared" si="4"/>
        <v>0</v>
      </c>
      <c r="E26" s="132">
        <f t="shared" si="18"/>
        <v>34523955</v>
      </c>
      <c r="F26" s="38">
        <f t="shared" si="5"/>
        <v>0</v>
      </c>
      <c r="G26" s="133">
        <f t="shared" si="19"/>
        <v>8188500</v>
      </c>
      <c r="H26" s="38">
        <f t="shared" si="6"/>
        <v>0</v>
      </c>
      <c r="I26" s="134">
        <f t="shared" si="7"/>
        <v>0</v>
      </c>
      <c r="J26" s="132">
        <f t="shared" si="20"/>
        <v>797796</v>
      </c>
      <c r="K26" s="117">
        <f t="shared" si="15"/>
        <v>0</v>
      </c>
      <c r="L26" s="135">
        <f t="shared" si="21"/>
        <v>1109879</v>
      </c>
      <c r="M26" s="38">
        <f t="shared" si="8"/>
        <v>0</v>
      </c>
      <c r="N26" s="132">
        <f t="shared" si="22"/>
        <v>7836986</v>
      </c>
      <c r="O26" s="38">
        <f t="shared" si="16"/>
        <v>0</v>
      </c>
      <c r="P26" s="135">
        <f t="shared" si="23"/>
        <v>8699470</v>
      </c>
      <c r="Q26" s="38">
        <f t="shared" si="9"/>
        <v>0</v>
      </c>
      <c r="R26" s="132">
        <f t="shared" si="24"/>
        <v>22938944</v>
      </c>
      <c r="S26" s="38">
        <f t="shared" si="10"/>
        <v>0</v>
      </c>
      <c r="T26" s="132">
        <v>0</v>
      </c>
      <c r="U26" s="136"/>
      <c r="V26" s="132">
        <f t="shared" si="25"/>
        <v>1010778</v>
      </c>
      <c r="W26" s="38">
        <f t="shared" si="11"/>
        <v>0</v>
      </c>
      <c r="X26" s="19">
        <f t="shared" si="12"/>
        <v>0</v>
      </c>
      <c r="Y26" s="151">
        <f t="shared" si="13"/>
        <v>0</v>
      </c>
      <c r="Z26" s="3">
        <f t="shared" si="14"/>
        <v>0</v>
      </c>
      <c r="AA26" s="3">
        <f>SUM(Z1:Z26)</f>
        <v>24700.496620799997</v>
      </c>
    </row>
    <row r="27" spans="1:27" ht="16.5" thickBot="1" x14ac:dyDescent="0.3">
      <c r="A27" s="9">
        <v>44890</v>
      </c>
      <c r="B27" s="38"/>
      <c r="C27" s="131">
        <f t="shared" si="17"/>
        <v>20292</v>
      </c>
      <c r="D27" s="38">
        <f t="shared" si="4"/>
        <v>0</v>
      </c>
      <c r="E27" s="132">
        <f t="shared" si="18"/>
        <v>34523955</v>
      </c>
      <c r="F27" s="38">
        <f t="shared" si="5"/>
        <v>0</v>
      </c>
      <c r="G27" s="133">
        <f t="shared" si="19"/>
        <v>8188500</v>
      </c>
      <c r="H27" s="38">
        <f t="shared" si="6"/>
        <v>0</v>
      </c>
      <c r="I27" s="134">
        <f t="shared" si="7"/>
        <v>0</v>
      </c>
      <c r="J27" s="132">
        <f t="shared" si="20"/>
        <v>797796</v>
      </c>
      <c r="K27" s="117">
        <f t="shared" si="15"/>
        <v>0</v>
      </c>
      <c r="L27" s="135">
        <f t="shared" si="21"/>
        <v>1109879</v>
      </c>
      <c r="M27" s="38">
        <f t="shared" si="8"/>
        <v>0</v>
      </c>
      <c r="N27" s="132">
        <f t="shared" si="22"/>
        <v>7836986</v>
      </c>
      <c r="O27" s="38">
        <f t="shared" si="16"/>
        <v>0</v>
      </c>
      <c r="P27" s="135">
        <f t="shared" si="23"/>
        <v>8699470</v>
      </c>
      <c r="Q27" s="38">
        <f t="shared" si="9"/>
        <v>0</v>
      </c>
      <c r="R27" s="132">
        <f t="shared" si="24"/>
        <v>22938944</v>
      </c>
      <c r="S27" s="38">
        <f t="shared" si="10"/>
        <v>0</v>
      </c>
      <c r="T27" s="132">
        <v>0</v>
      </c>
      <c r="U27" s="136"/>
      <c r="V27" s="132">
        <f t="shared" si="25"/>
        <v>1010778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24700.496620799997</v>
      </c>
    </row>
    <row r="28" spans="1:27" ht="16.5" thickBot="1" x14ac:dyDescent="0.3">
      <c r="A28" s="9">
        <v>44891</v>
      </c>
      <c r="B28" s="38"/>
      <c r="C28" s="131">
        <f t="shared" si="17"/>
        <v>20292</v>
      </c>
      <c r="D28" s="38">
        <f t="shared" si="4"/>
        <v>0</v>
      </c>
      <c r="E28" s="132">
        <f t="shared" si="18"/>
        <v>34523955</v>
      </c>
      <c r="F28" s="38">
        <f t="shared" si="5"/>
        <v>0</v>
      </c>
      <c r="G28" s="133">
        <f t="shared" si="19"/>
        <v>8188500</v>
      </c>
      <c r="H28" s="38">
        <f t="shared" si="6"/>
        <v>0</v>
      </c>
      <c r="I28" s="134">
        <f t="shared" si="7"/>
        <v>0</v>
      </c>
      <c r="J28" s="132">
        <f t="shared" si="20"/>
        <v>797796</v>
      </c>
      <c r="K28" s="117">
        <f t="shared" si="15"/>
        <v>0</v>
      </c>
      <c r="L28" s="135">
        <f t="shared" si="21"/>
        <v>1109879</v>
      </c>
      <c r="M28" s="38">
        <f t="shared" si="8"/>
        <v>0</v>
      </c>
      <c r="N28" s="132">
        <f t="shared" si="22"/>
        <v>7836986</v>
      </c>
      <c r="O28" s="38">
        <f t="shared" si="16"/>
        <v>0</v>
      </c>
      <c r="P28" s="135">
        <f t="shared" si="23"/>
        <v>8699470</v>
      </c>
      <c r="Q28" s="38">
        <f t="shared" si="9"/>
        <v>0</v>
      </c>
      <c r="R28" s="132">
        <f t="shared" si="24"/>
        <v>22938944</v>
      </c>
      <c r="S28" s="38">
        <f t="shared" si="10"/>
        <v>0</v>
      </c>
      <c r="T28" s="132">
        <v>0</v>
      </c>
      <c r="U28" s="136"/>
      <c r="V28" s="132">
        <f t="shared" si="25"/>
        <v>1010778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24700.496620799997</v>
      </c>
    </row>
    <row r="29" spans="1:27" ht="16.5" thickBot="1" x14ac:dyDescent="0.3">
      <c r="A29" s="9">
        <v>44892</v>
      </c>
      <c r="B29" s="38"/>
      <c r="C29" s="131">
        <f t="shared" si="17"/>
        <v>20292</v>
      </c>
      <c r="D29" s="38">
        <f t="shared" si="4"/>
        <v>0</v>
      </c>
      <c r="E29" s="132">
        <f t="shared" si="18"/>
        <v>34523955</v>
      </c>
      <c r="F29" s="38">
        <f t="shared" si="5"/>
        <v>0</v>
      </c>
      <c r="G29" s="133">
        <f t="shared" si="19"/>
        <v>8188500</v>
      </c>
      <c r="H29" s="38">
        <f t="shared" si="6"/>
        <v>0</v>
      </c>
      <c r="I29" s="134">
        <f t="shared" si="7"/>
        <v>0</v>
      </c>
      <c r="J29" s="132">
        <f t="shared" si="20"/>
        <v>797796</v>
      </c>
      <c r="K29" s="117">
        <f t="shared" si="15"/>
        <v>0</v>
      </c>
      <c r="L29" s="135">
        <f t="shared" si="21"/>
        <v>1109879</v>
      </c>
      <c r="M29" s="38">
        <f t="shared" si="8"/>
        <v>0</v>
      </c>
      <c r="N29" s="132">
        <f t="shared" si="22"/>
        <v>7836986</v>
      </c>
      <c r="O29" s="38">
        <f t="shared" si="16"/>
        <v>0</v>
      </c>
      <c r="P29" s="135">
        <f t="shared" si="23"/>
        <v>8699470</v>
      </c>
      <c r="Q29" s="38">
        <f t="shared" si="9"/>
        <v>0</v>
      </c>
      <c r="R29" s="132">
        <f t="shared" si="24"/>
        <v>22938944</v>
      </c>
      <c r="S29" s="38">
        <f t="shared" si="10"/>
        <v>0</v>
      </c>
      <c r="T29" s="132">
        <v>0</v>
      </c>
      <c r="U29" s="136"/>
      <c r="V29" s="132">
        <f t="shared" si="25"/>
        <v>1010778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24700.496620799997</v>
      </c>
    </row>
    <row r="30" spans="1:27" ht="16.5" thickBot="1" x14ac:dyDescent="0.3">
      <c r="A30" s="9">
        <v>44893</v>
      </c>
      <c r="B30" s="38"/>
      <c r="C30" s="131">
        <f t="shared" si="17"/>
        <v>20292</v>
      </c>
      <c r="D30" s="38">
        <f>IF((C30-C29)&lt;0,"0",(C30-C29))*160</f>
        <v>0</v>
      </c>
      <c r="E30" s="132">
        <f t="shared" si="18"/>
        <v>34523955</v>
      </c>
      <c r="F30" s="38">
        <f>IF((E30-E29)&lt;0,"0",(E30-E29))</f>
        <v>0</v>
      </c>
      <c r="G30" s="133">
        <f t="shared" si="19"/>
        <v>8188500</v>
      </c>
      <c r="H30" s="38">
        <f t="shared" si="6"/>
        <v>0</v>
      </c>
      <c r="I30" s="134">
        <f t="shared" si="7"/>
        <v>0</v>
      </c>
      <c r="J30" s="132">
        <f t="shared" si="20"/>
        <v>797796</v>
      </c>
      <c r="K30" s="117">
        <f t="shared" si="15"/>
        <v>0</v>
      </c>
      <c r="L30" s="135">
        <f t="shared" si="21"/>
        <v>1109879</v>
      </c>
      <c r="M30" s="38">
        <f>IF((L30-L29)&lt;0,"0",(L30-L29))</f>
        <v>0</v>
      </c>
      <c r="N30" s="132">
        <f t="shared" si="22"/>
        <v>7836986</v>
      </c>
      <c r="O30" s="38">
        <f>(IF((N30-N29)&lt;0,"0",(N30-N29)))*2</f>
        <v>0</v>
      </c>
      <c r="P30" s="135">
        <f t="shared" si="23"/>
        <v>8699470</v>
      </c>
      <c r="Q30" s="38">
        <f>IF((P30-P29)&lt;0,"0",(P30-P29))</f>
        <v>0</v>
      </c>
      <c r="R30" s="132">
        <f t="shared" si="24"/>
        <v>22938944</v>
      </c>
      <c r="S30" s="38">
        <f t="shared" si="10"/>
        <v>0</v>
      </c>
      <c r="T30" s="132">
        <v>0</v>
      </c>
      <c r="U30" s="136"/>
      <c r="V30" s="132">
        <f t="shared" si="25"/>
        <v>1010778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24700.496620799997</v>
      </c>
    </row>
    <row r="31" spans="1:27" ht="16.5" thickBot="1" x14ac:dyDescent="0.3">
      <c r="A31" s="9">
        <v>44894</v>
      </c>
      <c r="B31" s="38"/>
      <c r="C31" s="131">
        <f t="shared" si="17"/>
        <v>20292</v>
      </c>
      <c r="D31" s="38">
        <f t="shared" ref="D31:D32" si="36">IF((C31-C30)&lt;0,"0",(C31-C30))*160</f>
        <v>0</v>
      </c>
      <c r="E31" s="132">
        <f t="shared" si="18"/>
        <v>34523955</v>
      </c>
      <c r="F31" s="38">
        <f t="shared" ref="F31:F32" si="37">IF((E31-E30)&lt;0,"0",(E31-E30))</f>
        <v>0</v>
      </c>
      <c r="G31" s="133">
        <f t="shared" si="19"/>
        <v>8188500</v>
      </c>
      <c r="H31" s="38">
        <f t="shared" si="6"/>
        <v>0</v>
      </c>
      <c r="I31" s="134">
        <f t="shared" ref="I31:I32" si="38">F31+H31</f>
        <v>0</v>
      </c>
      <c r="J31" s="132">
        <f t="shared" si="20"/>
        <v>797796</v>
      </c>
      <c r="K31" s="117">
        <f t="shared" si="15"/>
        <v>0</v>
      </c>
      <c r="L31" s="135">
        <f t="shared" si="21"/>
        <v>1109879</v>
      </c>
      <c r="M31" s="38">
        <f t="shared" ref="M31:M32" si="39">IF((L31-L30)&lt;0,"0",(L31-L30))</f>
        <v>0</v>
      </c>
      <c r="N31" s="132">
        <f t="shared" si="22"/>
        <v>7836986</v>
      </c>
      <c r="O31" s="38">
        <f t="shared" ref="O31:O32" si="40">(IF((N31-N30)&lt;0,"0",(N31-N30)))*2</f>
        <v>0</v>
      </c>
      <c r="P31" s="135">
        <f t="shared" si="23"/>
        <v>8699470</v>
      </c>
      <c r="Q31" s="38">
        <f t="shared" ref="Q31:Q32" si="41">IF((P31-P30)&lt;0,"0",(P31-P30))</f>
        <v>0</v>
      </c>
      <c r="R31" s="132">
        <f t="shared" si="24"/>
        <v>22938944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25"/>
        <v>1010778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24700.496620799997</v>
      </c>
    </row>
    <row r="32" spans="1:27" ht="16.5" thickBot="1" x14ac:dyDescent="0.3">
      <c r="A32" s="9">
        <v>44895</v>
      </c>
      <c r="B32" s="38"/>
      <c r="C32" s="131">
        <f t="shared" si="17"/>
        <v>20292</v>
      </c>
      <c r="D32" s="38">
        <f t="shared" si="36"/>
        <v>0</v>
      </c>
      <c r="E32" s="132">
        <f t="shared" si="18"/>
        <v>34523955</v>
      </c>
      <c r="F32" s="38">
        <f t="shared" si="37"/>
        <v>0</v>
      </c>
      <c r="G32" s="133">
        <f t="shared" si="19"/>
        <v>8188500</v>
      </c>
      <c r="H32" s="38">
        <f t="shared" si="6"/>
        <v>0</v>
      </c>
      <c r="I32" s="134">
        <f t="shared" si="38"/>
        <v>0</v>
      </c>
      <c r="J32" s="132">
        <f t="shared" si="20"/>
        <v>797796</v>
      </c>
      <c r="K32" s="117">
        <f t="shared" si="15"/>
        <v>0</v>
      </c>
      <c r="L32" s="135">
        <f t="shared" si="21"/>
        <v>1109879</v>
      </c>
      <c r="M32" s="38">
        <f t="shared" si="39"/>
        <v>0</v>
      </c>
      <c r="N32" s="132">
        <f t="shared" si="22"/>
        <v>7836986</v>
      </c>
      <c r="O32" s="38">
        <f t="shared" si="40"/>
        <v>0</v>
      </c>
      <c r="P32" s="135">
        <f t="shared" si="23"/>
        <v>8699470</v>
      </c>
      <c r="Q32" s="38">
        <f t="shared" si="41"/>
        <v>0</v>
      </c>
      <c r="R32" s="132">
        <f t="shared" si="24"/>
        <v>22938944</v>
      </c>
      <c r="S32" s="38">
        <f t="shared" si="42"/>
        <v>0</v>
      </c>
      <c r="T32" s="132">
        <v>0</v>
      </c>
      <c r="U32" s="136"/>
      <c r="V32" s="132">
        <f t="shared" si="25"/>
        <v>1010778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24700.496620799997</v>
      </c>
    </row>
    <row r="33" spans="1:27" ht="16.5" thickBot="1" x14ac:dyDescent="0.3">
      <c r="A33" s="124" t="s">
        <v>23</v>
      </c>
      <c r="B33" s="124">
        <f>SUM(B3:B32)</f>
        <v>881</v>
      </c>
      <c r="C33" s="124">
        <v>0</v>
      </c>
      <c r="D33" s="124">
        <f>SUM(D3:D32)</f>
        <v>1440</v>
      </c>
      <c r="E33" s="55">
        <v>0</v>
      </c>
      <c r="F33" s="124">
        <f>SUM(F3:F32)</f>
        <v>34122</v>
      </c>
      <c r="G33" s="55">
        <v>0</v>
      </c>
      <c r="H33" s="124">
        <f>SUM(H3:H32)</f>
        <v>167704</v>
      </c>
      <c r="I33" s="124">
        <f t="shared" ref="I33" si="47">F33+H33</f>
        <v>201826</v>
      </c>
      <c r="J33" s="55">
        <v>0</v>
      </c>
      <c r="K33" s="124">
        <f>SUM(K3:K32)</f>
        <v>37904</v>
      </c>
      <c r="L33" s="55">
        <v>0</v>
      </c>
      <c r="M33" s="124">
        <f>SUM(M3:M32)</f>
        <v>19457</v>
      </c>
      <c r="N33" s="55">
        <v>0</v>
      </c>
      <c r="O33" s="124">
        <f>SUM(O3:O32)</f>
        <v>14110</v>
      </c>
      <c r="P33" s="55">
        <v>0</v>
      </c>
      <c r="Q33" s="124">
        <f>SUM(Q3:Q32)</f>
        <v>36059</v>
      </c>
      <c r="R33" s="55">
        <v>0</v>
      </c>
      <c r="S33" s="124">
        <f>SUM(S3:S32)</f>
        <v>34476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37368</v>
      </c>
      <c r="X33" s="124">
        <f>SUM(X3:X32)</f>
        <v>179374</v>
      </c>
      <c r="Y33" s="124">
        <f>SUM(Y2:Y32)</f>
        <v>22452</v>
      </c>
      <c r="Z33" s="124">
        <f>SUM(Z2:Z32)</f>
        <v>24700.496620799997</v>
      </c>
      <c r="AA33" s="124">
        <f>SUM(AA2:AA32)</f>
        <v>714682.35833279986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5" sqref="J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f t="shared" ref="B5:B32" si="7">B5</f>
        <v>465744</v>
      </c>
      <c r="C6" s="38">
        <f t="shared" si="2"/>
        <v>0</v>
      </c>
      <c r="D6" s="3">
        <v>15325</v>
      </c>
      <c r="E6" s="38">
        <f t="shared" si="2"/>
        <v>0</v>
      </c>
      <c r="F6" s="3">
        <f t="shared" ref="F5:F32" si="8">F5</f>
        <v>12518400</v>
      </c>
      <c r="G6" s="38">
        <f t="shared" si="5"/>
        <v>0</v>
      </c>
      <c r="H6" s="3">
        <f t="shared" ref="H5:H32" si="9">H5</f>
        <v>819561</v>
      </c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44870</v>
      </c>
      <c r="B7" s="3">
        <f t="shared" si="7"/>
        <v>465744</v>
      </c>
      <c r="C7" s="38">
        <f t="shared" si="2"/>
        <v>0</v>
      </c>
      <c r="D7" s="3">
        <f t="shared" ref="D5:D32" si="10">D6</f>
        <v>15325</v>
      </c>
      <c r="E7" s="38">
        <f t="shared" si="2"/>
        <v>0</v>
      </c>
      <c r="F7" s="3">
        <f t="shared" si="8"/>
        <v>12518400</v>
      </c>
      <c r="G7" s="38">
        <f t="shared" si="5"/>
        <v>0</v>
      </c>
      <c r="H7" s="3">
        <f t="shared" si="9"/>
        <v>819561</v>
      </c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f t="shared" si="7"/>
        <v>465744</v>
      </c>
      <c r="C8" s="38">
        <f t="shared" si="2"/>
        <v>0</v>
      </c>
      <c r="D8" s="3">
        <f t="shared" si="10"/>
        <v>15325</v>
      </c>
      <c r="E8" s="38">
        <f t="shared" si="2"/>
        <v>0</v>
      </c>
      <c r="F8" s="3">
        <f t="shared" si="8"/>
        <v>12518400</v>
      </c>
      <c r="G8" s="38">
        <f t="shared" si="5"/>
        <v>0</v>
      </c>
      <c r="H8" s="3">
        <f t="shared" si="9"/>
        <v>819561</v>
      </c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44872</v>
      </c>
      <c r="B9" s="3">
        <f t="shared" si="7"/>
        <v>465744</v>
      </c>
      <c r="C9" s="38">
        <f t="shared" ref="C9:C32" si="11">(IF((B9-B8)&lt;0,"0",(B9-B8)))*10</f>
        <v>0</v>
      </c>
      <c r="D9" s="3">
        <f t="shared" si="10"/>
        <v>15325</v>
      </c>
      <c r="E9" s="38">
        <f t="shared" si="2"/>
        <v>0</v>
      </c>
      <c r="F9" s="3">
        <f t="shared" si="8"/>
        <v>12518400</v>
      </c>
      <c r="G9" s="38">
        <f t="shared" si="5"/>
        <v>0</v>
      </c>
      <c r="H9" s="3">
        <f t="shared" si="9"/>
        <v>819561</v>
      </c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44873</v>
      </c>
      <c r="B10" s="3">
        <f t="shared" si="7"/>
        <v>465744</v>
      </c>
      <c r="C10" s="38">
        <f>(IF((B10-B9)&lt;0,"0",(B10-B9)))*10</f>
        <v>0</v>
      </c>
      <c r="D10" s="3">
        <f t="shared" si="10"/>
        <v>15325</v>
      </c>
      <c r="E10" s="38">
        <f t="shared" si="2"/>
        <v>0</v>
      </c>
      <c r="F10" s="3">
        <f t="shared" si="8"/>
        <v>12518400</v>
      </c>
      <c r="G10" s="38">
        <f t="shared" si="5"/>
        <v>0</v>
      </c>
      <c r="H10" s="3">
        <f t="shared" si="9"/>
        <v>819561</v>
      </c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44874</v>
      </c>
      <c r="B11" s="3">
        <f t="shared" si="7"/>
        <v>465744</v>
      </c>
      <c r="C11" s="38">
        <f t="shared" si="11"/>
        <v>0</v>
      </c>
      <c r="D11" s="3">
        <f t="shared" si="10"/>
        <v>15325</v>
      </c>
      <c r="E11" s="38">
        <f t="shared" si="2"/>
        <v>0</v>
      </c>
      <c r="F11" s="3">
        <f t="shared" si="8"/>
        <v>12518400</v>
      </c>
      <c r="G11" s="38">
        <f t="shared" si="5"/>
        <v>0</v>
      </c>
      <c r="H11" s="3">
        <f t="shared" si="9"/>
        <v>819561</v>
      </c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44875</v>
      </c>
      <c r="B12" s="3">
        <f t="shared" si="7"/>
        <v>465744</v>
      </c>
      <c r="C12" s="38">
        <f t="shared" si="11"/>
        <v>0</v>
      </c>
      <c r="D12" s="3">
        <f t="shared" si="10"/>
        <v>15325</v>
      </c>
      <c r="E12" s="38">
        <f t="shared" si="2"/>
        <v>0</v>
      </c>
      <c r="F12" s="3">
        <f t="shared" si="8"/>
        <v>12518400</v>
      </c>
      <c r="G12" s="38">
        <f t="shared" si="5"/>
        <v>0</v>
      </c>
      <c r="H12" s="3">
        <f t="shared" si="9"/>
        <v>819561</v>
      </c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44876</v>
      </c>
      <c r="B13" s="3">
        <f t="shared" si="7"/>
        <v>465744</v>
      </c>
      <c r="C13" s="38">
        <f t="shared" si="11"/>
        <v>0</v>
      </c>
      <c r="D13" s="3">
        <f t="shared" si="10"/>
        <v>15325</v>
      </c>
      <c r="E13" s="38">
        <f t="shared" si="2"/>
        <v>0</v>
      </c>
      <c r="F13" s="3">
        <f t="shared" si="8"/>
        <v>12518400</v>
      </c>
      <c r="G13" s="38">
        <f t="shared" si="5"/>
        <v>0</v>
      </c>
      <c r="H13" s="3">
        <f t="shared" si="9"/>
        <v>819561</v>
      </c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44877</v>
      </c>
      <c r="B14" s="3">
        <f t="shared" si="7"/>
        <v>465744</v>
      </c>
      <c r="C14" s="38">
        <f t="shared" si="11"/>
        <v>0</v>
      </c>
      <c r="D14" s="3">
        <f t="shared" si="10"/>
        <v>15325</v>
      </c>
      <c r="E14" s="38">
        <f t="shared" si="2"/>
        <v>0</v>
      </c>
      <c r="F14" s="3">
        <f t="shared" si="8"/>
        <v>12518400</v>
      </c>
      <c r="G14" s="38">
        <f t="shared" si="5"/>
        <v>0</v>
      </c>
      <c r="H14" s="3">
        <f t="shared" si="9"/>
        <v>819561</v>
      </c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44878</v>
      </c>
      <c r="B15" s="3">
        <f t="shared" si="7"/>
        <v>465744</v>
      </c>
      <c r="C15" s="38">
        <f t="shared" si="11"/>
        <v>0</v>
      </c>
      <c r="D15" s="3">
        <f t="shared" si="10"/>
        <v>15325</v>
      </c>
      <c r="E15" s="38">
        <f t="shared" si="2"/>
        <v>0</v>
      </c>
      <c r="F15" s="3">
        <f t="shared" si="8"/>
        <v>12518400</v>
      </c>
      <c r="G15" s="38">
        <f t="shared" si="5"/>
        <v>0</v>
      </c>
      <c r="H15" s="3">
        <f t="shared" si="9"/>
        <v>819561</v>
      </c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44879</v>
      </c>
      <c r="B16" s="3">
        <f t="shared" si="7"/>
        <v>465744</v>
      </c>
      <c r="C16" s="38">
        <f t="shared" si="11"/>
        <v>0</v>
      </c>
      <c r="D16" s="3">
        <f t="shared" si="10"/>
        <v>15325</v>
      </c>
      <c r="E16" s="38">
        <f t="shared" si="2"/>
        <v>0</v>
      </c>
      <c r="F16" s="3">
        <f t="shared" si="8"/>
        <v>12518400</v>
      </c>
      <c r="G16" s="38">
        <f t="shared" si="5"/>
        <v>0</v>
      </c>
      <c r="H16" s="3">
        <f t="shared" si="9"/>
        <v>819561</v>
      </c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44880</v>
      </c>
      <c r="B17" s="3">
        <f t="shared" si="7"/>
        <v>465744</v>
      </c>
      <c r="C17" s="38">
        <f t="shared" si="11"/>
        <v>0</v>
      </c>
      <c r="D17" s="3">
        <f t="shared" si="10"/>
        <v>15325</v>
      </c>
      <c r="E17" s="38">
        <f t="shared" si="2"/>
        <v>0</v>
      </c>
      <c r="F17" s="3">
        <f t="shared" si="8"/>
        <v>12518400</v>
      </c>
      <c r="G17" s="38">
        <f t="shared" si="5"/>
        <v>0</v>
      </c>
      <c r="H17" s="3">
        <f t="shared" si="9"/>
        <v>819561</v>
      </c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f t="shared" si="7"/>
        <v>465744</v>
      </c>
      <c r="C18" s="38">
        <f t="shared" si="11"/>
        <v>0</v>
      </c>
      <c r="D18" s="3">
        <f t="shared" si="10"/>
        <v>15325</v>
      </c>
      <c r="E18" s="38">
        <f t="shared" si="2"/>
        <v>0</v>
      </c>
      <c r="F18" s="3">
        <f t="shared" si="8"/>
        <v>12518400</v>
      </c>
      <c r="G18" s="38">
        <f t="shared" si="5"/>
        <v>0</v>
      </c>
      <c r="H18" s="3">
        <f t="shared" si="9"/>
        <v>819561</v>
      </c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44882</v>
      </c>
      <c r="B19" s="3">
        <f t="shared" si="7"/>
        <v>465744</v>
      </c>
      <c r="C19" s="38">
        <f t="shared" si="11"/>
        <v>0</v>
      </c>
      <c r="D19" s="3">
        <f t="shared" si="10"/>
        <v>15325</v>
      </c>
      <c r="E19" s="38">
        <f t="shared" ref="E19:E32" si="12">(IF((D19-D18)&lt;0,"0",(D19-D18)))*10</f>
        <v>0</v>
      </c>
      <c r="F19" s="3">
        <f t="shared" si="8"/>
        <v>12518400</v>
      </c>
      <c r="G19" s="38">
        <f t="shared" si="5"/>
        <v>0</v>
      </c>
      <c r="H19" s="3">
        <f t="shared" si="9"/>
        <v>819561</v>
      </c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44883</v>
      </c>
      <c r="B20" s="3">
        <f t="shared" si="7"/>
        <v>465744</v>
      </c>
      <c r="C20" s="38">
        <f t="shared" si="11"/>
        <v>0</v>
      </c>
      <c r="D20" s="3">
        <f t="shared" si="10"/>
        <v>15325</v>
      </c>
      <c r="E20" s="38">
        <f t="shared" si="12"/>
        <v>0</v>
      </c>
      <c r="F20" s="3">
        <f t="shared" si="8"/>
        <v>12518400</v>
      </c>
      <c r="G20" s="38">
        <f t="shared" si="5"/>
        <v>0</v>
      </c>
      <c r="H20" s="3">
        <f t="shared" si="9"/>
        <v>819561</v>
      </c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44884</v>
      </c>
      <c r="B21" s="3">
        <f t="shared" si="7"/>
        <v>465744</v>
      </c>
      <c r="C21" s="38">
        <f t="shared" si="11"/>
        <v>0</v>
      </c>
      <c r="D21" s="3">
        <f t="shared" si="10"/>
        <v>15325</v>
      </c>
      <c r="E21" s="38">
        <f t="shared" si="12"/>
        <v>0</v>
      </c>
      <c r="F21" s="3">
        <f t="shared" si="8"/>
        <v>12518400</v>
      </c>
      <c r="G21" s="38">
        <f t="shared" si="5"/>
        <v>0</v>
      </c>
      <c r="H21" s="3">
        <f t="shared" si="9"/>
        <v>819561</v>
      </c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44885</v>
      </c>
      <c r="B22" s="3">
        <f t="shared" si="7"/>
        <v>465744</v>
      </c>
      <c r="C22" s="38">
        <f t="shared" si="11"/>
        <v>0</v>
      </c>
      <c r="D22" s="3">
        <f t="shared" si="10"/>
        <v>15325</v>
      </c>
      <c r="E22" s="38">
        <f t="shared" si="12"/>
        <v>0</v>
      </c>
      <c r="F22" s="3">
        <f t="shared" si="8"/>
        <v>12518400</v>
      </c>
      <c r="G22" s="38">
        <f t="shared" si="5"/>
        <v>0</v>
      </c>
      <c r="H22" s="3">
        <f t="shared" si="9"/>
        <v>819561</v>
      </c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f t="shared" si="7"/>
        <v>465744</v>
      </c>
      <c r="C23" s="38">
        <f t="shared" si="11"/>
        <v>0</v>
      </c>
      <c r="D23" s="3">
        <f t="shared" si="10"/>
        <v>15325</v>
      </c>
      <c r="E23" s="38">
        <f t="shared" si="12"/>
        <v>0</v>
      </c>
      <c r="F23" s="3">
        <f t="shared" si="8"/>
        <v>12518400</v>
      </c>
      <c r="G23" s="38">
        <f t="shared" si="5"/>
        <v>0</v>
      </c>
      <c r="H23" s="3">
        <f t="shared" si="9"/>
        <v>819561</v>
      </c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44887</v>
      </c>
      <c r="B24" s="3">
        <f t="shared" si="7"/>
        <v>465744</v>
      </c>
      <c r="C24" s="38">
        <f t="shared" si="11"/>
        <v>0</v>
      </c>
      <c r="D24" s="3">
        <f t="shared" si="10"/>
        <v>15325</v>
      </c>
      <c r="E24" s="38">
        <f t="shared" si="12"/>
        <v>0</v>
      </c>
      <c r="F24" s="3">
        <f t="shared" si="8"/>
        <v>12518400</v>
      </c>
      <c r="G24" s="38">
        <f t="shared" si="5"/>
        <v>0</v>
      </c>
      <c r="H24" s="3">
        <f t="shared" si="9"/>
        <v>819561</v>
      </c>
      <c r="I24" s="43">
        <f t="shared" si="6"/>
        <v>0</v>
      </c>
      <c r="J24" s="19">
        <f t="shared" si="3"/>
        <v>0</v>
      </c>
      <c r="K24" s="20">
        <f t="shared" si="4"/>
        <v>0</v>
      </c>
      <c r="N24" s="152"/>
    </row>
    <row r="25" spans="1:25" ht="17.25" customHeight="1" thickBot="1" x14ac:dyDescent="0.4">
      <c r="A25" s="9">
        <v>44888</v>
      </c>
      <c r="B25" s="3">
        <f t="shared" si="7"/>
        <v>465744</v>
      </c>
      <c r="C25" s="38">
        <f t="shared" si="11"/>
        <v>0</v>
      </c>
      <c r="D25" s="3">
        <f t="shared" si="10"/>
        <v>15325</v>
      </c>
      <c r="E25" s="38">
        <f t="shared" si="12"/>
        <v>0</v>
      </c>
      <c r="F25" s="3">
        <f t="shared" si="8"/>
        <v>12518400</v>
      </c>
      <c r="G25" s="38">
        <f t="shared" si="5"/>
        <v>0</v>
      </c>
      <c r="H25" s="3">
        <f t="shared" si="9"/>
        <v>819561</v>
      </c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44889</v>
      </c>
      <c r="B26" s="3">
        <f t="shared" si="7"/>
        <v>465744</v>
      </c>
      <c r="C26" s="38">
        <f t="shared" si="11"/>
        <v>0</v>
      </c>
      <c r="D26" s="3">
        <f t="shared" si="10"/>
        <v>15325</v>
      </c>
      <c r="E26" s="38">
        <f t="shared" si="12"/>
        <v>0</v>
      </c>
      <c r="F26" s="3">
        <f t="shared" si="8"/>
        <v>12518400</v>
      </c>
      <c r="G26" s="38">
        <f t="shared" si="5"/>
        <v>0</v>
      </c>
      <c r="H26" s="3">
        <f t="shared" si="9"/>
        <v>819561</v>
      </c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44890</v>
      </c>
      <c r="B27" s="3">
        <f t="shared" si="7"/>
        <v>465744</v>
      </c>
      <c r="C27" s="38">
        <f t="shared" si="11"/>
        <v>0</v>
      </c>
      <c r="D27" s="3">
        <f t="shared" si="10"/>
        <v>15325</v>
      </c>
      <c r="E27" s="38">
        <f t="shared" si="12"/>
        <v>0</v>
      </c>
      <c r="F27" s="3">
        <f t="shared" si="8"/>
        <v>12518400</v>
      </c>
      <c r="G27" s="38">
        <f t="shared" si="5"/>
        <v>0</v>
      </c>
      <c r="H27" s="3">
        <f t="shared" si="9"/>
        <v>819561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7"/>
        <v>465744</v>
      </c>
      <c r="C28" s="38">
        <f t="shared" si="11"/>
        <v>0</v>
      </c>
      <c r="D28" s="3">
        <f t="shared" si="10"/>
        <v>15325</v>
      </c>
      <c r="E28" s="38">
        <f t="shared" si="12"/>
        <v>0</v>
      </c>
      <c r="F28" s="3">
        <f t="shared" si="8"/>
        <v>12518400</v>
      </c>
      <c r="G28" s="38">
        <f t="shared" si="5"/>
        <v>0</v>
      </c>
      <c r="H28" s="3">
        <f t="shared" si="9"/>
        <v>819561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7"/>
        <v>465744</v>
      </c>
      <c r="C29" s="38">
        <f t="shared" si="11"/>
        <v>0</v>
      </c>
      <c r="D29" s="3">
        <f t="shared" si="10"/>
        <v>15325</v>
      </c>
      <c r="E29" s="38">
        <f t="shared" si="12"/>
        <v>0</v>
      </c>
      <c r="F29" s="3">
        <f t="shared" si="8"/>
        <v>12518400</v>
      </c>
      <c r="G29" s="38">
        <f t="shared" si="5"/>
        <v>0</v>
      </c>
      <c r="H29" s="3">
        <f t="shared" si="9"/>
        <v>819561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7"/>
        <v>465744</v>
      </c>
      <c r="C30" s="38">
        <f t="shared" si="11"/>
        <v>0</v>
      </c>
      <c r="D30" s="3">
        <f t="shared" si="10"/>
        <v>15325</v>
      </c>
      <c r="E30" s="38">
        <f t="shared" si="12"/>
        <v>0</v>
      </c>
      <c r="F30" s="3">
        <f t="shared" si="8"/>
        <v>12518400</v>
      </c>
      <c r="G30" s="38">
        <f t="shared" si="5"/>
        <v>0</v>
      </c>
      <c r="H30" s="3">
        <f t="shared" si="9"/>
        <v>819561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7"/>
        <v>465744</v>
      </c>
      <c r="C31" s="38">
        <f t="shared" si="11"/>
        <v>0</v>
      </c>
      <c r="D31" s="3">
        <f t="shared" si="10"/>
        <v>15325</v>
      </c>
      <c r="E31" s="38">
        <f t="shared" si="12"/>
        <v>0</v>
      </c>
      <c r="F31" s="3">
        <f t="shared" si="8"/>
        <v>12518400</v>
      </c>
      <c r="G31" s="38">
        <f t="shared" si="5"/>
        <v>0</v>
      </c>
      <c r="H31" s="3">
        <f t="shared" si="9"/>
        <v>819561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7"/>
        <v>465744</v>
      </c>
      <c r="C32" s="38">
        <f t="shared" si="11"/>
        <v>0</v>
      </c>
      <c r="D32" s="3">
        <f t="shared" si="10"/>
        <v>15325</v>
      </c>
      <c r="E32" s="38">
        <f t="shared" si="12"/>
        <v>0</v>
      </c>
      <c r="F32" s="3">
        <f t="shared" si="8"/>
        <v>12518400</v>
      </c>
      <c r="G32" s="38">
        <f t="shared" si="5"/>
        <v>0</v>
      </c>
      <c r="H32" s="3">
        <f t="shared" si="9"/>
        <v>819561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2440</v>
      </c>
      <c r="D33" s="55"/>
      <c r="E33" s="55">
        <f>SUM(E3:E32)</f>
        <v>1080</v>
      </c>
      <c r="F33" s="55"/>
      <c r="G33" s="55">
        <f>SUM(G3:G32)</f>
        <v>1242</v>
      </c>
      <c r="H33" s="55"/>
      <c r="I33" s="55">
        <f>SUM(I3:I32)</f>
        <v>15.093</v>
      </c>
      <c r="J33" s="55">
        <v>0</v>
      </c>
      <c r="K33" s="55">
        <f>SUM(K4:K32)</f>
        <v>18592.91272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C8" sqref="C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18561428</v>
      </c>
      <c r="C5" s="44">
        <f t="shared" si="0"/>
        <v>377</v>
      </c>
      <c r="E5" s="162"/>
      <c r="F5" s="34"/>
    </row>
    <row r="6" spans="1:9" ht="24" thickBot="1" x14ac:dyDescent="0.4">
      <c r="A6" s="9">
        <v>44869</v>
      </c>
      <c r="B6" s="120">
        <f t="shared" ref="B5:B32" si="1">B5</f>
        <v>18561428</v>
      </c>
      <c r="C6" s="44">
        <f>IF((B6-B5)&lt;0,"0",(B6-B5))</f>
        <v>0</v>
      </c>
      <c r="F6" s="34"/>
    </row>
    <row r="7" spans="1:9" ht="24" thickBot="1" x14ac:dyDescent="0.4">
      <c r="A7" s="9">
        <v>44870</v>
      </c>
      <c r="B7" s="120">
        <f t="shared" si="1"/>
        <v>18561428</v>
      </c>
      <c r="C7" s="44">
        <f t="shared" si="0"/>
        <v>0</v>
      </c>
    </row>
    <row r="8" spans="1:9" ht="24" thickBot="1" x14ac:dyDescent="0.4">
      <c r="A8" s="9">
        <v>44871</v>
      </c>
      <c r="B8" s="120">
        <f t="shared" si="1"/>
        <v>18561428</v>
      </c>
      <c r="C8" s="44">
        <f t="shared" si="0"/>
        <v>0</v>
      </c>
    </row>
    <row r="9" spans="1:9" ht="24" thickBot="1" x14ac:dyDescent="0.4">
      <c r="A9" s="9">
        <v>44872</v>
      </c>
      <c r="B9" s="120">
        <f t="shared" si="1"/>
        <v>18561428</v>
      </c>
      <c r="C9" s="44">
        <f t="shared" si="0"/>
        <v>0</v>
      </c>
    </row>
    <row r="10" spans="1:9" ht="24" thickBot="1" x14ac:dyDescent="0.4">
      <c r="A10" s="9">
        <v>44873</v>
      </c>
      <c r="B10" s="120">
        <f t="shared" si="1"/>
        <v>18561428</v>
      </c>
      <c r="C10" s="44">
        <f t="shared" si="0"/>
        <v>0</v>
      </c>
    </row>
    <row r="11" spans="1:9" ht="24" thickBot="1" x14ac:dyDescent="0.4">
      <c r="A11" s="9">
        <v>44874</v>
      </c>
      <c r="B11" s="120">
        <f t="shared" si="1"/>
        <v>18561428</v>
      </c>
      <c r="C11" s="44">
        <f t="shared" si="0"/>
        <v>0</v>
      </c>
    </row>
    <row r="12" spans="1:9" ht="24" thickBot="1" x14ac:dyDescent="0.4">
      <c r="A12" s="9">
        <v>44875</v>
      </c>
      <c r="B12" s="120">
        <f t="shared" si="1"/>
        <v>18561428</v>
      </c>
      <c r="C12" s="44">
        <f t="shared" si="0"/>
        <v>0</v>
      </c>
    </row>
    <row r="13" spans="1:9" ht="24" thickBot="1" x14ac:dyDescent="0.4">
      <c r="A13" s="9">
        <v>44876</v>
      </c>
      <c r="B13" s="120">
        <f t="shared" si="1"/>
        <v>18561428</v>
      </c>
      <c r="C13" s="44">
        <f t="shared" si="0"/>
        <v>0</v>
      </c>
    </row>
    <row r="14" spans="1:9" ht="24" thickBot="1" x14ac:dyDescent="0.4">
      <c r="A14" s="9">
        <v>44877</v>
      </c>
      <c r="B14" s="120">
        <f t="shared" si="1"/>
        <v>18561428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f t="shared" si="1"/>
        <v>18561428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f t="shared" si="1"/>
        <v>18561428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f t="shared" si="1"/>
        <v>18561428</v>
      </c>
      <c r="C17" s="44">
        <f t="shared" si="0"/>
        <v>0</v>
      </c>
    </row>
    <row r="18" spans="1:9" ht="24" thickBot="1" x14ac:dyDescent="0.4">
      <c r="A18" s="9">
        <v>44881</v>
      </c>
      <c r="B18" s="120">
        <f t="shared" si="1"/>
        <v>18561428</v>
      </c>
      <c r="C18" s="44">
        <f t="shared" si="0"/>
        <v>0</v>
      </c>
      <c r="I18" s="34"/>
    </row>
    <row r="19" spans="1:9" ht="24" thickBot="1" x14ac:dyDescent="0.4">
      <c r="A19" s="9">
        <v>44882</v>
      </c>
      <c r="B19" s="120">
        <f t="shared" si="1"/>
        <v>18561428</v>
      </c>
      <c r="C19" s="44">
        <f t="shared" si="0"/>
        <v>0</v>
      </c>
    </row>
    <row r="20" spans="1:9" ht="24" thickBot="1" x14ac:dyDescent="0.4">
      <c r="A20" s="9">
        <v>44883</v>
      </c>
      <c r="B20" s="120">
        <f t="shared" si="1"/>
        <v>18561428</v>
      </c>
      <c r="C20" s="44">
        <f t="shared" si="0"/>
        <v>0</v>
      </c>
      <c r="I20" s="34"/>
    </row>
    <row r="21" spans="1:9" ht="24" thickBot="1" x14ac:dyDescent="0.4">
      <c r="A21" s="9">
        <v>44884</v>
      </c>
      <c r="B21" s="120">
        <f t="shared" si="1"/>
        <v>18561428</v>
      </c>
      <c r="C21" s="44">
        <f t="shared" si="0"/>
        <v>0</v>
      </c>
    </row>
    <row r="22" spans="1:9" ht="24" thickBot="1" x14ac:dyDescent="0.4">
      <c r="A22" s="9">
        <v>44885</v>
      </c>
      <c r="B22" s="120">
        <f t="shared" si="1"/>
        <v>18561428</v>
      </c>
      <c r="C22" s="44">
        <f t="shared" si="0"/>
        <v>0</v>
      </c>
    </row>
    <row r="23" spans="1:9" ht="24" thickBot="1" x14ac:dyDescent="0.4">
      <c r="A23" s="9">
        <v>44886</v>
      </c>
      <c r="B23" s="120">
        <f t="shared" si="1"/>
        <v>18561428</v>
      </c>
      <c r="C23" s="44">
        <f t="shared" si="0"/>
        <v>0</v>
      </c>
      <c r="F23" t="s">
        <v>12</v>
      </c>
    </row>
    <row r="24" spans="1:9" ht="24" thickBot="1" x14ac:dyDescent="0.4">
      <c r="A24" s="9">
        <v>44887</v>
      </c>
      <c r="B24" s="120">
        <f t="shared" si="1"/>
        <v>18561428</v>
      </c>
      <c r="C24" s="44">
        <f t="shared" si="0"/>
        <v>0</v>
      </c>
      <c r="E24" t="s">
        <v>12</v>
      </c>
    </row>
    <row r="25" spans="1:9" ht="24" thickBot="1" x14ac:dyDescent="0.4">
      <c r="A25" s="9">
        <v>44888</v>
      </c>
      <c r="B25" s="120">
        <f t="shared" si="1"/>
        <v>18561428</v>
      </c>
      <c r="C25" s="44">
        <f t="shared" si="0"/>
        <v>0</v>
      </c>
    </row>
    <row r="26" spans="1:9" ht="24" thickBot="1" x14ac:dyDescent="0.4">
      <c r="A26" s="9">
        <v>44889</v>
      </c>
      <c r="B26" s="120">
        <f t="shared" si="1"/>
        <v>18561428</v>
      </c>
      <c r="C26" s="44">
        <f t="shared" si="0"/>
        <v>0</v>
      </c>
    </row>
    <row r="27" spans="1:9" ht="24" thickBot="1" x14ac:dyDescent="0.4">
      <c r="A27" s="9">
        <v>44890</v>
      </c>
      <c r="B27" s="120">
        <f t="shared" si="1"/>
        <v>18561428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18561428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18561428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18561428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18561428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18561428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5208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opLeftCell="L1" zoomScale="110" zoomScaleNormal="110" workbookViewId="0">
      <pane ySplit="1" topLeftCell="A2" activePane="bottomLeft" state="frozen"/>
      <selection pane="bottomLeft" activeCell="AD6" sqref="AD6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f t="shared" ref="B5:B32" si="36">B5</f>
        <v>25368.29</v>
      </c>
      <c r="C6" s="43">
        <f t="shared" si="22"/>
        <v>0</v>
      </c>
      <c r="D6" s="28">
        <f t="shared" si="23"/>
        <v>0</v>
      </c>
      <c r="E6" s="1">
        <f t="shared" ref="E5:E32" si="37">E5</f>
        <v>4644.9799999999996</v>
      </c>
      <c r="F6" s="43">
        <f t="shared" si="24"/>
        <v>0</v>
      </c>
      <c r="G6" s="28">
        <f t="shared" si="25"/>
        <v>0</v>
      </c>
      <c r="H6" s="1">
        <f t="shared" ref="H5:H32" si="38">H5</f>
        <v>6457</v>
      </c>
      <c r="I6" s="43">
        <f t="shared" si="26"/>
        <v>0</v>
      </c>
      <c r="J6" s="28">
        <f t="shared" si="27"/>
        <v>0</v>
      </c>
      <c r="K6" s="7">
        <f t="shared" ref="K5:K32" si="39">K5</f>
        <v>14295.78</v>
      </c>
      <c r="L6" s="43">
        <f t="shared" si="28"/>
        <v>0</v>
      </c>
      <c r="M6" s="28">
        <f t="shared" si="29"/>
        <v>0</v>
      </c>
      <c r="N6" s="7">
        <f t="shared" ref="N5:N32" si="40">N5</f>
        <v>3859.5790000000002</v>
      </c>
      <c r="O6" s="43">
        <f t="shared" si="30"/>
        <v>0</v>
      </c>
      <c r="P6" s="28">
        <f t="shared" si="31"/>
        <v>0</v>
      </c>
      <c r="Q6" s="7">
        <f t="shared" ref="Q5:Q32" si="41">Q5</f>
        <v>5645.63</v>
      </c>
      <c r="R6" s="43">
        <f t="shared" si="32"/>
        <v>0</v>
      </c>
      <c r="S6" s="28">
        <f t="shared" si="33"/>
        <v>0</v>
      </c>
      <c r="T6" s="8">
        <f t="shared" ref="T6:T32" si="42">C6+F6+I6+L6+O6+R6</f>
        <v>0</v>
      </c>
      <c r="U6" s="30">
        <f t="shared" si="34"/>
        <v>0</v>
      </c>
      <c r="W6" s="141">
        <v>44869</v>
      </c>
      <c r="X6" s="142">
        <f t="shared" ref="X5:X32" si="43">X5</f>
        <v>220598</v>
      </c>
      <c r="Y6" s="147">
        <f t="shared" si="21"/>
        <v>0</v>
      </c>
      <c r="Z6" s="142">
        <f t="shared" ref="Z5:Z32" si="44">Z5</f>
        <v>10196</v>
      </c>
      <c r="AA6" s="147">
        <f t="shared" si="21"/>
        <v>0</v>
      </c>
      <c r="AB6" s="142">
        <f t="shared" si="35"/>
        <v>41</v>
      </c>
      <c r="AC6" s="147">
        <f t="shared" si="21"/>
        <v>0</v>
      </c>
      <c r="AD6" s="142">
        <f t="shared" ref="AD5:AD32" si="45">AD5</f>
        <v>766</v>
      </c>
      <c r="AE6" s="147">
        <f t="shared" si="21"/>
        <v>0</v>
      </c>
      <c r="AF6" s="142">
        <f t="shared" ref="AF5:AF32" si="46">AF5</f>
        <v>9666</v>
      </c>
      <c r="AG6" s="147">
        <f t="shared" si="21"/>
        <v>0</v>
      </c>
    </row>
    <row r="7" spans="1:33" ht="16.5" thickBot="1" x14ac:dyDescent="0.25">
      <c r="A7" s="9">
        <v>44870</v>
      </c>
      <c r="B7" s="144">
        <f t="shared" si="36"/>
        <v>25368.29</v>
      </c>
      <c r="C7" s="43">
        <f t="shared" si="22"/>
        <v>0</v>
      </c>
      <c r="D7" s="28">
        <f t="shared" si="23"/>
        <v>0</v>
      </c>
      <c r="E7" s="1">
        <f t="shared" si="37"/>
        <v>4644.9799999999996</v>
      </c>
      <c r="F7" s="43">
        <f t="shared" si="24"/>
        <v>0</v>
      </c>
      <c r="G7" s="28">
        <f t="shared" si="25"/>
        <v>0</v>
      </c>
      <c r="H7" s="1">
        <f t="shared" si="38"/>
        <v>6457</v>
      </c>
      <c r="I7" s="43">
        <f t="shared" si="26"/>
        <v>0</v>
      </c>
      <c r="J7" s="28">
        <f t="shared" si="27"/>
        <v>0</v>
      </c>
      <c r="K7" s="7">
        <f t="shared" si="39"/>
        <v>14295.78</v>
      </c>
      <c r="L7" s="43">
        <f t="shared" si="28"/>
        <v>0</v>
      </c>
      <c r="M7" s="28">
        <f t="shared" si="29"/>
        <v>0</v>
      </c>
      <c r="N7" s="7">
        <f t="shared" si="40"/>
        <v>3859.5790000000002</v>
      </c>
      <c r="O7" s="43">
        <f t="shared" si="30"/>
        <v>0</v>
      </c>
      <c r="P7" s="28">
        <f t="shared" si="31"/>
        <v>0</v>
      </c>
      <c r="Q7" s="7">
        <f t="shared" si="41"/>
        <v>5645.63</v>
      </c>
      <c r="R7" s="43">
        <f t="shared" si="32"/>
        <v>0</v>
      </c>
      <c r="S7" s="28">
        <f t="shared" si="33"/>
        <v>0</v>
      </c>
      <c r="T7" s="8">
        <f t="shared" si="42"/>
        <v>0</v>
      </c>
      <c r="U7" s="30">
        <f t="shared" si="34"/>
        <v>0</v>
      </c>
      <c r="W7" s="141">
        <v>44870</v>
      </c>
      <c r="X7" s="142">
        <f t="shared" si="43"/>
        <v>220598</v>
      </c>
      <c r="Y7" s="147">
        <f t="shared" si="21"/>
        <v>0</v>
      </c>
      <c r="Z7" s="142">
        <f t="shared" si="44"/>
        <v>10196</v>
      </c>
      <c r="AA7" s="147">
        <f t="shared" si="21"/>
        <v>0</v>
      </c>
      <c r="AB7" s="142">
        <f t="shared" si="35"/>
        <v>41</v>
      </c>
      <c r="AC7" s="147">
        <f t="shared" si="21"/>
        <v>0</v>
      </c>
      <c r="AD7" s="142">
        <f t="shared" si="45"/>
        <v>766</v>
      </c>
      <c r="AE7" s="147">
        <f t="shared" si="21"/>
        <v>0</v>
      </c>
      <c r="AF7" s="142">
        <f t="shared" si="46"/>
        <v>9666</v>
      </c>
      <c r="AG7" s="147">
        <f t="shared" si="21"/>
        <v>0</v>
      </c>
    </row>
    <row r="8" spans="1:33" ht="16.5" thickBot="1" x14ac:dyDescent="0.25">
      <c r="A8" s="9">
        <v>44871</v>
      </c>
      <c r="B8" s="144">
        <f t="shared" si="36"/>
        <v>25368.29</v>
      </c>
      <c r="C8" s="43">
        <f t="shared" si="22"/>
        <v>0</v>
      </c>
      <c r="D8" s="28">
        <f t="shared" si="23"/>
        <v>0</v>
      </c>
      <c r="E8" s="1">
        <f t="shared" si="37"/>
        <v>4644.9799999999996</v>
      </c>
      <c r="F8" s="43">
        <f t="shared" si="24"/>
        <v>0</v>
      </c>
      <c r="G8" s="28">
        <f t="shared" si="25"/>
        <v>0</v>
      </c>
      <c r="H8" s="1">
        <f t="shared" si="38"/>
        <v>6457</v>
      </c>
      <c r="I8" s="43">
        <f t="shared" si="26"/>
        <v>0</v>
      </c>
      <c r="J8" s="28">
        <f t="shared" si="27"/>
        <v>0</v>
      </c>
      <c r="K8" s="7">
        <f t="shared" si="39"/>
        <v>14295.78</v>
      </c>
      <c r="L8" s="43">
        <f t="shared" si="28"/>
        <v>0</v>
      </c>
      <c r="M8" s="28">
        <f t="shared" si="29"/>
        <v>0</v>
      </c>
      <c r="N8" s="7">
        <f t="shared" si="40"/>
        <v>3859.5790000000002</v>
      </c>
      <c r="O8" s="43">
        <f t="shared" si="30"/>
        <v>0</v>
      </c>
      <c r="P8" s="28">
        <f t="shared" si="31"/>
        <v>0</v>
      </c>
      <c r="Q8" s="7">
        <f t="shared" si="41"/>
        <v>5645.63</v>
      </c>
      <c r="R8" s="43">
        <f t="shared" si="32"/>
        <v>0</v>
      </c>
      <c r="S8" s="28">
        <f t="shared" si="33"/>
        <v>0</v>
      </c>
      <c r="T8" s="8">
        <f t="shared" si="42"/>
        <v>0</v>
      </c>
      <c r="U8" s="30">
        <f t="shared" si="34"/>
        <v>0</v>
      </c>
      <c r="W8" s="141">
        <v>44871</v>
      </c>
      <c r="X8" s="142">
        <f t="shared" si="43"/>
        <v>220598</v>
      </c>
      <c r="Y8" s="147">
        <f t="shared" si="21"/>
        <v>0</v>
      </c>
      <c r="Z8" s="142">
        <f t="shared" si="44"/>
        <v>10196</v>
      </c>
      <c r="AA8" s="147">
        <f t="shared" si="21"/>
        <v>0</v>
      </c>
      <c r="AB8" s="142">
        <f t="shared" si="35"/>
        <v>41</v>
      </c>
      <c r="AC8" s="147">
        <f t="shared" si="21"/>
        <v>0</v>
      </c>
      <c r="AD8" s="142">
        <f t="shared" si="45"/>
        <v>766</v>
      </c>
      <c r="AE8" s="147">
        <f t="shared" si="21"/>
        <v>0</v>
      </c>
      <c r="AF8" s="142">
        <f t="shared" si="46"/>
        <v>9666</v>
      </c>
      <c r="AG8" s="147">
        <f t="shared" si="21"/>
        <v>0</v>
      </c>
    </row>
    <row r="9" spans="1:33" ht="16.5" thickBot="1" x14ac:dyDescent="0.25">
      <c r="A9" s="9">
        <v>44872</v>
      </c>
      <c r="B9" s="144">
        <f t="shared" si="36"/>
        <v>25368.29</v>
      </c>
      <c r="C9" s="43">
        <f t="shared" si="22"/>
        <v>0</v>
      </c>
      <c r="D9" s="28">
        <f t="shared" si="23"/>
        <v>0</v>
      </c>
      <c r="E9" s="1">
        <f t="shared" si="37"/>
        <v>4644.9799999999996</v>
      </c>
      <c r="F9" s="43">
        <f t="shared" si="24"/>
        <v>0</v>
      </c>
      <c r="G9" s="28">
        <f t="shared" si="25"/>
        <v>0</v>
      </c>
      <c r="H9" s="1">
        <f t="shared" si="38"/>
        <v>6457</v>
      </c>
      <c r="I9" s="43">
        <f t="shared" si="26"/>
        <v>0</v>
      </c>
      <c r="J9" s="28">
        <f t="shared" si="27"/>
        <v>0</v>
      </c>
      <c r="K9" s="7">
        <f t="shared" si="39"/>
        <v>14295.78</v>
      </c>
      <c r="L9" s="43">
        <f t="shared" si="28"/>
        <v>0</v>
      </c>
      <c r="M9" s="28">
        <f t="shared" si="29"/>
        <v>0</v>
      </c>
      <c r="N9" s="7">
        <f t="shared" si="40"/>
        <v>3859.5790000000002</v>
      </c>
      <c r="O9" s="43">
        <f t="shared" si="30"/>
        <v>0</v>
      </c>
      <c r="P9" s="28">
        <f t="shared" si="31"/>
        <v>0</v>
      </c>
      <c r="Q9" s="7">
        <f t="shared" si="41"/>
        <v>5645.63</v>
      </c>
      <c r="R9" s="43">
        <f t="shared" si="32"/>
        <v>0</v>
      </c>
      <c r="S9" s="28">
        <f t="shared" si="33"/>
        <v>0</v>
      </c>
      <c r="T9" s="8">
        <f t="shared" si="42"/>
        <v>0</v>
      </c>
      <c r="U9" s="30">
        <f t="shared" si="34"/>
        <v>0</v>
      </c>
      <c r="W9" s="141">
        <v>44872</v>
      </c>
      <c r="X9" s="142">
        <f t="shared" si="43"/>
        <v>220598</v>
      </c>
      <c r="Y9" s="147">
        <f t="shared" si="21"/>
        <v>0</v>
      </c>
      <c r="Z9" s="142">
        <f t="shared" si="44"/>
        <v>10196</v>
      </c>
      <c r="AA9" s="147">
        <f t="shared" si="21"/>
        <v>0</v>
      </c>
      <c r="AB9" s="142">
        <f t="shared" si="35"/>
        <v>41</v>
      </c>
      <c r="AC9" s="147">
        <f t="shared" si="21"/>
        <v>0</v>
      </c>
      <c r="AD9" s="142">
        <f t="shared" si="45"/>
        <v>766</v>
      </c>
      <c r="AE9" s="147">
        <f t="shared" si="21"/>
        <v>0</v>
      </c>
      <c r="AF9" s="142">
        <f t="shared" si="46"/>
        <v>9666</v>
      </c>
      <c r="AG9" s="147">
        <f t="shared" si="21"/>
        <v>0</v>
      </c>
    </row>
    <row r="10" spans="1:33" ht="16.5" thickBot="1" x14ac:dyDescent="0.25">
      <c r="A10" s="9">
        <v>44873</v>
      </c>
      <c r="B10" s="144">
        <f t="shared" si="36"/>
        <v>25368.29</v>
      </c>
      <c r="C10" s="43">
        <f t="shared" si="22"/>
        <v>0</v>
      </c>
      <c r="D10" s="28">
        <f t="shared" si="23"/>
        <v>0</v>
      </c>
      <c r="E10" s="1">
        <f t="shared" si="37"/>
        <v>4644.9799999999996</v>
      </c>
      <c r="F10" s="43">
        <f t="shared" si="24"/>
        <v>0</v>
      </c>
      <c r="G10" s="28">
        <f t="shared" si="25"/>
        <v>0</v>
      </c>
      <c r="H10" s="1">
        <f t="shared" si="38"/>
        <v>6457</v>
      </c>
      <c r="I10" s="43">
        <f t="shared" si="26"/>
        <v>0</v>
      </c>
      <c r="J10" s="28">
        <f t="shared" si="27"/>
        <v>0</v>
      </c>
      <c r="K10" s="7">
        <f t="shared" si="39"/>
        <v>14295.78</v>
      </c>
      <c r="L10" s="43">
        <f t="shared" si="28"/>
        <v>0</v>
      </c>
      <c r="M10" s="28">
        <f t="shared" si="29"/>
        <v>0</v>
      </c>
      <c r="N10" s="7">
        <f t="shared" si="40"/>
        <v>3859.5790000000002</v>
      </c>
      <c r="O10" s="43">
        <f>IF((N10-N9)&lt;0,"0",(N10-N9))</f>
        <v>0</v>
      </c>
      <c r="P10" s="28">
        <f t="shared" si="31"/>
        <v>0</v>
      </c>
      <c r="Q10" s="7">
        <f t="shared" si="41"/>
        <v>5645.63</v>
      </c>
      <c r="R10" s="43">
        <f t="shared" si="32"/>
        <v>0</v>
      </c>
      <c r="S10" s="28">
        <f t="shared" si="33"/>
        <v>0</v>
      </c>
      <c r="T10" s="8">
        <f t="shared" si="42"/>
        <v>0</v>
      </c>
      <c r="U10" s="30">
        <f t="shared" si="34"/>
        <v>0</v>
      </c>
      <c r="W10" s="141">
        <v>44873</v>
      </c>
      <c r="X10" s="142">
        <f t="shared" si="43"/>
        <v>220598</v>
      </c>
      <c r="Y10" s="147">
        <f t="shared" si="21"/>
        <v>0</v>
      </c>
      <c r="Z10" s="142">
        <f t="shared" si="44"/>
        <v>10196</v>
      </c>
      <c r="AA10" s="147">
        <f t="shared" si="21"/>
        <v>0</v>
      </c>
      <c r="AB10" s="142">
        <f t="shared" si="35"/>
        <v>41</v>
      </c>
      <c r="AC10" s="147">
        <f t="shared" si="21"/>
        <v>0</v>
      </c>
      <c r="AD10" s="142">
        <f t="shared" si="45"/>
        <v>766</v>
      </c>
      <c r="AE10" s="147">
        <f t="shared" si="21"/>
        <v>0</v>
      </c>
      <c r="AF10" s="142">
        <f t="shared" si="46"/>
        <v>9666</v>
      </c>
      <c r="AG10" s="147">
        <f t="shared" si="21"/>
        <v>0</v>
      </c>
    </row>
    <row r="11" spans="1:33" ht="16.5" thickBot="1" x14ac:dyDescent="0.25">
      <c r="A11" s="9">
        <v>44874</v>
      </c>
      <c r="B11" s="144">
        <f t="shared" si="36"/>
        <v>25368.29</v>
      </c>
      <c r="C11" s="43">
        <f t="shared" si="22"/>
        <v>0</v>
      </c>
      <c r="D11" s="28">
        <f t="shared" si="23"/>
        <v>0</v>
      </c>
      <c r="E11" s="1">
        <f t="shared" si="37"/>
        <v>4644.9799999999996</v>
      </c>
      <c r="F11" s="43">
        <f t="shared" si="24"/>
        <v>0</v>
      </c>
      <c r="G11" s="28">
        <f t="shared" si="25"/>
        <v>0</v>
      </c>
      <c r="H11" s="1">
        <f t="shared" si="38"/>
        <v>6457</v>
      </c>
      <c r="I11" s="43">
        <f t="shared" si="26"/>
        <v>0</v>
      </c>
      <c r="J11" s="28">
        <f t="shared" si="27"/>
        <v>0</v>
      </c>
      <c r="K11" s="7">
        <f t="shared" si="39"/>
        <v>14295.78</v>
      </c>
      <c r="L11" s="43">
        <f t="shared" si="28"/>
        <v>0</v>
      </c>
      <c r="M11" s="28">
        <f t="shared" si="29"/>
        <v>0</v>
      </c>
      <c r="N11" s="7">
        <f t="shared" si="40"/>
        <v>3859.5790000000002</v>
      </c>
      <c r="O11" s="43">
        <f t="shared" si="30"/>
        <v>0</v>
      </c>
      <c r="P11" s="28">
        <f t="shared" si="31"/>
        <v>0</v>
      </c>
      <c r="Q11" s="7">
        <f t="shared" si="41"/>
        <v>5645.63</v>
      </c>
      <c r="R11" s="43">
        <f t="shared" si="32"/>
        <v>0</v>
      </c>
      <c r="S11" s="28">
        <f t="shared" si="33"/>
        <v>0</v>
      </c>
      <c r="T11" s="8">
        <f t="shared" si="42"/>
        <v>0</v>
      </c>
      <c r="U11" s="30">
        <f t="shared" si="34"/>
        <v>0</v>
      </c>
      <c r="W11" s="141">
        <v>44874</v>
      </c>
      <c r="X11" s="142">
        <f t="shared" si="43"/>
        <v>220598</v>
      </c>
      <c r="Y11" s="147">
        <f t="shared" si="21"/>
        <v>0</v>
      </c>
      <c r="Z11" s="142">
        <f t="shared" si="44"/>
        <v>10196</v>
      </c>
      <c r="AA11" s="147">
        <f t="shared" si="21"/>
        <v>0</v>
      </c>
      <c r="AB11" s="142">
        <f t="shared" si="35"/>
        <v>41</v>
      </c>
      <c r="AC11" s="147">
        <f t="shared" si="21"/>
        <v>0</v>
      </c>
      <c r="AD11" s="142">
        <f t="shared" si="45"/>
        <v>766</v>
      </c>
      <c r="AE11" s="147">
        <f t="shared" si="21"/>
        <v>0</v>
      </c>
      <c r="AF11" s="142">
        <f t="shared" si="46"/>
        <v>9666</v>
      </c>
      <c r="AG11" s="147">
        <f t="shared" si="21"/>
        <v>0</v>
      </c>
    </row>
    <row r="12" spans="1:33" ht="16.5" thickBot="1" x14ac:dyDescent="0.25">
      <c r="A12" s="9">
        <v>44875</v>
      </c>
      <c r="B12" s="144">
        <f t="shared" si="36"/>
        <v>25368.29</v>
      </c>
      <c r="C12" s="43">
        <f t="shared" si="22"/>
        <v>0</v>
      </c>
      <c r="D12" s="28">
        <f t="shared" si="23"/>
        <v>0</v>
      </c>
      <c r="E12" s="1">
        <f t="shared" si="37"/>
        <v>4644.9799999999996</v>
      </c>
      <c r="F12" s="43">
        <f t="shared" si="24"/>
        <v>0</v>
      </c>
      <c r="G12" s="28">
        <f t="shared" si="25"/>
        <v>0</v>
      </c>
      <c r="H12" s="1">
        <f t="shared" si="38"/>
        <v>6457</v>
      </c>
      <c r="I12" s="43">
        <f t="shared" si="26"/>
        <v>0</v>
      </c>
      <c r="J12" s="28">
        <f t="shared" si="27"/>
        <v>0</v>
      </c>
      <c r="K12" s="7">
        <f t="shared" si="39"/>
        <v>14295.78</v>
      </c>
      <c r="L12" s="43">
        <f t="shared" si="28"/>
        <v>0</v>
      </c>
      <c r="M12" s="28">
        <f t="shared" si="29"/>
        <v>0</v>
      </c>
      <c r="N12" s="7">
        <f t="shared" si="40"/>
        <v>3859.5790000000002</v>
      </c>
      <c r="O12" s="43">
        <f t="shared" si="30"/>
        <v>0</v>
      </c>
      <c r="P12" s="28">
        <f t="shared" si="31"/>
        <v>0</v>
      </c>
      <c r="Q12" s="7">
        <f t="shared" si="41"/>
        <v>5645.63</v>
      </c>
      <c r="R12" s="43">
        <f t="shared" si="32"/>
        <v>0</v>
      </c>
      <c r="S12" s="28">
        <f t="shared" si="33"/>
        <v>0</v>
      </c>
      <c r="T12" s="8">
        <f t="shared" si="42"/>
        <v>0</v>
      </c>
      <c r="U12" s="30">
        <f t="shared" si="34"/>
        <v>0</v>
      </c>
      <c r="W12" s="141">
        <v>44875</v>
      </c>
      <c r="X12" s="142">
        <f t="shared" si="43"/>
        <v>220598</v>
      </c>
      <c r="Y12" s="147">
        <f t="shared" si="21"/>
        <v>0</v>
      </c>
      <c r="Z12" s="142">
        <f t="shared" si="44"/>
        <v>10196</v>
      </c>
      <c r="AA12" s="147">
        <f t="shared" si="21"/>
        <v>0</v>
      </c>
      <c r="AB12" s="142">
        <f t="shared" si="35"/>
        <v>41</v>
      </c>
      <c r="AC12" s="147">
        <f t="shared" si="21"/>
        <v>0</v>
      </c>
      <c r="AD12" s="142">
        <f t="shared" si="45"/>
        <v>766</v>
      </c>
      <c r="AE12" s="147">
        <f t="shared" si="21"/>
        <v>0</v>
      </c>
      <c r="AF12" s="142">
        <f t="shared" si="46"/>
        <v>9666</v>
      </c>
      <c r="AG12" s="147">
        <f t="shared" si="21"/>
        <v>0</v>
      </c>
    </row>
    <row r="13" spans="1:33" ht="16.5" thickBot="1" x14ac:dyDescent="0.25">
      <c r="A13" s="9">
        <v>44876</v>
      </c>
      <c r="B13" s="144">
        <f t="shared" si="36"/>
        <v>25368.29</v>
      </c>
      <c r="C13" s="43">
        <f t="shared" si="22"/>
        <v>0</v>
      </c>
      <c r="D13" s="28">
        <f t="shared" si="23"/>
        <v>0</v>
      </c>
      <c r="E13" s="1">
        <f t="shared" si="37"/>
        <v>4644.9799999999996</v>
      </c>
      <c r="F13" s="43">
        <f t="shared" si="24"/>
        <v>0</v>
      </c>
      <c r="G13" s="28">
        <f t="shared" si="25"/>
        <v>0</v>
      </c>
      <c r="H13" s="1">
        <f t="shared" si="38"/>
        <v>6457</v>
      </c>
      <c r="I13" s="43">
        <f t="shared" si="26"/>
        <v>0</v>
      </c>
      <c r="J13" s="28">
        <f t="shared" si="27"/>
        <v>0</v>
      </c>
      <c r="K13" s="7">
        <f t="shared" si="39"/>
        <v>14295.78</v>
      </c>
      <c r="L13" s="43">
        <f t="shared" si="28"/>
        <v>0</v>
      </c>
      <c r="M13" s="28">
        <f t="shared" si="29"/>
        <v>0</v>
      </c>
      <c r="N13" s="7">
        <f t="shared" si="40"/>
        <v>3859.5790000000002</v>
      </c>
      <c r="O13" s="43">
        <f t="shared" si="30"/>
        <v>0</v>
      </c>
      <c r="P13" s="28">
        <f t="shared" si="31"/>
        <v>0</v>
      </c>
      <c r="Q13" s="7">
        <f t="shared" si="41"/>
        <v>5645.63</v>
      </c>
      <c r="R13" s="43">
        <f t="shared" si="32"/>
        <v>0</v>
      </c>
      <c r="S13" s="28">
        <f t="shared" si="33"/>
        <v>0</v>
      </c>
      <c r="T13" s="8">
        <f t="shared" si="42"/>
        <v>0</v>
      </c>
      <c r="U13" s="30">
        <f t="shared" si="34"/>
        <v>0</v>
      </c>
      <c r="W13" s="141">
        <v>44876</v>
      </c>
      <c r="X13" s="142">
        <f t="shared" si="43"/>
        <v>220598</v>
      </c>
      <c r="Y13" s="147">
        <f t="shared" si="21"/>
        <v>0</v>
      </c>
      <c r="Z13" s="142">
        <f t="shared" si="44"/>
        <v>10196</v>
      </c>
      <c r="AA13" s="147">
        <f t="shared" si="21"/>
        <v>0</v>
      </c>
      <c r="AB13" s="142">
        <f t="shared" si="35"/>
        <v>41</v>
      </c>
      <c r="AC13" s="147">
        <f t="shared" si="21"/>
        <v>0</v>
      </c>
      <c r="AD13" s="142">
        <f t="shared" si="45"/>
        <v>766</v>
      </c>
      <c r="AE13" s="147">
        <f t="shared" si="21"/>
        <v>0</v>
      </c>
      <c r="AF13" s="142">
        <f t="shared" si="46"/>
        <v>9666</v>
      </c>
      <c r="AG13" s="147">
        <f t="shared" si="21"/>
        <v>0</v>
      </c>
    </row>
    <row r="14" spans="1:33" ht="16.5" thickBot="1" x14ac:dyDescent="0.25">
      <c r="A14" s="9">
        <v>44877</v>
      </c>
      <c r="B14" s="144">
        <f t="shared" si="36"/>
        <v>25368.29</v>
      </c>
      <c r="C14" s="43">
        <f t="shared" si="22"/>
        <v>0</v>
      </c>
      <c r="D14" s="28">
        <f t="shared" si="23"/>
        <v>0</v>
      </c>
      <c r="E14" s="1">
        <f t="shared" si="37"/>
        <v>4644.9799999999996</v>
      </c>
      <c r="F14" s="43">
        <f t="shared" si="24"/>
        <v>0</v>
      </c>
      <c r="G14" s="28">
        <f t="shared" si="25"/>
        <v>0</v>
      </c>
      <c r="H14" s="1">
        <f t="shared" si="38"/>
        <v>6457</v>
      </c>
      <c r="I14" s="43">
        <f t="shared" si="26"/>
        <v>0</v>
      </c>
      <c r="J14" s="28">
        <f t="shared" si="27"/>
        <v>0</v>
      </c>
      <c r="K14" s="7">
        <f t="shared" si="39"/>
        <v>14295.78</v>
      </c>
      <c r="L14" s="43">
        <f t="shared" si="28"/>
        <v>0</v>
      </c>
      <c r="M14" s="28">
        <f t="shared" si="29"/>
        <v>0</v>
      </c>
      <c r="N14" s="7">
        <f t="shared" si="40"/>
        <v>3859.5790000000002</v>
      </c>
      <c r="O14" s="43">
        <f>IF((N14-N13)&lt;0,"0",(N14-N13))</f>
        <v>0</v>
      </c>
      <c r="P14" s="28">
        <f t="shared" si="31"/>
        <v>0</v>
      </c>
      <c r="Q14" s="7">
        <f t="shared" si="41"/>
        <v>5645.63</v>
      </c>
      <c r="R14" s="43">
        <f t="shared" si="32"/>
        <v>0</v>
      </c>
      <c r="S14" s="28">
        <f t="shared" si="33"/>
        <v>0</v>
      </c>
      <c r="T14" s="8">
        <f t="shared" si="42"/>
        <v>0</v>
      </c>
      <c r="U14" s="30">
        <f t="shared" si="34"/>
        <v>0</v>
      </c>
      <c r="W14" s="141">
        <v>44877</v>
      </c>
      <c r="X14" s="142">
        <f t="shared" si="43"/>
        <v>220598</v>
      </c>
      <c r="Y14" s="147">
        <f t="shared" si="21"/>
        <v>0</v>
      </c>
      <c r="Z14" s="142">
        <f t="shared" si="44"/>
        <v>10196</v>
      </c>
      <c r="AA14" s="147">
        <f t="shared" si="21"/>
        <v>0</v>
      </c>
      <c r="AB14" s="142">
        <f t="shared" si="35"/>
        <v>41</v>
      </c>
      <c r="AC14" s="147">
        <f t="shared" si="21"/>
        <v>0</v>
      </c>
      <c r="AD14" s="142">
        <f t="shared" si="45"/>
        <v>766</v>
      </c>
      <c r="AE14" s="147">
        <f t="shared" si="21"/>
        <v>0</v>
      </c>
      <c r="AF14" s="142">
        <f t="shared" si="46"/>
        <v>9666</v>
      </c>
      <c r="AG14" s="147">
        <f t="shared" si="21"/>
        <v>0</v>
      </c>
    </row>
    <row r="15" spans="1:33" ht="16.5" thickBot="1" x14ac:dyDescent="0.25">
      <c r="A15" s="9">
        <v>44878</v>
      </c>
      <c r="B15" s="144">
        <f t="shared" si="36"/>
        <v>25368.29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7"/>
        <v>4644.9799999999996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8"/>
        <v>6457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39"/>
        <v>14295.78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0"/>
        <v>3859.5790000000002</v>
      </c>
      <c r="O15" s="43">
        <f>IF((N15-N14)&lt;0,"0",(N15-N14))</f>
        <v>0</v>
      </c>
      <c r="P15" s="28">
        <f t="shared" ref="P15" si="55">O15*1.9*1000</f>
        <v>0</v>
      </c>
      <c r="Q15" s="7">
        <f t="shared" si="41"/>
        <v>5645.63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44878</v>
      </c>
      <c r="X15" s="142">
        <f t="shared" si="43"/>
        <v>220598</v>
      </c>
      <c r="Y15" s="147">
        <f t="shared" si="21"/>
        <v>0</v>
      </c>
      <c r="Z15" s="142">
        <f t="shared" si="44"/>
        <v>10196</v>
      </c>
      <c r="AA15" s="147">
        <f t="shared" si="21"/>
        <v>0</v>
      </c>
      <c r="AB15" s="142">
        <f t="shared" si="35"/>
        <v>41</v>
      </c>
      <c r="AC15" s="147">
        <f t="shared" si="21"/>
        <v>0</v>
      </c>
      <c r="AD15" s="142">
        <f t="shared" si="45"/>
        <v>766</v>
      </c>
      <c r="AE15" s="147">
        <f t="shared" si="21"/>
        <v>0</v>
      </c>
      <c r="AF15" s="142">
        <f t="shared" si="46"/>
        <v>9666</v>
      </c>
      <c r="AG15" s="147">
        <f t="shared" si="21"/>
        <v>0</v>
      </c>
    </row>
    <row r="16" spans="1:33" ht="16.5" thickBot="1" x14ac:dyDescent="0.25">
      <c r="A16" s="9">
        <v>44879</v>
      </c>
      <c r="B16" s="144">
        <f t="shared" si="36"/>
        <v>25368.29</v>
      </c>
      <c r="C16" s="43">
        <f t="shared" si="22"/>
        <v>0</v>
      </c>
      <c r="D16" s="28">
        <f t="shared" si="23"/>
        <v>0</v>
      </c>
      <c r="E16" s="1">
        <f t="shared" si="37"/>
        <v>4644.9799999999996</v>
      </c>
      <c r="F16" s="43">
        <f t="shared" si="24"/>
        <v>0</v>
      </c>
      <c r="G16" s="28">
        <f t="shared" si="25"/>
        <v>0</v>
      </c>
      <c r="H16" s="1">
        <f t="shared" si="38"/>
        <v>6457</v>
      </c>
      <c r="I16" s="43">
        <f t="shared" si="26"/>
        <v>0</v>
      </c>
      <c r="J16" s="28">
        <f t="shared" si="27"/>
        <v>0</v>
      </c>
      <c r="K16" s="7">
        <f t="shared" si="39"/>
        <v>14295.78</v>
      </c>
      <c r="L16" s="43">
        <f t="shared" si="28"/>
        <v>0</v>
      </c>
      <c r="M16" s="28">
        <f t="shared" si="29"/>
        <v>0</v>
      </c>
      <c r="N16" s="7">
        <f t="shared" si="40"/>
        <v>3859.5790000000002</v>
      </c>
      <c r="O16" s="43">
        <f t="shared" si="30"/>
        <v>0</v>
      </c>
      <c r="P16" s="28">
        <f t="shared" si="31"/>
        <v>0</v>
      </c>
      <c r="Q16" s="7">
        <f t="shared" si="41"/>
        <v>5645.63</v>
      </c>
      <c r="R16" s="43">
        <f t="shared" si="32"/>
        <v>0</v>
      </c>
      <c r="S16" s="28">
        <f t="shared" si="33"/>
        <v>0</v>
      </c>
      <c r="T16" s="8">
        <f t="shared" si="42"/>
        <v>0</v>
      </c>
      <c r="U16" s="30">
        <f t="shared" si="34"/>
        <v>0</v>
      </c>
      <c r="W16" s="141">
        <v>44879</v>
      </c>
      <c r="X16" s="142">
        <f t="shared" si="43"/>
        <v>220598</v>
      </c>
      <c r="Y16" s="147">
        <f t="shared" si="21"/>
        <v>0</v>
      </c>
      <c r="Z16" s="142">
        <f t="shared" si="44"/>
        <v>10196</v>
      </c>
      <c r="AA16" s="147">
        <f t="shared" si="21"/>
        <v>0</v>
      </c>
      <c r="AB16" s="142">
        <f t="shared" si="35"/>
        <v>41</v>
      </c>
      <c r="AC16" s="147">
        <f t="shared" si="21"/>
        <v>0</v>
      </c>
      <c r="AD16" s="142">
        <f t="shared" si="45"/>
        <v>766</v>
      </c>
      <c r="AE16" s="147">
        <f t="shared" si="21"/>
        <v>0</v>
      </c>
      <c r="AF16" s="142">
        <f t="shared" si="46"/>
        <v>9666</v>
      </c>
      <c r="AG16" s="147">
        <f t="shared" si="21"/>
        <v>0</v>
      </c>
    </row>
    <row r="17" spans="1:33" ht="16.5" thickBot="1" x14ac:dyDescent="0.25">
      <c r="A17" s="9">
        <v>44880</v>
      </c>
      <c r="B17" s="144">
        <f t="shared" si="36"/>
        <v>25368.29</v>
      </c>
      <c r="C17" s="43">
        <f t="shared" si="22"/>
        <v>0</v>
      </c>
      <c r="D17" s="28">
        <f t="shared" si="23"/>
        <v>0</v>
      </c>
      <c r="E17" s="1">
        <f t="shared" si="37"/>
        <v>4644.9799999999996</v>
      </c>
      <c r="F17" s="43">
        <f t="shared" si="24"/>
        <v>0</v>
      </c>
      <c r="G17" s="28">
        <f t="shared" si="25"/>
        <v>0</v>
      </c>
      <c r="H17" s="1">
        <f t="shared" si="38"/>
        <v>6457</v>
      </c>
      <c r="I17" s="43">
        <f t="shared" si="26"/>
        <v>0</v>
      </c>
      <c r="J17" s="28">
        <f t="shared" si="27"/>
        <v>0</v>
      </c>
      <c r="K17" s="7">
        <f t="shared" si="39"/>
        <v>14295.78</v>
      </c>
      <c r="L17" s="43">
        <f t="shared" si="28"/>
        <v>0</v>
      </c>
      <c r="M17" s="28">
        <f t="shared" si="29"/>
        <v>0</v>
      </c>
      <c r="N17" s="7">
        <f t="shared" si="40"/>
        <v>3859.5790000000002</v>
      </c>
      <c r="O17" s="43">
        <f t="shared" si="30"/>
        <v>0</v>
      </c>
      <c r="P17" s="28">
        <f t="shared" si="31"/>
        <v>0</v>
      </c>
      <c r="Q17" s="7">
        <f t="shared" si="41"/>
        <v>5645.63</v>
      </c>
      <c r="R17" s="43">
        <f t="shared" si="32"/>
        <v>0</v>
      </c>
      <c r="S17" s="28">
        <f t="shared" si="33"/>
        <v>0</v>
      </c>
      <c r="T17" s="8">
        <f t="shared" si="42"/>
        <v>0</v>
      </c>
      <c r="U17" s="30">
        <f t="shared" si="34"/>
        <v>0</v>
      </c>
      <c r="W17" s="141">
        <v>44880</v>
      </c>
      <c r="X17" s="142">
        <f t="shared" si="43"/>
        <v>220598</v>
      </c>
      <c r="Y17" s="147">
        <f t="shared" si="21"/>
        <v>0</v>
      </c>
      <c r="Z17" s="142">
        <f t="shared" si="44"/>
        <v>10196</v>
      </c>
      <c r="AA17" s="147">
        <f t="shared" si="21"/>
        <v>0</v>
      </c>
      <c r="AB17" s="142">
        <f t="shared" si="35"/>
        <v>41</v>
      </c>
      <c r="AC17" s="147">
        <f t="shared" si="21"/>
        <v>0</v>
      </c>
      <c r="AD17" s="142">
        <f t="shared" si="45"/>
        <v>766</v>
      </c>
      <c r="AE17" s="147">
        <f t="shared" si="21"/>
        <v>0</v>
      </c>
      <c r="AF17" s="142">
        <f t="shared" si="46"/>
        <v>9666</v>
      </c>
      <c r="AG17" s="147">
        <f t="shared" si="21"/>
        <v>0</v>
      </c>
    </row>
    <row r="18" spans="1:33" ht="16.5" thickBot="1" x14ac:dyDescent="0.25">
      <c r="A18" s="9">
        <v>44881</v>
      </c>
      <c r="B18" s="144">
        <f t="shared" si="36"/>
        <v>25368.29</v>
      </c>
      <c r="C18" s="43">
        <f t="shared" si="22"/>
        <v>0</v>
      </c>
      <c r="D18" s="28">
        <f t="shared" si="23"/>
        <v>0</v>
      </c>
      <c r="E18" s="1">
        <f t="shared" si="37"/>
        <v>4644.9799999999996</v>
      </c>
      <c r="F18" s="43">
        <f t="shared" si="24"/>
        <v>0</v>
      </c>
      <c r="G18" s="28">
        <f t="shared" si="25"/>
        <v>0</v>
      </c>
      <c r="H18" s="1">
        <f t="shared" si="38"/>
        <v>6457</v>
      </c>
      <c r="I18" s="43">
        <f t="shared" si="26"/>
        <v>0</v>
      </c>
      <c r="J18" s="28">
        <f t="shared" si="27"/>
        <v>0</v>
      </c>
      <c r="K18" s="7">
        <f t="shared" si="39"/>
        <v>14295.78</v>
      </c>
      <c r="L18" s="43">
        <f t="shared" si="28"/>
        <v>0</v>
      </c>
      <c r="M18" s="28">
        <f t="shared" si="29"/>
        <v>0</v>
      </c>
      <c r="N18" s="7">
        <f t="shared" si="40"/>
        <v>3859.5790000000002</v>
      </c>
      <c r="O18" s="43">
        <f t="shared" si="30"/>
        <v>0</v>
      </c>
      <c r="P18" s="28">
        <f t="shared" si="31"/>
        <v>0</v>
      </c>
      <c r="Q18" s="7">
        <f t="shared" si="41"/>
        <v>5645.63</v>
      </c>
      <c r="R18" s="43">
        <f t="shared" si="32"/>
        <v>0</v>
      </c>
      <c r="S18" s="28">
        <f t="shared" si="33"/>
        <v>0</v>
      </c>
      <c r="T18" s="8">
        <f t="shared" si="42"/>
        <v>0</v>
      </c>
      <c r="U18" s="30">
        <f t="shared" si="34"/>
        <v>0</v>
      </c>
      <c r="W18" s="141">
        <v>44881</v>
      </c>
      <c r="X18" s="142">
        <f t="shared" si="43"/>
        <v>220598</v>
      </c>
      <c r="Y18" s="147">
        <f t="shared" si="21"/>
        <v>0</v>
      </c>
      <c r="Z18" s="142">
        <f t="shared" si="44"/>
        <v>10196</v>
      </c>
      <c r="AA18" s="147">
        <f t="shared" si="21"/>
        <v>0</v>
      </c>
      <c r="AB18" s="142">
        <f t="shared" si="35"/>
        <v>41</v>
      </c>
      <c r="AC18" s="147">
        <f t="shared" si="21"/>
        <v>0</v>
      </c>
      <c r="AD18" s="142">
        <f t="shared" si="45"/>
        <v>766</v>
      </c>
      <c r="AE18" s="147">
        <f t="shared" si="21"/>
        <v>0</v>
      </c>
      <c r="AF18" s="142">
        <f t="shared" si="46"/>
        <v>9666</v>
      </c>
      <c r="AG18" s="147">
        <f t="shared" si="21"/>
        <v>0</v>
      </c>
    </row>
    <row r="19" spans="1:33" ht="16.5" thickBot="1" x14ac:dyDescent="0.25">
      <c r="A19" s="9">
        <v>44882</v>
      </c>
      <c r="B19" s="144">
        <f t="shared" si="36"/>
        <v>25368.29</v>
      </c>
      <c r="C19" s="43">
        <f t="shared" si="22"/>
        <v>0</v>
      </c>
      <c r="D19" s="28">
        <f t="shared" si="23"/>
        <v>0</v>
      </c>
      <c r="E19" s="1">
        <f t="shared" si="37"/>
        <v>4644.9799999999996</v>
      </c>
      <c r="F19" s="43">
        <f t="shared" si="24"/>
        <v>0</v>
      </c>
      <c r="G19" s="28">
        <f t="shared" si="25"/>
        <v>0</v>
      </c>
      <c r="H19" s="1">
        <f t="shared" si="38"/>
        <v>6457</v>
      </c>
      <c r="I19" s="43">
        <f t="shared" si="26"/>
        <v>0</v>
      </c>
      <c r="J19" s="28">
        <f t="shared" si="27"/>
        <v>0</v>
      </c>
      <c r="K19" s="7">
        <f t="shared" si="39"/>
        <v>14295.78</v>
      </c>
      <c r="L19" s="43">
        <f t="shared" si="28"/>
        <v>0</v>
      </c>
      <c r="M19" s="28">
        <f t="shared" si="29"/>
        <v>0</v>
      </c>
      <c r="N19" s="7">
        <f t="shared" si="40"/>
        <v>3859.5790000000002</v>
      </c>
      <c r="O19" s="43">
        <f t="shared" si="30"/>
        <v>0</v>
      </c>
      <c r="P19" s="28">
        <f t="shared" si="31"/>
        <v>0</v>
      </c>
      <c r="Q19" s="7">
        <f t="shared" si="41"/>
        <v>5645.63</v>
      </c>
      <c r="R19" s="43">
        <f t="shared" si="32"/>
        <v>0</v>
      </c>
      <c r="S19" s="28">
        <f t="shared" si="33"/>
        <v>0</v>
      </c>
      <c r="T19" s="8">
        <f t="shared" si="42"/>
        <v>0</v>
      </c>
      <c r="U19" s="30">
        <f t="shared" si="34"/>
        <v>0</v>
      </c>
      <c r="W19" s="141">
        <v>44882</v>
      </c>
      <c r="X19" s="142">
        <f t="shared" si="43"/>
        <v>220598</v>
      </c>
      <c r="Y19" s="147">
        <f t="shared" si="21"/>
        <v>0</v>
      </c>
      <c r="Z19" s="142">
        <f t="shared" si="44"/>
        <v>10196</v>
      </c>
      <c r="AA19" s="147">
        <f t="shared" si="21"/>
        <v>0</v>
      </c>
      <c r="AB19" s="142">
        <f t="shared" si="35"/>
        <v>41</v>
      </c>
      <c r="AC19" s="147">
        <f t="shared" si="21"/>
        <v>0</v>
      </c>
      <c r="AD19" s="142">
        <f t="shared" si="45"/>
        <v>766</v>
      </c>
      <c r="AE19" s="147">
        <f t="shared" si="21"/>
        <v>0</v>
      </c>
      <c r="AF19" s="142">
        <f t="shared" si="46"/>
        <v>9666</v>
      </c>
      <c r="AG19" s="147">
        <f t="shared" si="21"/>
        <v>0</v>
      </c>
    </row>
    <row r="20" spans="1:33" ht="16.5" thickBot="1" x14ac:dyDescent="0.25">
      <c r="A20" s="9">
        <v>44883</v>
      </c>
      <c r="B20" s="144">
        <f t="shared" si="36"/>
        <v>25368.29</v>
      </c>
      <c r="C20" s="43">
        <f t="shared" si="22"/>
        <v>0</v>
      </c>
      <c r="D20" s="28">
        <f t="shared" si="23"/>
        <v>0</v>
      </c>
      <c r="E20" s="1">
        <f t="shared" si="37"/>
        <v>4644.9799999999996</v>
      </c>
      <c r="F20" s="43">
        <f t="shared" si="24"/>
        <v>0</v>
      </c>
      <c r="G20" s="28">
        <f t="shared" si="25"/>
        <v>0</v>
      </c>
      <c r="H20" s="1">
        <f t="shared" si="38"/>
        <v>6457</v>
      </c>
      <c r="I20" s="43">
        <f t="shared" si="26"/>
        <v>0</v>
      </c>
      <c r="J20" s="28">
        <f t="shared" si="27"/>
        <v>0</v>
      </c>
      <c r="K20" s="7">
        <f t="shared" si="39"/>
        <v>14295.78</v>
      </c>
      <c r="L20" s="43">
        <f t="shared" si="28"/>
        <v>0</v>
      </c>
      <c r="M20" s="28">
        <f t="shared" si="29"/>
        <v>0</v>
      </c>
      <c r="N20" s="7">
        <f t="shared" si="40"/>
        <v>3859.5790000000002</v>
      </c>
      <c r="O20" s="43">
        <f t="shared" si="30"/>
        <v>0</v>
      </c>
      <c r="P20" s="28">
        <f t="shared" si="31"/>
        <v>0</v>
      </c>
      <c r="Q20" s="7">
        <f t="shared" si="41"/>
        <v>5645.63</v>
      </c>
      <c r="R20" s="43">
        <f t="shared" si="32"/>
        <v>0</v>
      </c>
      <c r="S20" s="28">
        <f t="shared" si="33"/>
        <v>0</v>
      </c>
      <c r="T20" s="8">
        <f t="shared" si="42"/>
        <v>0</v>
      </c>
      <c r="U20" s="30">
        <f t="shared" si="34"/>
        <v>0</v>
      </c>
      <c r="W20" s="141">
        <v>44883</v>
      </c>
      <c r="X20" s="142">
        <f t="shared" si="43"/>
        <v>220598</v>
      </c>
      <c r="Y20" s="147">
        <f t="shared" si="21"/>
        <v>0</v>
      </c>
      <c r="Z20" s="142">
        <f t="shared" si="44"/>
        <v>10196</v>
      </c>
      <c r="AA20" s="147">
        <f t="shared" si="21"/>
        <v>0</v>
      </c>
      <c r="AB20" s="142">
        <f t="shared" si="35"/>
        <v>41</v>
      </c>
      <c r="AC20" s="147">
        <f t="shared" si="21"/>
        <v>0</v>
      </c>
      <c r="AD20" s="142">
        <f t="shared" si="45"/>
        <v>766</v>
      </c>
      <c r="AE20" s="147">
        <f t="shared" si="21"/>
        <v>0</v>
      </c>
      <c r="AF20" s="142">
        <f t="shared" si="46"/>
        <v>9666</v>
      </c>
      <c r="AG20" s="147">
        <f t="shared" si="21"/>
        <v>0</v>
      </c>
    </row>
    <row r="21" spans="1:33" ht="16.5" thickBot="1" x14ac:dyDescent="0.25">
      <c r="A21" s="9">
        <v>44884</v>
      </c>
      <c r="B21" s="144">
        <f t="shared" si="36"/>
        <v>25368.29</v>
      </c>
      <c r="C21" s="43">
        <f t="shared" si="22"/>
        <v>0</v>
      </c>
      <c r="D21" s="28">
        <f t="shared" si="23"/>
        <v>0</v>
      </c>
      <c r="E21" s="1">
        <f t="shared" si="37"/>
        <v>4644.9799999999996</v>
      </c>
      <c r="F21" s="43">
        <f t="shared" si="24"/>
        <v>0</v>
      </c>
      <c r="G21" s="28">
        <f t="shared" si="25"/>
        <v>0</v>
      </c>
      <c r="H21" s="1">
        <f t="shared" si="38"/>
        <v>6457</v>
      </c>
      <c r="I21" s="43">
        <f t="shared" si="26"/>
        <v>0</v>
      </c>
      <c r="J21" s="28">
        <f t="shared" si="27"/>
        <v>0</v>
      </c>
      <c r="K21" s="7">
        <f t="shared" si="39"/>
        <v>14295.78</v>
      </c>
      <c r="L21" s="43">
        <f t="shared" si="28"/>
        <v>0</v>
      </c>
      <c r="M21" s="28">
        <f t="shared" si="29"/>
        <v>0</v>
      </c>
      <c r="N21" s="7">
        <f t="shared" si="40"/>
        <v>3859.5790000000002</v>
      </c>
      <c r="O21" s="43">
        <f t="shared" si="30"/>
        <v>0</v>
      </c>
      <c r="P21" s="28">
        <f t="shared" si="31"/>
        <v>0</v>
      </c>
      <c r="Q21" s="7">
        <f t="shared" si="41"/>
        <v>5645.63</v>
      </c>
      <c r="R21" s="43">
        <f t="shared" si="32"/>
        <v>0</v>
      </c>
      <c r="S21" s="28">
        <f t="shared" si="33"/>
        <v>0</v>
      </c>
      <c r="T21" s="8">
        <f t="shared" si="42"/>
        <v>0</v>
      </c>
      <c r="U21" s="30">
        <f t="shared" si="34"/>
        <v>0</v>
      </c>
      <c r="W21" s="141">
        <v>44884</v>
      </c>
      <c r="X21" s="142">
        <f t="shared" si="43"/>
        <v>220598</v>
      </c>
      <c r="Y21" s="147">
        <f t="shared" si="21"/>
        <v>0</v>
      </c>
      <c r="Z21" s="142">
        <f t="shared" si="44"/>
        <v>10196</v>
      </c>
      <c r="AA21" s="147">
        <f t="shared" si="21"/>
        <v>0</v>
      </c>
      <c r="AB21" s="142">
        <f t="shared" si="35"/>
        <v>41</v>
      </c>
      <c r="AC21" s="147">
        <f t="shared" si="21"/>
        <v>0</v>
      </c>
      <c r="AD21" s="142">
        <f t="shared" si="45"/>
        <v>766</v>
      </c>
      <c r="AE21" s="147">
        <f t="shared" si="21"/>
        <v>0</v>
      </c>
      <c r="AF21" s="142">
        <f t="shared" si="46"/>
        <v>9666</v>
      </c>
      <c r="AG21" s="147">
        <f t="shared" si="21"/>
        <v>0</v>
      </c>
    </row>
    <row r="22" spans="1:33" ht="16.5" thickBot="1" x14ac:dyDescent="0.25">
      <c r="A22" s="9">
        <v>44885</v>
      </c>
      <c r="B22" s="144">
        <f t="shared" si="36"/>
        <v>25368.29</v>
      </c>
      <c r="C22" s="43">
        <f t="shared" si="22"/>
        <v>0</v>
      </c>
      <c r="D22" s="28">
        <f t="shared" si="23"/>
        <v>0</v>
      </c>
      <c r="E22" s="1">
        <f t="shared" si="37"/>
        <v>4644.9799999999996</v>
      </c>
      <c r="F22" s="43">
        <f t="shared" si="24"/>
        <v>0</v>
      </c>
      <c r="G22" s="28">
        <f t="shared" si="25"/>
        <v>0</v>
      </c>
      <c r="H22" s="1">
        <f t="shared" si="38"/>
        <v>6457</v>
      </c>
      <c r="I22" s="43">
        <f t="shared" si="26"/>
        <v>0</v>
      </c>
      <c r="J22" s="28">
        <f t="shared" si="27"/>
        <v>0</v>
      </c>
      <c r="K22" s="7">
        <f t="shared" si="39"/>
        <v>14295.78</v>
      </c>
      <c r="L22" s="43">
        <f t="shared" si="28"/>
        <v>0</v>
      </c>
      <c r="M22" s="28">
        <f t="shared" si="29"/>
        <v>0</v>
      </c>
      <c r="N22" s="7">
        <f t="shared" si="40"/>
        <v>3859.5790000000002</v>
      </c>
      <c r="O22" s="43">
        <f t="shared" si="30"/>
        <v>0</v>
      </c>
      <c r="P22" s="28">
        <f t="shared" si="31"/>
        <v>0</v>
      </c>
      <c r="Q22" s="7">
        <f t="shared" si="41"/>
        <v>5645.63</v>
      </c>
      <c r="R22" s="43">
        <f t="shared" si="32"/>
        <v>0</v>
      </c>
      <c r="S22" s="28">
        <f t="shared" si="33"/>
        <v>0</v>
      </c>
      <c r="T22" s="8">
        <f t="shared" si="42"/>
        <v>0</v>
      </c>
      <c r="U22" s="30">
        <f t="shared" si="34"/>
        <v>0</v>
      </c>
      <c r="W22" s="141">
        <v>44885</v>
      </c>
      <c r="X22" s="142">
        <f t="shared" si="43"/>
        <v>220598</v>
      </c>
      <c r="Y22" s="147">
        <f t="shared" si="21"/>
        <v>0</v>
      </c>
      <c r="Z22" s="142">
        <f t="shared" si="44"/>
        <v>10196</v>
      </c>
      <c r="AA22" s="147">
        <f t="shared" si="21"/>
        <v>0</v>
      </c>
      <c r="AB22" s="142">
        <f t="shared" si="35"/>
        <v>41</v>
      </c>
      <c r="AC22" s="147">
        <f t="shared" si="21"/>
        <v>0</v>
      </c>
      <c r="AD22" s="142">
        <f t="shared" si="45"/>
        <v>766</v>
      </c>
      <c r="AE22" s="147">
        <f t="shared" si="21"/>
        <v>0</v>
      </c>
      <c r="AF22" s="142">
        <f t="shared" si="46"/>
        <v>9666</v>
      </c>
      <c r="AG22" s="147">
        <f t="shared" si="21"/>
        <v>0</v>
      </c>
    </row>
    <row r="23" spans="1:33" ht="16.5" thickBot="1" x14ac:dyDescent="0.25">
      <c r="A23" s="9">
        <v>44886</v>
      </c>
      <c r="B23" s="144">
        <f t="shared" si="36"/>
        <v>25368.29</v>
      </c>
      <c r="C23" s="43">
        <f t="shared" si="22"/>
        <v>0</v>
      </c>
      <c r="D23" s="28">
        <f t="shared" si="23"/>
        <v>0</v>
      </c>
      <c r="E23" s="1">
        <f t="shared" si="37"/>
        <v>4644.9799999999996</v>
      </c>
      <c r="F23" s="43">
        <f t="shared" si="24"/>
        <v>0</v>
      </c>
      <c r="G23" s="28">
        <f t="shared" si="25"/>
        <v>0</v>
      </c>
      <c r="H23" s="1">
        <f t="shared" si="38"/>
        <v>6457</v>
      </c>
      <c r="I23" s="43">
        <f t="shared" si="26"/>
        <v>0</v>
      </c>
      <c r="J23" s="28">
        <f t="shared" si="27"/>
        <v>0</v>
      </c>
      <c r="K23" s="7">
        <f t="shared" si="39"/>
        <v>14295.78</v>
      </c>
      <c r="L23" s="43">
        <f t="shared" si="28"/>
        <v>0</v>
      </c>
      <c r="M23" s="28">
        <f t="shared" si="29"/>
        <v>0</v>
      </c>
      <c r="N23" s="7">
        <f t="shared" si="40"/>
        <v>3859.5790000000002</v>
      </c>
      <c r="O23" s="43">
        <f t="shared" si="30"/>
        <v>0</v>
      </c>
      <c r="P23" s="28">
        <f t="shared" si="31"/>
        <v>0</v>
      </c>
      <c r="Q23" s="7">
        <f t="shared" si="41"/>
        <v>5645.63</v>
      </c>
      <c r="R23" s="43">
        <f t="shared" si="32"/>
        <v>0</v>
      </c>
      <c r="S23" s="28">
        <f t="shared" si="33"/>
        <v>0</v>
      </c>
      <c r="T23" s="8">
        <f t="shared" si="42"/>
        <v>0</v>
      </c>
      <c r="U23" s="30">
        <f t="shared" si="34"/>
        <v>0</v>
      </c>
      <c r="W23" s="141">
        <v>44886</v>
      </c>
      <c r="X23" s="142">
        <f t="shared" si="43"/>
        <v>220598</v>
      </c>
      <c r="Y23" s="147">
        <f t="shared" si="21"/>
        <v>0</v>
      </c>
      <c r="Z23" s="142">
        <f t="shared" si="44"/>
        <v>10196</v>
      </c>
      <c r="AA23" s="147">
        <f t="shared" si="21"/>
        <v>0</v>
      </c>
      <c r="AB23" s="142">
        <f t="shared" si="35"/>
        <v>41</v>
      </c>
      <c r="AC23" s="147">
        <f t="shared" si="21"/>
        <v>0</v>
      </c>
      <c r="AD23" s="142">
        <f t="shared" si="45"/>
        <v>766</v>
      </c>
      <c r="AE23" s="147">
        <f t="shared" si="21"/>
        <v>0</v>
      </c>
      <c r="AF23" s="142">
        <f t="shared" si="46"/>
        <v>9666</v>
      </c>
      <c r="AG23" s="147">
        <f t="shared" si="21"/>
        <v>0</v>
      </c>
    </row>
    <row r="24" spans="1:33" ht="16.5" thickBot="1" x14ac:dyDescent="0.25">
      <c r="A24" s="9">
        <v>44887</v>
      </c>
      <c r="B24" s="144">
        <f t="shared" si="36"/>
        <v>25368.29</v>
      </c>
      <c r="C24" s="43">
        <f t="shared" si="22"/>
        <v>0</v>
      </c>
      <c r="D24" s="28">
        <f t="shared" si="23"/>
        <v>0</v>
      </c>
      <c r="E24" s="1">
        <f t="shared" si="37"/>
        <v>4644.9799999999996</v>
      </c>
      <c r="F24" s="43">
        <f t="shared" si="24"/>
        <v>0</v>
      </c>
      <c r="G24" s="28">
        <f t="shared" si="25"/>
        <v>0</v>
      </c>
      <c r="H24" s="1">
        <f t="shared" si="38"/>
        <v>6457</v>
      </c>
      <c r="I24" s="43">
        <f t="shared" si="26"/>
        <v>0</v>
      </c>
      <c r="J24" s="28">
        <f t="shared" si="27"/>
        <v>0</v>
      </c>
      <c r="K24" s="7">
        <f t="shared" si="39"/>
        <v>14295.78</v>
      </c>
      <c r="L24" s="43">
        <f t="shared" si="28"/>
        <v>0</v>
      </c>
      <c r="M24" s="28">
        <f t="shared" si="29"/>
        <v>0</v>
      </c>
      <c r="N24" s="7">
        <f t="shared" si="40"/>
        <v>3859.5790000000002</v>
      </c>
      <c r="O24" s="43">
        <f t="shared" si="30"/>
        <v>0</v>
      </c>
      <c r="P24" s="28">
        <f t="shared" si="31"/>
        <v>0</v>
      </c>
      <c r="Q24" s="7">
        <f t="shared" si="41"/>
        <v>5645.63</v>
      </c>
      <c r="R24" s="43">
        <f t="shared" si="32"/>
        <v>0</v>
      </c>
      <c r="S24" s="28">
        <f t="shared" si="33"/>
        <v>0</v>
      </c>
      <c r="T24" s="8">
        <f t="shared" si="42"/>
        <v>0</v>
      </c>
      <c r="U24" s="30">
        <f t="shared" si="34"/>
        <v>0</v>
      </c>
      <c r="W24" s="141">
        <v>44887</v>
      </c>
      <c r="X24" s="142">
        <f t="shared" si="43"/>
        <v>220598</v>
      </c>
      <c r="Y24" s="147">
        <f t="shared" si="21"/>
        <v>0</v>
      </c>
      <c r="Z24" s="142">
        <f t="shared" si="44"/>
        <v>10196</v>
      </c>
      <c r="AA24" s="147">
        <f t="shared" si="21"/>
        <v>0</v>
      </c>
      <c r="AB24" s="142">
        <f t="shared" si="35"/>
        <v>41</v>
      </c>
      <c r="AC24" s="147">
        <f t="shared" si="21"/>
        <v>0</v>
      </c>
      <c r="AD24" s="142">
        <f t="shared" si="45"/>
        <v>766</v>
      </c>
      <c r="AE24" s="147">
        <f t="shared" si="21"/>
        <v>0</v>
      </c>
      <c r="AF24" s="142">
        <f t="shared" si="46"/>
        <v>9666</v>
      </c>
      <c r="AG24" s="147">
        <f t="shared" si="21"/>
        <v>0</v>
      </c>
    </row>
    <row r="25" spans="1:33" ht="16.5" thickBot="1" x14ac:dyDescent="0.25">
      <c r="A25" s="9">
        <v>44888</v>
      </c>
      <c r="B25" s="144">
        <f t="shared" si="36"/>
        <v>25368.29</v>
      </c>
      <c r="C25" s="43">
        <f t="shared" si="22"/>
        <v>0</v>
      </c>
      <c r="D25" s="28">
        <f t="shared" si="23"/>
        <v>0</v>
      </c>
      <c r="E25" s="1">
        <f t="shared" si="37"/>
        <v>4644.9799999999996</v>
      </c>
      <c r="F25" s="43">
        <f t="shared" si="24"/>
        <v>0</v>
      </c>
      <c r="G25" s="28">
        <f t="shared" si="25"/>
        <v>0</v>
      </c>
      <c r="H25" s="1">
        <f t="shared" si="38"/>
        <v>6457</v>
      </c>
      <c r="I25" s="43">
        <f t="shared" si="26"/>
        <v>0</v>
      </c>
      <c r="J25" s="28">
        <f t="shared" si="27"/>
        <v>0</v>
      </c>
      <c r="K25" s="7">
        <f t="shared" si="39"/>
        <v>14295.78</v>
      </c>
      <c r="L25" s="43">
        <f t="shared" si="28"/>
        <v>0</v>
      </c>
      <c r="M25" s="28">
        <f t="shared" si="29"/>
        <v>0</v>
      </c>
      <c r="N25" s="7">
        <f t="shared" si="40"/>
        <v>3859.5790000000002</v>
      </c>
      <c r="O25" s="43">
        <f t="shared" si="30"/>
        <v>0</v>
      </c>
      <c r="P25" s="28">
        <f t="shared" si="31"/>
        <v>0</v>
      </c>
      <c r="Q25" s="7">
        <f t="shared" si="41"/>
        <v>5645.63</v>
      </c>
      <c r="R25" s="43">
        <f t="shared" si="32"/>
        <v>0</v>
      </c>
      <c r="S25" s="28">
        <f t="shared" si="33"/>
        <v>0</v>
      </c>
      <c r="T25" s="8">
        <f t="shared" si="42"/>
        <v>0</v>
      </c>
      <c r="U25" s="30">
        <f t="shared" si="34"/>
        <v>0</v>
      </c>
      <c r="W25" s="141">
        <v>44888</v>
      </c>
      <c r="X25" s="142">
        <f t="shared" si="43"/>
        <v>220598</v>
      </c>
      <c r="Y25" s="147">
        <f t="shared" si="21"/>
        <v>0</v>
      </c>
      <c r="Z25" s="142">
        <f t="shared" si="44"/>
        <v>10196</v>
      </c>
      <c r="AA25" s="147">
        <f t="shared" si="21"/>
        <v>0</v>
      </c>
      <c r="AB25" s="142">
        <f t="shared" si="35"/>
        <v>41</v>
      </c>
      <c r="AC25" s="147">
        <f t="shared" si="21"/>
        <v>0</v>
      </c>
      <c r="AD25" s="142">
        <f t="shared" si="45"/>
        <v>766</v>
      </c>
      <c r="AE25" s="147">
        <f t="shared" si="21"/>
        <v>0</v>
      </c>
      <c r="AF25" s="142">
        <f t="shared" si="46"/>
        <v>9666</v>
      </c>
      <c r="AG25" s="147">
        <f t="shared" si="21"/>
        <v>0</v>
      </c>
    </row>
    <row r="26" spans="1:33" ht="16.5" thickBot="1" x14ac:dyDescent="0.25">
      <c r="A26" s="9">
        <v>44889</v>
      </c>
      <c r="B26" s="144">
        <f t="shared" si="36"/>
        <v>25368.29</v>
      </c>
      <c r="C26" s="43">
        <f t="shared" si="22"/>
        <v>0</v>
      </c>
      <c r="D26" s="28">
        <f t="shared" si="23"/>
        <v>0</v>
      </c>
      <c r="E26" s="1">
        <f t="shared" si="37"/>
        <v>4644.9799999999996</v>
      </c>
      <c r="F26" s="43">
        <f t="shared" si="24"/>
        <v>0</v>
      </c>
      <c r="G26" s="28">
        <f t="shared" si="25"/>
        <v>0</v>
      </c>
      <c r="H26" s="1">
        <f t="shared" si="38"/>
        <v>6457</v>
      </c>
      <c r="I26" s="43">
        <f t="shared" si="26"/>
        <v>0</v>
      </c>
      <c r="J26" s="28">
        <f t="shared" si="27"/>
        <v>0</v>
      </c>
      <c r="K26" s="7">
        <f t="shared" si="39"/>
        <v>14295.78</v>
      </c>
      <c r="L26" s="43">
        <f>IF((K26-K25)&lt;0,"0",(K26-K25))</f>
        <v>0</v>
      </c>
      <c r="M26" s="28">
        <f t="shared" si="29"/>
        <v>0</v>
      </c>
      <c r="N26" s="7">
        <f t="shared" si="40"/>
        <v>3859.5790000000002</v>
      </c>
      <c r="O26" s="43">
        <f t="shared" si="30"/>
        <v>0</v>
      </c>
      <c r="P26" s="28">
        <f t="shared" si="31"/>
        <v>0</v>
      </c>
      <c r="Q26" s="7">
        <f t="shared" si="41"/>
        <v>5645.63</v>
      </c>
      <c r="R26" s="43">
        <f t="shared" si="32"/>
        <v>0</v>
      </c>
      <c r="S26" s="28">
        <f t="shared" si="33"/>
        <v>0</v>
      </c>
      <c r="T26" s="8">
        <f t="shared" si="42"/>
        <v>0</v>
      </c>
      <c r="U26" s="30">
        <f t="shared" si="34"/>
        <v>0</v>
      </c>
      <c r="V26" t="s">
        <v>12</v>
      </c>
      <c r="W26" s="141">
        <v>44889</v>
      </c>
      <c r="X26" s="142">
        <f t="shared" si="43"/>
        <v>220598</v>
      </c>
      <c r="Y26" s="147">
        <f t="shared" si="21"/>
        <v>0</v>
      </c>
      <c r="Z26" s="142">
        <f t="shared" si="44"/>
        <v>10196</v>
      </c>
      <c r="AA26" s="147">
        <f t="shared" si="21"/>
        <v>0</v>
      </c>
      <c r="AB26" s="142">
        <f t="shared" si="35"/>
        <v>41</v>
      </c>
      <c r="AC26" s="147">
        <f t="shared" si="21"/>
        <v>0</v>
      </c>
      <c r="AD26" s="142">
        <f t="shared" si="45"/>
        <v>766</v>
      </c>
      <c r="AE26" s="147">
        <f t="shared" si="21"/>
        <v>0</v>
      </c>
      <c r="AF26" s="142">
        <f t="shared" si="46"/>
        <v>9666</v>
      </c>
      <c r="AG26" s="147">
        <f t="shared" si="21"/>
        <v>0</v>
      </c>
    </row>
    <row r="27" spans="1:33" ht="16.5" thickBot="1" x14ac:dyDescent="0.25">
      <c r="A27" s="9">
        <v>44890</v>
      </c>
      <c r="B27" s="144">
        <f t="shared" si="36"/>
        <v>25368.29</v>
      </c>
      <c r="C27" s="43">
        <f t="shared" si="22"/>
        <v>0</v>
      </c>
      <c r="D27" s="28">
        <f t="shared" si="23"/>
        <v>0</v>
      </c>
      <c r="E27" s="1">
        <f t="shared" si="37"/>
        <v>4644.9799999999996</v>
      </c>
      <c r="F27" s="43">
        <f t="shared" si="24"/>
        <v>0</v>
      </c>
      <c r="G27" s="28">
        <f t="shared" si="25"/>
        <v>0</v>
      </c>
      <c r="H27" s="1">
        <f t="shared" si="38"/>
        <v>6457</v>
      </c>
      <c r="I27" s="43">
        <f t="shared" si="26"/>
        <v>0</v>
      </c>
      <c r="J27" s="28">
        <f t="shared" si="27"/>
        <v>0</v>
      </c>
      <c r="K27" s="7">
        <f t="shared" si="39"/>
        <v>14295.78</v>
      </c>
      <c r="L27" s="43">
        <f t="shared" si="28"/>
        <v>0</v>
      </c>
      <c r="M27" s="28">
        <f t="shared" si="29"/>
        <v>0</v>
      </c>
      <c r="N27" s="7">
        <f t="shared" si="40"/>
        <v>3859.5790000000002</v>
      </c>
      <c r="O27" s="43">
        <f t="shared" si="30"/>
        <v>0</v>
      </c>
      <c r="P27" s="28">
        <f t="shared" si="31"/>
        <v>0</v>
      </c>
      <c r="Q27" s="7">
        <f t="shared" si="41"/>
        <v>5645.63</v>
      </c>
      <c r="R27" s="43">
        <f t="shared" si="32"/>
        <v>0</v>
      </c>
      <c r="S27" s="28">
        <f t="shared" si="33"/>
        <v>0</v>
      </c>
      <c r="T27" s="8">
        <f t="shared" si="42"/>
        <v>0</v>
      </c>
      <c r="U27" s="30">
        <f t="shared" si="34"/>
        <v>0</v>
      </c>
      <c r="V27" t="s">
        <v>12</v>
      </c>
      <c r="W27" s="141">
        <v>44890</v>
      </c>
      <c r="X27" s="142">
        <f t="shared" si="43"/>
        <v>220598</v>
      </c>
      <c r="Y27" s="147">
        <f t="shared" si="21"/>
        <v>0</v>
      </c>
      <c r="Z27" s="142">
        <f t="shared" si="44"/>
        <v>10196</v>
      </c>
      <c r="AA27" s="147">
        <f t="shared" si="21"/>
        <v>0</v>
      </c>
      <c r="AB27" s="142">
        <f t="shared" si="35"/>
        <v>41</v>
      </c>
      <c r="AC27" s="147">
        <f t="shared" si="21"/>
        <v>0</v>
      </c>
      <c r="AD27" s="142">
        <f t="shared" si="45"/>
        <v>766</v>
      </c>
      <c r="AE27" s="147">
        <f t="shared" si="21"/>
        <v>0</v>
      </c>
      <c r="AF27" s="142">
        <f t="shared" si="46"/>
        <v>9666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36"/>
        <v>25368.29</v>
      </c>
      <c r="C28" s="43">
        <f t="shared" si="22"/>
        <v>0</v>
      </c>
      <c r="D28" s="28">
        <f t="shared" si="23"/>
        <v>0</v>
      </c>
      <c r="E28" s="1">
        <f t="shared" si="37"/>
        <v>4644.9799999999996</v>
      </c>
      <c r="F28" s="43">
        <f t="shared" si="24"/>
        <v>0</v>
      </c>
      <c r="G28" s="28">
        <f t="shared" si="25"/>
        <v>0</v>
      </c>
      <c r="H28" s="1">
        <f t="shared" si="38"/>
        <v>6457</v>
      </c>
      <c r="I28" s="43">
        <f t="shared" si="26"/>
        <v>0</v>
      </c>
      <c r="J28" s="28">
        <f t="shared" si="27"/>
        <v>0</v>
      </c>
      <c r="K28" s="7">
        <f t="shared" si="39"/>
        <v>14295.78</v>
      </c>
      <c r="L28" s="43">
        <f t="shared" si="28"/>
        <v>0</v>
      </c>
      <c r="M28" s="28">
        <f t="shared" si="29"/>
        <v>0</v>
      </c>
      <c r="N28" s="7">
        <f t="shared" si="40"/>
        <v>3859.5790000000002</v>
      </c>
      <c r="O28" s="43">
        <f t="shared" si="30"/>
        <v>0</v>
      </c>
      <c r="P28" s="28">
        <f t="shared" si="31"/>
        <v>0</v>
      </c>
      <c r="Q28" s="7">
        <f t="shared" si="41"/>
        <v>5645.63</v>
      </c>
      <c r="R28" s="43">
        <f t="shared" si="32"/>
        <v>0</v>
      </c>
      <c r="S28" s="28">
        <f t="shared" si="33"/>
        <v>0</v>
      </c>
      <c r="T28" s="8">
        <f t="shared" si="42"/>
        <v>0</v>
      </c>
      <c r="U28" s="30">
        <f t="shared" si="34"/>
        <v>0</v>
      </c>
      <c r="W28" s="141">
        <v>44891</v>
      </c>
      <c r="X28" s="142">
        <f t="shared" si="43"/>
        <v>220598</v>
      </c>
      <c r="Y28" s="147">
        <f t="shared" si="21"/>
        <v>0</v>
      </c>
      <c r="Z28" s="142">
        <f t="shared" si="44"/>
        <v>10196</v>
      </c>
      <c r="AA28" s="147">
        <f t="shared" si="21"/>
        <v>0</v>
      </c>
      <c r="AB28" s="142">
        <f t="shared" si="35"/>
        <v>41</v>
      </c>
      <c r="AC28" s="147">
        <f t="shared" si="21"/>
        <v>0</v>
      </c>
      <c r="AD28" s="142">
        <f t="shared" si="45"/>
        <v>766</v>
      </c>
      <c r="AE28" s="147">
        <f t="shared" si="21"/>
        <v>0</v>
      </c>
      <c r="AF28" s="142">
        <f t="shared" si="46"/>
        <v>9666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36"/>
        <v>25368.29</v>
      </c>
      <c r="C29" s="43">
        <f t="shared" si="22"/>
        <v>0</v>
      </c>
      <c r="D29" s="28">
        <f t="shared" si="23"/>
        <v>0</v>
      </c>
      <c r="E29" s="1">
        <f t="shared" si="37"/>
        <v>4644.9799999999996</v>
      </c>
      <c r="F29" s="43">
        <f t="shared" si="24"/>
        <v>0</v>
      </c>
      <c r="G29" s="28">
        <f t="shared" si="25"/>
        <v>0</v>
      </c>
      <c r="H29" s="1">
        <f t="shared" si="38"/>
        <v>6457</v>
      </c>
      <c r="I29" s="43">
        <f t="shared" si="26"/>
        <v>0</v>
      </c>
      <c r="J29" s="28">
        <f t="shared" si="27"/>
        <v>0</v>
      </c>
      <c r="K29" s="7">
        <f t="shared" si="39"/>
        <v>14295.78</v>
      </c>
      <c r="L29" s="43">
        <f t="shared" si="28"/>
        <v>0</v>
      </c>
      <c r="M29" s="28">
        <f t="shared" si="29"/>
        <v>0</v>
      </c>
      <c r="N29" s="7">
        <f t="shared" si="40"/>
        <v>3859.5790000000002</v>
      </c>
      <c r="O29" s="43">
        <f t="shared" si="30"/>
        <v>0</v>
      </c>
      <c r="P29" s="28">
        <f t="shared" si="31"/>
        <v>0</v>
      </c>
      <c r="Q29" s="7">
        <f t="shared" si="41"/>
        <v>5645.63</v>
      </c>
      <c r="R29" s="43">
        <f t="shared" si="32"/>
        <v>0</v>
      </c>
      <c r="S29" s="28">
        <f t="shared" si="33"/>
        <v>0</v>
      </c>
      <c r="T29" s="8">
        <f t="shared" si="42"/>
        <v>0</v>
      </c>
      <c r="U29" s="30">
        <f t="shared" si="34"/>
        <v>0</v>
      </c>
      <c r="W29" s="141">
        <v>44892</v>
      </c>
      <c r="X29" s="142">
        <f t="shared" si="43"/>
        <v>220598</v>
      </c>
      <c r="Y29" s="147">
        <f t="shared" si="21"/>
        <v>0</v>
      </c>
      <c r="Z29" s="142">
        <f t="shared" si="44"/>
        <v>10196</v>
      </c>
      <c r="AA29" s="147">
        <f t="shared" si="21"/>
        <v>0</v>
      </c>
      <c r="AB29" s="142">
        <f t="shared" si="35"/>
        <v>41</v>
      </c>
      <c r="AC29" s="147">
        <f t="shared" si="21"/>
        <v>0</v>
      </c>
      <c r="AD29" s="142">
        <f t="shared" si="45"/>
        <v>766</v>
      </c>
      <c r="AE29" s="147">
        <f t="shared" si="21"/>
        <v>0</v>
      </c>
      <c r="AF29" s="142">
        <f t="shared" si="46"/>
        <v>9666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36"/>
        <v>25368.29</v>
      </c>
      <c r="C30" s="43">
        <f t="shared" si="22"/>
        <v>0</v>
      </c>
      <c r="D30" s="28">
        <f t="shared" si="23"/>
        <v>0</v>
      </c>
      <c r="E30" s="1">
        <f t="shared" si="37"/>
        <v>4644.9799999999996</v>
      </c>
      <c r="F30" s="43">
        <f t="shared" si="24"/>
        <v>0</v>
      </c>
      <c r="G30" s="28">
        <f t="shared" si="25"/>
        <v>0</v>
      </c>
      <c r="H30" s="1">
        <f t="shared" si="38"/>
        <v>6457</v>
      </c>
      <c r="I30" s="43">
        <f t="shared" si="26"/>
        <v>0</v>
      </c>
      <c r="J30" s="28">
        <f t="shared" si="27"/>
        <v>0</v>
      </c>
      <c r="K30" s="7">
        <f t="shared" si="39"/>
        <v>14295.78</v>
      </c>
      <c r="L30" s="43">
        <f t="shared" si="28"/>
        <v>0</v>
      </c>
      <c r="M30" s="28">
        <f t="shared" si="29"/>
        <v>0</v>
      </c>
      <c r="N30" s="7">
        <f t="shared" si="40"/>
        <v>3859.5790000000002</v>
      </c>
      <c r="O30" s="43">
        <f t="shared" si="30"/>
        <v>0</v>
      </c>
      <c r="P30" s="28">
        <f t="shared" si="31"/>
        <v>0</v>
      </c>
      <c r="Q30" s="7">
        <f t="shared" si="41"/>
        <v>5645.63</v>
      </c>
      <c r="R30" s="43">
        <f t="shared" si="32"/>
        <v>0</v>
      </c>
      <c r="S30" s="28">
        <f t="shared" si="33"/>
        <v>0</v>
      </c>
      <c r="T30" s="8">
        <f t="shared" si="42"/>
        <v>0</v>
      </c>
      <c r="U30" s="30">
        <f t="shared" si="34"/>
        <v>0</v>
      </c>
      <c r="W30" s="141">
        <v>44893</v>
      </c>
      <c r="X30" s="142">
        <f t="shared" si="43"/>
        <v>220598</v>
      </c>
      <c r="Y30" s="147">
        <f t="shared" si="21"/>
        <v>0</v>
      </c>
      <c r="Z30" s="142">
        <f t="shared" si="44"/>
        <v>10196</v>
      </c>
      <c r="AA30" s="147">
        <f t="shared" si="21"/>
        <v>0</v>
      </c>
      <c r="AB30" s="142">
        <f t="shared" si="35"/>
        <v>41</v>
      </c>
      <c r="AC30" s="147">
        <f t="shared" si="21"/>
        <v>0</v>
      </c>
      <c r="AD30" s="142">
        <f t="shared" si="45"/>
        <v>766</v>
      </c>
      <c r="AE30" s="147">
        <f t="shared" si="21"/>
        <v>0</v>
      </c>
      <c r="AF30" s="142">
        <f t="shared" si="46"/>
        <v>9666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36"/>
        <v>25368.29</v>
      </c>
      <c r="C31" s="43">
        <f t="shared" si="22"/>
        <v>0</v>
      </c>
      <c r="D31" s="28">
        <f t="shared" si="23"/>
        <v>0</v>
      </c>
      <c r="E31" s="1">
        <f t="shared" si="37"/>
        <v>4644.9799999999996</v>
      </c>
      <c r="F31" s="43">
        <f t="shared" si="24"/>
        <v>0</v>
      </c>
      <c r="G31" s="28">
        <f t="shared" si="25"/>
        <v>0</v>
      </c>
      <c r="H31" s="1">
        <f t="shared" si="38"/>
        <v>6457</v>
      </c>
      <c r="I31" s="43">
        <f t="shared" si="26"/>
        <v>0</v>
      </c>
      <c r="J31" s="28">
        <f t="shared" si="27"/>
        <v>0</v>
      </c>
      <c r="K31" s="7">
        <f t="shared" si="39"/>
        <v>14295.78</v>
      </c>
      <c r="L31" s="43">
        <f t="shared" si="28"/>
        <v>0</v>
      </c>
      <c r="M31" s="28">
        <f t="shared" si="29"/>
        <v>0</v>
      </c>
      <c r="N31" s="7">
        <f t="shared" si="40"/>
        <v>3859.5790000000002</v>
      </c>
      <c r="O31" s="43">
        <f t="shared" si="30"/>
        <v>0</v>
      </c>
      <c r="P31" s="28">
        <f t="shared" si="31"/>
        <v>0</v>
      </c>
      <c r="Q31" s="7">
        <f t="shared" si="41"/>
        <v>5645.63</v>
      </c>
      <c r="R31" s="43">
        <f t="shared" si="32"/>
        <v>0</v>
      </c>
      <c r="S31" s="28">
        <f t="shared" si="33"/>
        <v>0</v>
      </c>
      <c r="T31" s="8">
        <f t="shared" si="42"/>
        <v>0</v>
      </c>
      <c r="U31" s="30">
        <f t="shared" si="34"/>
        <v>0</v>
      </c>
      <c r="W31" s="141">
        <v>44894</v>
      </c>
      <c r="X31" s="142">
        <f t="shared" si="43"/>
        <v>220598</v>
      </c>
      <c r="Y31" s="147">
        <f t="shared" si="21"/>
        <v>0</v>
      </c>
      <c r="Z31" s="142">
        <f t="shared" si="44"/>
        <v>10196</v>
      </c>
      <c r="AA31" s="147">
        <f t="shared" si="21"/>
        <v>0</v>
      </c>
      <c r="AB31" s="142">
        <f t="shared" si="35"/>
        <v>41</v>
      </c>
      <c r="AC31" s="147">
        <f t="shared" si="21"/>
        <v>0</v>
      </c>
      <c r="AD31" s="142">
        <f t="shared" si="45"/>
        <v>766</v>
      </c>
      <c r="AE31" s="147">
        <f t="shared" si="21"/>
        <v>0</v>
      </c>
      <c r="AF31" s="142">
        <f t="shared" si="46"/>
        <v>9666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36"/>
        <v>25368.29</v>
      </c>
      <c r="C32" s="43">
        <f t="shared" si="22"/>
        <v>0</v>
      </c>
      <c r="D32" s="28">
        <f t="shared" si="23"/>
        <v>0</v>
      </c>
      <c r="E32" s="1">
        <f t="shared" si="37"/>
        <v>4644.9799999999996</v>
      </c>
      <c r="F32" s="43">
        <f t="shared" si="24"/>
        <v>0</v>
      </c>
      <c r="G32" s="28">
        <f t="shared" si="25"/>
        <v>0</v>
      </c>
      <c r="H32" s="1">
        <f t="shared" si="38"/>
        <v>6457</v>
      </c>
      <c r="I32" s="43">
        <f t="shared" si="26"/>
        <v>0</v>
      </c>
      <c r="J32" s="28">
        <f t="shared" si="27"/>
        <v>0</v>
      </c>
      <c r="K32" s="7">
        <f t="shared" si="39"/>
        <v>14295.78</v>
      </c>
      <c r="L32" s="43">
        <f t="shared" si="28"/>
        <v>0</v>
      </c>
      <c r="M32" s="28">
        <f t="shared" si="29"/>
        <v>0</v>
      </c>
      <c r="N32" s="7">
        <f t="shared" si="40"/>
        <v>3859.5790000000002</v>
      </c>
      <c r="O32" s="43">
        <f t="shared" si="30"/>
        <v>0</v>
      </c>
      <c r="P32" s="28">
        <f t="shared" si="31"/>
        <v>0</v>
      </c>
      <c r="Q32" s="7">
        <f t="shared" si="41"/>
        <v>5645.63</v>
      </c>
      <c r="R32" s="43">
        <f t="shared" si="32"/>
        <v>0</v>
      </c>
      <c r="S32" s="28">
        <f t="shared" si="33"/>
        <v>0</v>
      </c>
      <c r="T32" s="8">
        <f t="shared" si="42"/>
        <v>0</v>
      </c>
      <c r="U32" s="30">
        <f t="shared" si="34"/>
        <v>0</v>
      </c>
      <c r="W32" s="141">
        <v>44895</v>
      </c>
      <c r="X32" s="142">
        <f t="shared" si="43"/>
        <v>220598</v>
      </c>
      <c r="Y32" s="147">
        <f t="shared" ref="Y32" si="60">IF((X32-X31)&lt;0,"0",(X32-X31))</f>
        <v>0</v>
      </c>
      <c r="Z32" s="142">
        <f t="shared" si="44"/>
        <v>10196</v>
      </c>
      <c r="AA32" s="147">
        <f t="shared" ref="AA32" si="61">IF((Z32-Z31)&lt;0,"0",(Z32-Z31))</f>
        <v>0</v>
      </c>
      <c r="AB32" s="142">
        <f t="shared" si="35"/>
        <v>41</v>
      </c>
      <c r="AC32" s="147">
        <f t="shared" ref="AC32" si="62">IF((AB32-AB31)&lt;0,"0",(AB32-AB31))</f>
        <v>0</v>
      </c>
      <c r="AD32" s="142">
        <f t="shared" si="45"/>
        <v>766</v>
      </c>
      <c r="AE32" s="147">
        <f t="shared" ref="AE32" si="63">IF((AD32-AD31)&lt;0,"0",(AD32-AD31))</f>
        <v>0</v>
      </c>
      <c r="AF32" s="142">
        <f t="shared" si="46"/>
        <v>9666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17.425999999999476</v>
      </c>
      <c r="D33" s="124">
        <f>SUM(D4:D32)</f>
        <v>23339.599999999336</v>
      </c>
      <c r="E33" s="124"/>
      <c r="F33" s="124">
        <f>SUM(F3:F32)</f>
        <v>5.9669999999996435</v>
      </c>
      <c r="G33" s="124">
        <f>SUM(G4:G32)</f>
        <v>7941.9999999988249</v>
      </c>
      <c r="H33" s="124"/>
      <c r="I33" s="124">
        <f>SUM(I3:I32)</f>
        <v>13</v>
      </c>
      <c r="J33" s="124">
        <f>SUM(J4:J32)</f>
        <v>17100</v>
      </c>
      <c r="K33" s="124"/>
      <c r="L33" s="124">
        <f>SUM(L3:L32)</f>
        <v>0.90999999999985448</v>
      </c>
      <c r="M33" s="124">
        <f>SUM(M4:M32)</f>
        <v>1121.0000000002765</v>
      </c>
      <c r="N33" s="124"/>
      <c r="O33" s="124">
        <f>SUM(O3:O32)</f>
        <v>7.8900000000003274</v>
      </c>
      <c r="P33" s="124">
        <f>SUM(P4:P32)</f>
        <v>10681.800000000565</v>
      </c>
      <c r="Q33" s="124"/>
      <c r="R33" s="124">
        <v>2.21</v>
      </c>
      <c r="S33" s="124">
        <f>SUM(S4:S32)</f>
        <v>6383.9999999993779</v>
      </c>
      <c r="T33" s="124">
        <v>22.454999999999998</v>
      </c>
      <c r="U33" s="124">
        <f>SUM(U4:U32)</f>
        <v>66568.399999998379</v>
      </c>
      <c r="V33"/>
      <c r="W33" s="124" t="s">
        <v>141</v>
      </c>
      <c r="X33" s="124"/>
      <c r="Y33" s="124">
        <f>SUM(Y3:Y32)</f>
        <v>398</v>
      </c>
      <c r="Z33" s="124"/>
      <c r="AA33" s="124">
        <f>SUM(AA3:AA32)</f>
        <v>13</v>
      </c>
      <c r="AB33" s="124"/>
      <c r="AC33" s="124">
        <f>SUM(AC3:AC32)</f>
        <v>0.20000000000000284</v>
      </c>
      <c r="AD33" s="124"/>
      <c r="AE33" s="124">
        <f>SUM(AE3:AE32)</f>
        <v>6</v>
      </c>
      <c r="AF33" s="124">
        <v>0</v>
      </c>
      <c r="AG33" s="124">
        <f>SUM(AG3:AG32)</f>
        <v>28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2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2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2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73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3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3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2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2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2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73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3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3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2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2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2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73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3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3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2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2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2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73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3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3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2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2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2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73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73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3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2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2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2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73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73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3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2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2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2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73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73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3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2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2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2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73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73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3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2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2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2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73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73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3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2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2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2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73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73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3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2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2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2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73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73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3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2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2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2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73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73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73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2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2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2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73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73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3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2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2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2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73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3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3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2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2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2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73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3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3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2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2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2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73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3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3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2">
        <v>23</v>
      </c>
      <c r="C49" s="59" t="s">
        <v>83</v>
      </c>
      <c r="D49" s="60"/>
      <c r="E49" s="60"/>
      <c r="F49" s="61">
        <f t="shared" si="6"/>
        <v>0</v>
      </c>
      <c r="G49" s="62"/>
      <c r="I49" s="172">
        <v>23</v>
      </c>
      <c r="J49" s="59" t="s">
        <v>83</v>
      </c>
      <c r="K49" s="60"/>
      <c r="L49" s="60"/>
      <c r="M49" s="61">
        <f t="shared" si="7"/>
        <v>0</v>
      </c>
      <c r="N49" s="62"/>
      <c r="P49" s="172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73"/>
      <c r="C50" s="59" t="s">
        <v>82</v>
      </c>
      <c r="D50" s="60"/>
      <c r="E50" s="60"/>
      <c r="F50" s="61">
        <f t="shared" si="6"/>
        <v>0</v>
      </c>
      <c r="G50" s="62"/>
      <c r="I50" s="173"/>
      <c r="J50" s="59" t="s">
        <v>82</v>
      </c>
      <c r="K50" s="60"/>
      <c r="L50" s="60"/>
      <c r="M50" s="61">
        <f t="shared" si="7"/>
        <v>0</v>
      </c>
      <c r="N50" s="62"/>
      <c r="P50" s="173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75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5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5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76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6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6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77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7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7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2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2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2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2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2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2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2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2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2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2">
        <v>28</v>
      </c>
      <c r="C62" s="167" t="s">
        <v>86</v>
      </c>
      <c r="D62" s="60"/>
      <c r="E62" s="60"/>
      <c r="F62" s="61">
        <f t="shared" si="6"/>
        <v>0</v>
      </c>
      <c r="G62" s="169" t="s">
        <v>87</v>
      </c>
      <c r="H62" s="155"/>
      <c r="I62" s="172">
        <v>28</v>
      </c>
      <c r="J62" s="167" t="s">
        <v>86</v>
      </c>
      <c r="K62" s="60"/>
      <c r="L62" s="60"/>
      <c r="M62" s="61">
        <f t="shared" si="7"/>
        <v>0</v>
      </c>
      <c r="N62" s="169" t="s">
        <v>87</v>
      </c>
      <c r="P62" s="172">
        <v>28</v>
      </c>
      <c r="Q62" s="167" t="s">
        <v>86</v>
      </c>
      <c r="R62" s="60"/>
      <c r="S62" s="60"/>
      <c r="T62" s="61">
        <f t="shared" si="5"/>
        <v>0</v>
      </c>
      <c r="U62" s="169" t="s">
        <v>87</v>
      </c>
    </row>
    <row r="63" spans="1:21" ht="15" x14ac:dyDescent="0.2">
      <c r="A63" s="153"/>
      <c r="B63" s="174"/>
      <c r="C63" s="168"/>
      <c r="D63" s="60"/>
      <c r="E63" s="60"/>
      <c r="F63" s="61">
        <f t="shared" si="6"/>
        <v>0</v>
      </c>
      <c r="G63" s="170"/>
      <c r="H63" s="155"/>
      <c r="I63" s="174"/>
      <c r="J63" s="168"/>
      <c r="K63" s="60"/>
      <c r="L63" s="60"/>
      <c r="M63" s="61">
        <f t="shared" si="7"/>
        <v>0</v>
      </c>
      <c r="N63" s="170"/>
      <c r="P63" s="174"/>
      <c r="Q63" s="168"/>
      <c r="R63" s="60"/>
      <c r="S63" s="60"/>
      <c r="T63" s="61">
        <f t="shared" si="5"/>
        <v>0</v>
      </c>
      <c r="U63" s="170"/>
    </row>
    <row r="64" spans="1:21" x14ac:dyDescent="0.2">
      <c r="A64" s="153"/>
      <c r="B64" s="171" t="s">
        <v>88</v>
      </c>
      <c r="C64" s="171"/>
      <c r="D64" s="171"/>
      <c r="E64" s="171"/>
      <c r="F64" s="73">
        <f>SUM(F2:F63)</f>
        <v>29502</v>
      </c>
      <c r="G64" s="74"/>
      <c r="H64" s="155"/>
      <c r="I64" s="171" t="s">
        <v>88</v>
      </c>
      <c r="J64" s="171"/>
      <c r="K64" s="171"/>
      <c r="L64" s="171"/>
      <c r="M64" s="73">
        <f>SUM(M2:M63)</f>
        <v>22105</v>
      </c>
      <c r="N64" s="74"/>
      <c r="P64" s="171" t="s">
        <v>88</v>
      </c>
      <c r="Q64" s="171"/>
      <c r="R64" s="171"/>
      <c r="S64" s="171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78">
        <v>44774</v>
      </c>
      <c r="B69" s="179"/>
      <c r="C69" s="179"/>
      <c r="D69" s="180"/>
      <c r="E69" s="159"/>
      <c r="F69" s="178">
        <v>44805</v>
      </c>
      <c r="G69" s="179"/>
      <c r="H69" s="179"/>
      <c r="I69" s="180"/>
      <c r="J69" s="159"/>
      <c r="K69" s="181" t="s">
        <v>25</v>
      </c>
      <c r="L69" s="182"/>
      <c r="M69" s="182"/>
      <c r="N69" s="18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54205</v>
      </c>
      <c r="D2" s="84">
        <f>C2*1.27</f>
        <v>68840.350000000006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34523955</v>
      </c>
      <c r="K3" s="150">
        <f>J3-I3</f>
        <v>34122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8188500</v>
      </c>
      <c r="K4" s="150">
        <f>J4-I4</f>
        <v>167704</v>
      </c>
    </row>
    <row r="5" spans="1:13" ht="13.5" thickBot="1" x14ac:dyDescent="0.25">
      <c r="A5" s="82"/>
      <c r="B5" s="88" t="s">
        <v>27</v>
      </c>
      <c r="C5" s="92">
        <f>(K10+K12)*0.842284+K26</f>
        <v>93427.520208000002</v>
      </c>
      <c r="D5" s="92">
        <f t="shared" ref="D5:D11" si="0">C5*1.27</f>
        <v>118652.95066416</v>
      </c>
      <c r="E5" s="93"/>
      <c r="F5" s="82"/>
      <c r="G5" s="82"/>
      <c r="H5" s="88" t="s">
        <v>23</v>
      </c>
      <c r="I5" s="94"/>
      <c r="J5" s="94"/>
      <c r="K5" s="114">
        <f>K3+K4</f>
        <v>201826</v>
      </c>
    </row>
    <row r="6" spans="1:13" ht="13.5" thickBot="1" x14ac:dyDescent="0.25">
      <c r="A6" s="82"/>
      <c r="B6" s="88" t="s">
        <v>99</v>
      </c>
      <c r="C6" s="92">
        <f>(K10+K12+K26)*0.1488</f>
        <v>16465.017599999999</v>
      </c>
      <c r="D6" s="92">
        <f t="shared" si="0"/>
        <v>20910.572351999999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797796</v>
      </c>
      <c r="K6" s="150">
        <f>J6-I6</f>
        <v>18952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33028</v>
      </c>
      <c r="D7" s="92">
        <f t="shared" si="0"/>
        <v>41945.56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1109879</v>
      </c>
      <c r="K7" s="150">
        <f>J7-I7</f>
        <v>19457</v>
      </c>
    </row>
    <row r="8" spans="1:13" ht="13.5" thickBot="1" x14ac:dyDescent="0.25">
      <c r="A8" s="82"/>
      <c r="B8" s="88" t="s">
        <v>103</v>
      </c>
      <c r="C8" s="92">
        <f>K21+K22+K23+K24</f>
        <v>2203</v>
      </c>
      <c r="D8" s="92">
        <f t="shared" si="0"/>
        <v>2797.81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7836986</v>
      </c>
      <c r="K8" s="79">
        <f>(J8-I8)*2</f>
        <v>14110</v>
      </c>
    </row>
    <row r="9" spans="1:13" ht="13.5" thickBot="1" x14ac:dyDescent="0.25">
      <c r="A9" s="82"/>
      <c r="B9" s="88" t="s">
        <v>137</v>
      </c>
      <c r="C9" s="92">
        <f>K25+K16+K17</f>
        <v>353</v>
      </c>
      <c r="D9" s="92">
        <f t="shared" si="0"/>
        <v>448.31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8699470</v>
      </c>
      <c r="K9" s="79">
        <f>J9-I9</f>
        <v>36059</v>
      </c>
    </row>
    <row r="10" spans="1:13" ht="13.5" thickBot="1" x14ac:dyDescent="0.25">
      <c r="A10" s="82"/>
      <c r="B10" s="88" t="s">
        <v>106</v>
      </c>
      <c r="C10" s="92">
        <f>K18</f>
        <v>1120</v>
      </c>
      <c r="D10" s="92">
        <f t="shared" si="0"/>
        <v>1422.4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22938944</v>
      </c>
      <c r="K10" s="79">
        <f>J10-I10</f>
        <v>34476</v>
      </c>
    </row>
    <row r="11" spans="1:13" ht="13.5" thickBot="1" x14ac:dyDescent="0.25">
      <c r="A11" s="82"/>
      <c r="B11" s="88" t="s">
        <v>108</v>
      </c>
      <c r="C11" s="92">
        <f>K19+K20</f>
        <v>265</v>
      </c>
      <c r="D11" s="92">
        <f t="shared" si="0"/>
        <v>336.55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1010778</v>
      </c>
      <c r="K12" s="79">
        <f>(J12-I12)*2</f>
        <v>74736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197790</v>
      </c>
    </row>
    <row r="14" spans="1:13" ht="13.5" thickBot="1" x14ac:dyDescent="0.25">
      <c r="A14" s="82"/>
      <c r="B14" s="88" t="s">
        <v>42</v>
      </c>
      <c r="C14" s="92">
        <f>K29</f>
        <v>2440</v>
      </c>
      <c r="D14" s="100">
        <f t="shared" ref="D14:D22" si="1">C14*10.03</f>
        <v>24473.199999999997</v>
      </c>
      <c r="E14" s="101"/>
      <c r="F14" s="82"/>
      <c r="G14" s="82"/>
      <c r="H14" s="88" t="s">
        <v>114</v>
      </c>
      <c r="I14" s="97"/>
      <c r="J14" s="98"/>
      <c r="K14" s="80">
        <f>K5-K13</f>
        <v>4036</v>
      </c>
    </row>
    <row r="15" spans="1:13" ht="13.5" thickBot="1" x14ac:dyDescent="0.25">
      <c r="A15" s="82"/>
      <c r="B15" s="88" t="s">
        <v>115</v>
      </c>
      <c r="C15" s="102">
        <f>K30</f>
        <v>15.093</v>
      </c>
      <c r="D15" s="100">
        <f t="shared" si="1"/>
        <v>151.38279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-447.47325739999997</v>
      </c>
      <c r="D16" s="100">
        <f t="shared" si="1"/>
        <v>-4488.1567717219996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4084</v>
      </c>
      <c r="K16" s="81">
        <f>(J16-I16)*160</f>
        <v>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340656</v>
      </c>
      <c r="K17" s="81">
        <f>(J17-I17)</f>
        <v>347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26644</v>
      </c>
      <c r="K18" s="81">
        <f>(J18-I18)*160</f>
        <v>1120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177226</v>
      </c>
      <c r="K19" s="81">
        <f>J19-I19</f>
        <v>265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47802</v>
      </c>
      <c r="K21" s="81">
        <f>(J21-I21)*120</f>
        <v>1080</v>
      </c>
    </row>
    <row r="22" spans="1:11" ht="13.5" thickBot="1" x14ac:dyDescent="0.25">
      <c r="A22" s="82"/>
      <c r="B22" s="88" t="s">
        <v>119</v>
      </c>
      <c r="C22" s="100">
        <f>C14-(C15+C16+C17+C18+C19+C20+C21)</f>
        <v>-2947.6197425999999</v>
      </c>
      <c r="D22" s="100">
        <f t="shared" si="1"/>
        <v>-29564.626018277995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41107</v>
      </c>
      <c r="K22" s="81">
        <f>(J22-I22)*160</f>
        <v>960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22242</v>
      </c>
      <c r="K23" s="81">
        <f>(J23-I23)*20</f>
        <v>120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259893</v>
      </c>
      <c r="K24" s="81">
        <f>J24-I24</f>
        <v>43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226531</v>
      </c>
      <c r="K25" s="81">
        <f>J25-I25</f>
        <v>6</v>
      </c>
    </row>
    <row r="26" spans="1:11" ht="13.5" thickBot="1" x14ac:dyDescent="0.25">
      <c r="A26" s="82"/>
      <c r="B26" s="88" t="s">
        <v>42</v>
      </c>
      <c r="C26" s="106">
        <f>K35</f>
        <v>5208</v>
      </c>
      <c r="D26" s="92">
        <f>C26*3.65</f>
        <v>19009.2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20292</v>
      </c>
      <c r="K26" s="81">
        <f>(J26-I26)*160</f>
        <v>1440</v>
      </c>
    </row>
    <row r="27" spans="1:11" ht="13.5" thickBot="1" x14ac:dyDescent="0.25">
      <c r="A27" s="82"/>
      <c r="B27" s="83" t="s">
        <v>124</v>
      </c>
      <c r="C27" s="106">
        <f>C26</f>
        <v>5208</v>
      </c>
      <c r="D27" s="92">
        <f>C27*3.65</f>
        <v>19009.2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465744</v>
      </c>
      <c r="K29" s="81">
        <f>(J29-I29)*10</f>
        <v>2440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819561</v>
      </c>
      <c r="K30" s="81">
        <f>(J30-I30)*0.027</f>
        <v>15.093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15325</v>
      </c>
      <c r="K31" s="81">
        <f>(J31-I31)*0.027</f>
        <v>2.9159999999999999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12518400</v>
      </c>
      <c r="K32" s="81">
        <f>(J32-I32)*0.027</f>
        <v>1242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18561428</v>
      </c>
      <c r="K35" s="112">
        <f>J35-I35</f>
        <v>5208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2022-11-03T23:18:03Z</dcterms:modified>
</cp:coreProperties>
</file>