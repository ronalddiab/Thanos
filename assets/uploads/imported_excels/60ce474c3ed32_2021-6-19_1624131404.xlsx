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4" i="10" l="1"/>
  <c r="X16" i="7" l="1"/>
  <c r="X17" i="7"/>
  <c r="CL10" i="7" l="1"/>
  <c r="F9" i="7" l="1"/>
  <c r="F8" i="7"/>
  <c r="CL9" i="7"/>
  <c r="G20" i="3" l="1"/>
  <c r="G21" i="3"/>
  <c r="G22" i="3"/>
  <c r="G23" i="3"/>
  <c r="G24" i="3"/>
  <c r="G25" i="3"/>
  <c r="G26" i="3"/>
  <c r="G27" i="3"/>
  <c r="G28" i="3"/>
  <c r="G29" i="3"/>
  <c r="G30" i="3"/>
  <c r="G31" i="3"/>
  <c r="G32" i="3"/>
  <c r="I21" i="3"/>
  <c r="I2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19" i="3" l="1"/>
  <c r="G18" i="3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<sst xmlns="http://schemas.openxmlformats.org/spreadsheetml/2006/main" count="313" uniqueCount="148">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</sst>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 t="e">
        <f>Submetering!E20+Submetering!F20+Submetering!G20+Submetering!H20+Submetering!J20-Submetering!AV20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 t="e">
        <f>'FS Desroches Daily'!CM22</f>
        <v>#VALUE!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 t="str">
        <f>'FS Desroches Daily'!BV21</f>
        <v/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>
        <f>'FS Desroches Daily'!BV22</f>
        <v>0</v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34200.000000000226</v>
      </c>
      <c r="F33" s="17">
        <f t="shared" ref="F33:BC33" si="1">SUM(F2:F32)</f>
        <v>50500.000000000007</v>
      </c>
      <c r="G33" s="17">
        <f t="shared" si="1"/>
        <v>45700.00000000008</v>
      </c>
      <c r="H33" s="17">
        <f t="shared" si="1"/>
        <v>22900.000000000146</v>
      </c>
      <c r="I33" s="17">
        <f t="shared" si="1"/>
        <v>37400.000000000327</v>
      </c>
      <c r="J33" s="17">
        <f t="shared" si="1"/>
        <v>17399.999999999862</v>
      </c>
      <c r="K33" s="17">
        <f t="shared" si="1"/>
        <v>130</v>
      </c>
      <c r="L33" s="17">
        <f t="shared" si="1"/>
        <v>53</v>
      </c>
      <c r="M33" s="17">
        <f t="shared" si="1"/>
        <v>12946.599999999977</v>
      </c>
      <c r="N33" s="17">
        <f t="shared" si="1"/>
        <v>5516.2999999999884</v>
      </c>
      <c r="O33" s="17">
        <f t="shared" si="1"/>
        <v>5500</v>
      </c>
      <c r="P33" s="17">
        <f t="shared" si="1"/>
        <v>44699.999999999745</v>
      </c>
      <c r="Q33" s="17">
        <f t="shared" si="1"/>
        <v>5180.0000000000073</v>
      </c>
      <c r="R33" s="17">
        <f t="shared" si="1"/>
        <v>5069.9999999999927</v>
      </c>
      <c r="S33" s="17">
        <f t="shared" si="1"/>
        <v>5240.0000000000091</v>
      </c>
      <c r="T33" s="17">
        <f t="shared" si="1"/>
        <v>622</v>
      </c>
      <c r="U33" s="35">
        <f t="shared" si="1"/>
        <v>9319.9999999999363</v>
      </c>
      <c r="V33" s="35">
        <f t="shared" si="1"/>
        <v>3590.0000000000032</v>
      </c>
      <c r="W33" s="35">
        <f t="shared" si="1"/>
        <v>2760.0000000000191</v>
      </c>
      <c r="X33" s="35">
        <f t="shared" si="1"/>
        <v>1840.0000000000034</v>
      </c>
      <c r="Y33" s="35">
        <f t="shared" si="1"/>
        <v>2719.9999999999982</v>
      </c>
      <c r="Z33" s="35">
        <f t="shared" si="1"/>
        <v>3814.9499999999725</v>
      </c>
      <c r="AA33" s="35">
        <f t="shared" si="1"/>
        <v>3814.9499999999725</v>
      </c>
      <c r="AB33" s="35">
        <f t="shared" si="1"/>
        <v>1120.0000000000045</v>
      </c>
      <c r="AC33" s="35">
        <f t="shared" si="1"/>
        <v>819.99999999999318</v>
      </c>
      <c r="AD33" s="35">
        <f t="shared" si="1"/>
        <v>470.00000000002728</v>
      </c>
      <c r="AE33" s="35">
        <f t="shared" si="1"/>
        <v>460.00000000000796</v>
      </c>
      <c r="AF33" s="17">
        <f t="shared" si="1"/>
        <v>550</v>
      </c>
      <c r="AG33" s="32">
        <f t="shared" si="1"/>
        <v>579.99999999998408</v>
      </c>
      <c r="AH33" s="32">
        <f t="shared" si="1"/>
        <v>519.99999999998181</v>
      </c>
      <c r="AI33" s="32">
        <f t="shared" si="1"/>
        <v>580.00000000001251</v>
      </c>
      <c r="AJ33" s="32">
        <f t="shared" si="1"/>
        <v>659.99999999999659</v>
      </c>
      <c r="AK33" s="32">
        <f t="shared" si="1"/>
        <v>549.99999999995453</v>
      </c>
      <c r="AL33" s="32">
        <f t="shared" si="1"/>
        <v>409</v>
      </c>
      <c r="AM33" s="32">
        <f t="shared" si="1"/>
        <v>439.99999999999773</v>
      </c>
      <c r="AN33" s="32">
        <f t="shared" si="1"/>
        <v>716</v>
      </c>
      <c r="AO33" s="32">
        <f t="shared" si="1"/>
        <v>469.99999999999886</v>
      </c>
      <c r="AP33" s="32">
        <f t="shared" si="1"/>
        <v>761</v>
      </c>
      <c r="AQ33" s="17">
        <f t="shared" si="1"/>
        <v>545.09999999999854</v>
      </c>
      <c r="AR33" s="17">
        <f t="shared" si="1"/>
        <v>135.20000000000073</v>
      </c>
      <c r="AS33" s="17">
        <f t="shared" si="1"/>
        <v>80.300000000000182</v>
      </c>
      <c r="AT33" s="17">
        <f t="shared" si="1"/>
        <v>611.5</v>
      </c>
      <c r="AU33" s="17">
        <f t="shared" si="1"/>
        <v>4962</v>
      </c>
      <c r="AV33" s="17">
        <f t="shared" si="1"/>
        <v>12819.999999999938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142.857</v>
      </c>
      <c r="BC33" s="17">
        <f t="shared" si="1"/>
        <v>142</v>
      </c>
    </row>
    <row r="35" spans="5:55" x14ac:dyDescent="0.25">
      <c r="E35" s="38">
        <f>E33/E37</f>
        <v>0.21132243354465674</v>
      </c>
      <c r="G35" s="29">
        <f>G33-M36</f>
        <v>27237.100000000115</v>
      </c>
      <c r="AE35" s="35">
        <f>SUM(U33:AE33)</f>
        <v>30729.899999999936</v>
      </c>
      <c r="AG35" s="32">
        <f>SUM(AG33:AP33)</f>
        <v>5685.9999999999263</v>
      </c>
    </row>
    <row r="36" spans="5:55" x14ac:dyDescent="0.25">
      <c r="G36" s="29">
        <f>G35-633*14</f>
        <v>18375.100000000115</v>
      </c>
      <c r="M36" s="29">
        <f>M33+N33</f>
        <v>18462.899999999965</v>
      </c>
    </row>
    <row r="37" spans="5:55" x14ac:dyDescent="0.25">
      <c r="E37" s="17">
        <f>E33+F33+G33+H33+J33-633*14</f>
        <v>161838.00000000032</v>
      </c>
      <c r="G37" s="37">
        <f>M36/E37</f>
        <v>0.11408260111963772</v>
      </c>
      <c r="M37" s="35">
        <f>AE35</f>
        <v>30729.899999999936</v>
      </c>
    </row>
    <row r="38" spans="5:55" x14ac:dyDescent="0.25">
      <c r="L38" s="27">
        <f>M38/E37</f>
        <v>3.5133899331429672E-2</v>
      </c>
      <c r="M38" s="29">
        <f>AG35</f>
        <v>5685.9999999999263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T1" zoomScale="80" zoomScaleNormal="80" workbookViewId="0">
      <pane ySplit="1" topLeftCell="A2" activePane="bottomLeft" state="frozen"/>
      <selection pane="bottomLeft" activeCell="CN22" sqref="CN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0</v>
      </c>
      <c r="CO20" s="62">
        <v>0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/>
      <c r="BV21" s="65" t="str">
        <f t="shared" si="29"/>
        <v/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0</v>
      </c>
      <c r="CO21" s="62">
        <v>0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/>
      <c r="D22" s="64" t="str">
        <f t="shared" si="0"/>
        <v>0</v>
      </c>
      <c r="E22" s="58"/>
      <c r="F22" s="64" t="str">
        <f t="shared" si="1"/>
        <v>0</v>
      </c>
      <c r="G22" s="58"/>
      <c r="H22" s="64" t="str">
        <f t="shared" si="2"/>
        <v>0</v>
      </c>
      <c r="I22" s="58"/>
      <c r="J22" s="64" t="str">
        <f t="shared" si="3"/>
        <v>0</v>
      </c>
      <c r="K22" s="58"/>
      <c r="L22" s="64" t="str">
        <f t="shared" si="4"/>
        <v>0</v>
      </c>
      <c r="M22" s="58"/>
      <c r="N22" s="64" t="str">
        <f t="shared" si="5"/>
        <v/>
      </c>
      <c r="O22" s="58"/>
      <c r="P22" s="67" t="str">
        <f t="shared" si="44"/>
        <v/>
      </c>
      <c r="Q22" s="58"/>
      <c r="R22" s="67" t="str">
        <f t="shared" si="6"/>
        <v/>
      </c>
      <c r="S22" s="58"/>
      <c r="T22" s="67" t="str">
        <f t="shared" si="7"/>
        <v/>
      </c>
      <c r="U22" s="58"/>
      <c r="V22" s="67" t="str">
        <f t="shared" si="8"/>
        <v/>
      </c>
      <c r="W22" s="58"/>
      <c r="X22" s="65" t="str">
        <f t="shared" si="9"/>
        <v/>
      </c>
      <c r="Y22" s="58"/>
      <c r="Z22" s="65" t="str">
        <f t="shared" si="10"/>
        <v/>
      </c>
      <c r="AA22" s="58"/>
      <c r="AB22" s="65" t="str">
        <f t="shared" si="11"/>
        <v/>
      </c>
      <c r="AC22" s="58"/>
      <c r="AD22" s="65" t="str">
        <f t="shared" si="12"/>
        <v/>
      </c>
      <c r="AE22" s="58"/>
      <c r="AF22" s="65" t="str">
        <f t="shared" si="13"/>
        <v/>
      </c>
      <c r="AG22" s="58"/>
      <c r="AH22" s="67" t="str">
        <f t="shared" si="14"/>
        <v/>
      </c>
      <c r="AI22" s="58"/>
      <c r="AJ22" s="65" t="str">
        <f t="shared" si="15"/>
        <v/>
      </c>
      <c r="AK22" s="58"/>
      <c r="AL22" s="65" t="str">
        <f t="shared" si="15"/>
        <v/>
      </c>
      <c r="AM22" s="58"/>
      <c r="AN22" s="65" t="str">
        <f t="shared" si="15"/>
        <v/>
      </c>
      <c r="AO22" s="58"/>
      <c r="AP22" s="65" t="str">
        <f t="shared" si="15"/>
        <v/>
      </c>
      <c r="AQ22" s="58"/>
      <c r="AR22" s="65" t="str">
        <f t="shared" si="16"/>
        <v/>
      </c>
      <c r="AS22" s="58"/>
      <c r="AT22" s="65" t="str">
        <f t="shared" si="17"/>
        <v/>
      </c>
      <c r="AU22" s="58"/>
      <c r="AV22" s="65" t="str">
        <f t="shared" si="18"/>
        <v/>
      </c>
      <c r="AW22" s="58"/>
      <c r="AX22" s="65" t="str">
        <f t="shared" si="19"/>
        <v/>
      </c>
      <c r="AY22" s="58"/>
      <c r="AZ22" s="65" t="str">
        <f t="shared" si="20"/>
        <v/>
      </c>
      <c r="BA22" s="58"/>
      <c r="BB22" s="65" t="str">
        <f t="shared" si="21"/>
        <v/>
      </c>
      <c r="BC22" s="58"/>
      <c r="BD22" s="65" t="str">
        <f t="shared" si="22"/>
        <v/>
      </c>
      <c r="BE22" s="59"/>
      <c r="BF22" s="67" t="str">
        <f t="shared" si="39"/>
        <v/>
      </c>
      <c r="BG22" s="60"/>
      <c r="BH22" s="65" t="str">
        <f t="shared" si="23"/>
        <v/>
      </c>
      <c r="BI22" s="60"/>
      <c r="BJ22" s="65" t="str">
        <f t="shared" si="40"/>
        <v/>
      </c>
      <c r="BK22" s="60"/>
      <c r="BL22" s="65" t="str">
        <f t="shared" si="24"/>
        <v/>
      </c>
      <c r="BM22" s="60"/>
      <c r="BN22" s="65" t="str">
        <f t="shared" si="25"/>
        <v/>
      </c>
      <c r="BO22" s="60"/>
      <c r="BP22" s="65" t="str">
        <f t="shared" si="26"/>
        <v/>
      </c>
      <c r="BQ22" s="60"/>
      <c r="BR22" s="65" t="str">
        <f t="shared" si="27"/>
        <v/>
      </c>
      <c r="BS22" s="60"/>
      <c r="BT22" s="65" t="str">
        <f t="shared" si="42"/>
        <v/>
      </c>
      <c r="BU22" s="60"/>
      <c r="BV22" s="65">
        <f t="shared" si="29"/>
        <v>0</v>
      </c>
      <c r="BW22" s="60"/>
      <c r="BX22" s="65" t="str">
        <f t="shared" si="30"/>
        <v/>
      </c>
      <c r="BY22" s="60"/>
      <c r="BZ22" s="67" t="str">
        <f t="shared" si="31"/>
        <v/>
      </c>
      <c r="CA22" s="60"/>
      <c r="CB22" s="67" t="str">
        <f t="shared" si="32"/>
        <v/>
      </c>
      <c r="CC22" s="60"/>
      <c r="CD22" s="67" t="str">
        <f t="shared" si="33"/>
        <v/>
      </c>
      <c r="CE22" s="60"/>
      <c r="CF22" s="67" t="str">
        <f t="shared" si="34"/>
        <v/>
      </c>
      <c r="CG22" s="60"/>
      <c r="CH22" s="67" t="str">
        <f t="shared" si="35"/>
        <v/>
      </c>
      <c r="CI22" s="60"/>
      <c r="CJ22" s="67" t="str">
        <f t="shared" si="36"/>
        <v/>
      </c>
      <c r="CK22" s="60"/>
      <c r="CL22" s="64" t="str">
        <f t="shared" si="37"/>
        <v/>
      </c>
      <c r="CM22" s="65" t="e">
        <f t="shared" si="41"/>
        <v>#VALUE!</v>
      </c>
      <c r="CN22" s="62">
        <v>0</v>
      </c>
      <c r="CO22" s="62">
        <v>0</v>
      </c>
      <c r="CP22" s="68"/>
      <c r="CQ22" s="67" t="str">
        <f t="shared" si="38"/>
        <v/>
      </c>
      <c r="CR22" s="68"/>
      <c r="CS22" s="67" t="str">
        <f t="shared" si="38"/>
        <v/>
      </c>
      <c r="CT22" s="75"/>
      <c r="CU22" s="67" t="str">
        <f t="shared" si="38"/>
        <v/>
      </c>
      <c r="CV22" s="68"/>
      <c r="CW22" s="67" t="str">
        <f t="shared" si="38"/>
        <v/>
      </c>
    </row>
    <row r="23" spans="1:101" ht="25.5" customHeight="1" thickBot="1" x14ac:dyDescent="0.45">
      <c r="A23" s="63">
        <v>44367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44368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5" sqref="C25: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75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v>0</v>
      </c>
    </row>
    <row r="27" spans="1:20" x14ac:dyDescent="0.25">
      <c r="A27" s="73">
        <v>44367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2021-06-19T19:31:05Z</dcterms:modified>
</cp:coreProperties>
</file>