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Sydney Daily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5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4" i="2"/>
  <c r="D25" i="2"/>
  <c r="D26" i="2"/>
  <c r="D27" i="2"/>
  <c r="D28" i="2"/>
  <c r="D29" i="2"/>
  <c r="D30" i="2"/>
  <c r="D31" i="2"/>
  <c r="D32" i="2"/>
  <c r="D33" i="2"/>
  <c r="D34" i="2"/>
  <c r="D23" i="2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<sst xmlns="http://schemas.openxmlformats.org/spreadsheetml/2006/main" count="58" uniqueCount="27">
  <si>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</si>
  <si>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</si>
  <si>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</si>
  <si>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</si>
  <si>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</si>
  <si>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</si>
  <si>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</si>
  <si>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</si>
  <si>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</si>
  <si>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</si>
  <si>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</si>
  <si>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</si>
  <si>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</si>
  <si>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</si>
  <si>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</si>
  <si>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</si>
  <si>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 xml:space="preserve">Daily Consumption m³ </t>
  </si>
  <si>
    <t>Reading m³</t>
  </si>
  <si>
    <t>TOTAL GUESTS</t>
  </si>
  <si>
    <t>Natual Gas (m3)</t>
  </si>
  <si>
    <t>Natural Gas $/m3</t>
  </si>
  <si>
    <t xml:space="preserve"> Water  m3</t>
  </si>
  <si>
    <t xml:space="preserve">Electricity Meter 1 (Kwh) </t>
  </si>
  <si>
    <t xml:space="preserve">Electricity Meter 2 (KWh) </t>
  </si>
  <si>
    <t>Gas   m3</t>
  </si>
  <si>
    <t xml:space="preserve"> Reading m3</t>
  </si>
  <si>
    <t>Tianjin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</si>
</sst>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/>
    <xf numFmtId="1" fontId="4" fillId="2" borderId="0" xfId="0" applyNumberFormat="1" applyFont="1" applyFill="1" applyAlignment="1">
      <alignment horizontal="center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1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0" fillId="0" borderId="3" xfId="0" applyBorder="1" applyAlignment="1">
      <alignment horizontal="center"/>
    </xf>
    <xf numFmtId="0" fontId="5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2" fontId="6" fillId="0" borderId="5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5" fontId="6" fillId="3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Font="1"/>
    <xf numFmtId="15" fontId="9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M2" sqref="M2"/>
    </sheetView>
  </sheetViews>
  <sheetFormatPr defaultColWidth="11.5703125" defaultRowHeight="15" x14ac:dyDescent="0.25"/>
  <cols>
    <col min="1" max="1" width="18.140625" style="15" customWidth="1"/>
    <col min="2" max="3" width="11.5703125" style="7"/>
    <col min="4" max="4" width="13.42578125" style="7" customWidth="1"/>
    <col min="5" max="5" width="12.5703125" style="6" customWidth="1"/>
    <col min="6" max="6" width="12.5703125" style="27" customWidth="1"/>
    <col min="7" max="7" width="11.5703125" style="6"/>
    <col min="8" max="8" width="11.5703125" style="27"/>
    <col min="9" max="9" width="11.5703125" style="6"/>
    <col min="10" max="10" width="11.5703125" style="29"/>
    <col min="11" max="24" width="11.5703125" style="6"/>
  </cols>
  <sheetData>
    <row r="1" spans="1:24" s="15" customFormat="1" ht="60" x14ac:dyDescent="0.25">
      <c r="A1" s="22" t="s">
        <v>4</v>
      </c>
      <c r="B1" s="23" t="s">
        <v>5</v>
      </c>
      <c r="C1" s="23" t="s">
        <v>6</v>
      </c>
      <c r="D1" s="23" t="s">
        <v>7</v>
      </c>
      <c r="E1" s="24" t="s">
        <v>8</v>
      </c>
      <c r="F1" s="25" t="s">
        <v>9</v>
      </c>
      <c r="G1" s="24" t="s">
        <v>19</v>
      </c>
      <c r="H1" s="25" t="s">
        <v>20</v>
      </c>
      <c r="I1" s="24" t="s">
        <v>10</v>
      </c>
      <c r="J1" s="28" t="s">
        <v>11</v>
      </c>
      <c r="K1" s="24" t="s">
        <v>12</v>
      </c>
      <c r="L1" s="24" t="s">
        <v>13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25">
      <c r="A2" s="15" t="s">
        <v>26</v>
      </c>
      <c r="B2" s="7">
        <v>1</v>
      </c>
      <c r="C2" s="7">
        <v>11</v>
      </c>
      <c r="D2" s="7">
        <v>2020</v>
      </c>
      <c r="E2" s="18">
        <f>704550/30</f>
        <v>23485</v>
      </c>
      <c r="F2" s="26">
        <v>0.68</v>
      </c>
      <c r="G2" s="18">
        <f>84718/30</f>
        <v>2823.9333333333334</v>
      </c>
      <c r="H2" s="26">
        <v>2.52</v>
      </c>
      <c r="I2" s="18">
        <f>5508/30</f>
        <v>183.6</v>
      </c>
      <c r="J2" s="27">
        <v>8.4700000000000006</v>
      </c>
      <c r="K2" s="18">
        <f>2955/30</f>
        <v>98.5</v>
      </c>
      <c r="L2" s="18">
        <f>'Sydney Daily'!L4</f>
        <v>0</v>
      </c>
    </row>
    <row r="3" spans="1:24" x14ac:dyDescent="0.25">
      <c r="A3" s="15" t="s">
        <v>26</v>
      </c>
      <c r="B3" s="7">
        <f>B2+1</f>
        <v>2</v>
      </c>
      <c r="C3" s="7">
        <v>11</v>
      </c>
      <c r="D3" s="7">
        <v>2020</v>
      </c>
      <c r="E3" s="18">
        <f t="shared" ref="E3:E31" si="0">704550/30</f>
        <v>23485</v>
      </c>
      <c r="F3" s="26">
        <v>0.68</v>
      </c>
      <c r="G3" s="18">
        <f t="shared" ref="G3:G31" si="1">84718/30</f>
        <v>2823.9333333333334</v>
      </c>
      <c r="H3" s="26">
        <v>2.52</v>
      </c>
      <c r="I3" s="18">
        <f t="shared" ref="I3:I31" si="2">5508/30</f>
        <v>183.6</v>
      </c>
      <c r="J3" s="27">
        <v>8.4700000000000006</v>
      </c>
      <c r="K3" s="18">
        <f t="shared" ref="K3:K31" si="3">2955/30</f>
        <v>98.5</v>
      </c>
      <c r="L3" s="18">
        <f>'Sydney Daily'!L5</f>
        <v>0</v>
      </c>
    </row>
    <row r="4" spans="1:24" x14ac:dyDescent="0.25">
      <c r="A4" s="15" t="s">
        <v>26</v>
      </c>
      <c r="B4" s="7">
        <f t="shared" ref="B4:B31" si="4">B3+1</f>
        <v>3</v>
      </c>
      <c r="C4" s="7">
        <v>11</v>
      </c>
      <c r="D4" s="7">
        <v>2020</v>
      </c>
      <c r="E4" s="18">
        <f t="shared" si="0"/>
        <v>23485</v>
      </c>
      <c r="F4" s="26">
        <v>0.68</v>
      </c>
      <c r="G4" s="18">
        <f t="shared" si="1"/>
        <v>2823.9333333333334</v>
      </c>
      <c r="H4" s="26">
        <v>2.52</v>
      </c>
      <c r="I4" s="18">
        <f t="shared" si="2"/>
        <v>183.6</v>
      </c>
      <c r="J4" s="27">
        <v>8.4700000000000006</v>
      </c>
      <c r="K4" s="18">
        <f t="shared" si="3"/>
        <v>98.5</v>
      </c>
      <c r="L4" s="18">
        <f>'Sydney Daily'!L6</f>
        <v>0</v>
      </c>
    </row>
    <row r="5" spans="1:24" x14ac:dyDescent="0.25">
      <c r="A5" s="15" t="s">
        <v>26</v>
      </c>
      <c r="B5" s="7">
        <f t="shared" si="4"/>
        <v>4</v>
      </c>
      <c r="C5" s="7">
        <v>11</v>
      </c>
      <c r="D5" s="7">
        <v>2020</v>
      </c>
      <c r="E5" s="18">
        <f t="shared" si="0"/>
        <v>23485</v>
      </c>
      <c r="F5" s="26">
        <v>0.68</v>
      </c>
      <c r="G5" s="18">
        <f t="shared" si="1"/>
        <v>2823.9333333333334</v>
      </c>
      <c r="H5" s="26">
        <v>2.52</v>
      </c>
      <c r="I5" s="18">
        <f t="shared" si="2"/>
        <v>183.6</v>
      </c>
      <c r="J5" s="27">
        <v>8.4700000000000006</v>
      </c>
      <c r="K5" s="18">
        <f t="shared" si="3"/>
        <v>98.5</v>
      </c>
      <c r="L5" s="18">
        <f>'Sydney Daily'!L7</f>
        <v>0</v>
      </c>
    </row>
    <row r="6" spans="1:24" x14ac:dyDescent="0.25">
      <c r="A6" s="15" t="s">
        <v>26</v>
      </c>
      <c r="B6" s="7">
        <f t="shared" si="4"/>
        <v>5</v>
      </c>
      <c r="C6" s="7">
        <v>11</v>
      </c>
      <c r="D6" s="7">
        <v>2020</v>
      </c>
      <c r="E6" s="18">
        <f t="shared" si="0"/>
        <v>23485</v>
      </c>
      <c r="F6" s="26">
        <v>0.68</v>
      </c>
      <c r="G6" s="18">
        <f t="shared" si="1"/>
        <v>2823.9333333333334</v>
      </c>
      <c r="H6" s="26">
        <v>2.52</v>
      </c>
      <c r="I6" s="18">
        <f t="shared" si="2"/>
        <v>183.6</v>
      </c>
      <c r="J6" s="27">
        <v>8.4700000000000006</v>
      </c>
      <c r="K6" s="18">
        <f t="shared" si="3"/>
        <v>98.5</v>
      </c>
      <c r="L6" s="18">
        <f>'Sydney Daily'!L8</f>
        <v>0</v>
      </c>
    </row>
    <row r="7" spans="1:24" x14ac:dyDescent="0.25">
      <c r="A7" s="15" t="s">
        <v>26</v>
      </c>
      <c r="B7" s="7">
        <f t="shared" si="4"/>
        <v>6</v>
      </c>
      <c r="C7" s="7">
        <v>11</v>
      </c>
      <c r="D7" s="7">
        <v>2020</v>
      </c>
      <c r="E7" s="18">
        <f t="shared" si="0"/>
        <v>23485</v>
      </c>
      <c r="F7" s="26">
        <v>0.68</v>
      </c>
      <c r="G7" s="18">
        <f t="shared" si="1"/>
        <v>2823.9333333333334</v>
      </c>
      <c r="H7" s="26">
        <v>2.52</v>
      </c>
      <c r="I7" s="18">
        <f t="shared" si="2"/>
        <v>183.6</v>
      </c>
      <c r="J7" s="27">
        <v>8.4700000000000006</v>
      </c>
      <c r="K7" s="18">
        <f t="shared" si="3"/>
        <v>98.5</v>
      </c>
      <c r="L7" s="18">
        <f>'Sydney Daily'!L9</f>
        <v>0</v>
      </c>
    </row>
    <row r="8" spans="1:24" x14ac:dyDescent="0.25">
      <c r="A8" s="15" t="s">
        <v>26</v>
      </c>
      <c r="B8" s="7">
        <f t="shared" si="4"/>
        <v>7</v>
      </c>
      <c r="C8" s="7">
        <v>11</v>
      </c>
      <c r="D8" s="7">
        <v>2020</v>
      </c>
      <c r="E8" s="18">
        <f t="shared" si="0"/>
        <v>23485</v>
      </c>
      <c r="F8" s="26">
        <v>0.68</v>
      </c>
      <c r="G8" s="18">
        <f t="shared" si="1"/>
        <v>2823.9333333333334</v>
      </c>
      <c r="H8" s="26">
        <v>2.52</v>
      </c>
      <c r="I8" s="18">
        <f t="shared" si="2"/>
        <v>183.6</v>
      </c>
      <c r="J8" s="27">
        <v>8.4700000000000006</v>
      </c>
      <c r="K8" s="18">
        <f t="shared" si="3"/>
        <v>98.5</v>
      </c>
      <c r="L8" s="18">
        <f>'Sydney Daily'!L10</f>
        <v>0</v>
      </c>
    </row>
    <row r="9" spans="1:24" x14ac:dyDescent="0.25">
      <c r="A9" s="15" t="s">
        <v>26</v>
      </c>
      <c r="B9" s="7">
        <f t="shared" si="4"/>
        <v>8</v>
      </c>
      <c r="C9" s="7">
        <v>11</v>
      </c>
      <c r="D9" s="7">
        <v>2020</v>
      </c>
      <c r="E9" s="18">
        <f t="shared" si="0"/>
        <v>23485</v>
      </c>
      <c r="F9" s="26">
        <v>0.68</v>
      </c>
      <c r="G9" s="18">
        <f t="shared" si="1"/>
        <v>2823.9333333333334</v>
      </c>
      <c r="H9" s="26">
        <v>2.52</v>
      </c>
      <c r="I9" s="18">
        <f t="shared" si="2"/>
        <v>183.6</v>
      </c>
      <c r="J9" s="27">
        <v>8.4700000000000006</v>
      </c>
      <c r="K9" s="18">
        <f t="shared" si="3"/>
        <v>98.5</v>
      </c>
      <c r="L9" s="18">
        <f>'Sydney Daily'!L11</f>
        <v>0</v>
      </c>
    </row>
    <row r="10" spans="1:24" x14ac:dyDescent="0.25">
      <c r="A10" s="15" t="s">
        <v>26</v>
      </c>
      <c r="B10" s="7">
        <f t="shared" si="4"/>
        <v>9</v>
      </c>
      <c r="C10" s="7">
        <v>11</v>
      </c>
      <c r="D10" s="7">
        <v>2020</v>
      </c>
      <c r="E10" s="18">
        <f t="shared" si="0"/>
        <v>23485</v>
      </c>
      <c r="F10" s="26">
        <v>0.68</v>
      </c>
      <c r="G10" s="18">
        <f t="shared" si="1"/>
        <v>2823.9333333333334</v>
      </c>
      <c r="H10" s="26">
        <v>2.52</v>
      </c>
      <c r="I10" s="18">
        <f t="shared" si="2"/>
        <v>183.6</v>
      </c>
      <c r="J10" s="27">
        <v>8.4700000000000006</v>
      </c>
      <c r="K10" s="18">
        <f t="shared" si="3"/>
        <v>98.5</v>
      </c>
      <c r="L10" s="18">
        <f>'Sydney Daily'!L12</f>
        <v>0</v>
      </c>
    </row>
    <row r="11" spans="1:24" x14ac:dyDescent="0.25">
      <c r="A11" s="15" t="s">
        <v>26</v>
      </c>
      <c r="B11" s="7">
        <f t="shared" si="4"/>
        <v>10</v>
      </c>
      <c r="C11" s="7">
        <v>11</v>
      </c>
      <c r="D11" s="7">
        <v>2020</v>
      </c>
      <c r="E11" s="18">
        <f t="shared" si="0"/>
        <v>23485</v>
      </c>
      <c r="F11" s="26">
        <v>0.68</v>
      </c>
      <c r="G11" s="18">
        <f t="shared" si="1"/>
        <v>2823.9333333333334</v>
      </c>
      <c r="H11" s="26">
        <v>2.52</v>
      </c>
      <c r="I11" s="18">
        <f t="shared" si="2"/>
        <v>183.6</v>
      </c>
      <c r="J11" s="27">
        <v>8.4700000000000006</v>
      </c>
      <c r="K11" s="18">
        <f t="shared" si="3"/>
        <v>98.5</v>
      </c>
      <c r="L11" s="18">
        <f>'Sydney Daily'!L13</f>
        <v>0</v>
      </c>
    </row>
    <row r="12" spans="1:24" x14ac:dyDescent="0.25">
      <c r="A12" s="15" t="s">
        <v>26</v>
      </c>
      <c r="B12" s="7">
        <f t="shared" si="4"/>
        <v>11</v>
      </c>
      <c r="C12" s="7">
        <v>11</v>
      </c>
      <c r="D12" s="7">
        <v>2020</v>
      </c>
      <c r="E12" s="18">
        <f t="shared" si="0"/>
        <v>23485</v>
      </c>
      <c r="F12" s="26">
        <v>0.68</v>
      </c>
      <c r="G12" s="18">
        <f t="shared" si="1"/>
        <v>2823.9333333333334</v>
      </c>
      <c r="H12" s="26">
        <v>2.52</v>
      </c>
      <c r="I12" s="18">
        <f t="shared" si="2"/>
        <v>183.6</v>
      </c>
      <c r="J12" s="27">
        <v>8.4700000000000006</v>
      </c>
      <c r="K12" s="18">
        <f t="shared" si="3"/>
        <v>98.5</v>
      </c>
      <c r="L12" s="18">
        <f>'Sydney Daily'!L14</f>
        <v>0</v>
      </c>
    </row>
    <row r="13" spans="1:24" x14ac:dyDescent="0.25">
      <c r="A13" s="15" t="s">
        <v>26</v>
      </c>
      <c r="B13" s="7">
        <f t="shared" si="4"/>
        <v>12</v>
      </c>
      <c r="C13" s="7">
        <v>11</v>
      </c>
      <c r="D13" s="7">
        <v>2020</v>
      </c>
      <c r="E13" s="18">
        <f t="shared" si="0"/>
        <v>23485</v>
      </c>
      <c r="F13" s="26">
        <v>0.68</v>
      </c>
      <c r="G13" s="18">
        <f t="shared" si="1"/>
        <v>2823.9333333333334</v>
      </c>
      <c r="H13" s="26">
        <v>2.52</v>
      </c>
      <c r="I13" s="18">
        <f t="shared" si="2"/>
        <v>183.6</v>
      </c>
      <c r="J13" s="27">
        <v>8.4700000000000006</v>
      </c>
      <c r="K13" s="18">
        <f t="shared" si="3"/>
        <v>98.5</v>
      </c>
      <c r="L13" s="18">
        <f>'Sydney Daily'!L15</f>
        <v>0</v>
      </c>
    </row>
    <row r="14" spans="1:24" x14ac:dyDescent="0.25">
      <c r="A14" s="15" t="s">
        <v>26</v>
      </c>
      <c r="B14" s="7">
        <f t="shared" si="4"/>
        <v>13</v>
      </c>
      <c r="C14" s="7">
        <v>11</v>
      </c>
      <c r="D14" s="7">
        <v>2020</v>
      </c>
      <c r="E14" s="18">
        <f t="shared" si="0"/>
        <v>23485</v>
      </c>
      <c r="F14" s="26">
        <v>0.68</v>
      </c>
      <c r="G14" s="18">
        <f t="shared" si="1"/>
        <v>2823.9333333333334</v>
      </c>
      <c r="H14" s="26">
        <v>2.52</v>
      </c>
      <c r="I14" s="18">
        <f t="shared" si="2"/>
        <v>183.6</v>
      </c>
      <c r="J14" s="27">
        <v>8.4700000000000006</v>
      </c>
      <c r="K14" s="18">
        <f t="shared" si="3"/>
        <v>98.5</v>
      </c>
      <c r="L14" s="18">
        <f>'Sydney Daily'!L16</f>
        <v>0</v>
      </c>
    </row>
    <row r="15" spans="1:24" x14ac:dyDescent="0.25">
      <c r="A15" s="15" t="s">
        <v>26</v>
      </c>
      <c r="B15" s="7">
        <f t="shared" si="4"/>
        <v>14</v>
      </c>
      <c r="C15" s="7">
        <v>11</v>
      </c>
      <c r="D15" s="7">
        <v>2020</v>
      </c>
      <c r="E15" s="18">
        <f t="shared" si="0"/>
        <v>23485</v>
      </c>
      <c r="F15" s="26">
        <v>0.68</v>
      </c>
      <c r="G15" s="18">
        <f t="shared" si="1"/>
        <v>2823.9333333333334</v>
      </c>
      <c r="H15" s="26">
        <v>2.52</v>
      </c>
      <c r="I15" s="18">
        <f t="shared" si="2"/>
        <v>183.6</v>
      </c>
      <c r="J15" s="27">
        <v>8.4700000000000006</v>
      </c>
      <c r="K15" s="18">
        <f t="shared" si="3"/>
        <v>98.5</v>
      </c>
      <c r="L15" s="18">
        <f>'Sydney Daily'!L17</f>
        <v>0</v>
      </c>
    </row>
    <row r="16" spans="1:24" x14ac:dyDescent="0.25">
      <c r="A16" s="15" t="s">
        <v>26</v>
      </c>
      <c r="B16" s="7">
        <f t="shared" si="4"/>
        <v>15</v>
      </c>
      <c r="C16" s="7">
        <v>11</v>
      </c>
      <c r="D16" s="7">
        <v>2020</v>
      </c>
      <c r="E16" s="18">
        <f t="shared" si="0"/>
        <v>23485</v>
      </c>
      <c r="F16" s="26">
        <v>0.68</v>
      </c>
      <c r="G16" s="18">
        <f t="shared" si="1"/>
        <v>2823.9333333333334</v>
      </c>
      <c r="H16" s="26">
        <v>2.52</v>
      </c>
      <c r="I16" s="18">
        <f t="shared" si="2"/>
        <v>183.6</v>
      </c>
      <c r="J16" s="27">
        <v>8.4700000000000006</v>
      </c>
      <c r="K16" s="18">
        <f t="shared" si="3"/>
        <v>98.5</v>
      </c>
      <c r="L16" s="18">
        <f>'Sydney Daily'!L18</f>
        <v>0</v>
      </c>
    </row>
    <row r="17" spans="1:12" x14ac:dyDescent="0.25">
      <c r="A17" s="15" t="s">
        <v>26</v>
      </c>
      <c r="B17" s="7">
        <f t="shared" si="4"/>
        <v>16</v>
      </c>
      <c r="C17" s="7">
        <v>11</v>
      </c>
      <c r="D17" s="7">
        <v>2020</v>
      </c>
      <c r="E17" s="18">
        <f t="shared" si="0"/>
        <v>23485</v>
      </c>
      <c r="F17" s="26">
        <v>0.68</v>
      </c>
      <c r="G17" s="18">
        <f t="shared" si="1"/>
        <v>2823.9333333333334</v>
      </c>
      <c r="H17" s="26">
        <v>2.52</v>
      </c>
      <c r="I17" s="18">
        <f t="shared" si="2"/>
        <v>183.6</v>
      </c>
      <c r="J17" s="27">
        <v>8.4700000000000006</v>
      </c>
      <c r="K17" s="18">
        <f t="shared" si="3"/>
        <v>98.5</v>
      </c>
      <c r="L17" s="18">
        <f>'Sydney Daily'!L19</f>
        <v>0</v>
      </c>
    </row>
    <row r="18" spans="1:12" x14ac:dyDescent="0.25">
      <c r="A18" s="15" t="s">
        <v>26</v>
      </c>
      <c r="B18" s="7">
        <f t="shared" si="4"/>
        <v>17</v>
      </c>
      <c r="C18" s="7">
        <v>11</v>
      </c>
      <c r="D18" s="7">
        <v>2020</v>
      </c>
      <c r="E18" s="18">
        <f t="shared" si="0"/>
        <v>23485</v>
      </c>
      <c r="F18" s="26">
        <v>0.68</v>
      </c>
      <c r="G18" s="18">
        <f t="shared" si="1"/>
        <v>2823.9333333333334</v>
      </c>
      <c r="H18" s="26">
        <v>2.52</v>
      </c>
      <c r="I18" s="18">
        <f t="shared" si="2"/>
        <v>183.6</v>
      </c>
      <c r="J18" s="27">
        <v>8.4700000000000006</v>
      </c>
      <c r="K18" s="18">
        <f t="shared" si="3"/>
        <v>98.5</v>
      </c>
      <c r="L18" s="18">
        <f>'Sydney Daily'!L20</f>
        <v>0</v>
      </c>
    </row>
    <row r="19" spans="1:12" x14ac:dyDescent="0.25">
      <c r="A19" s="15" t="s">
        <v>26</v>
      </c>
      <c r="B19" s="7">
        <f t="shared" si="4"/>
        <v>18</v>
      </c>
      <c r="C19" s="7">
        <v>11</v>
      </c>
      <c r="D19" s="7">
        <v>2020</v>
      </c>
      <c r="E19" s="18">
        <f t="shared" si="0"/>
        <v>23485</v>
      </c>
      <c r="F19" s="26">
        <v>0.68</v>
      </c>
      <c r="G19" s="18">
        <f t="shared" si="1"/>
        <v>2823.9333333333334</v>
      </c>
      <c r="H19" s="26">
        <v>2.52</v>
      </c>
      <c r="I19" s="18">
        <f t="shared" si="2"/>
        <v>183.6</v>
      </c>
      <c r="J19" s="27">
        <v>8.4700000000000006</v>
      </c>
      <c r="K19" s="18">
        <f t="shared" si="3"/>
        <v>98.5</v>
      </c>
      <c r="L19" s="18">
        <f>'Sydney Daily'!L21</f>
        <v>0</v>
      </c>
    </row>
    <row r="20" spans="1:12" x14ac:dyDescent="0.25">
      <c r="A20" s="15" t="s">
        <v>26</v>
      </c>
      <c r="B20" s="7">
        <f t="shared" si="4"/>
        <v>19</v>
      </c>
      <c r="C20" s="7">
        <v>11</v>
      </c>
      <c r="D20" s="7">
        <v>2020</v>
      </c>
      <c r="E20" s="18">
        <f t="shared" si="0"/>
        <v>23485</v>
      </c>
      <c r="F20" s="26">
        <v>0.68</v>
      </c>
      <c r="G20" s="18">
        <f t="shared" si="1"/>
        <v>2823.9333333333334</v>
      </c>
      <c r="H20" s="26">
        <v>2.52</v>
      </c>
      <c r="I20" s="18">
        <f t="shared" si="2"/>
        <v>183.6</v>
      </c>
      <c r="J20" s="27">
        <v>8.4700000000000006</v>
      </c>
      <c r="K20" s="18">
        <f t="shared" si="3"/>
        <v>98.5</v>
      </c>
      <c r="L20" s="18">
        <f>'Sydney Daily'!L22</f>
        <v>0</v>
      </c>
    </row>
    <row r="21" spans="1:12" x14ac:dyDescent="0.25">
      <c r="A21" s="15" t="s">
        <v>26</v>
      </c>
      <c r="B21" s="7">
        <f t="shared" si="4"/>
        <v>20</v>
      </c>
      <c r="C21" s="7">
        <v>11</v>
      </c>
      <c r="D21" s="7">
        <v>2020</v>
      </c>
      <c r="E21" s="18">
        <f t="shared" si="0"/>
        <v>23485</v>
      </c>
      <c r="F21" s="26">
        <v>0.68</v>
      </c>
      <c r="G21" s="18">
        <f t="shared" si="1"/>
        <v>2823.9333333333334</v>
      </c>
      <c r="H21" s="26">
        <v>2.52</v>
      </c>
      <c r="I21" s="18">
        <f t="shared" si="2"/>
        <v>183.6</v>
      </c>
      <c r="J21" s="27">
        <v>8.4700000000000006</v>
      </c>
      <c r="K21" s="18">
        <f t="shared" si="3"/>
        <v>98.5</v>
      </c>
      <c r="L21" s="18">
        <f>'Sydney Daily'!L23</f>
        <v>0</v>
      </c>
    </row>
    <row r="22" spans="1:12" x14ac:dyDescent="0.25">
      <c r="A22" s="15" t="s">
        <v>26</v>
      </c>
      <c r="B22" s="7">
        <f t="shared" si="4"/>
        <v>21</v>
      </c>
      <c r="C22" s="7">
        <v>11</v>
      </c>
      <c r="D22" s="7">
        <v>2020</v>
      </c>
      <c r="E22" s="18">
        <f t="shared" si="0"/>
        <v>23485</v>
      </c>
      <c r="F22" s="26">
        <v>0.68</v>
      </c>
      <c r="G22" s="18">
        <f t="shared" si="1"/>
        <v>2823.9333333333334</v>
      </c>
      <c r="H22" s="26">
        <v>2.52</v>
      </c>
      <c r="I22" s="18">
        <f t="shared" si="2"/>
        <v>183.6</v>
      </c>
      <c r="J22" s="27">
        <v>8.4700000000000006</v>
      </c>
      <c r="K22" s="18">
        <f t="shared" si="3"/>
        <v>98.5</v>
      </c>
      <c r="L22" s="18">
        <f>'Sydney Daily'!L24</f>
        <v>0</v>
      </c>
    </row>
    <row r="23" spans="1:12" x14ac:dyDescent="0.25">
      <c r="A23" s="15" t="s">
        <v>26</v>
      </c>
      <c r="B23" s="7">
        <f t="shared" si="4"/>
        <v>22</v>
      </c>
      <c r="C23" s="7">
        <v>11</v>
      </c>
      <c r="D23" s="7">
        <v>2020</v>
      </c>
      <c r="E23" s="18">
        <f t="shared" si="0"/>
        <v>23485</v>
      </c>
      <c r="F23" s="26">
        <v>0.68</v>
      </c>
      <c r="G23" s="18">
        <f t="shared" si="1"/>
        <v>2823.9333333333334</v>
      </c>
      <c r="H23" s="26">
        <v>2.52</v>
      </c>
      <c r="I23" s="18">
        <f t="shared" si="2"/>
        <v>183.6</v>
      </c>
      <c r="J23" s="27">
        <v>8.4700000000000006</v>
      </c>
      <c r="K23" s="18">
        <f t="shared" si="3"/>
        <v>98.5</v>
      </c>
      <c r="L23" s="18">
        <f>'Sydney Daily'!L25</f>
        <v>0</v>
      </c>
    </row>
    <row r="24" spans="1:12" x14ac:dyDescent="0.25">
      <c r="A24" s="15" t="s">
        <v>26</v>
      </c>
      <c r="B24" s="7">
        <f t="shared" si="4"/>
        <v>23</v>
      </c>
      <c r="C24" s="7">
        <v>11</v>
      </c>
      <c r="D24" s="7">
        <v>2020</v>
      </c>
      <c r="E24" s="18">
        <f t="shared" si="0"/>
        <v>23485</v>
      </c>
      <c r="F24" s="26">
        <v>0.68</v>
      </c>
      <c r="G24" s="18">
        <f t="shared" si="1"/>
        <v>2823.9333333333334</v>
      </c>
      <c r="H24" s="26">
        <v>2.52</v>
      </c>
      <c r="I24" s="18">
        <f t="shared" si="2"/>
        <v>183.6</v>
      </c>
      <c r="J24" s="27">
        <v>8.4700000000000006</v>
      </c>
      <c r="K24" s="18">
        <f t="shared" si="3"/>
        <v>98.5</v>
      </c>
      <c r="L24" s="18">
        <f>'Sydney Daily'!L26</f>
        <v>0</v>
      </c>
    </row>
    <row r="25" spans="1:12" x14ac:dyDescent="0.25">
      <c r="A25" s="15" t="s">
        <v>26</v>
      </c>
      <c r="B25" s="7">
        <f t="shared" si="4"/>
        <v>24</v>
      </c>
      <c r="C25" s="7">
        <v>11</v>
      </c>
      <c r="D25" s="7">
        <v>2020</v>
      </c>
      <c r="E25" s="18">
        <f t="shared" si="0"/>
        <v>23485</v>
      </c>
      <c r="F25" s="26">
        <v>0.68</v>
      </c>
      <c r="G25" s="18">
        <f t="shared" si="1"/>
        <v>2823.9333333333334</v>
      </c>
      <c r="H25" s="26">
        <v>2.52</v>
      </c>
      <c r="I25" s="18">
        <f t="shared" si="2"/>
        <v>183.6</v>
      </c>
      <c r="J25" s="27">
        <v>8.4700000000000006</v>
      </c>
      <c r="K25" s="18">
        <f t="shared" si="3"/>
        <v>98.5</v>
      </c>
      <c r="L25" s="18">
        <f>'Sydney Daily'!L27</f>
        <v>0</v>
      </c>
    </row>
    <row r="26" spans="1:12" x14ac:dyDescent="0.25">
      <c r="A26" s="15" t="s">
        <v>26</v>
      </c>
      <c r="B26" s="7">
        <f>B25+1</f>
        <v>25</v>
      </c>
      <c r="C26" s="7">
        <v>11</v>
      </c>
      <c r="D26" s="7">
        <v>2020</v>
      </c>
      <c r="E26" s="18">
        <f t="shared" si="0"/>
        <v>23485</v>
      </c>
      <c r="F26" s="26">
        <v>0.68</v>
      </c>
      <c r="G26" s="18">
        <f t="shared" si="1"/>
        <v>2823.9333333333334</v>
      </c>
      <c r="H26" s="26">
        <v>2.52</v>
      </c>
      <c r="I26" s="18">
        <f t="shared" si="2"/>
        <v>183.6</v>
      </c>
      <c r="J26" s="27">
        <v>8.4700000000000006</v>
      </c>
      <c r="K26" s="18">
        <f t="shared" si="3"/>
        <v>98.5</v>
      </c>
      <c r="L26" s="18">
        <f>'Sydney Daily'!L28</f>
        <v>0</v>
      </c>
    </row>
    <row r="27" spans="1:12" x14ac:dyDescent="0.25">
      <c r="A27" s="15" t="s">
        <v>26</v>
      </c>
      <c r="B27" s="7">
        <f t="shared" si="4"/>
        <v>26</v>
      </c>
      <c r="C27" s="7">
        <v>11</v>
      </c>
      <c r="D27" s="7">
        <v>2020</v>
      </c>
      <c r="E27" s="18">
        <f t="shared" si="0"/>
        <v>23485</v>
      </c>
      <c r="F27" s="26">
        <v>0.68</v>
      </c>
      <c r="G27" s="18">
        <f t="shared" si="1"/>
        <v>2823.9333333333334</v>
      </c>
      <c r="H27" s="26">
        <v>2.52</v>
      </c>
      <c r="I27" s="18">
        <f t="shared" si="2"/>
        <v>183.6</v>
      </c>
      <c r="J27" s="27">
        <v>8.4700000000000006</v>
      </c>
      <c r="K27" s="18">
        <f t="shared" si="3"/>
        <v>98.5</v>
      </c>
      <c r="L27" s="18">
        <f>'Sydney Daily'!L29</f>
        <v>0</v>
      </c>
    </row>
    <row r="28" spans="1:12" x14ac:dyDescent="0.25">
      <c r="A28" s="15" t="s">
        <v>26</v>
      </c>
      <c r="B28" s="7">
        <f t="shared" si="4"/>
        <v>27</v>
      </c>
      <c r="C28" s="7">
        <v>11</v>
      </c>
      <c r="D28" s="7">
        <v>2020</v>
      </c>
      <c r="E28" s="18">
        <f t="shared" si="0"/>
        <v>23485</v>
      </c>
      <c r="F28" s="26">
        <v>0.68</v>
      </c>
      <c r="G28" s="18">
        <f t="shared" si="1"/>
        <v>2823.9333333333334</v>
      </c>
      <c r="H28" s="26">
        <v>2.52</v>
      </c>
      <c r="I28" s="18">
        <f t="shared" si="2"/>
        <v>183.6</v>
      </c>
      <c r="J28" s="27">
        <v>8.4700000000000006</v>
      </c>
      <c r="K28" s="18">
        <f t="shared" si="3"/>
        <v>98.5</v>
      </c>
      <c r="L28" s="18">
        <f>'Sydney Daily'!L30</f>
        <v>0</v>
      </c>
    </row>
    <row r="29" spans="1:12" x14ac:dyDescent="0.25">
      <c r="A29" s="15" t="s">
        <v>26</v>
      </c>
      <c r="B29" s="7">
        <f t="shared" si="4"/>
        <v>28</v>
      </c>
      <c r="C29" s="7">
        <v>11</v>
      </c>
      <c r="D29" s="7">
        <v>2020</v>
      </c>
      <c r="E29" s="18">
        <f t="shared" si="0"/>
        <v>23485</v>
      </c>
      <c r="F29" s="26">
        <v>0.68</v>
      </c>
      <c r="G29" s="18">
        <f t="shared" si="1"/>
        <v>2823.9333333333334</v>
      </c>
      <c r="H29" s="26">
        <v>2.52</v>
      </c>
      <c r="I29" s="18">
        <f t="shared" si="2"/>
        <v>183.6</v>
      </c>
      <c r="J29" s="27">
        <v>8.4700000000000006</v>
      </c>
      <c r="K29" s="18">
        <f t="shared" si="3"/>
        <v>98.5</v>
      </c>
      <c r="L29" s="18">
        <f>'Sydney Daily'!L31</f>
        <v>0</v>
      </c>
    </row>
    <row r="30" spans="1:12" x14ac:dyDescent="0.25">
      <c r="A30" s="15" t="s">
        <v>26</v>
      </c>
      <c r="B30" s="7">
        <f t="shared" si="4"/>
        <v>29</v>
      </c>
      <c r="C30" s="7">
        <v>11</v>
      </c>
      <c r="D30" s="7">
        <v>2020</v>
      </c>
      <c r="E30" s="18">
        <f t="shared" si="0"/>
        <v>23485</v>
      </c>
      <c r="F30" s="26">
        <v>0.68</v>
      </c>
      <c r="G30" s="18">
        <f t="shared" si="1"/>
        <v>2823.9333333333334</v>
      </c>
      <c r="H30" s="26">
        <v>2.52</v>
      </c>
      <c r="I30" s="18">
        <f t="shared" si="2"/>
        <v>183.6</v>
      </c>
      <c r="J30" s="27">
        <v>8.4700000000000006</v>
      </c>
      <c r="K30" s="18">
        <f t="shared" si="3"/>
        <v>98.5</v>
      </c>
      <c r="L30" s="18">
        <f>'Sydney Daily'!L32</f>
        <v>0</v>
      </c>
    </row>
    <row r="31" spans="1:12" x14ac:dyDescent="0.25">
      <c r="A31" s="15" t="s">
        <v>26</v>
      </c>
      <c r="B31" s="7">
        <f t="shared" si="4"/>
        <v>30</v>
      </c>
      <c r="C31" s="7">
        <v>11</v>
      </c>
      <c r="D31" s="7">
        <v>2020</v>
      </c>
      <c r="E31" s="18">
        <f t="shared" si="0"/>
        <v>23485</v>
      </c>
      <c r="F31" s="26">
        <v>0.68</v>
      </c>
      <c r="G31" s="18">
        <f t="shared" si="1"/>
        <v>2823.9333333333334</v>
      </c>
      <c r="H31" s="26">
        <v>2.52</v>
      </c>
      <c r="I31" s="18">
        <f t="shared" si="2"/>
        <v>183.6</v>
      </c>
      <c r="J31" s="27">
        <v>8.4700000000000006</v>
      </c>
      <c r="K31" s="18">
        <f t="shared" si="3"/>
        <v>98.5</v>
      </c>
      <c r="L31" s="18">
        <f>'Sydney Daily'!L33</f>
        <v>0</v>
      </c>
    </row>
    <row r="32" spans="1:12" x14ac:dyDescent="0.25">
      <c r="E32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4"/>
  <sheetViews>
    <sheetView zoomScale="85" zoomScaleNormal="85" workbookViewId="0">
      <pane xSplit="1" topLeftCell="B1" activePane="topRight" state="frozen"/>
      <selection pane="topRight" activeCell="D5" sqref="D5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1" customWidth="1"/>
    <col min="5" max="5" width="13.85546875" customWidth="1"/>
    <col min="6" max="6" width="13.85546875" style="14" customWidth="1"/>
    <col min="7" max="7" width="14.85546875" customWidth="1"/>
    <col min="8" max="8" width="14.85546875" style="6" customWidth="1"/>
    <col min="9" max="9" width="8.85546875" customWidth="1"/>
    <col min="10" max="10" width="12.5703125" customWidth="1"/>
    <col min="11" max="12" width="13" style="18" customWidth="1"/>
  </cols>
  <sheetData>
    <row r="1" spans="1:12" ht="10.5" customHeight="1" thickBot="1" x14ac:dyDescent="0.45">
      <c r="A1" s="1"/>
      <c r="B1" s="42"/>
      <c r="C1" s="1"/>
      <c r="D1" s="9"/>
      <c r="E1" s="1"/>
      <c r="F1" s="12"/>
      <c r="G1" s="1"/>
      <c r="H1" s="1"/>
      <c r="I1" s="37"/>
      <c r="J1" s="37"/>
      <c r="K1" s="19"/>
      <c r="L1" s="19"/>
    </row>
    <row r="2" spans="1:12" ht="35.25" customHeight="1" thickBot="1" x14ac:dyDescent="0.3">
      <c r="A2" s="17" t="s">
        <v>15</v>
      </c>
      <c r="B2" s="42"/>
      <c r="C2" s="38" t="s">
        <v>23</v>
      </c>
      <c r="D2" s="39"/>
      <c r="E2" s="43" t="s">
        <v>22</v>
      </c>
      <c r="F2" s="43"/>
      <c r="G2" s="43" t="s">
        <v>24</v>
      </c>
      <c r="H2" s="43"/>
      <c r="I2" s="40" t="s">
        <v>21</v>
      </c>
      <c r="J2" s="41"/>
      <c r="K2" s="8"/>
      <c r="L2" s="8"/>
    </row>
    <row r="3" spans="1:12" ht="44.25" customHeight="1" x14ac:dyDescent="0.25">
      <c r="A3" s="2" t="s">
        <v>0</v>
      </c>
      <c r="B3" s="42"/>
      <c r="C3" s="3" t="s">
        <v>1</v>
      </c>
      <c r="D3" s="10" t="s">
        <v>2</v>
      </c>
      <c r="E3" s="4" t="s">
        <v>3</v>
      </c>
      <c r="F3" s="13" t="s">
        <v>2</v>
      </c>
      <c r="G3" s="4" t="s">
        <v>25</v>
      </c>
      <c r="H3" s="4" t="s">
        <v>2</v>
      </c>
      <c r="I3" s="4" t="s">
        <v>17</v>
      </c>
      <c r="J3" s="5" t="s">
        <v>16</v>
      </c>
      <c r="K3" s="20" t="s">
        <v>14</v>
      </c>
      <c r="L3" s="20" t="s">
        <v>18</v>
      </c>
    </row>
    <row r="4" spans="1:12" s="35" customFormat="1" ht="35.25" customHeight="1" x14ac:dyDescent="0.25">
      <c r="A4" s="31">
        <v>44135</v>
      </c>
      <c r="B4" s="42"/>
      <c r="C4" s="32">
        <v>1500</v>
      </c>
      <c r="D4" s="33"/>
      <c r="E4" s="32">
        <v>4299</v>
      </c>
      <c r="F4" s="27"/>
      <c r="G4" s="32">
        <v>796700</v>
      </c>
      <c r="H4" s="29"/>
      <c r="I4" s="32">
        <v>348000</v>
      </c>
      <c r="K4" s="34"/>
      <c r="L4" s="34"/>
    </row>
    <row r="5" spans="1:12" ht="33" customHeight="1" x14ac:dyDescent="0.25">
      <c r="A5" s="36">
        <v>44136</v>
      </c>
      <c r="B5" s="42"/>
      <c r="C5" s="16">
        <v>1502.3</v>
      </c>
      <c r="D5" s="30">
        <f t="shared" ref="D5:D22" si="0">IF((C5-C4&lt;0), "0",C5-C4)</f>
        <v>2.2999999999999545</v>
      </c>
      <c r="E5" s="16">
        <v>4301.3</v>
      </c>
      <c r="F5" s="30">
        <f>IF((E5-E4&lt;0), "0",E5-E4)</f>
        <v>2.3000000000001819</v>
      </c>
      <c r="G5" s="16">
        <v>796760</v>
      </c>
      <c r="H5" s="30">
        <f>IF((G5-G4&lt;0), "0",G5-G4)</f>
        <v>60</v>
      </c>
      <c r="I5" s="16">
        <v>348033</v>
      </c>
      <c r="J5" s="30">
        <f>IF((I5-I4&lt;0), "0",I5-I4)</f>
        <v>33</v>
      </c>
      <c r="K5" s="21"/>
      <c r="L5" s="21"/>
    </row>
    <row r="6" spans="1:12" ht="45" customHeight="1" x14ac:dyDescent="0.25">
      <c r="A6" s="36">
        <v>44137</v>
      </c>
      <c r="B6" s="42"/>
      <c r="C6" s="16">
        <v>1513.9</v>
      </c>
      <c r="D6" s="30">
        <f t="shared" si="0"/>
        <v>11.600000000000136</v>
      </c>
      <c r="E6" s="16">
        <v>4334.1000000000004</v>
      </c>
      <c r="F6" s="30">
        <f t="shared" ref="F6:F34" si="1">IF((E6-E5&lt;0), "0",E6-E5)</f>
        <v>32.800000000000182</v>
      </c>
      <c r="G6" s="16">
        <v>797256</v>
      </c>
      <c r="H6" s="30">
        <f t="shared" ref="H6:H34" si="2">IF((G6-G5&lt;0), "0",G6-G5)</f>
        <v>496</v>
      </c>
      <c r="I6" s="16">
        <v>348153</v>
      </c>
      <c r="J6" s="30">
        <f t="shared" ref="J6:J34" si="3">IF((I6-I5&lt;0), "0",I6-I5)</f>
        <v>120</v>
      </c>
      <c r="K6" s="19"/>
      <c r="L6" s="19"/>
    </row>
    <row r="7" spans="1:12" ht="45" customHeight="1" x14ac:dyDescent="0.25">
      <c r="A7" s="36">
        <v>44138</v>
      </c>
      <c r="B7" s="42"/>
      <c r="C7" s="16">
        <v>1522.6</v>
      </c>
      <c r="D7" s="30">
        <f t="shared" si="0"/>
        <v>8.6999999999998181</v>
      </c>
      <c r="E7" s="16">
        <v>4356.8999999999996</v>
      </c>
      <c r="F7" s="30">
        <f t="shared" si="1"/>
        <v>22.799999999999272</v>
      </c>
      <c r="G7" s="16">
        <v>797644</v>
      </c>
      <c r="H7" s="30">
        <f t="shared" si="2"/>
        <v>388</v>
      </c>
      <c r="I7" s="16">
        <v>348260</v>
      </c>
      <c r="J7" s="30">
        <f t="shared" si="3"/>
        <v>107</v>
      </c>
      <c r="K7" s="19"/>
      <c r="L7" s="19"/>
    </row>
    <row r="8" spans="1:12" ht="45" customHeight="1" x14ac:dyDescent="0.25">
      <c r="A8" s="36">
        <v>44139</v>
      </c>
      <c r="B8" s="42"/>
      <c r="C8" s="16">
        <v>1531.7</v>
      </c>
      <c r="D8" s="30">
        <f t="shared" si="0"/>
        <v>9.1000000000001364</v>
      </c>
      <c r="E8" s="16">
        <v>4382.5</v>
      </c>
      <c r="F8" s="30">
        <f t="shared" si="1"/>
        <v>25.600000000000364</v>
      </c>
      <c r="G8" s="16">
        <v>798012</v>
      </c>
      <c r="H8" s="30">
        <f t="shared" si="2"/>
        <v>368</v>
      </c>
      <c r="I8" s="16">
        <v>348375</v>
      </c>
      <c r="J8" s="30">
        <f t="shared" si="3"/>
        <v>115</v>
      </c>
      <c r="K8" s="19"/>
      <c r="L8" s="19"/>
    </row>
    <row r="9" spans="1:12" ht="45" customHeight="1" x14ac:dyDescent="0.25">
      <c r="A9" s="36">
        <v>44140</v>
      </c>
      <c r="B9" s="42"/>
      <c r="C9" s="16">
        <v>1542.9</v>
      </c>
      <c r="D9" s="30">
        <f t="shared" si="0"/>
        <v>11.200000000000045</v>
      </c>
      <c r="E9" s="16">
        <v>4411.6000000000004</v>
      </c>
      <c r="F9" s="30">
        <f t="shared" si="1"/>
        <v>29.100000000000364</v>
      </c>
      <c r="G9" s="16">
        <v>798798</v>
      </c>
      <c r="H9" s="30">
        <f t="shared" si="2"/>
        <v>786</v>
      </c>
      <c r="I9" s="16">
        <v>348451</v>
      </c>
      <c r="J9" s="30">
        <f t="shared" si="3"/>
        <v>76</v>
      </c>
      <c r="K9" s="19"/>
      <c r="L9" s="19"/>
    </row>
    <row r="10" spans="1:12" ht="45" customHeight="1" x14ac:dyDescent="0.25">
      <c r="A10" s="36">
        <v>44141</v>
      </c>
      <c r="B10" s="42"/>
      <c r="C10" s="16">
        <v>1552.7</v>
      </c>
      <c r="D10" s="30">
        <f t="shared" si="0"/>
        <v>9.7999999999999545</v>
      </c>
      <c r="E10" s="16">
        <v>4440.3999999999996</v>
      </c>
      <c r="F10" s="30">
        <f t="shared" si="1"/>
        <v>28.799999999999272</v>
      </c>
      <c r="G10" s="16">
        <v>799414</v>
      </c>
      <c r="H10" s="30">
        <f t="shared" si="2"/>
        <v>616</v>
      </c>
      <c r="I10" s="16">
        <v>348660</v>
      </c>
      <c r="J10" s="30">
        <f t="shared" si="3"/>
        <v>209</v>
      </c>
      <c r="K10" s="19"/>
      <c r="L10" s="19"/>
    </row>
    <row r="11" spans="1:12" ht="45" customHeight="1" x14ac:dyDescent="0.25">
      <c r="A11" s="36">
        <v>44142</v>
      </c>
      <c r="B11" s="42"/>
      <c r="C11" s="16">
        <v>1560.9</v>
      </c>
      <c r="D11" s="30">
        <f t="shared" si="0"/>
        <v>8.2000000000000455</v>
      </c>
      <c r="E11" s="16">
        <v>4463.7</v>
      </c>
      <c r="F11" s="30">
        <f t="shared" si="1"/>
        <v>23.300000000000182</v>
      </c>
      <c r="G11" s="16">
        <v>799865</v>
      </c>
      <c r="H11" s="30">
        <f t="shared" si="2"/>
        <v>451</v>
      </c>
      <c r="I11" s="16">
        <v>348746</v>
      </c>
      <c r="J11" s="30">
        <f t="shared" si="3"/>
        <v>86</v>
      </c>
      <c r="K11" s="19"/>
      <c r="L11" s="19"/>
    </row>
    <row r="12" spans="1:12" ht="45" customHeight="1" x14ac:dyDescent="0.25">
      <c r="A12" s="36">
        <v>44143</v>
      </c>
      <c r="B12" s="42"/>
      <c r="C12" s="16">
        <v>1571</v>
      </c>
      <c r="D12" s="30">
        <f t="shared" si="0"/>
        <v>10.099999999999909</v>
      </c>
      <c r="E12" s="16">
        <v>4491.5</v>
      </c>
      <c r="F12" s="30">
        <f t="shared" si="1"/>
        <v>27.800000000000182</v>
      </c>
      <c r="G12" s="16">
        <v>800359</v>
      </c>
      <c r="H12" s="30">
        <f t="shared" si="2"/>
        <v>494</v>
      </c>
      <c r="I12" s="16">
        <v>348889</v>
      </c>
      <c r="J12" s="30">
        <f t="shared" si="3"/>
        <v>143</v>
      </c>
      <c r="K12" s="19"/>
      <c r="L12" s="19"/>
    </row>
    <row r="13" spans="1:12" ht="45" customHeight="1" x14ac:dyDescent="0.25">
      <c r="A13" s="36">
        <v>44144</v>
      </c>
      <c r="B13" s="42"/>
      <c r="C13" s="16">
        <v>1579.4</v>
      </c>
      <c r="D13" s="30">
        <f t="shared" si="0"/>
        <v>8.4000000000000909</v>
      </c>
      <c r="E13" s="16">
        <v>4514.2</v>
      </c>
      <c r="F13" s="30">
        <f t="shared" si="1"/>
        <v>22.699999999999818</v>
      </c>
      <c r="G13" s="16">
        <v>800762</v>
      </c>
      <c r="H13" s="30">
        <f t="shared" si="2"/>
        <v>403</v>
      </c>
      <c r="I13" s="16">
        <v>349016</v>
      </c>
      <c r="J13" s="30">
        <f t="shared" si="3"/>
        <v>127</v>
      </c>
      <c r="K13" s="19"/>
      <c r="L13" s="19"/>
    </row>
    <row r="14" spans="1:12" ht="45" customHeight="1" x14ac:dyDescent="0.25">
      <c r="A14" s="36">
        <v>44145</v>
      </c>
      <c r="B14" s="42"/>
      <c r="C14" s="16">
        <v>1589.1</v>
      </c>
      <c r="D14" s="30">
        <f t="shared" si="0"/>
        <v>9.6999999999998181</v>
      </c>
      <c r="E14" s="16">
        <v>4541.2</v>
      </c>
      <c r="F14" s="30">
        <f t="shared" si="1"/>
        <v>27</v>
      </c>
      <c r="G14" s="16">
        <v>801230</v>
      </c>
      <c r="H14" s="30">
        <f t="shared" si="2"/>
        <v>468</v>
      </c>
      <c r="I14" s="16">
        <v>349109</v>
      </c>
      <c r="J14" s="30">
        <f t="shared" si="3"/>
        <v>93</v>
      </c>
      <c r="K14" s="19"/>
      <c r="L14" s="19"/>
    </row>
    <row r="15" spans="1:12" ht="45" customHeight="1" x14ac:dyDescent="0.25">
      <c r="A15" s="36">
        <v>44146</v>
      </c>
      <c r="B15" s="42"/>
      <c r="C15" s="16">
        <v>1599.2</v>
      </c>
      <c r="D15" s="30">
        <f t="shared" si="0"/>
        <v>10.100000000000136</v>
      </c>
      <c r="E15" s="16">
        <v>4565.8999999999996</v>
      </c>
      <c r="F15" s="30">
        <f t="shared" si="1"/>
        <v>24.699999999999818</v>
      </c>
      <c r="G15" s="16">
        <v>801648</v>
      </c>
      <c r="H15" s="30">
        <f t="shared" si="2"/>
        <v>418</v>
      </c>
      <c r="I15" s="16">
        <v>349206</v>
      </c>
      <c r="J15" s="30">
        <f t="shared" si="3"/>
        <v>97</v>
      </c>
      <c r="K15" s="19"/>
      <c r="L15" s="19"/>
    </row>
    <row r="16" spans="1:12" ht="45" customHeight="1" x14ac:dyDescent="0.25">
      <c r="A16" s="36">
        <v>44147</v>
      </c>
      <c r="B16" s="42"/>
      <c r="C16" s="16">
        <v>1612.6</v>
      </c>
      <c r="D16" s="30">
        <f t="shared" si="0"/>
        <v>13.399999999999864</v>
      </c>
      <c r="E16" s="16">
        <v>4592</v>
      </c>
      <c r="F16" s="30">
        <f t="shared" si="1"/>
        <v>26.100000000000364</v>
      </c>
      <c r="G16" s="16">
        <v>802074</v>
      </c>
      <c r="H16" s="30">
        <f t="shared" si="2"/>
        <v>426</v>
      </c>
      <c r="I16" s="16">
        <v>349322</v>
      </c>
      <c r="J16" s="30">
        <f t="shared" si="3"/>
        <v>116</v>
      </c>
      <c r="K16" s="19"/>
      <c r="L16" s="19"/>
    </row>
    <row r="17" spans="1:12" ht="45" customHeight="1" x14ac:dyDescent="0.25">
      <c r="A17" s="36">
        <v>44148</v>
      </c>
      <c r="B17" s="42"/>
      <c r="C17" s="16">
        <v>1625.6</v>
      </c>
      <c r="D17" s="30">
        <f t="shared" si="0"/>
        <v>13</v>
      </c>
      <c r="E17" s="16">
        <v>4617.8999999999996</v>
      </c>
      <c r="F17" s="30">
        <f t="shared" si="1"/>
        <v>25.899999999999636</v>
      </c>
      <c r="G17" s="16">
        <v>802503</v>
      </c>
      <c r="H17" s="30">
        <f t="shared" si="2"/>
        <v>429</v>
      </c>
      <c r="I17" s="16">
        <v>349462</v>
      </c>
      <c r="J17" s="30">
        <f t="shared" si="3"/>
        <v>140</v>
      </c>
      <c r="K17" s="19"/>
      <c r="L17" s="19"/>
    </row>
    <row r="18" spans="1:12" ht="45" customHeight="1" x14ac:dyDescent="0.25">
      <c r="A18" s="36">
        <v>44149</v>
      </c>
      <c r="B18" s="42"/>
      <c r="C18" s="16">
        <v>1643.8</v>
      </c>
      <c r="D18" s="30">
        <f t="shared" si="0"/>
        <v>18.200000000000045</v>
      </c>
      <c r="E18" s="16">
        <v>4652.8999999999996</v>
      </c>
      <c r="F18" s="30">
        <f t="shared" si="1"/>
        <v>35</v>
      </c>
      <c r="G18" s="16">
        <v>803093</v>
      </c>
      <c r="H18" s="30">
        <f t="shared" si="2"/>
        <v>590</v>
      </c>
      <c r="I18" s="16">
        <v>349697</v>
      </c>
      <c r="J18" s="30">
        <f t="shared" si="3"/>
        <v>235</v>
      </c>
      <c r="K18" s="19"/>
      <c r="L18" s="19"/>
    </row>
    <row r="19" spans="1:12" ht="45" customHeight="1" x14ac:dyDescent="0.25">
      <c r="A19" s="36">
        <v>44150</v>
      </c>
      <c r="B19" s="42"/>
      <c r="C19" s="16">
        <v>1656.1</v>
      </c>
      <c r="D19" s="30">
        <f t="shared" si="0"/>
        <v>12.299999999999955</v>
      </c>
      <c r="E19" s="16">
        <v>4674.3</v>
      </c>
      <c r="F19" s="30">
        <f t="shared" si="1"/>
        <v>21.400000000000546</v>
      </c>
      <c r="G19" s="16">
        <v>803477</v>
      </c>
      <c r="H19" s="30">
        <f t="shared" si="2"/>
        <v>384</v>
      </c>
      <c r="I19" s="16">
        <v>349841</v>
      </c>
      <c r="J19" s="30">
        <f t="shared" si="3"/>
        <v>144</v>
      </c>
      <c r="K19" s="19"/>
      <c r="L19" s="19"/>
    </row>
    <row r="20" spans="1:12" ht="45" customHeight="1" x14ac:dyDescent="0.25">
      <c r="A20" s="36">
        <v>44151</v>
      </c>
      <c r="B20" s="42"/>
      <c r="C20" s="16">
        <v>1673</v>
      </c>
      <c r="D20" s="30">
        <f t="shared" si="0"/>
        <v>16.900000000000091</v>
      </c>
      <c r="E20" s="16">
        <v>4702</v>
      </c>
      <c r="F20" s="30">
        <f t="shared" si="1"/>
        <v>27.699999999999818</v>
      </c>
      <c r="G20" s="16">
        <v>803945</v>
      </c>
      <c r="H20" s="30">
        <f t="shared" si="2"/>
        <v>468</v>
      </c>
      <c r="I20" s="16">
        <v>349982</v>
      </c>
      <c r="J20" s="30">
        <f t="shared" si="3"/>
        <v>141</v>
      </c>
      <c r="K20" s="19"/>
      <c r="L20" s="19"/>
    </row>
    <row r="21" spans="1:12" ht="45" customHeight="1" x14ac:dyDescent="0.25">
      <c r="A21" s="36">
        <v>44152</v>
      </c>
      <c r="B21" s="42"/>
      <c r="C21" s="16">
        <v>1684.9</v>
      </c>
      <c r="D21" s="30">
        <f t="shared" si="0"/>
        <v>11.900000000000091</v>
      </c>
      <c r="E21" s="16">
        <v>4727.3999999999996</v>
      </c>
      <c r="F21" s="30">
        <f t="shared" si="1"/>
        <v>25.399999999999636</v>
      </c>
      <c r="G21" s="16">
        <v>804369</v>
      </c>
      <c r="H21" s="30">
        <f t="shared" si="2"/>
        <v>424</v>
      </c>
      <c r="I21" s="16">
        <v>350089</v>
      </c>
      <c r="J21" s="30">
        <f t="shared" si="3"/>
        <v>107</v>
      </c>
      <c r="K21" s="19"/>
      <c r="L21" s="19"/>
    </row>
    <row r="22" spans="1:12" ht="45" customHeight="1" x14ac:dyDescent="0.25">
      <c r="A22" s="36">
        <v>44153</v>
      </c>
      <c r="B22" s="42"/>
      <c r="C22" s="16">
        <v>1696.2</v>
      </c>
      <c r="D22" s="30">
        <f t="shared" si="0"/>
        <v>11.299999999999955</v>
      </c>
      <c r="E22" s="16">
        <v>4752.3999999999996</v>
      </c>
      <c r="F22" s="30">
        <f t="shared" si="1"/>
        <v>25</v>
      </c>
      <c r="G22" s="16">
        <v>804791</v>
      </c>
      <c r="H22" s="30">
        <f t="shared" si="2"/>
        <v>422</v>
      </c>
      <c r="I22" s="16">
        <v>350201</v>
      </c>
      <c r="J22" s="30">
        <f t="shared" si="3"/>
        <v>112</v>
      </c>
      <c r="K22" s="19"/>
      <c r="L22" s="19"/>
    </row>
    <row r="23" spans="1:12" ht="45" customHeight="1" x14ac:dyDescent="0.25">
      <c r="A23" s="36">
        <v>44154</v>
      </c>
      <c r="B23" s="42"/>
      <c r="C23" s="16"/>
      <c r="D23" s="30" t="str">
        <f>IF((C23-C22&lt;0), "0",C23-C22)</f>
        <v>0</v>
      </c>
      <c r="E23" s="16">
        <v>0</v>
      </c>
      <c r="F23" s="30" t="str">
        <f t="shared" si="1"/>
        <v>0</v>
      </c>
      <c r="G23" s="16">
        <v>0</v>
      </c>
      <c r="H23" s="30" t="str">
        <f t="shared" si="2"/>
        <v>0</v>
      </c>
      <c r="I23" s="16">
        <v>0</v>
      </c>
      <c r="J23" s="30" t="str">
        <f t="shared" si="3"/>
        <v>0</v>
      </c>
      <c r="K23" s="19"/>
      <c r="L23" s="19"/>
    </row>
    <row r="24" spans="1:12" ht="45" customHeight="1" x14ac:dyDescent="0.25">
      <c r="A24" s="36">
        <v>44155</v>
      </c>
      <c r="B24" s="42"/>
      <c r="C24" s="16">
        <v>0</v>
      </c>
      <c r="D24" s="30">
        <f t="shared" ref="D24:D34" si="4">IF((C24-C23&lt;0), "0",C24-C23)</f>
        <v>0</v>
      </c>
      <c r="E24" s="16">
        <v>0</v>
      </c>
      <c r="F24" s="30">
        <f t="shared" si="1"/>
        <v>0</v>
      </c>
      <c r="G24" s="16">
        <v>0</v>
      </c>
      <c r="H24" s="30">
        <f t="shared" si="2"/>
        <v>0</v>
      </c>
      <c r="I24" s="16">
        <v>0</v>
      </c>
      <c r="J24" s="30">
        <f t="shared" si="3"/>
        <v>0</v>
      </c>
      <c r="K24" s="19"/>
      <c r="L24" s="19"/>
    </row>
    <row r="25" spans="1:12" ht="45" customHeight="1" x14ac:dyDescent="0.25">
      <c r="A25" s="36">
        <v>44156</v>
      </c>
      <c r="B25" s="42"/>
      <c r="C25" s="16">
        <v>0</v>
      </c>
      <c r="D25" s="30">
        <f t="shared" si="4"/>
        <v>0</v>
      </c>
      <c r="E25" s="16">
        <v>0</v>
      </c>
      <c r="F25" s="30">
        <f t="shared" si="1"/>
        <v>0</v>
      </c>
      <c r="G25" s="16">
        <v>0</v>
      </c>
      <c r="H25" s="30">
        <f t="shared" si="2"/>
        <v>0</v>
      </c>
      <c r="I25" s="16">
        <v>0</v>
      </c>
      <c r="J25" s="30">
        <f t="shared" si="3"/>
        <v>0</v>
      </c>
      <c r="K25" s="19"/>
      <c r="L25" s="19"/>
    </row>
    <row r="26" spans="1:12" ht="45" customHeight="1" x14ac:dyDescent="0.25">
      <c r="A26" s="36">
        <v>44157</v>
      </c>
      <c r="B26" s="42"/>
      <c r="C26" s="16">
        <v>0</v>
      </c>
      <c r="D26" s="30">
        <f t="shared" si="4"/>
        <v>0</v>
      </c>
      <c r="E26" s="16">
        <v>0</v>
      </c>
      <c r="F26" s="30">
        <f t="shared" si="1"/>
        <v>0</v>
      </c>
      <c r="G26" s="16">
        <v>0</v>
      </c>
      <c r="H26" s="30">
        <f t="shared" si="2"/>
        <v>0</v>
      </c>
      <c r="I26" s="16">
        <v>0</v>
      </c>
      <c r="J26" s="30">
        <f t="shared" si="3"/>
        <v>0</v>
      </c>
      <c r="K26" s="19"/>
      <c r="L26" s="19"/>
    </row>
    <row r="27" spans="1:12" ht="45" customHeight="1" x14ac:dyDescent="0.25">
      <c r="A27" s="36">
        <v>44158</v>
      </c>
      <c r="B27" s="42"/>
      <c r="C27" s="16">
        <v>0</v>
      </c>
      <c r="D27" s="30">
        <f t="shared" si="4"/>
        <v>0</v>
      </c>
      <c r="E27" s="16">
        <v>0</v>
      </c>
      <c r="F27" s="30">
        <f t="shared" si="1"/>
        <v>0</v>
      </c>
      <c r="G27" s="16">
        <v>0</v>
      </c>
      <c r="H27" s="30">
        <f t="shared" si="2"/>
        <v>0</v>
      </c>
      <c r="I27" s="16">
        <v>0</v>
      </c>
      <c r="J27" s="30">
        <f t="shared" si="3"/>
        <v>0</v>
      </c>
      <c r="K27" s="19"/>
      <c r="L27" s="19"/>
    </row>
    <row r="28" spans="1:12" ht="45" customHeight="1" x14ac:dyDescent="0.25">
      <c r="A28" s="36">
        <v>44159</v>
      </c>
      <c r="B28" s="42"/>
      <c r="C28" s="16">
        <v>0</v>
      </c>
      <c r="D28" s="30">
        <f t="shared" si="4"/>
        <v>0</v>
      </c>
      <c r="E28" s="16">
        <v>0</v>
      </c>
      <c r="F28" s="30">
        <f t="shared" si="1"/>
        <v>0</v>
      </c>
      <c r="G28" s="16">
        <v>0</v>
      </c>
      <c r="H28" s="30">
        <f t="shared" si="2"/>
        <v>0</v>
      </c>
      <c r="I28" s="16">
        <v>0</v>
      </c>
      <c r="J28" s="30">
        <f t="shared" si="3"/>
        <v>0</v>
      </c>
      <c r="K28" s="19"/>
      <c r="L28" s="19"/>
    </row>
    <row r="29" spans="1:12" ht="45" customHeight="1" x14ac:dyDescent="0.25">
      <c r="A29" s="36">
        <v>44160</v>
      </c>
      <c r="B29" s="42"/>
      <c r="C29" s="16">
        <v>0</v>
      </c>
      <c r="D29" s="30">
        <f t="shared" si="4"/>
        <v>0</v>
      </c>
      <c r="E29" s="16">
        <v>0</v>
      </c>
      <c r="F29" s="30">
        <f t="shared" si="1"/>
        <v>0</v>
      </c>
      <c r="G29" s="16">
        <v>0</v>
      </c>
      <c r="H29" s="30">
        <f t="shared" si="2"/>
        <v>0</v>
      </c>
      <c r="I29" s="16">
        <v>0</v>
      </c>
      <c r="J29" s="30">
        <f t="shared" si="3"/>
        <v>0</v>
      </c>
      <c r="K29" s="19"/>
      <c r="L29" s="19"/>
    </row>
    <row r="30" spans="1:12" ht="45" customHeight="1" x14ac:dyDescent="0.25">
      <c r="A30" s="36">
        <v>44161</v>
      </c>
      <c r="B30" s="42"/>
      <c r="C30" s="16">
        <v>0</v>
      </c>
      <c r="D30" s="30">
        <f t="shared" si="4"/>
        <v>0</v>
      </c>
      <c r="E30" s="16">
        <v>0</v>
      </c>
      <c r="F30" s="30">
        <f t="shared" si="1"/>
        <v>0</v>
      </c>
      <c r="G30" s="16">
        <v>0</v>
      </c>
      <c r="H30" s="30">
        <f t="shared" si="2"/>
        <v>0</v>
      </c>
      <c r="I30" s="16">
        <v>0</v>
      </c>
      <c r="J30" s="30">
        <f t="shared" si="3"/>
        <v>0</v>
      </c>
      <c r="K30" s="19"/>
      <c r="L30" s="19"/>
    </row>
    <row r="31" spans="1:12" ht="45" customHeight="1" x14ac:dyDescent="0.25">
      <c r="A31" s="36">
        <v>44162</v>
      </c>
      <c r="B31" s="42"/>
      <c r="C31" s="16">
        <v>0</v>
      </c>
      <c r="D31" s="30">
        <f t="shared" si="4"/>
        <v>0</v>
      </c>
      <c r="E31" s="16">
        <v>0</v>
      </c>
      <c r="F31" s="30">
        <f t="shared" si="1"/>
        <v>0</v>
      </c>
      <c r="G31" s="16">
        <v>0</v>
      </c>
      <c r="H31" s="30">
        <f t="shared" si="2"/>
        <v>0</v>
      </c>
      <c r="I31" s="16">
        <v>0</v>
      </c>
      <c r="J31" s="30">
        <f t="shared" si="3"/>
        <v>0</v>
      </c>
      <c r="K31" s="19"/>
      <c r="L31" s="19"/>
    </row>
    <row r="32" spans="1:12" ht="45" customHeight="1" x14ac:dyDescent="0.25">
      <c r="A32" s="36">
        <v>44163</v>
      </c>
      <c r="B32" s="42"/>
      <c r="C32" s="16">
        <v>0</v>
      </c>
      <c r="D32" s="30">
        <f t="shared" si="4"/>
        <v>0</v>
      </c>
      <c r="E32" s="16">
        <v>0</v>
      </c>
      <c r="F32" s="30">
        <f t="shared" si="1"/>
        <v>0</v>
      </c>
      <c r="G32" s="16">
        <v>0</v>
      </c>
      <c r="H32" s="30">
        <f t="shared" si="2"/>
        <v>0</v>
      </c>
      <c r="I32" s="16">
        <v>0</v>
      </c>
      <c r="J32" s="30">
        <f t="shared" si="3"/>
        <v>0</v>
      </c>
      <c r="K32" s="19"/>
      <c r="L32" s="19"/>
    </row>
    <row r="33" spans="1:12" ht="36" customHeight="1" x14ac:dyDescent="0.25">
      <c r="A33" s="36">
        <v>44164</v>
      </c>
      <c r="C33" s="16">
        <v>0</v>
      </c>
      <c r="D33" s="30">
        <f t="shared" si="4"/>
        <v>0</v>
      </c>
      <c r="E33" s="16">
        <v>0</v>
      </c>
      <c r="F33" s="30">
        <f t="shared" si="1"/>
        <v>0</v>
      </c>
      <c r="G33" s="16">
        <v>0</v>
      </c>
      <c r="H33" s="30">
        <f t="shared" si="2"/>
        <v>0</v>
      </c>
      <c r="I33" s="16">
        <v>0</v>
      </c>
      <c r="J33" s="30">
        <f t="shared" si="3"/>
        <v>0</v>
      </c>
      <c r="K33" s="19"/>
      <c r="L33" s="19"/>
    </row>
    <row r="34" spans="1:12" ht="45.6" customHeight="1" x14ac:dyDescent="0.25">
      <c r="A34" s="36">
        <v>44165</v>
      </c>
      <c r="C34" s="16">
        <v>0</v>
      </c>
      <c r="D34" s="30">
        <f t="shared" si="4"/>
        <v>0</v>
      </c>
      <c r="E34" s="16">
        <v>0</v>
      </c>
      <c r="F34" s="30">
        <f t="shared" si="1"/>
        <v>0</v>
      </c>
      <c r="G34" s="16">
        <v>0</v>
      </c>
      <c r="H34" s="30">
        <f t="shared" si="2"/>
        <v>0</v>
      </c>
      <c r="I34" s="16">
        <v>0</v>
      </c>
      <c r="J34" s="30">
        <f t="shared" si="3"/>
        <v>0</v>
      </c>
      <c r="K34" s="19"/>
      <c r="L34" s="19"/>
    </row>
  </sheetData>
  <mergeCells count="6">
    <mergeCell ref="I1:J1"/>
    <mergeCell ref="C2:D2"/>
    <mergeCell ref="I2:J2"/>
    <mergeCell ref="B1:B3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Sydney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2021-11-15T12:58:10Z</dcterms:modified>
</cp:coreProperties>
</file>