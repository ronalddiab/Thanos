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30" windowWidth="20460" windowHeight="10890" tabRatio="915" activeTab="7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6" i="3"/>
  <c r="E158"/>
  <c r="E31" i="2"/>
  <c r="E30"/>
  <c r="E28"/>
  <c r="E27"/>
  <c r="E55" i="31" l="1"/>
  <c r="G157" i="43" l="1"/>
  <c r="G158"/>
  <c r="G112" i="30" l="1"/>
  <c r="E66" i="28" l="1"/>
  <c r="E67"/>
  <c r="E68"/>
  <c r="E69"/>
  <c r="E70"/>
  <c r="E8" i="27" l="1"/>
  <c r="E9"/>
  <c r="E10"/>
  <c r="E11"/>
  <c r="E12"/>
  <c r="E156" i="40"/>
  <c r="E157"/>
  <c r="E158"/>
  <c r="E129" i="25"/>
  <c r="E130"/>
  <c r="E131"/>
  <c r="E132"/>
  <c r="E133"/>
  <c r="E134"/>
  <c r="E36" i="40"/>
  <c r="E37"/>
  <c r="E38"/>
  <c r="E39"/>
  <c r="E40"/>
  <c r="E41"/>
  <c r="E42"/>
  <c r="E43"/>
  <c r="E44"/>
  <c r="E45"/>
  <c r="E46"/>
  <c r="E8"/>
  <c r="E9"/>
  <c r="E10"/>
  <c r="E11"/>
  <c r="E12"/>
  <c r="E156" i="25"/>
  <c r="E157"/>
  <c r="E158"/>
  <c r="E157" i="23"/>
  <c r="G157" s="1"/>
  <c r="E158"/>
  <c r="G158" s="1"/>
  <c r="E157" i="24"/>
  <c r="E158"/>
  <c r="E132" i="22"/>
  <c r="E75" i="21" l="1"/>
  <c r="E40"/>
  <c r="E149" i="20" l="1"/>
  <c r="G9" i="50"/>
  <c r="E12" i="19"/>
  <c r="E11"/>
  <c r="G11" l="1"/>
  <c r="E132" i="18"/>
  <c r="E158" i="19"/>
  <c r="G158" s="1"/>
  <c r="E15" i="17"/>
  <c r="E157" i="16" l="1"/>
  <c r="E158"/>
  <c r="E150"/>
  <c r="G157" i="15" l="1"/>
  <c r="G158"/>
  <c r="G157" i="14" l="1"/>
  <c r="G158"/>
  <c r="G158" i="13" l="1"/>
  <c r="H158" s="1"/>
  <c r="G157"/>
  <c r="H157" s="1"/>
  <c r="J157" l="1"/>
  <c r="H157" i="14"/>
  <c r="J158" i="13"/>
  <c r="H158" i="14"/>
  <c r="E50" i="12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50" i="10"/>
  <c r="F148" i="33"/>
  <c r="J159"/>
  <c r="E156"/>
  <c r="E157"/>
  <c r="G157" s="1"/>
  <c r="E158"/>
  <c r="G158" s="1"/>
  <c r="E157" i="5"/>
  <c r="G157" s="1"/>
  <c r="H157" s="1"/>
  <c r="J157" s="1"/>
  <c r="E158"/>
  <c r="G158" s="1"/>
  <c r="H158" s="1"/>
  <c r="J158" s="1"/>
  <c r="E156" i="4"/>
  <c r="G156" s="1"/>
  <c r="E157"/>
  <c r="G157" s="1"/>
  <c r="E158"/>
  <c r="G158" s="1"/>
  <c r="G158" i="3"/>
  <c r="E156"/>
  <c r="E157"/>
  <c r="G157" s="1"/>
  <c r="E161"/>
  <c r="G164" i="2"/>
  <c r="G158"/>
  <c r="G157"/>
  <c r="J158" i="14" l="1"/>
  <c r="H158" i="15"/>
  <c r="J158" s="1"/>
  <c r="J157" i="14"/>
  <c r="H157" i="15"/>
  <c r="J157" s="1"/>
  <c r="H157" i="33"/>
  <c r="J157" s="1"/>
  <c r="H158"/>
  <c r="J158" s="1"/>
  <c r="E156" i="31"/>
  <c r="G156" s="1"/>
  <c r="E157"/>
  <c r="G157" s="1"/>
  <c r="E158"/>
  <c r="G158" s="1"/>
  <c r="K8" i="48"/>
  <c r="L8"/>
  <c r="E139" i="43"/>
  <c r="E140"/>
  <c r="E141"/>
  <c r="E142"/>
  <c r="E143"/>
  <c r="E144"/>
  <c r="E145"/>
  <c r="E146"/>
  <c r="E147"/>
  <c r="E148"/>
  <c r="E149"/>
  <c r="E150"/>
  <c r="E151"/>
  <c r="E152"/>
  <c r="E36"/>
  <c r="E37"/>
  <c r="E38"/>
  <c r="E39"/>
  <c r="E40"/>
  <c r="E41"/>
  <c r="E42"/>
  <c r="E43"/>
  <c r="E44"/>
  <c r="E45"/>
  <c r="E46"/>
  <c r="E157" i="30" l="1"/>
  <c r="G157" s="1"/>
  <c r="H157" s="1"/>
  <c r="E158"/>
  <c r="G158" s="1"/>
  <c r="H158" s="1"/>
  <c r="G157" i="29"/>
  <c r="G158"/>
  <c r="G157" i="24"/>
  <c r="G158"/>
  <c r="E156" i="28"/>
  <c r="G156" s="1"/>
  <c r="E157"/>
  <c r="G157" s="1"/>
  <c r="E158"/>
  <c r="G158" s="1"/>
  <c r="E36"/>
  <c r="E37"/>
  <c r="E38"/>
  <c r="E39"/>
  <c r="E40"/>
  <c r="E41"/>
  <c r="E42"/>
  <c r="E43"/>
  <c r="E44"/>
  <c r="E45"/>
  <c r="E46"/>
  <c r="G157" i="40"/>
  <c r="G158"/>
  <c r="E156" i="27"/>
  <c r="G156" s="1"/>
  <c r="E157"/>
  <c r="G157" s="1"/>
  <c r="E158"/>
  <c r="G158" s="1"/>
  <c r="E139" i="40"/>
  <c r="E140"/>
  <c r="E141"/>
  <c r="E142"/>
  <c r="E143"/>
  <c r="E144"/>
  <c r="E145"/>
  <c r="E146"/>
  <c r="E147"/>
  <c r="E148"/>
  <c r="E149"/>
  <c r="E150"/>
  <c r="E151"/>
  <c r="E152"/>
  <c r="G158" i="25"/>
  <c r="G157"/>
  <c r="G156"/>
  <c r="E75"/>
  <c r="E76"/>
  <c r="E77"/>
  <c r="E78"/>
  <c r="E134" i="23"/>
  <c r="E134" i="22"/>
  <c r="E157"/>
  <c r="G157" s="1"/>
  <c r="E158"/>
  <c r="G158" s="1"/>
  <c r="E157" i="21"/>
  <c r="G157" s="1"/>
  <c r="H157" s="1"/>
  <c r="J157" s="1"/>
  <c r="E158"/>
  <c r="G158" s="1"/>
  <c r="H158" s="1"/>
  <c r="J158" s="1"/>
  <c r="E180"/>
  <c r="E156" i="20"/>
  <c r="G156" s="1"/>
  <c r="E157"/>
  <c r="G157" s="1"/>
  <c r="E158"/>
  <c r="G158" s="1"/>
  <c r="E156" i="19"/>
  <c r="G156" s="1"/>
  <c r="E157"/>
  <c r="G157" s="1"/>
  <c r="F191" i="18"/>
  <c r="E157"/>
  <c r="G157" s="1"/>
  <c r="E158"/>
  <c r="G158" s="1"/>
  <c r="E156" i="17"/>
  <c r="E157"/>
  <c r="G157" s="1"/>
  <c r="E158"/>
  <c r="G158" s="1"/>
  <c r="H158" i="43" l="1"/>
  <c r="J158" i="30"/>
  <c r="H157" i="43"/>
  <c r="J157" i="30"/>
  <c r="H158" i="22"/>
  <c r="H157"/>
  <c r="G158" i="16"/>
  <c r="H158" s="1"/>
  <c r="J158" s="1"/>
  <c r="G157"/>
  <c r="H157" s="1"/>
  <c r="J157" s="1"/>
  <c r="G15" i="15"/>
  <c r="J157" i="43" l="1"/>
  <c r="H157" i="31"/>
  <c r="J158" i="43"/>
  <c r="H158" i="31"/>
  <c r="J157" i="22"/>
  <c r="H157" i="23"/>
  <c r="J158" i="22"/>
  <c r="H158" i="23"/>
  <c r="H157" i="17"/>
  <c r="H158"/>
  <c r="E139" i="13"/>
  <c r="E140"/>
  <c r="E141"/>
  <c r="E142"/>
  <c r="E143"/>
  <c r="E144"/>
  <c r="E145"/>
  <c r="E146"/>
  <c r="E147"/>
  <c r="E148"/>
  <c r="E149"/>
  <c r="E150"/>
  <c r="E151"/>
  <c r="E152"/>
  <c r="E129"/>
  <c r="E130"/>
  <c r="E131"/>
  <c r="E132"/>
  <c r="E133"/>
  <c r="E51"/>
  <c r="E52"/>
  <c r="E53"/>
  <c r="E54"/>
  <c r="E55"/>
  <c r="E56"/>
  <c r="E57"/>
  <c r="E58"/>
  <c r="E36"/>
  <c r="E37"/>
  <c r="E38"/>
  <c r="E39"/>
  <c r="E40"/>
  <c r="E41"/>
  <c r="E42"/>
  <c r="E44"/>
  <c r="E45"/>
  <c r="E46"/>
  <c r="E11"/>
  <c r="E12"/>
  <c r="E129" i="12"/>
  <c r="E130"/>
  <c r="E131"/>
  <c r="E132"/>
  <c r="E133"/>
  <c r="E134"/>
  <c r="J158" i="23" l="1"/>
  <c r="H158" i="24"/>
  <c r="J157" i="23"/>
  <c r="H157" i="24"/>
  <c r="J158" i="17"/>
  <c r="H158" i="18"/>
  <c r="J157" i="17"/>
  <c r="H157" i="18"/>
  <c r="E50" i="11"/>
  <c r="E51"/>
  <c r="E52"/>
  <c r="E53"/>
  <c r="E54"/>
  <c r="E55"/>
  <c r="E56"/>
  <c r="E57"/>
  <c r="E58"/>
  <c r="E121" i="33"/>
  <c r="E49"/>
  <c r="E134" i="4"/>
  <c r="G190" i="2"/>
  <c r="G190" i="43"/>
  <c r="I7" i="30"/>
  <c r="E180" i="24"/>
  <c r="E129"/>
  <c r="E56"/>
  <c r="E40"/>
  <c r="E39"/>
  <c r="E37"/>
  <c r="E35"/>
  <c r="E130"/>
  <c r="E130" i="23"/>
  <c r="G130" s="1"/>
  <c r="E120"/>
  <c r="E113"/>
  <c r="E63"/>
  <c r="E55"/>
  <c r="E56"/>
  <c r="E57"/>
  <c r="E58"/>
  <c r="E49"/>
  <c r="E178" i="21"/>
  <c r="F190" i="20"/>
  <c r="F190" i="19"/>
  <c r="H191" i="18"/>
  <c r="I191" s="1"/>
  <c r="K191" s="1"/>
  <c r="E145"/>
  <c r="E146"/>
  <c r="E114"/>
  <c r="H191" i="17"/>
  <c r="I191" s="1"/>
  <c r="K191" s="1"/>
  <c r="P15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s="1"/>
  <c r="J158" i="18"/>
  <c r="H158" i="19"/>
  <c r="J158" s="1"/>
  <c r="H190" i="20"/>
  <c r="I190" s="1"/>
  <c r="K190" s="1"/>
  <c r="H190" i="19"/>
  <c r="I190" s="1"/>
  <c r="K190" s="1"/>
  <c r="E134" i="10" l="1"/>
  <c r="E146" i="33" l="1"/>
  <c r="E155" i="5"/>
  <c r="E149" i="4"/>
  <c r="E150"/>
  <c r="E151"/>
  <c r="E152"/>
  <c r="E69" i="3"/>
  <c r="E155"/>
  <c r="G134" i="2"/>
  <c r="G37"/>
  <c r="G18"/>
  <c r="E90" i="31" l="1"/>
  <c r="G90" s="1"/>
  <c r="B30" i="48"/>
  <c r="H30"/>
  <c r="B22"/>
  <c r="G56" i="23"/>
  <c r="E155"/>
  <c r="E39" i="22" l="1"/>
  <c r="E139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36" i="21"/>
  <c r="E37"/>
  <c r="E38"/>
  <c r="E39"/>
  <c r="E41"/>
  <c r="E42"/>
  <c r="E43"/>
  <c r="E44"/>
  <c r="E45"/>
  <c r="E46"/>
  <c r="E184" i="20"/>
  <c r="E185"/>
  <c r="E183"/>
  <c r="E179"/>
  <c r="E180"/>
  <c r="E178"/>
  <c r="E174"/>
  <c r="E175"/>
  <c r="E173"/>
  <c r="E162"/>
  <c r="E163"/>
  <c r="E164"/>
  <c r="E165"/>
  <c r="E161"/>
  <c r="E155"/>
  <c r="E152"/>
  <c r="E139"/>
  <c r="E140"/>
  <c r="E141"/>
  <c r="E142"/>
  <c r="E143"/>
  <c r="E144"/>
  <c r="E145"/>
  <c r="E146"/>
  <c r="E147"/>
  <c r="E148"/>
  <c r="E150"/>
  <c r="E151"/>
  <c r="E138"/>
  <c r="E134"/>
  <c r="E129"/>
  <c r="E130"/>
  <c r="E131"/>
  <c r="E132"/>
  <c r="E133"/>
  <c r="E128"/>
  <c r="E124"/>
  <c r="E113"/>
  <c r="E114"/>
  <c r="E115"/>
  <c r="E116"/>
  <c r="E117"/>
  <c r="E118"/>
  <c r="E119"/>
  <c r="E120"/>
  <c r="E121"/>
  <c r="E122"/>
  <c r="E123"/>
  <c r="E112"/>
  <c r="E83"/>
  <c r="E84"/>
  <c r="E85"/>
  <c r="E86"/>
  <c r="E87"/>
  <c r="E88"/>
  <c r="E89"/>
  <c r="E90"/>
  <c r="E91"/>
  <c r="E92"/>
  <c r="E82"/>
  <c r="E75"/>
  <c r="E76"/>
  <c r="E77"/>
  <c r="E78"/>
  <c r="E79"/>
  <c r="E74"/>
  <c r="E63"/>
  <c r="E64"/>
  <c r="E65"/>
  <c r="E66"/>
  <c r="E67"/>
  <c r="E68"/>
  <c r="E69"/>
  <c r="E70"/>
  <c r="E71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3"/>
  <c r="E24"/>
  <c r="E22"/>
  <c r="E11"/>
  <c r="E12"/>
  <c r="E57" i="19"/>
  <c r="E84" i="17" l="1"/>
  <c r="E134" i="16"/>
  <c r="J188" i="15"/>
  <c r="AH4" i="4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L4"/>
  <c r="I4"/>
  <c r="G4"/>
  <c r="F4"/>
  <c r="Q4" i="48"/>
  <c r="E92" i="9" l="1"/>
  <c r="G2" i="48"/>
  <c r="E155" i="4"/>
  <c r="O11" i="3" l="1"/>
  <c r="O11" i="2" l="1"/>
  <c r="E79" i="25" l="1"/>
  <c r="E155" i="31"/>
  <c r="G155" s="1"/>
  <c r="G156" i="43"/>
  <c r="E155"/>
  <c r="G155" s="1"/>
  <c r="E156" i="30"/>
  <c r="G156" s="1"/>
  <c r="E155"/>
  <c r="G155" s="1"/>
  <c r="E156" i="29"/>
  <c r="G156" s="1"/>
  <c r="E155"/>
  <c r="G155" s="1"/>
  <c r="E155" i="28"/>
  <c r="G155" s="1"/>
  <c r="E155" i="27"/>
  <c r="G155" s="1"/>
  <c r="G156" i="40"/>
  <c r="E155"/>
  <c r="G155" s="1"/>
  <c r="E155" i="25"/>
  <c r="G155" s="1"/>
  <c r="E156" i="24"/>
  <c r="G156" s="1"/>
  <c r="E155"/>
  <c r="G155" s="1"/>
  <c r="E156" i="23"/>
  <c r="G156" s="1"/>
  <c r="G155"/>
  <c r="E156" i="22"/>
  <c r="G156" s="1"/>
  <c r="E155"/>
  <c r="G155" s="1"/>
  <c r="E156" i="21"/>
  <c r="G156" s="1"/>
  <c r="E155"/>
  <c r="G155" s="1"/>
  <c r="E155" i="19"/>
  <c r="G155" s="1"/>
  <c r="E156" i="18"/>
  <c r="G156" s="1"/>
  <c r="E155"/>
  <c r="G155" s="1"/>
  <c r="G156" i="17"/>
  <c r="E155"/>
  <c r="G155" s="1"/>
  <c r="E156" i="16"/>
  <c r="G156" s="1"/>
  <c r="E155"/>
  <c r="G155" s="1"/>
  <c r="E156" i="15"/>
  <c r="G156" s="1"/>
  <c r="E155"/>
  <c r="G155" s="1"/>
  <c r="G156" i="14"/>
  <c r="G155"/>
  <c r="E156" i="13"/>
  <c r="G156" s="1"/>
  <c r="E155"/>
  <c r="G155" s="1"/>
  <c r="E156" i="12"/>
  <c r="G156" s="1"/>
  <c r="E155"/>
  <c r="G155" s="1"/>
  <c r="E156" i="11"/>
  <c r="G156" s="1"/>
  <c r="E155"/>
  <c r="G155" s="1"/>
  <c r="E156" i="10"/>
  <c r="G156" s="1"/>
  <c r="E155"/>
  <c r="G155" s="1"/>
  <c r="E156" i="9"/>
  <c r="G156" s="1"/>
  <c r="E155"/>
  <c r="G155" s="1"/>
  <c r="E156" i="8"/>
  <c r="G156" s="1"/>
  <c r="E155"/>
  <c r="G155" s="1"/>
  <c r="E156" i="7"/>
  <c r="G156" s="1"/>
  <c r="E155"/>
  <c r="G155" s="1"/>
  <c r="G156" i="33"/>
  <c r="E155"/>
  <c r="G155" s="1"/>
  <c r="E156" i="5"/>
  <c r="G156" s="1"/>
  <c r="G155"/>
  <c r="G155" i="4"/>
  <c r="G156" i="3"/>
  <c r="H156" s="1"/>
  <c r="J156" s="1"/>
  <c r="G155"/>
  <c r="H155" s="1"/>
  <c r="J155" s="1"/>
  <c r="G156" i="2"/>
  <c r="G155"/>
  <c r="J156"/>
  <c r="J155"/>
  <c r="G159" i="14" l="1"/>
  <c r="G159" i="13"/>
  <c r="G159" i="16"/>
  <c r="G159" i="15"/>
  <c r="G159" i="17"/>
  <c r="H159" s="1"/>
  <c r="J159" s="1"/>
  <c r="H156" i="4"/>
  <c r="H156" i="5" s="1"/>
  <c r="H156" i="33" s="1"/>
  <c r="J156" s="1"/>
  <c r="H155" i="4"/>
  <c r="H155" i="5" s="1"/>
  <c r="H155" i="33" s="1"/>
  <c r="G155" i="20"/>
  <c r="V5" i="1"/>
  <c r="E152" i="31"/>
  <c r="G152" s="1"/>
  <c r="E151"/>
  <c r="G151" s="1"/>
  <c r="Z35" i="44" s="1"/>
  <c r="E150" i="31"/>
  <c r="G150" s="1"/>
  <c r="E149"/>
  <c r="G149" s="1"/>
  <c r="E148"/>
  <c r="G148" s="1"/>
  <c r="W35" i="44" s="1"/>
  <c r="E147" i="31"/>
  <c r="G147" s="1"/>
  <c r="V35" i="44" s="1"/>
  <c r="E146" i="31"/>
  <c r="G146" s="1"/>
  <c r="T35" i="44" s="1"/>
  <c r="E145" i="31"/>
  <c r="G145" s="1"/>
  <c r="S35" i="44" s="1"/>
  <c r="E144" i="31"/>
  <c r="G144" s="1"/>
  <c r="U35" i="44" s="1"/>
  <c r="E143" i="31"/>
  <c r="G143" s="1"/>
  <c r="X35" i="44" s="1"/>
  <c r="E134" i="43"/>
  <c r="G134" s="1"/>
  <c r="E134" i="31"/>
  <c r="G134" s="1"/>
  <c r="G152" i="43"/>
  <c r="G151"/>
  <c r="Z34" i="44" s="1"/>
  <c r="G150" i="43"/>
  <c r="G149"/>
  <c r="G148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s="1"/>
  <c r="E151"/>
  <c r="G151" s="1"/>
  <c r="Z33" i="44" s="1"/>
  <c r="E150" i="30"/>
  <c r="G150" s="1"/>
  <c r="E149"/>
  <c r="G149" s="1"/>
  <c r="E148"/>
  <c r="G148" s="1"/>
  <c r="W33" i="44" s="1"/>
  <c r="E147" i="30"/>
  <c r="G147" s="1"/>
  <c r="V33" i="44" s="1"/>
  <c r="E146" i="30"/>
  <c r="G146" s="1"/>
  <c r="T33" i="44" s="1"/>
  <c r="E145" i="30"/>
  <c r="G145" s="1"/>
  <c r="S33" i="44" s="1"/>
  <c r="E144" i="30"/>
  <c r="G144" s="1"/>
  <c r="U33" i="44" s="1"/>
  <c r="E143" i="30"/>
  <c r="G143" s="1"/>
  <c r="X33" i="44" s="1"/>
  <c r="E134" i="30"/>
  <c r="G134" s="1"/>
  <c r="E152" i="29"/>
  <c r="G152" s="1"/>
  <c r="E151"/>
  <c r="G151" s="1"/>
  <c r="Z32" i="44" s="1"/>
  <c r="E150" i="29"/>
  <c r="G150" s="1"/>
  <c r="E149"/>
  <c r="G149" s="1"/>
  <c r="E148"/>
  <c r="G148" s="1"/>
  <c r="W32" i="44" s="1"/>
  <c r="E147" i="29"/>
  <c r="G147" s="1"/>
  <c r="V32" i="44" s="1"/>
  <c r="E146" i="29"/>
  <c r="G146" s="1"/>
  <c r="T32" i="44" s="1"/>
  <c r="E145" i="29"/>
  <c r="G145" s="1"/>
  <c r="S32" i="44" s="1"/>
  <c r="E144" i="29"/>
  <c r="G144" s="1"/>
  <c r="U32" i="44" s="1"/>
  <c r="E143" i="29"/>
  <c r="G143" s="1"/>
  <c r="X32" i="44" s="1"/>
  <c r="E134" i="29"/>
  <c r="G134" s="1"/>
  <c r="E152" i="28"/>
  <c r="G152" s="1"/>
  <c r="E151"/>
  <c r="G151" s="1"/>
  <c r="Z31" i="44" s="1"/>
  <c r="E150" i="28"/>
  <c r="G150" s="1"/>
  <c r="E149"/>
  <c r="G149" s="1"/>
  <c r="E148"/>
  <c r="G148" s="1"/>
  <c r="W31" i="44" s="1"/>
  <c r="E147" i="28"/>
  <c r="G147" s="1"/>
  <c r="V31" i="44" s="1"/>
  <c r="E146" i="28"/>
  <c r="G146" s="1"/>
  <c r="T31" i="44" s="1"/>
  <c r="E145" i="28"/>
  <c r="G145" s="1"/>
  <c r="S31" i="44" s="1"/>
  <c r="E144" i="28"/>
  <c r="G144" s="1"/>
  <c r="U31" i="44" s="1"/>
  <c r="E143" i="28"/>
  <c r="G143" s="1"/>
  <c r="X31" i="44" s="1"/>
  <c r="E134" i="28"/>
  <c r="G134" s="1"/>
  <c r="E152" i="27"/>
  <c r="G152" s="1"/>
  <c r="E151"/>
  <c r="G151" s="1"/>
  <c r="Z30" i="44" s="1"/>
  <c r="E150" i="27"/>
  <c r="G150" s="1"/>
  <c r="E149"/>
  <c r="G149" s="1"/>
  <c r="E148"/>
  <c r="G148" s="1"/>
  <c r="W30" i="44" s="1"/>
  <c r="E147" i="27"/>
  <c r="G147" s="1"/>
  <c r="V30" i="44" s="1"/>
  <c r="E146" i="27"/>
  <c r="G146" s="1"/>
  <c r="T30" i="44" s="1"/>
  <c r="E145" i="27"/>
  <c r="G145" s="1"/>
  <c r="S30" i="44" s="1"/>
  <c r="E144" i="27"/>
  <c r="G144" s="1"/>
  <c r="U30" i="44" s="1"/>
  <c r="E143" i="27"/>
  <c r="G143" s="1"/>
  <c r="X30" i="44" s="1"/>
  <c r="E134" i="27"/>
  <c r="G134" s="1"/>
  <c r="G152" i="40"/>
  <c r="G151"/>
  <c r="Z29" i="44" s="1"/>
  <c r="G150" i="40"/>
  <c r="G149"/>
  <c r="G148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s="1"/>
  <c r="E152" i="25"/>
  <c r="G152" s="1"/>
  <c r="E151"/>
  <c r="G151" s="1"/>
  <c r="Z28" i="44" s="1"/>
  <c r="E150" i="25"/>
  <c r="G150" s="1"/>
  <c r="E149"/>
  <c r="G149" s="1"/>
  <c r="E148"/>
  <c r="G148" s="1"/>
  <c r="W28" i="44" s="1"/>
  <c r="E147" i="25"/>
  <c r="G147" s="1"/>
  <c r="V28" i="44" s="1"/>
  <c r="E146" i="25"/>
  <c r="G146" s="1"/>
  <c r="T28" i="44" s="1"/>
  <c r="E145" i="25"/>
  <c r="G145" s="1"/>
  <c r="S28" i="44" s="1"/>
  <c r="E144" i="25"/>
  <c r="G144" s="1"/>
  <c r="U28" i="44" s="1"/>
  <c r="E143" i="25"/>
  <c r="G143" s="1"/>
  <c r="X28" i="44" s="1"/>
  <c r="G134" i="25"/>
  <c r="E152" i="24"/>
  <c r="G152" s="1"/>
  <c r="E151"/>
  <c r="G151" s="1"/>
  <c r="Z27" i="44" s="1"/>
  <c r="E150" i="24"/>
  <c r="G150" s="1"/>
  <c r="E149"/>
  <c r="G149" s="1"/>
  <c r="E148"/>
  <c r="G148" s="1"/>
  <c r="W27" i="44" s="1"/>
  <c r="E147" i="24"/>
  <c r="G147" s="1"/>
  <c r="V27" i="44" s="1"/>
  <c r="E146" i="24"/>
  <c r="G146" s="1"/>
  <c r="T27" i="44" s="1"/>
  <c r="E145" i="24"/>
  <c r="G145" s="1"/>
  <c r="S27" i="44" s="1"/>
  <c r="E144" i="24"/>
  <c r="G144" s="1"/>
  <c r="U27" i="44" s="1"/>
  <c r="E143" i="24"/>
  <c r="G143" s="1"/>
  <c r="X27" i="44" s="1"/>
  <c r="E141" i="24"/>
  <c r="G141" s="1"/>
  <c r="Q27" i="44" s="1"/>
  <c r="E142" i="24"/>
  <c r="G142" s="1"/>
  <c r="R27" i="44" s="1"/>
  <c r="E134" i="24"/>
  <c r="G134" s="1"/>
  <c r="J156" i="4" l="1"/>
  <c r="J156" i="5"/>
  <c r="J155" i="4"/>
  <c r="J155" i="33"/>
  <c r="H155" i="7"/>
  <c r="J155" i="5"/>
  <c r="E152" i="23"/>
  <c r="G152" s="1"/>
  <c r="E151"/>
  <c r="G151" s="1"/>
  <c r="Z26" i="44" s="1"/>
  <c r="E150" i="23"/>
  <c r="G150" s="1"/>
  <c r="E149"/>
  <c r="G149" s="1"/>
  <c r="E148"/>
  <c r="G148" s="1"/>
  <c r="W26" i="44" s="1"/>
  <c r="E147" i="23"/>
  <c r="G147" s="1"/>
  <c r="V26" i="44" s="1"/>
  <c r="E146" i="23"/>
  <c r="G146" s="1"/>
  <c r="T26" i="44" s="1"/>
  <c r="E145" i="23"/>
  <c r="G145" s="1"/>
  <c r="S26" i="44" s="1"/>
  <c r="E144" i="23"/>
  <c r="G144" s="1"/>
  <c r="U26" i="44" s="1"/>
  <c r="E143" i="23"/>
  <c r="G143" s="1"/>
  <c r="X26" i="44" s="1"/>
  <c r="G134" i="22"/>
  <c r="G134" i="23"/>
  <c r="G152" i="22"/>
  <c r="G151"/>
  <c r="Z25" i="44" s="1"/>
  <c r="G149" i="22"/>
  <c r="G148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s="1"/>
  <c r="E151"/>
  <c r="G151" s="1"/>
  <c r="Z24" i="44" s="1"/>
  <c r="E150" i="21"/>
  <c r="G150" s="1"/>
  <c r="E149"/>
  <c r="G149" s="1"/>
  <c r="E148"/>
  <c r="G148" s="1"/>
  <c r="W24" i="44" s="1"/>
  <c r="E147" i="21"/>
  <c r="G147" s="1"/>
  <c r="V24" i="44" s="1"/>
  <c r="E146" i="21"/>
  <c r="G146" s="1"/>
  <c r="T24" i="44" s="1"/>
  <c r="E145" i="21"/>
  <c r="G145" s="1"/>
  <c r="S24" i="44" s="1"/>
  <c r="E144" i="21"/>
  <c r="G144" s="1"/>
  <c r="U24" i="44" s="1"/>
  <c r="E143" i="21"/>
  <c r="G143" s="1"/>
  <c r="X24" i="44" s="1"/>
  <c r="E134" i="21"/>
  <c r="G134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s="1"/>
  <c r="E152" i="18"/>
  <c r="G152" s="1"/>
  <c r="E151"/>
  <c r="G151" s="1"/>
  <c r="Z21" i="44" s="1"/>
  <c r="E150" i="18"/>
  <c r="G150" s="1"/>
  <c r="E149"/>
  <c r="G149" s="1"/>
  <c r="E148"/>
  <c r="G148" s="1"/>
  <c r="W21" i="44" s="1"/>
  <c r="E147" i="18"/>
  <c r="G147" s="1"/>
  <c r="V21" i="44" s="1"/>
  <c r="G146" i="18"/>
  <c r="T21" i="44" s="1"/>
  <c r="G145" i="18"/>
  <c r="S21" i="44" s="1"/>
  <c r="E144" i="18"/>
  <c r="G144" s="1"/>
  <c r="U21" i="44" s="1"/>
  <c r="E143" i="18"/>
  <c r="G143" s="1"/>
  <c r="X21" i="44" s="1"/>
  <c r="E134" i="18"/>
  <c r="G134" s="1"/>
  <c r="E152" i="17"/>
  <c r="G152" s="1"/>
  <c r="E151"/>
  <c r="G151" s="1"/>
  <c r="Z20" i="44" s="1"/>
  <c r="E150" i="17"/>
  <c r="G150" s="1"/>
  <c r="E149"/>
  <c r="G149" s="1"/>
  <c r="E148"/>
  <c r="G148" s="1"/>
  <c r="W20" i="44" s="1"/>
  <c r="E147" i="17"/>
  <c r="G147" s="1"/>
  <c r="V20" i="44" s="1"/>
  <c r="E146" i="17"/>
  <c r="G146" s="1"/>
  <c r="T20" i="44" s="1"/>
  <c r="E145" i="17"/>
  <c r="G145" s="1"/>
  <c r="S20" i="44" s="1"/>
  <c r="E144" i="17"/>
  <c r="G144" s="1"/>
  <c r="U20" i="44" s="1"/>
  <c r="E143" i="17"/>
  <c r="G143" s="1"/>
  <c r="X20" i="44" s="1"/>
  <c r="E134" i="17"/>
  <c r="G134" s="1"/>
  <c r="E152" i="16"/>
  <c r="G152" s="1"/>
  <c r="E151"/>
  <c r="G151" s="1"/>
  <c r="Z19" i="44" s="1"/>
  <c r="G150" i="16"/>
  <c r="E149"/>
  <c r="G149" s="1"/>
  <c r="E148"/>
  <c r="G148" s="1"/>
  <c r="W19" i="44" s="1"/>
  <c r="E147" i="16"/>
  <c r="G147" s="1"/>
  <c r="V19" i="44" s="1"/>
  <c r="E146" i="16"/>
  <c r="G146" s="1"/>
  <c r="T19" i="44" s="1"/>
  <c r="E145" i="16"/>
  <c r="G145" s="1"/>
  <c r="S19" i="44" s="1"/>
  <c r="E144" i="16"/>
  <c r="G144" s="1"/>
  <c r="U19" i="44" s="1"/>
  <c r="E143" i="16"/>
  <c r="G143" s="1"/>
  <c r="X19" i="44" s="1"/>
  <c r="G134" i="16"/>
  <c r="E152" i="15"/>
  <c r="G152" s="1"/>
  <c r="E151"/>
  <c r="G151" s="1"/>
  <c r="Z18" i="44" s="1"/>
  <c r="E150" i="15"/>
  <c r="G150" s="1"/>
  <c r="E149"/>
  <c r="G149" s="1"/>
  <c r="E148"/>
  <c r="G148" s="1"/>
  <c r="W18" i="44" s="1"/>
  <c r="E147" i="15"/>
  <c r="G147" s="1"/>
  <c r="V18" i="44" s="1"/>
  <c r="E146" i="15"/>
  <c r="G146" s="1"/>
  <c r="T18" i="44" s="1"/>
  <c r="E145" i="15"/>
  <c r="G145" s="1"/>
  <c r="S18" i="44" s="1"/>
  <c r="E144" i="15"/>
  <c r="G144" s="1"/>
  <c r="U18" i="44" s="1"/>
  <c r="E143" i="15"/>
  <c r="G143" s="1"/>
  <c r="X18" i="44" s="1"/>
  <c r="E134" i="15"/>
  <c r="G134" s="1"/>
  <c r="E152" i="14"/>
  <c r="G152" s="1"/>
  <c r="E151"/>
  <c r="G151" s="1"/>
  <c r="Z17" i="44" s="1"/>
  <c r="E150" i="14"/>
  <c r="G150" s="1"/>
  <c r="G149"/>
  <c r="E148"/>
  <c r="G148" s="1"/>
  <c r="W17" i="44" s="1"/>
  <c r="E147" i="14"/>
  <c r="G147" s="1"/>
  <c r="V17" i="44" s="1"/>
  <c r="E146" i="14"/>
  <c r="G146" s="1"/>
  <c r="T17" i="44" s="1"/>
  <c r="E145" i="14"/>
  <c r="G145" s="1"/>
  <c r="S17" i="44" s="1"/>
  <c r="E144" i="14"/>
  <c r="G144" s="1"/>
  <c r="U17" i="44" s="1"/>
  <c r="E143" i="14"/>
  <c r="G143" s="1"/>
  <c r="X17" i="44" s="1"/>
  <c r="G134" i="14"/>
  <c r="G152" i="13"/>
  <c r="G151"/>
  <c r="Z16" i="44" s="1"/>
  <c r="G150" i="13"/>
  <c r="G149"/>
  <c r="G148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s="1"/>
  <c r="E151"/>
  <c r="G151" s="1"/>
  <c r="Z15" i="44" s="1"/>
  <c r="E150" i="12"/>
  <c r="G150" s="1"/>
  <c r="E149"/>
  <c r="G149" s="1"/>
  <c r="E148"/>
  <c r="G148" s="1"/>
  <c r="W15" i="44" s="1"/>
  <c r="E147" i="12"/>
  <c r="G147" s="1"/>
  <c r="V15" i="44" s="1"/>
  <c r="E146" i="12"/>
  <c r="G146" s="1"/>
  <c r="T15" i="44" s="1"/>
  <c r="E145" i="12"/>
  <c r="G145" s="1"/>
  <c r="S15" i="44" s="1"/>
  <c r="E144" i="12"/>
  <c r="G144" s="1"/>
  <c r="U15" i="44" s="1"/>
  <c r="E143" i="12"/>
  <c r="G143" s="1"/>
  <c r="X15" i="44" s="1"/>
  <c r="G134" i="12"/>
  <c r="E152" i="11"/>
  <c r="G152" s="1"/>
  <c r="E151"/>
  <c r="G151" s="1"/>
  <c r="Z14" i="44" s="1"/>
  <c r="E150" i="11"/>
  <c r="G150" s="1"/>
  <c r="E149"/>
  <c r="G149" s="1"/>
  <c r="E148"/>
  <c r="G148" s="1"/>
  <c r="W14" i="44" s="1"/>
  <c r="E147" i="11"/>
  <c r="G147" s="1"/>
  <c r="V14" i="44" s="1"/>
  <c r="E146" i="11"/>
  <c r="G146" s="1"/>
  <c r="T14" i="44" s="1"/>
  <c r="E145" i="11"/>
  <c r="G145" s="1"/>
  <c r="S14" i="44" s="1"/>
  <c r="E144" i="11"/>
  <c r="G144" s="1"/>
  <c r="U14" i="44" s="1"/>
  <c r="E143" i="11"/>
  <c r="G143" s="1"/>
  <c r="X14" i="44" s="1"/>
  <c r="G134" i="11"/>
  <c r="E152" i="10"/>
  <c r="G152" s="1"/>
  <c r="E151"/>
  <c r="G151" s="1"/>
  <c r="Z13" i="44" s="1"/>
  <c r="E150" i="10"/>
  <c r="G150" s="1"/>
  <c r="E149"/>
  <c r="G149" s="1"/>
  <c r="E148"/>
  <c r="G148" s="1"/>
  <c r="W13" i="44" s="1"/>
  <c r="E147" i="10"/>
  <c r="G147" s="1"/>
  <c r="V13" i="44" s="1"/>
  <c r="E146" i="10"/>
  <c r="G146" s="1"/>
  <c r="T13" i="44" s="1"/>
  <c r="E145" i="10"/>
  <c r="G145" s="1"/>
  <c r="S13" i="44" s="1"/>
  <c r="E144" i="10"/>
  <c r="G144" s="1"/>
  <c r="U13" i="44" s="1"/>
  <c r="E143" i="10"/>
  <c r="G143" s="1"/>
  <c r="X13" i="44" s="1"/>
  <c r="G134" i="10"/>
  <c r="E152" i="9"/>
  <c r="G152" s="1"/>
  <c r="E151"/>
  <c r="G151" s="1"/>
  <c r="Z12" i="44" s="1"/>
  <c r="E150" i="9"/>
  <c r="G150" s="1"/>
  <c r="E149"/>
  <c r="G149" s="1"/>
  <c r="E148"/>
  <c r="G148" s="1"/>
  <c r="W12" i="44" s="1"/>
  <c r="E147" i="9"/>
  <c r="G147" s="1"/>
  <c r="V12" i="44" s="1"/>
  <c r="E146" i="9"/>
  <c r="G146" s="1"/>
  <c r="T12" i="44" s="1"/>
  <c r="E145" i="9"/>
  <c r="G145" s="1"/>
  <c r="S12" i="44" s="1"/>
  <c r="E144" i="9"/>
  <c r="G144" s="1"/>
  <c r="U12" i="44" s="1"/>
  <c r="E143" i="9"/>
  <c r="G143" s="1"/>
  <c r="X12" i="44" s="1"/>
  <c r="E134" i="9"/>
  <c r="G134" s="1"/>
  <c r="E152" i="8"/>
  <c r="G152" s="1"/>
  <c r="E151"/>
  <c r="G151" s="1"/>
  <c r="Z11" i="44" s="1"/>
  <c r="E150" i="8"/>
  <c r="G150" s="1"/>
  <c r="E149"/>
  <c r="G149" s="1"/>
  <c r="E148"/>
  <c r="G148" s="1"/>
  <c r="W11" i="44" s="1"/>
  <c r="E147" i="8"/>
  <c r="G147" s="1"/>
  <c r="V11" i="44" s="1"/>
  <c r="E146" i="8"/>
  <c r="G146" s="1"/>
  <c r="T11" i="44" s="1"/>
  <c r="E145" i="8"/>
  <c r="G145" s="1"/>
  <c r="S11" i="44" s="1"/>
  <c r="E144" i="8"/>
  <c r="G144" s="1"/>
  <c r="U11" i="44" s="1"/>
  <c r="E143" i="8"/>
  <c r="G143" s="1"/>
  <c r="X11" i="44" s="1"/>
  <c r="E152" i="7"/>
  <c r="G152" s="1"/>
  <c r="E151"/>
  <c r="G151" s="1"/>
  <c r="Z10" i="44" s="1"/>
  <c r="E150" i="7"/>
  <c r="G150" s="1"/>
  <c r="E149"/>
  <c r="G149" s="1"/>
  <c r="E148"/>
  <c r="G148" s="1"/>
  <c r="W10" i="44" s="1"/>
  <c r="E147" i="7"/>
  <c r="G147" s="1"/>
  <c r="V10" i="44" s="1"/>
  <c r="E146" i="7"/>
  <c r="G146" s="1"/>
  <c r="T10" i="44" s="1"/>
  <c r="E145" i="7"/>
  <c r="G145" s="1"/>
  <c r="S10" i="44" s="1"/>
  <c r="E144" i="7"/>
  <c r="G144" s="1"/>
  <c r="U10" i="44" s="1"/>
  <c r="E143" i="7"/>
  <c r="G143" s="1"/>
  <c r="X10" i="44" s="1"/>
  <c r="E134" i="8"/>
  <c r="G134" s="1"/>
  <c r="E134" i="7"/>
  <c r="G134" s="1"/>
  <c r="E152" i="33"/>
  <c r="G152" s="1"/>
  <c r="E151"/>
  <c r="G151" s="1"/>
  <c r="Z9" i="44" s="1"/>
  <c r="E150" i="33"/>
  <c r="G150" s="1"/>
  <c r="E149"/>
  <c r="G149" s="1"/>
  <c r="E148"/>
  <c r="G148" s="1"/>
  <c r="W9" i="44" s="1"/>
  <c r="E147" i="33"/>
  <c r="G147" s="1"/>
  <c r="V9" i="44" s="1"/>
  <c r="G146" i="33"/>
  <c r="T9" i="44" s="1"/>
  <c r="E145" i="33"/>
  <c r="G145" s="1"/>
  <c r="S9" i="44" s="1"/>
  <c r="E144" i="33"/>
  <c r="G144" s="1"/>
  <c r="U9" i="44" s="1"/>
  <c r="E143" i="33"/>
  <c r="G143" s="1"/>
  <c r="X9" i="44" s="1"/>
  <c r="E134" i="33"/>
  <c r="G134" s="1"/>
  <c r="G168" i="2"/>
  <c r="H168" s="1"/>
  <c r="H168" i="3" s="1"/>
  <c r="H168" i="4" s="1"/>
  <c r="G167" i="2"/>
  <c r="H167" s="1"/>
  <c r="H167" i="3" s="1"/>
  <c r="H167" i="4" s="1"/>
  <c r="G166" i="2"/>
  <c r="H166" s="1"/>
  <c r="H166" i="3" s="1"/>
  <c r="H166" i="4" s="1"/>
  <c r="E152" i="5"/>
  <c r="G152" s="1"/>
  <c r="E151"/>
  <c r="G151" s="1"/>
  <c r="Z8" i="44" s="1"/>
  <c r="E150" i="5"/>
  <c r="G150" s="1"/>
  <c r="E149"/>
  <c r="G149" s="1"/>
  <c r="E148"/>
  <c r="G148" s="1"/>
  <c r="W8" i="44" s="1"/>
  <c r="E147" i="5"/>
  <c r="G147" s="1"/>
  <c r="V8" i="44" s="1"/>
  <c r="E146" i="5"/>
  <c r="G146" s="1"/>
  <c r="T8" i="44" s="1"/>
  <c r="E145" i="5"/>
  <c r="G145" s="1"/>
  <c r="S8" i="44" s="1"/>
  <c r="E144" i="5"/>
  <c r="G144" s="1"/>
  <c r="U8" i="44" s="1"/>
  <c r="E143" i="5"/>
  <c r="G143" s="1"/>
  <c r="X8" i="44" s="1"/>
  <c r="E134" i="5"/>
  <c r="G134" s="1"/>
  <c r="G134" i="4"/>
  <c r="G152"/>
  <c r="G151"/>
  <c r="Z7" i="44" s="1"/>
  <c r="E148" i="4"/>
  <c r="G148" s="1"/>
  <c r="W7" i="44" s="1"/>
  <c r="E147" i="4"/>
  <c r="G147" s="1"/>
  <c r="V7" i="44" s="1"/>
  <c r="E146" i="4"/>
  <c r="G146" s="1"/>
  <c r="T7" i="44" s="1"/>
  <c r="E145" i="4"/>
  <c r="G145" s="1"/>
  <c r="S7" i="44" s="1"/>
  <c r="E144" i="4"/>
  <c r="G144" s="1"/>
  <c r="U7" i="44" s="1"/>
  <c r="E143" i="4"/>
  <c r="G143" s="1"/>
  <c r="X7" i="44" s="1"/>
  <c r="G150" i="4"/>
  <c r="G149"/>
  <c r="E139" i="3"/>
  <c r="E152"/>
  <c r="G152" s="1"/>
  <c r="E151"/>
  <c r="G151" s="1"/>
  <c r="Z6" i="44" s="1"/>
  <c r="E150" i="3"/>
  <c r="G150" s="1"/>
  <c r="E149"/>
  <c r="G149" s="1"/>
  <c r="E148"/>
  <c r="G148" s="1"/>
  <c r="W6" i="44" s="1"/>
  <c r="E147" i="3"/>
  <c r="G147" s="1"/>
  <c r="V6" i="44" s="1"/>
  <c r="E146" i="3"/>
  <c r="G146" s="1"/>
  <c r="T6" i="44" s="1"/>
  <c r="E145" i="3"/>
  <c r="G145" s="1"/>
  <c r="S6" i="44" s="1"/>
  <c r="E144" i="3"/>
  <c r="G144" s="1"/>
  <c r="U6" i="44" s="1"/>
  <c r="E143" i="3"/>
  <c r="G143" s="1"/>
  <c r="X6" i="44" s="1"/>
  <c r="E142" i="3"/>
  <c r="E141"/>
  <c r="E134"/>
  <c r="G134" s="1"/>
  <c r="J172" i="2"/>
  <c r="G152"/>
  <c r="H152" s="1"/>
  <c r="J152" s="1"/>
  <c r="G151"/>
  <c r="H134"/>
  <c r="J134" s="1"/>
  <c r="E189" i="31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43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35"/>
  <c r="E24"/>
  <c r="E23"/>
  <c r="E22"/>
  <c r="E12"/>
  <c r="E11"/>
  <c r="E189" i="3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G113" s="1"/>
  <c r="E92"/>
  <c r="E91"/>
  <c r="E90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26" i="29"/>
  <c r="E189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124" i="28"/>
  <c r="H124" i="29" s="1"/>
  <c r="H124" i="30" s="1"/>
  <c r="H124" i="43" s="1"/>
  <c r="H124" i="31" s="1"/>
  <c r="E189" i="28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2"/>
  <c r="E11"/>
  <c r="E189" i="27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9" i="4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89" i="25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75" i="24"/>
  <c r="E185"/>
  <c r="E184"/>
  <c r="E183"/>
  <c r="E179"/>
  <c r="E178"/>
  <c r="E174"/>
  <c r="E173"/>
  <c r="E168"/>
  <c r="E167"/>
  <c r="E166"/>
  <c r="E165"/>
  <c r="E164"/>
  <c r="E163"/>
  <c r="E162"/>
  <c r="E161"/>
  <c r="E140"/>
  <c r="E139"/>
  <c r="E138"/>
  <c r="E133"/>
  <c r="E132"/>
  <c r="E131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46"/>
  <c r="E45"/>
  <c r="E44"/>
  <c r="E43"/>
  <c r="E42"/>
  <c r="E41"/>
  <c r="E38"/>
  <c r="E36"/>
  <c r="E24"/>
  <c r="E23"/>
  <c r="E22"/>
  <c r="E12"/>
  <c r="E11"/>
  <c r="E185" i="23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29"/>
  <c r="E128"/>
  <c r="E124"/>
  <c r="E123"/>
  <c r="E122"/>
  <c r="E121"/>
  <c r="E119"/>
  <c r="E118"/>
  <c r="E117"/>
  <c r="E116"/>
  <c r="E115"/>
  <c r="E114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E185" i="22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8"/>
  <c r="E37"/>
  <c r="E36"/>
  <c r="E35"/>
  <c r="E24"/>
  <c r="E23"/>
  <c r="E22"/>
  <c r="E12"/>
  <c r="E11"/>
  <c r="H124" i="21"/>
  <c r="H124" i="22" s="1"/>
  <c r="H124" i="23" s="1"/>
  <c r="H124" i="24" s="1"/>
  <c r="E185" i="21"/>
  <c r="E184"/>
  <c r="E183"/>
  <c r="E179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4"/>
  <c r="E70"/>
  <c r="E69"/>
  <c r="E68"/>
  <c r="E67"/>
  <c r="E66"/>
  <c r="E65"/>
  <c r="E64"/>
  <c r="E63"/>
  <c r="E62"/>
  <c r="E58"/>
  <c r="E57"/>
  <c r="E56"/>
  <c r="E55"/>
  <c r="G55" s="1"/>
  <c r="E54"/>
  <c r="E53"/>
  <c r="E52"/>
  <c r="E51"/>
  <c r="E50"/>
  <c r="E49"/>
  <c r="E35"/>
  <c r="E24"/>
  <c r="E23"/>
  <c r="E22"/>
  <c r="E12"/>
  <c r="E11"/>
  <c r="E185" i="1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G76" s="1"/>
  <c r="E75"/>
  <c r="E74"/>
  <c r="G74" s="1"/>
  <c r="E70"/>
  <c r="E69"/>
  <c r="E68"/>
  <c r="E67"/>
  <c r="G67" s="1"/>
  <c r="E66"/>
  <c r="E65"/>
  <c r="E64"/>
  <c r="E63"/>
  <c r="E62"/>
  <c r="E58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3"/>
  <c r="G23" s="1"/>
  <c r="E22"/>
  <c r="H124" i="18"/>
  <c r="H124" i="19" s="1"/>
  <c r="E174" i="18"/>
  <c r="E185"/>
  <c r="E184"/>
  <c r="E183"/>
  <c r="E180"/>
  <c r="E179"/>
  <c r="E178"/>
  <c r="E175"/>
  <c r="E173"/>
  <c r="E165"/>
  <c r="E164"/>
  <c r="E163"/>
  <c r="E162"/>
  <c r="E161"/>
  <c r="E142"/>
  <c r="E141"/>
  <c r="E140"/>
  <c r="E139"/>
  <c r="E138"/>
  <c r="E133"/>
  <c r="E131"/>
  <c r="E130"/>
  <c r="E129"/>
  <c r="E128"/>
  <c r="E124"/>
  <c r="E123"/>
  <c r="E122"/>
  <c r="E121"/>
  <c r="E120"/>
  <c r="E119"/>
  <c r="E118"/>
  <c r="E117"/>
  <c r="E116"/>
  <c r="E115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9" i="17"/>
  <c r="E188"/>
  <c r="E187"/>
  <c r="E186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G92" s="1"/>
  <c r="E91"/>
  <c r="G91" s="1"/>
  <c r="E90"/>
  <c r="E89"/>
  <c r="E88"/>
  <c r="E87"/>
  <c r="E86"/>
  <c r="E85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2"/>
  <c r="E41"/>
  <c r="E40"/>
  <c r="E39"/>
  <c r="E38"/>
  <c r="E37"/>
  <c r="E36"/>
  <c r="E35"/>
  <c r="E24"/>
  <c r="E23"/>
  <c r="E22"/>
  <c r="E12"/>
  <c r="E11"/>
  <c r="E185" i="16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5"/>
  <c r="E184"/>
  <c r="E183"/>
  <c r="E180"/>
  <c r="E179"/>
  <c r="E178"/>
  <c r="E175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8"/>
  <c r="E57"/>
  <c r="E56"/>
  <c r="E55"/>
  <c r="E54"/>
  <c r="E53"/>
  <c r="E52"/>
  <c r="E51"/>
  <c r="E50"/>
  <c r="E49"/>
  <c r="E46"/>
  <c r="E45"/>
  <c r="E44"/>
  <c r="E41"/>
  <c r="E40"/>
  <c r="E39"/>
  <c r="E38"/>
  <c r="E37"/>
  <c r="E36"/>
  <c r="E35"/>
  <c r="E24"/>
  <c r="E23"/>
  <c r="E22"/>
  <c r="E12"/>
  <c r="E11"/>
  <c r="E10"/>
  <c r="E185" i="1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3"/>
  <c r="E184"/>
  <c r="E183"/>
  <c r="E180"/>
  <c r="E179"/>
  <c r="E178"/>
  <c r="E175"/>
  <c r="E173"/>
  <c r="E168"/>
  <c r="E167"/>
  <c r="E166"/>
  <c r="E165"/>
  <c r="E164"/>
  <c r="E163"/>
  <c r="E162"/>
  <c r="E161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85" i="12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2"/>
  <c r="E11"/>
  <c r="H124" i="11"/>
  <c r="H26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0"/>
  <c r="E184"/>
  <c r="E183"/>
  <c r="E180"/>
  <c r="E179"/>
  <c r="E178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3"/>
  <c r="E52"/>
  <c r="E51"/>
  <c r="E46"/>
  <c r="E45"/>
  <c r="E44"/>
  <c r="E43"/>
  <c r="E42"/>
  <c r="E41"/>
  <c r="E40"/>
  <c r="E36"/>
  <c r="E24"/>
  <c r="E23"/>
  <c r="E22"/>
  <c r="E12"/>
  <c r="E11"/>
  <c r="E185" i="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8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46" i="7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5"/>
  <c r="E44"/>
  <c r="E43"/>
  <c r="E42"/>
  <c r="E41"/>
  <c r="E40"/>
  <c r="E39"/>
  <c r="E38"/>
  <c r="E37"/>
  <c r="E36"/>
  <c r="E35"/>
  <c r="E24"/>
  <c r="E23"/>
  <c r="E22"/>
  <c r="E12"/>
  <c r="E11"/>
  <c r="E185" i="33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0"/>
  <c r="E119"/>
  <c r="E118"/>
  <c r="E117"/>
  <c r="E116"/>
  <c r="E115"/>
  <c r="E114"/>
  <c r="E113"/>
  <c r="E112"/>
  <c r="G112" s="1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G62" s="1"/>
  <c r="E58"/>
  <c r="E57"/>
  <c r="E56"/>
  <c r="E55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H124" i="5"/>
  <c r="E185"/>
  <c r="E184"/>
  <c r="E183"/>
  <c r="E180"/>
  <c r="E179"/>
  <c r="E178"/>
  <c r="E175"/>
  <c r="E174"/>
  <c r="E173"/>
  <c r="E168"/>
  <c r="G168" s="1"/>
  <c r="E167"/>
  <c r="G167" s="1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3"/>
  <c r="E62"/>
  <c r="E57"/>
  <c r="E56"/>
  <c r="E55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G128" s="1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33" i="3"/>
  <c r="E132"/>
  <c r="E131"/>
  <c r="E130"/>
  <c r="E129"/>
  <c r="E128"/>
  <c r="E74"/>
  <c r="E79"/>
  <c r="E78"/>
  <c r="E77"/>
  <c r="E76"/>
  <c r="E75"/>
  <c r="E24"/>
  <c r="E19"/>
  <c r="E18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/>
  <c r="E183"/>
  <c r="E180"/>
  <c r="E179"/>
  <c r="E178"/>
  <c r="E175"/>
  <c r="E174"/>
  <c r="E173"/>
  <c r="E168"/>
  <c r="E167"/>
  <c r="E166"/>
  <c r="E165"/>
  <c r="E164"/>
  <c r="E163"/>
  <c r="E162"/>
  <c r="E140"/>
  <c r="E13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0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39"/>
  <c r="E38"/>
  <c r="E37"/>
  <c r="E36"/>
  <c r="E35"/>
  <c r="E23"/>
  <c r="E22"/>
  <c r="G22" s="1"/>
  <c r="E15"/>
  <c r="E12"/>
  <c r="E11"/>
  <c r="G11" s="1"/>
  <c r="E10"/>
  <c r="E8"/>
  <c r="E7"/>
  <c r="E9"/>
  <c r="H182" i="2"/>
  <c r="J182" s="1"/>
  <c r="H177"/>
  <c r="J177" s="1"/>
  <c r="H127"/>
  <c r="J127" s="1"/>
  <c r="G23"/>
  <c r="H23" s="1"/>
  <c r="J23" s="1"/>
  <c r="G22"/>
  <c r="G19"/>
  <c r="G15"/>
  <c r="G13"/>
  <c r="H13" s="1"/>
  <c r="J13" s="1"/>
  <c r="G12"/>
  <c r="H12" s="1"/>
  <c r="J12" s="1"/>
  <c r="G11"/>
  <c r="H11" s="1"/>
  <c r="J11" s="1"/>
  <c r="G10"/>
  <c r="H10" s="1"/>
  <c r="J10" s="1"/>
  <c r="G9"/>
  <c r="H9" s="1"/>
  <c r="J9" s="1"/>
  <c r="G8"/>
  <c r="G27" s="1"/>
  <c r="G7"/>
  <c r="I18" i="3"/>
  <c r="I7"/>
  <c r="G22" i="19" l="1"/>
  <c r="G24" s="1"/>
  <c r="E29" s="1"/>
  <c r="E24"/>
  <c r="G8" i="3"/>
  <c r="E27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s="1"/>
  <c r="E9" i="4"/>
  <c r="E9" i="5" s="1"/>
  <c r="E9" i="33" s="1"/>
  <c r="G19" i="3"/>
  <c r="E19" i="4"/>
  <c r="E19" i="5" s="1"/>
  <c r="G18" i="3"/>
  <c r="E10" i="16"/>
  <c r="G10" s="1"/>
  <c r="E15"/>
  <c r="G15" i="17" s="1"/>
  <c r="G149" i="19"/>
  <c r="G151"/>
  <c r="Z22" i="44" s="1"/>
  <c r="G146" i="19"/>
  <c r="T22" i="44" s="1"/>
  <c r="G147" i="19"/>
  <c r="V22" i="44" s="1"/>
  <c r="H156" i="7"/>
  <c r="J156" s="1"/>
  <c r="G145" i="19"/>
  <c r="S22" i="44" s="1"/>
  <c r="G150" i="19"/>
  <c r="G143"/>
  <c r="X22" i="44" s="1"/>
  <c r="J155" i="7"/>
  <c r="H155" i="8"/>
  <c r="H18" i="2"/>
  <c r="J18" s="1"/>
  <c r="H19"/>
  <c r="J19" s="1"/>
  <c r="H8"/>
  <c r="J8" s="1"/>
  <c r="I9" s="1"/>
  <c r="H15"/>
  <c r="J15" s="1"/>
  <c r="I16" s="1"/>
  <c r="G24"/>
  <c r="E29" s="1"/>
  <c r="I13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s="1"/>
  <c r="H182" i="3"/>
  <c r="H182" i="4" s="1"/>
  <c r="J182" s="1"/>
  <c r="H152" i="3"/>
  <c r="H152" i="4" s="1"/>
  <c r="H127" i="3"/>
  <c r="H127" i="4" s="1"/>
  <c r="J127" s="1"/>
  <c r="H177" i="3"/>
  <c r="H177" i="4" s="1"/>
  <c r="H177" i="5" s="1"/>
  <c r="H151" i="2"/>
  <c r="J151" s="1"/>
  <c r="Z5" i="44"/>
  <c r="H134" i="3"/>
  <c r="H134" i="4" s="1"/>
  <c r="G134" i="20"/>
  <c r="H22" i="2"/>
  <c r="J22" s="1"/>
  <c r="H23" i="3"/>
  <c r="H11"/>
  <c r="J11" s="1"/>
  <c r="H12"/>
  <c r="H7" i="2"/>
  <c r="J7" s="1"/>
  <c r="G20"/>
  <c r="H20" s="1"/>
  <c r="J20" s="1"/>
  <c r="I20" s="1"/>
  <c r="G20" i="3" l="1"/>
  <c r="H20" s="1"/>
  <c r="H9"/>
  <c r="J9" s="1"/>
  <c r="G7"/>
  <c r="H7" s="1"/>
  <c r="J7" s="1"/>
  <c r="P16"/>
  <c r="G10"/>
  <c r="H10" s="1"/>
  <c r="J10" s="1"/>
  <c r="G15"/>
  <c r="H15" s="1"/>
  <c r="J15" s="1"/>
  <c r="I16" s="1"/>
  <c r="E19" i="33"/>
  <c r="E15" i="7"/>
  <c r="E9"/>
  <c r="E8"/>
  <c r="E10" i="17"/>
  <c r="E7" i="7"/>
  <c r="E15" i="18"/>
  <c r="O15" i="16"/>
  <c r="Z37" i="44"/>
  <c r="Z36"/>
  <c r="H19" i="3"/>
  <c r="J19" s="1"/>
  <c r="H18"/>
  <c r="J18" s="1"/>
  <c r="H156" i="8"/>
  <c r="J156" s="1"/>
  <c r="H155" i="9"/>
  <c r="J155" i="8"/>
  <c r="H8" i="3"/>
  <c r="J8" s="1"/>
  <c r="I9" s="1"/>
  <c r="H24" i="2"/>
  <c r="H166" i="8"/>
  <c r="J166" s="1"/>
  <c r="J168" i="7"/>
  <c r="J167"/>
  <c r="J177" i="4"/>
  <c r="J134" i="3"/>
  <c r="H182" i="5"/>
  <c r="H182" i="33" s="1"/>
  <c r="J127" i="3"/>
  <c r="J182"/>
  <c r="H127" i="5"/>
  <c r="J127" s="1"/>
  <c r="J152" i="3"/>
  <c r="J152" i="4"/>
  <c r="H152" i="5"/>
  <c r="J134" i="4"/>
  <c r="H134" i="5"/>
  <c r="H151" i="3"/>
  <c r="H22"/>
  <c r="J22" s="1"/>
  <c r="H177" i="33"/>
  <c r="J177" i="5"/>
  <c r="J168" i="8"/>
  <c r="H168" i="9"/>
  <c r="H167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/>
  <c r="G185" i="31"/>
  <c r="G184"/>
  <c r="G183"/>
  <c r="G180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/>
  <c r="G163"/>
  <c r="G162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/>
  <c r="G132"/>
  <c r="G131"/>
  <c r="G130"/>
  <c r="G129"/>
  <c r="G128"/>
  <c r="G123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/>
  <c r="G113"/>
  <c r="G112"/>
  <c r="G92"/>
  <c r="G91"/>
  <c r="AK34" i="1" s="1"/>
  <c r="AI34"/>
  <c r="G89" i="31"/>
  <c r="G88"/>
  <c r="G87"/>
  <c r="AC34" i="1" s="1"/>
  <c r="G86" i="31"/>
  <c r="AB34" i="1" s="1"/>
  <c r="G85" i="31"/>
  <c r="AA34" i="1" s="1"/>
  <c r="G84" i="31"/>
  <c r="Z34" i="1" s="1"/>
  <c r="G83" i="31"/>
  <c r="G82"/>
  <c r="G78"/>
  <c r="AS35" i="44" s="1"/>
  <c r="G77" i="31"/>
  <c r="AR35" i="44" s="1"/>
  <c r="G76" i="31"/>
  <c r="AQ35" i="44" s="1"/>
  <c r="G75" i="31"/>
  <c r="AP35" i="44" s="1"/>
  <c r="G74" i="31"/>
  <c r="G70"/>
  <c r="AH15" i="45" s="1"/>
  <c r="G69" i="31"/>
  <c r="AH14" i="45" s="1"/>
  <c r="G68" i="31"/>
  <c r="AH13" i="45" s="1"/>
  <c r="G67" i="31"/>
  <c r="G66"/>
  <c r="G65"/>
  <c r="G63"/>
  <c r="AH8" i="45" s="1"/>
  <c r="G62" i="31"/>
  <c r="AH7" i="45" s="1"/>
  <c r="G58" i="3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K9"/>
  <c r="M8"/>
  <c r="G185" i="43"/>
  <c r="G184"/>
  <c r="G183"/>
  <c r="G180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/>
  <c r="G163"/>
  <c r="G162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/>
  <c r="G132"/>
  <c r="G131"/>
  <c r="G130"/>
  <c r="G129"/>
  <c r="G128"/>
  <c r="G12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/>
  <c r="G113"/>
  <c r="G112"/>
  <c r="G92"/>
  <c r="AL33" i="1" s="1"/>
  <c r="G91" i="43"/>
  <c r="G90"/>
  <c r="G89"/>
  <c r="G88"/>
  <c r="G87"/>
  <c r="AC33" i="1" s="1"/>
  <c r="G86" i="43"/>
  <c r="AB33" i="1" s="1"/>
  <c r="G85" i="43"/>
  <c r="AA33" i="1" s="1"/>
  <c r="G84" i="43"/>
  <c r="Z33" i="1" s="1"/>
  <c r="G83" i="43"/>
  <c r="G82"/>
  <c r="G78"/>
  <c r="AS34" i="44" s="1"/>
  <c r="G77" i="43"/>
  <c r="AR34" i="44" s="1"/>
  <c r="G76" i="43"/>
  <c r="AQ34" i="44" s="1"/>
  <c r="G75" i="43"/>
  <c r="AP34" i="44" s="1"/>
  <c r="G74" i="43"/>
  <c r="G70"/>
  <c r="AG15" i="45" s="1"/>
  <c r="G69" i="43"/>
  <c r="AG14" i="45" s="1"/>
  <c r="G68" i="43"/>
  <c r="AG13" i="45" s="1"/>
  <c r="G67" i="43"/>
  <c r="G66"/>
  <c r="G65"/>
  <c r="G63"/>
  <c r="AG8" i="45" s="1"/>
  <c r="G62" i="43"/>
  <c r="AG7" i="45" s="1"/>
  <c r="G58" i="4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30"/>
  <c r="G184"/>
  <c r="G183"/>
  <c r="G180"/>
  <c r="AF23" i="45" s="1"/>
  <c r="G179" i="30"/>
  <c r="AF22" i="45" s="1"/>
  <c r="G178" i="30"/>
  <c r="G175"/>
  <c r="AF19" i="45" s="1"/>
  <c r="G174" i="30"/>
  <c r="AF18" i="45" s="1"/>
  <c r="G173" i="30"/>
  <c r="AF17" i="45" s="1"/>
  <c r="G165" i="30"/>
  <c r="G164"/>
  <c r="G163"/>
  <c r="G162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/>
  <c r="G132"/>
  <c r="G131"/>
  <c r="G130"/>
  <c r="G129"/>
  <c r="G128"/>
  <c r="G123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/>
  <c r="G92"/>
  <c r="AL32" i="1" s="1"/>
  <c r="G91" i="30"/>
  <c r="G90"/>
  <c r="G89"/>
  <c r="G88"/>
  <c r="G87"/>
  <c r="AC32" i="1" s="1"/>
  <c r="G86" i="30"/>
  <c r="AB32" i="1" s="1"/>
  <c r="G85" i="30"/>
  <c r="AA32" i="1" s="1"/>
  <c r="G84" i="30"/>
  <c r="Z32" i="1" s="1"/>
  <c r="G83" i="30"/>
  <c r="G82"/>
  <c r="G78"/>
  <c r="AS33" i="44" s="1"/>
  <c r="G77" i="30"/>
  <c r="AR33" i="44" s="1"/>
  <c r="G76" i="30"/>
  <c r="AQ33" i="44" s="1"/>
  <c r="G75" i="30"/>
  <c r="AP33" i="44" s="1"/>
  <c r="G74" i="30"/>
  <c r="G70"/>
  <c r="AF15" i="45" s="1"/>
  <c r="G69" i="30"/>
  <c r="AF14" i="45" s="1"/>
  <c r="G68" i="30"/>
  <c r="AF13" i="45" s="1"/>
  <c r="G67" i="30"/>
  <c r="G66"/>
  <c r="G65"/>
  <c r="G63"/>
  <c r="AF8" i="45" s="1"/>
  <c r="G62" i="30"/>
  <c r="AF7" i="45" s="1"/>
  <c r="G58" i="3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9"/>
  <c r="G184"/>
  <c r="G183"/>
  <c r="G180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/>
  <c r="G163"/>
  <c r="G162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/>
  <c r="G132"/>
  <c r="G131"/>
  <c r="G130"/>
  <c r="G129"/>
  <c r="G128"/>
  <c r="G123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/>
  <c r="G113"/>
  <c r="G112"/>
  <c r="G92"/>
  <c r="AL31" i="1" s="1"/>
  <c r="G90" i="29"/>
  <c r="G89"/>
  <c r="G88"/>
  <c r="G87"/>
  <c r="AC31" i="1" s="1"/>
  <c r="G86" i="29"/>
  <c r="AB31" i="1" s="1"/>
  <c r="G85" i="29"/>
  <c r="AA31" i="1" s="1"/>
  <c r="G84" i="29"/>
  <c r="Z31" i="1" s="1"/>
  <c r="G83" i="29"/>
  <c r="G82"/>
  <c r="G78"/>
  <c r="AS32" i="44" s="1"/>
  <c r="G77" i="29"/>
  <c r="AR32" i="44" s="1"/>
  <c r="G76" i="29"/>
  <c r="AQ32" i="44" s="1"/>
  <c r="G75" i="29"/>
  <c r="AP32" i="44" s="1"/>
  <c r="G74" i="29"/>
  <c r="G70"/>
  <c r="AE15" i="45" s="1"/>
  <c r="G69" i="29"/>
  <c r="AE14" i="45" s="1"/>
  <c r="G68" i="29"/>
  <c r="AE13" i="45" s="1"/>
  <c r="G67" i="29"/>
  <c r="G66"/>
  <c r="G65"/>
  <c r="G63"/>
  <c r="AE8" i="45" s="1"/>
  <c r="G62" i="29"/>
  <c r="AE7" i="45" s="1"/>
  <c r="G58" i="2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8"/>
  <c r="G184"/>
  <c r="G183"/>
  <c r="G180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/>
  <c r="G163"/>
  <c r="G162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/>
  <c r="G132"/>
  <c r="G131"/>
  <c r="G130"/>
  <c r="G129"/>
  <c r="G128"/>
  <c r="G123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/>
  <c r="G113"/>
  <c r="G112"/>
  <c r="G92"/>
  <c r="AL30" i="1" s="1"/>
  <c r="G91" i="28"/>
  <c r="G90"/>
  <c r="G89"/>
  <c r="G88"/>
  <c r="G87"/>
  <c r="AC30" i="1" s="1"/>
  <c r="G86" i="28"/>
  <c r="AB30" i="1" s="1"/>
  <c r="G85" i="28"/>
  <c r="AA30" i="1" s="1"/>
  <c r="Z30"/>
  <c r="G83" i="28"/>
  <c r="G82"/>
  <c r="G78"/>
  <c r="AS31" i="44" s="1"/>
  <c r="G77" i="28"/>
  <c r="AR31" i="44" s="1"/>
  <c r="G76" i="28"/>
  <c r="AQ31" i="44" s="1"/>
  <c r="G75" i="28"/>
  <c r="AP31" i="44" s="1"/>
  <c r="G74" i="28"/>
  <c r="G70"/>
  <c r="G69"/>
  <c r="G68"/>
  <c r="G67"/>
  <c r="G66"/>
  <c r="G65"/>
  <c r="G63"/>
  <c r="G62"/>
  <c r="AD7" i="45" s="1"/>
  <c r="G58" i="2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7"/>
  <c r="G184"/>
  <c r="G183"/>
  <c r="G180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/>
  <c r="G163"/>
  <c r="G162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/>
  <c r="G132"/>
  <c r="G131"/>
  <c r="G130"/>
  <c r="G129"/>
  <c r="G128"/>
  <c r="G123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/>
  <c r="G113"/>
  <c r="G112"/>
  <c r="G92"/>
  <c r="AL29" i="1" s="1"/>
  <c r="G91" i="27"/>
  <c r="G90"/>
  <c r="G89"/>
  <c r="G88"/>
  <c r="G87"/>
  <c r="AC29" i="1" s="1"/>
  <c r="G86" i="27"/>
  <c r="AB29" i="1" s="1"/>
  <c r="G85" i="27"/>
  <c r="AA29" i="1" s="1"/>
  <c r="G84" i="27"/>
  <c r="Z29" i="1" s="1"/>
  <c r="G83" i="27"/>
  <c r="G82"/>
  <c r="G78"/>
  <c r="AS30" i="44" s="1"/>
  <c r="G77" i="27"/>
  <c r="AR30" i="44" s="1"/>
  <c r="G76" i="27"/>
  <c r="AQ30" i="44" s="1"/>
  <c r="G75" i="27"/>
  <c r="AP30" i="44" s="1"/>
  <c r="G74" i="27"/>
  <c r="G70"/>
  <c r="AC15" i="45" s="1"/>
  <c r="G69" i="27"/>
  <c r="AC14" i="45" s="1"/>
  <c r="G68" i="27"/>
  <c r="AC13" i="45" s="1"/>
  <c r="G67" i="27"/>
  <c r="G66"/>
  <c r="G65"/>
  <c r="G63"/>
  <c r="AC8" i="45" s="1"/>
  <c r="G62" i="27"/>
  <c r="AC7" i="45" s="1"/>
  <c r="G58" i="2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40"/>
  <c r="G184"/>
  <c r="G183"/>
  <c r="G18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/>
  <c r="G163"/>
  <c r="G162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/>
  <c r="G132"/>
  <c r="G131"/>
  <c r="G130"/>
  <c r="G129"/>
  <c r="G128"/>
  <c r="G123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/>
  <c r="G113"/>
  <c r="G112"/>
  <c r="G92"/>
  <c r="AL28" i="1" s="1"/>
  <c r="G91" i="40"/>
  <c r="G90"/>
  <c r="G89"/>
  <c r="G88"/>
  <c r="G87"/>
  <c r="AC28" i="1" s="1"/>
  <c r="G86" i="40"/>
  <c r="AB28" i="1" s="1"/>
  <c r="G85" i="40"/>
  <c r="AA28" i="1" s="1"/>
  <c r="Z28"/>
  <c r="G83" i="40"/>
  <c r="G82"/>
  <c r="G78"/>
  <c r="AS29" i="44" s="1"/>
  <c r="G77" i="40"/>
  <c r="AR29" i="44" s="1"/>
  <c r="G76" i="40"/>
  <c r="AQ29" i="44" s="1"/>
  <c r="G75" i="40"/>
  <c r="AP29" i="44" s="1"/>
  <c r="G74" i="40"/>
  <c r="G70"/>
  <c r="AB15" i="45" s="1"/>
  <c r="G69" i="40"/>
  <c r="AB14" i="45" s="1"/>
  <c r="AB13"/>
  <c r="G67" i="40"/>
  <c r="G66"/>
  <c r="G65"/>
  <c r="G63"/>
  <c r="AB8" i="45" s="1"/>
  <c r="G62" i="40"/>
  <c r="AB7" i="45" s="1"/>
  <c r="G58" i="4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5"/>
  <c r="G184"/>
  <c r="G183"/>
  <c r="G180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/>
  <c r="G163"/>
  <c r="G162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/>
  <c r="G132"/>
  <c r="G131"/>
  <c r="G130"/>
  <c r="G129"/>
  <c r="G128"/>
  <c r="G123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/>
  <c r="G113"/>
  <c r="G112"/>
  <c r="G92"/>
  <c r="AL27" i="1" s="1"/>
  <c r="G91" i="25"/>
  <c r="G90"/>
  <c r="G89"/>
  <c r="G88"/>
  <c r="G87"/>
  <c r="AC27" i="1" s="1"/>
  <c r="G86" i="25"/>
  <c r="AB27" i="1" s="1"/>
  <c r="G85" i="25"/>
  <c r="AA27" i="1" s="1"/>
  <c r="G84" i="25"/>
  <c r="Z27" i="1" s="1"/>
  <c r="G83" i="25"/>
  <c r="G82"/>
  <c r="G78"/>
  <c r="AS28" i="44" s="1"/>
  <c r="G77" i="25"/>
  <c r="AR28" i="44" s="1"/>
  <c r="G76" i="25"/>
  <c r="AQ28" i="44" s="1"/>
  <c r="G75" i="25"/>
  <c r="AP28" i="44" s="1"/>
  <c r="G74" i="25"/>
  <c r="G70"/>
  <c r="AA15" i="45" s="1"/>
  <c r="G69" i="25"/>
  <c r="AA14" i="45" s="1"/>
  <c r="G68" i="25"/>
  <c r="AA13" i="45" s="1"/>
  <c r="G67" i="25"/>
  <c r="G66"/>
  <c r="G65"/>
  <c r="G63"/>
  <c r="AA8" i="45" s="1"/>
  <c r="G62" i="25"/>
  <c r="AA7" i="45" s="1"/>
  <c r="G58" i="25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4"/>
  <c r="G184"/>
  <c r="G183"/>
  <c r="G180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/>
  <c r="G163"/>
  <c r="G162"/>
  <c r="AB27" i="44" s="1"/>
  <c r="G161" i="24"/>
  <c r="AA27" i="44" s="1"/>
  <c r="G140" i="24"/>
  <c r="P27" i="44" s="1"/>
  <c r="G139" i="24"/>
  <c r="O27" i="44" s="1"/>
  <c r="G138" i="24"/>
  <c r="G133"/>
  <c r="G132"/>
  <c r="G131"/>
  <c r="G130"/>
  <c r="G129"/>
  <c r="G128"/>
  <c r="G123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/>
  <c r="G113"/>
  <c r="G112"/>
  <c r="G92"/>
  <c r="AL26" i="1" s="1"/>
  <c r="G91" i="24"/>
  <c r="G90"/>
  <c r="G89"/>
  <c r="G88"/>
  <c r="G87"/>
  <c r="AC26" i="1" s="1"/>
  <c r="G86" i="24"/>
  <c r="AB26" i="1" s="1"/>
  <c r="G85" i="24"/>
  <c r="AA26" i="1" s="1"/>
  <c r="G84" i="24"/>
  <c r="Z26" i="1" s="1"/>
  <c r="G83" i="24"/>
  <c r="G82"/>
  <c r="G78"/>
  <c r="AS27" i="44" s="1"/>
  <c r="G77" i="24"/>
  <c r="AR27" i="44" s="1"/>
  <c r="G76" i="24"/>
  <c r="AQ27" i="44" s="1"/>
  <c r="G75" i="24"/>
  <c r="AP27" i="44" s="1"/>
  <c r="G74" i="24"/>
  <c r="G70"/>
  <c r="Z15" i="45" s="1"/>
  <c r="G69" i="24"/>
  <c r="Z14" i="45" s="1"/>
  <c r="G68" i="24"/>
  <c r="Z13" i="45" s="1"/>
  <c r="G67" i="24"/>
  <c r="G66"/>
  <c r="G65"/>
  <c r="G63"/>
  <c r="Z8" i="45" s="1"/>
  <c r="G62" i="24"/>
  <c r="Z7" i="45" s="1"/>
  <c r="G58" i="2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3"/>
  <c r="G184"/>
  <c r="G183"/>
  <c r="G180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/>
  <c r="G163"/>
  <c r="G162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/>
  <c r="G132"/>
  <c r="G131"/>
  <c r="G129"/>
  <c r="G128"/>
  <c r="G1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/>
  <c r="G113"/>
  <c r="G112"/>
  <c r="G92"/>
  <c r="AL25" i="1" s="1"/>
  <c r="G91" i="23"/>
  <c r="G90"/>
  <c r="G89"/>
  <c r="G88"/>
  <c r="G87"/>
  <c r="AC25" i="1" s="1"/>
  <c r="G86" i="23"/>
  <c r="AB25" i="1" s="1"/>
  <c r="G85" i="23"/>
  <c r="AA25" i="1" s="1"/>
  <c r="G84" i="23"/>
  <c r="Z25" i="1" s="1"/>
  <c r="G83" i="23"/>
  <c r="G82"/>
  <c r="G78"/>
  <c r="AS26" i="44" s="1"/>
  <c r="G77" i="23"/>
  <c r="AR26" i="44" s="1"/>
  <c r="G76" i="23"/>
  <c r="AQ26" i="44" s="1"/>
  <c r="G75" i="23"/>
  <c r="AP26" i="44" s="1"/>
  <c r="G74" i="23"/>
  <c r="G70"/>
  <c r="Y15" i="45" s="1"/>
  <c r="G69" i="23"/>
  <c r="Y14" i="45" s="1"/>
  <c r="G68" i="23"/>
  <c r="Y13" i="45" s="1"/>
  <c r="G67" i="23"/>
  <c r="G66"/>
  <c r="G65"/>
  <c r="G63"/>
  <c r="Y8" i="45" s="1"/>
  <c r="G62" i="23"/>
  <c r="Y7" i="45" s="1"/>
  <c r="G58" i="23"/>
  <c r="G57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2"/>
  <c r="G184"/>
  <c r="G183"/>
  <c r="G180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/>
  <c r="G163"/>
  <c r="G16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/>
  <c r="G132"/>
  <c r="G131"/>
  <c r="G130"/>
  <c r="G129"/>
  <c r="G128"/>
  <c r="G123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/>
  <c r="G113"/>
  <c r="G112"/>
  <c r="G92"/>
  <c r="AL24" i="1" s="1"/>
  <c r="G91" i="22"/>
  <c r="G90"/>
  <c r="G89"/>
  <c r="G88"/>
  <c r="G87"/>
  <c r="AC24" i="1" s="1"/>
  <c r="G86" i="22"/>
  <c r="AB24" i="1" s="1"/>
  <c r="G85" i="22"/>
  <c r="AA24" i="1" s="1"/>
  <c r="G84" i="22"/>
  <c r="Z24" i="1" s="1"/>
  <c r="G83" i="22"/>
  <c r="G82"/>
  <c r="G78"/>
  <c r="AS25" i="44" s="1"/>
  <c r="G77" i="22"/>
  <c r="AR25" i="44" s="1"/>
  <c r="G76" i="22"/>
  <c r="AQ25" i="44" s="1"/>
  <c r="G75" i="22"/>
  <c r="AP25" i="44" s="1"/>
  <c r="G74" i="22"/>
  <c r="G70"/>
  <c r="X15" i="45" s="1"/>
  <c r="G69" i="22"/>
  <c r="X14" i="45" s="1"/>
  <c r="G68" i="22"/>
  <c r="X13" i="45" s="1"/>
  <c r="G67" i="22"/>
  <c r="G66"/>
  <c r="G65"/>
  <c r="G63"/>
  <c r="X8" i="45" s="1"/>
  <c r="G62" i="22"/>
  <c r="X7" i="45" s="1"/>
  <c r="G58" i="2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1"/>
  <c r="G184"/>
  <c r="G183"/>
  <c r="G180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/>
  <c r="G163"/>
  <c r="G162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/>
  <c r="G132"/>
  <c r="G131"/>
  <c r="G130"/>
  <c r="G129"/>
  <c r="G128"/>
  <c r="G123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/>
  <c r="G113"/>
  <c r="G112"/>
  <c r="G92"/>
  <c r="AL23" i="1" s="1"/>
  <c r="G91" i="21"/>
  <c r="G90"/>
  <c r="G89"/>
  <c r="G88"/>
  <c r="G87"/>
  <c r="AC23" i="1" s="1"/>
  <c r="G86" i="21"/>
  <c r="AB23" i="1" s="1"/>
  <c r="G85" i="21"/>
  <c r="AA23" i="1" s="1"/>
  <c r="G84" i="21"/>
  <c r="Z23" i="1" s="1"/>
  <c r="G83" i="21"/>
  <c r="G82"/>
  <c r="G78"/>
  <c r="AS24" i="44" s="1"/>
  <c r="G77" i="21"/>
  <c r="AR24" i="44" s="1"/>
  <c r="G76" i="21"/>
  <c r="AQ24" i="44" s="1"/>
  <c r="G75" i="21"/>
  <c r="AP24" i="44" s="1"/>
  <c r="G74" i="21"/>
  <c r="G70"/>
  <c r="W15" i="45" s="1"/>
  <c r="G69" i="21"/>
  <c r="W14" i="45" s="1"/>
  <c r="G68" i="21"/>
  <c r="W13" i="45" s="1"/>
  <c r="G67" i="21"/>
  <c r="G66"/>
  <c r="G65"/>
  <c r="G63"/>
  <c r="W8" i="45" s="1"/>
  <c r="G62" i="21"/>
  <c r="G58"/>
  <c r="G57"/>
  <c r="G56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0"/>
  <c r="G184"/>
  <c r="G183"/>
  <c r="G18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/>
  <c r="G163"/>
  <c r="G162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/>
  <c r="G132"/>
  <c r="G131"/>
  <c r="G130"/>
  <c r="G129"/>
  <c r="G128"/>
  <c r="G123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/>
  <c r="G113"/>
  <c r="G112"/>
  <c r="G92"/>
  <c r="AL22" i="1" s="1"/>
  <c r="G91" i="20"/>
  <c r="G90"/>
  <c r="G89"/>
  <c r="G88"/>
  <c r="G87"/>
  <c r="AC22" i="1" s="1"/>
  <c r="G86" i="20"/>
  <c r="AB22" i="1" s="1"/>
  <c r="G85" i="20"/>
  <c r="AA22" i="1" s="1"/>
  <c r="G84" i="20"/>
  <c r="Z22" i="1" s="1"/>
  <c r="G83" i="20"/>
  <c r="G82"/>
  <c r="G78"/>
  <c r="AS23" i="44" s="1"/>
  <c r="G77" i="20"/>
  <c r="AR23" i="44" s="1"/>
  <c r="G76" i="20"/>
  <c r="AQ23" i="44" s="1"/>
  <c r="G75" i="20"/>
  <c r="AP23" i="44" s="1"/>
  <c r="G74" i="20"/>
  <c r="G70"/>
  <c r="V15" i="45" s="1"/>
  <c r="G69" i="20"/>
  <c r="V14" i="45" s="1"/>
  <c r="G68" i="20"/>
  <c r="V13" i="45" s="1"/>
  <c r="G67" i="20"/>
  <c r="G66"/>
  <c r="G65"/>
  <c r="G63"/>
  <c r="V8" i="45" s="1"/>
  <c r="G62" i="20"/>
  <c r="V7" i="45" s="1"/>
  <c r="G58" i="2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9"/>
  <c r="G184"/>
  <c r="G183"/>
  <c r="G180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/>
  <c r="G163"/>
  <c r="G162"/>
  <c r="AB22" i="44" s="1"/>
  <c r="G161" i="19"/>
  <c r="G142"/>
  <c r="R22" i="44" s="1"/>
  <c r="G141" i="19"/>
  <c r="Q22" i="44" s="1"/>
  <c r="G140" i="19"/>
  <c r="P22" i="44" s="1"/>
  <c r="G139" i="19"/>
  <c r="O22" i="44" s="1"/>
  <c r="G138" i="19"/>
  <c r="G133"/>
  <c r="G132"/>
  <c r="G131"/>
  <c r="G130"/>
  <c r="G129"/>
  <c r="G128"/>
  <c r="G123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/>
  <c r="G113"/>
  <c r="G112"/>
  <c r="G92"/>
  <c r="AL21" i="1" s="1"/>
  <c r="G91" i="19"/>
  <c r="G90"/>
  <c r="G89"/>
  <c r="G88"/>
  <c r="G87"/>
  <c r="AC21" i="1" s="1"/>
  <c r="G86" i="19"/>
  <c r="AB21" i="1" s="1"/>
  <c r="G85" i="19"/>
  <c r="AA21" i="1" s="1"/>
  <c r="Z21"/>
  <c r="G83" i="19"/>
  <c r="G82"/>
  <c r="G78"/>
  <c r="AS22" i="44" s="1"/>
  <c r="G77" i="19"/>
  <c r="AR22" i="44" s="1"/>
  <c r="AQ22"/>
  <c r="G75" i="19"/>
  <c r="AP22" i="44" s="1"/>
  <c r="G70" i="19"/>
  <c r="U15" i="45" s="1"/>
  <c r="G69" i="19"/>
  <c r="U14" i="45" s="1"/>
  <c r="G68" i="19"/>
  <c r="U13" i="45" s="1"/>
  <c r="G66" i="19"/>
  <c r="G65"/>
  <c r="G63"/>
  <c r="U8" i="45" s="1"/>
  <c r="G62" i="19"/>
  <c r="U7" i="45" s="1"/>
  <c r="G58" i="1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18"/>
  <c r="E31" s="1"/>
  <c r="G31" s="1"/>
  <c r="K9"/>
  <c r="M8"/>
  <c r="G185" i="18"/>
  <c r="G184"/>
  <c r="G183"/>
  <c r="G180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/>
  <c r="G163"/>
  <c r="G162"/>
  <c r="AB21" i="44" s="1"/>
  <c r="G161" i="18"/>
  <c r="G142"/>
  <c r="R21" i="44" s="1"/>
  <c r="G141" i="18"/>
  <c r="Q21" i="44" s="1"/>
  <c r="G140" i="18"/>
  <c r="P21" i="44" s="1"/>
  <c r="G139" i="18"/>
  <c r="O21" i="44" s="1"/>
  <c r="G138" i="18"/>
  <c r="G133"/>
  <c r="G132"/>
  <c r="G131"/>
  <c r="G130"/>
  <c r="G129"/>
  <c r="G128"/>
  <c r="G123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/>
  <c r="G113"/>
  <c r="G112"/>
  <c r="G92"/>
  <c r="AL20" i="1" s="1"/>
  <c r="G91" i="18"/>
  <c r="G90"/>
  <c r="G89"/>
  <c r="G88"/>
  <c r="G87"/>
  <c r="AC20" i="1" s="1"/>
  <c r="G86" i="18"/>
  <c r="AB20" i="1" s="1"/>
  <c r="G85" i="18"/>
  <c r="AA20" i="1" s="1"/>
  <c r="G84" i="18"/>
  <c r="Z20" i="1" s="1"/>
  <c r="G83" i="18"/>
  <c r="G82"/>
  <c r="G78"/>
  <c r="AS21" i="44" s="1"/>
  <c r="G77" i="18"/>
  <c r="AR21" i="44" s="1"/>
  <c r="G76" i="18"/>
  <c r="AQ21" i="44" s="1"/>
  <c r="G75" i="18"/>
  <c r="AP21" i="44" s="1"/>
  <c r="G74" i="18"/>
  <c r="G70"/>
  <c r="T15" i="45" s="1"/>
  <c r="G69" i="18"/>
  <c r="T14" i="45" s="1"/>
  <c r="G68" i="18"/>
  <c r="T13" i="45" s="1"/>
  <c r="G67" i="18"/>
  <c r="G66"/>
  <c r="G65"/>
  <c r="G63"/>
  <c r="T8" i="45" s="1"/>
  <c r="G62" i="18"/>
  <c r="T7" i="45" s="1"/>
  <c r="G58" i="1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7"/>
  <c r="G184"/>
  <c r="G183"/>
  <c r="G180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/>
  <c r="G163"/>
  <c r="G162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/>
  <c r="G132"/>
  <c r="G131"/>
  <c r="G130"/>
  <c r="G129"/>
  <c r="G128"/>
  <c r="G123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/>
  <c r="G112"/>
  <c r="AL19" i="1"/>
  <c r="G90" i="17"/>
  <c r="G89"/>
  <c r="G88"/>
  <c r="G87"/>
  <c r="AC19" i="1" s="1"/>
  <c r="G86" i="17"/>
  <c r="AB19" i="1" s="1"/>
  <c r="G85" i="17"/>
  <c r="AA19" i="1" s="1"/>
  <c r="G84" i="17"/>
  <c r="Z19" i="1" s="1"/>
  <c r="G83" i="17"/>
  <c r="G82"/>
  <c r="G78"/>
  <c r="AS20" i="44" s="1"/>
  <c r="G77" i="17"/>
  <c r="AR20" i="44" s="1"/>
  <c r="G76" i="17"/>
  <c r="AQ20" i="44" s="1"/>
  <c r="G75" i="17"/>
  <c r="AP20" i="44" s="1"/>
  <c r="G74" i="17"/>
  <c r="G70"/>
  <c r="S15" i="45" s="1"/>
  <c r="G69" i="17"/>
  <c r="S14" i="45" s="1"/>
  <c r="G68" i="17"/>
  <c r="S13" i="45" s="1"/>
  <c r="G67" i="17"/>
  <c r="G66"/>
  <c r="G65"/>
  <c r="G63"/>
  <c r="S8" i="45" s="1"/>
  <c r="G62" i="17"/>
  <c r="S7" i="45" s="1"/>
  <c r="G58" i="1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6"/>
  <c r="G184"/>
  <c r="G183"/>
  <c r="G180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/>
  <c r="G163"/>
  <c r="G162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/>
  <c r="G132"/>
  <c r="G131"/>
  <c r="G130"/>
  <c r="G129"/>
  <c r="G128"/>
  <c r="G123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/>
  <c r="G113"/>
  <c r="G112"/>
  <c r="G92"/>
  <c r="AL18" i="1" s="1"/>
  <c r="G91" i="16"/>
  <c r="G90"/>
  <c r="G89"/>
  <c r="G88"/>
  <c r="G87"/>
  <c r="AC18" i="1" s="1"/>
  <c r="G86" i="16"/>
  <c r="AB18" i="1" s="1"/>
  <c r="G85" i="16"/>
  <c r="AA18" i="1" s="1"/>
  <c r="G84" i="16"/>
  <c r="Z18" i="1" s="1"/>
  <c r="G83" i="16"/>
  <c r="G82"/>
  <c r="G78"/>
  <c r="AS19" i="44" s="1"/>
  <c r="G77" i="16"/>
  <c r="AR19" i="44" s="1"/>
  <c r="G76" i="16"/>
  <c r="AQ19" i="44" s="1"/>
  <c r="G75" i="16"/>
  <c r="AP19" i="44" s="1"/>
  <c r="G74" i="16"/>
  <c r="G70"/>
  <c r="R15" i="45" s="1"/>
  <c r="G69" i="16"/>
  <c r="R14" i="45" s="1"/>
  <c r="G68" i="16"/>
  <c r="R13" i="45" s="1"/>
  <c r="G67" i="16"/>
  <c r="G66"/>
  <c r="G65"/>
  <c r="G63"/>
  <c r="R8" i="45" s="1"/>
  <c r="G62" i="16"/>
  <c r="R7" i="45" s="1"/>
  <c r="G58" i="16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K9"/>
  <c r="M8"/>
  <c r="G185" i="15"/>
  <c r="G184"/>
  <c r="G183"/>
  <c r="G180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/>
  <c r="G163"/>
  <c r="G162"/>
  <c r="AB18" i="44" s="1"/>
  <c r="G161" i="15"/>
  <c r="G142"/>
  <c r="R18" i="44" s="1"/>
  <c r="G141" i="15"/>
  <c r="Q18" i="44" s="1"/>
  <c r="G140" i="15"/>
  <c r="P18" i="44" s="1"/>
  <c r="G139" i="15"/>
  <c r="O18" i="44" s="1"/>
  <c r="G138" i="15"/>
  <c r="G133"/>
  <c r="G132"/>
  <c r="G131"/>
  <c r="G130"/>
  <c r="G129"/>
  <c r="G128"/>
  <c r="G123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/>
  <c r="G113"/>
  <c r="G112"/>
  <c r="G92"/>
  <c r="AL17" i="1" s="1"/>
  <c r="G91" i="15"/>
  <c r="G90"/>
  <c r="G89"/>
  <c r="G88"/>
  <c r="G87"/>
  <c r="AC17" i="1" s="1"/>
  <c r="G86" i="15"/>
  <c r="AB17" i="1" s="1"/>
  <c r="G85" i="15"/>
  <c r="AA17" i="1" s="1"/>
  <c r="G84" i="15"/>
  <c r="Z17" i="1" s="1"/>
  <c r="G83" i="15"/>
  <c r="G82"/>
  <c r="G78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/>
  <c r="G65"/>
  <c r="G63"/>
  <c r="Q8" i="45" s="1"/>
  <c r="G62" i="15"/>
  <c r="Q7" i="45" s="1"/>
  <c r="G58" i="15"/>
  <c r="G57"/>
  <c r="G56"/>
  <c r="G55"/>
  <c r="G54"/>
  <c r="G53"/>
  <c r="G52"/>
  <c r="G51"/>
  <c r="G50"/>
  <c r="G49"/>
  <c r="G46"/>
  <c r="G45"/>
  <c r="G44"/>
  <c r="AO17" i="1" s="1"/>
  <c r="G43" i="15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4"/>
  <c r="G184"/>
  <c r="G183"/>
  <c r="G180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/>
  <c r="G163"/>
  <c r="G162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/>
  <c r="G132"/>
  <c r="G131"/>
  <c r="G130"/>
  <c r="G129"/>
  <c r="G128"/>
  <c r="G123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/>
  <c r="G113"/>
  <c r="G112"/>
  <c r="G92"/>
  <c r="AL16" i="1" s="1"/>
  <c r="G91" i="14"/>
  <c r="G90"/>
  <c r="G89"/>
  <c r="G88"/>
  <c r="G87"/>
  <c r="AC16" i="1" s="1"/>
  <c r="G86" i="14"/>
  <c r="AB16" i="1" s="1"/>
  <c r="G85" i="14"/>
  <c r="AA16" i="1" s="1"/>
  <c r="G84" i="14"/>
  <c r="Z16" i="1" s="1"/>
  <c r="G83" i="14"/>
  <c r="G82"/>
  <c r="G78"/>
  <c r="AS17" i="44" s="1"/>
  <c r="G77" i="14"/>
  <c r="AR17" i="44" s="1"/>
  <c r="G76" i="14"/>
  <c r="AQ17" i="44" s="1"/>
  <c r="G75" i="14"/>
  <c r="AP17" i="44" s="1"/>
  <c r="G74" i="14"/>
  <c r="G70"/>
  <c r="P15" i="45" s="1"/>
  <c r="G69" i="14"/>
  <c r="P14" i="45" s="1"/>
  <c r="G68" i="14"/>
  <c r="P13" i="45" s="1"/>
  <c r="G67" i="14"/>
  <c r="G66"/>
  <c r="G65"/>
  <c r="G63"/>
  <c r="P8" i="45" s="1"/>
  <c r="G62" i="14"/>
  <c r="P7" i="45" s="1"/>
  <c r="G58" i="1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3"/>
  <c r="G184"/>
  <c r="G183"/>
  <c r="G180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/>
  <c r="G163"/>
  <c r="G162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/>
  <c r="G132"/>
  <c r="G131"/>
  <c r="G130"/>
  <c r="G129"/>
  <c r="G128"/>
  <c r="G12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/>
  <c r="G113"/>
  <c r="G112"/>
  <c r="G92"/>
  <c r="AL15" i="1" s="1"/>
  <c r="G91" i="13"/>
  <c r="G90"/>
  <c r="G89"/>
  <c r="G88"/>
  <c r="G87"/>
  <c r="AC15" i="1" s="1"/>
  <c r="G86" i="13"/>
  <c r="AB15" i="1" s="1"/>
  <c r="G85" i="13"/>
  <c r="AA15" i="1" s="1"/>
  <c r="G84" i="13"/>
  <c r="Z15" i="1" s="1"/>
  <c r="G83" i="13"/>
  <c r="G82"/>
  <c r="G78"/>
  <c r="AS16" i="44" s="1"/>
  <c r="G77" i="13"/>
  <c r="AR16" i="44" s="1"/>
  <c r="G76" i="13"/>
  <c r="AQ16" i="44" s="1"/>
  <c r="G75" i="13"/>
  <c r="AP16" i="44" s="1"/>
  <c r="G74" i="13"/>
  <c r="G70"/>
  <c r="G69"/>
  <c r="O14" i="45" s="1"/>
  <c r="G68" i="13"/>
  <c r="O13" i="45" s="1"/>
  <c r="G67" i="13"/>
  <c r="G66"/>
  <c r="G65"/>
  <c r="G63"/>
  <c r="O8" i="45" s="1"/>
  <c r="G62" i="1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2"/>
  <c r="G184"/>
  <c r="G183"/>
  <c r="G180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/>
  <c r="G163"/>
  <c r="G16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/>
  <c r="G132"/>
  <c r="G131"/>
  <c r="G130"/>
  <c r="G129"/>
  <c r="G128"/>
  <c r="G123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/>
  <c r="G113"/>
  <c r="G112"/>
  <c r="G92"/>
  <c r="AL14" i="1" s="1"/>
  <c r="G91" i="12"/>
  <c r="G90"/>
  <c r="G89"/>
  <c r="G88"/>
  <c r="G87"/>
  <c r="AC14" i="1" s="1"/>
  <c r="G86" i="12"/>
  <c r="AB14" i="1" s="1"/>
  <c r="G85" i="12"/>
  <c r="AA14" i="1" s="1"/>
  <c r="G84" i="12"/>
  <c r="Z14" i="1" s="1"/>
  <c r="G83" i="12"/>
  <c r="G82"/>
  <c r="G78"/>
  <c r="AS15" i="44" s="1"/>
  <c r="G77" i="12"/>
  <c r="AR15" i="44" s="1"/>
  <c r="G76" i="12"/>
  <c r="AQ15" i="44" s="1"/>
  <c r="G75" i="12"/>
  <c r="AP15" i="44" s="1"/>
  <c r="G74" i="12"/>
  <c r="G70"/>
  <c r="N15" i="45" s="1"/>
  <c r="G69" i="12"/>
  <c r="N14" i="45" s="1"/>
  <c r="G68" i="12"/>
  <c r="N13" i="45" s="1"/>
  <c r="G67" i="12"/>
  <c r="G66"/>
  <c r="G65"/>
  <c r="G63"/>
  <c r="N8" i="45" s="1"/>
  <c r="G62" i="1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1"/>
  <c r="G184"/>
  <c r="G183"/>
  <c r="G180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/>
  <c r="G163"/>
  <c r="G162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/>
  <c r="AM14" i="44" s="1"/>
  <c r="G132" i="11"/>
  <c r="G131"/>
  <c r="G130"/>
  <c r="G129"/>
  <c r="G128"/>
  <c r="G123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/>
  <c r="G113"/>
  <c r="G112"/>
  <c r="G92"/>
  <c r="AL13" i="1" s="1"/>
  <c r="G91" i="11"/>
  <c r="G90"/>
  <c r="G89"/>
  <c r="G88"/>
  <c r="G87"/>
  <c r="AC13" i="1" s="1"/>
  <c r="G86" i="11"/>
  <c r="AB13" i="1" s="1"/>
  <c r="G85" i="11"/>
  <c r="AA13" i="1" s="1"/>
  <c r="G84" i="11"/>
  <c r="Z13" i="1" s="1"/>
  <c r="G83" i="11"/>
  <c r="G82"/>
  <c r="G78"/>
  <c r="AS14" i="44" s="1"/>
  <c r="G77" i="11"/>
  <c r="AR14" i="44" s="1"/>
  <c r="G76" i="11"/>
  <c r="AQ14" i="44" s="1"/>
  <c r="G75" i="11"/>
  <c r="AP14" i="44" s="1"/>
  <c r="G74" i="11"/>
  <c r="G70"/>
  <c r="M15" i="45" s="1"/>
  <c r="G69" i="11"/>
  <c r="M14" i="45" s="1"/>
  <c r="G68" i="11"/>
  <c r="M13" i="45" s="1"/>
  <c r="G67" i="11"/>
  <c r="G66"/>
  <c r="G65"/>
  <c r="G63"/>
  <c r="M8" i="45" s="1"/>
  <c r="G62" i="11"/>
  <c r="M7" i="45" s="1"/>
  <c r="G58" i="1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0"/>
  <c r="G184"/>
  <c r="G183"/>
  <c r="G18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/>
  <c r="G163"/>
  <c r="G162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/>
  <c r="AM13" i="44" s="1"/>
  <c r="G132" i="10"/>
  <c r="G131"/>
  <c r="G130"/>
  <c r="G129"/>
  <c r="G128"/>
  <c r="G123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/>
  <c r="G113"/>
  <c r="G112"/>
  <c r="G92"/>
  <c r="AL12" i="1" s="1"/>
  <c r="G91" i="10"/>
  <c r="G90"/>
  <c r="G89"/>
  <c r="G88"/>
  <c r="G87"/>
  <c r="AC12" i="1" s="1"/>
  <c r="G86" i="10"/>
  <c r="AB12" i="1" s="1"/>
  <c r="G85" i="10"/>
  <c r="AA12" i="1" s="1"/>
  <c r="G84" i="10"/>
  <c r="Z12" i="1" s="1"/>
  <c r="G83" i="10"/>
  <c r="G82"/>
  <c r="G78"/>
  <c r="AS13" i="44" s="1"/>
  <c r="G77" i="10"/>
  <c r="AR13" i="44" s="1"/>
  <c r="G76" i="10"/>
  <c r="AQ13" i="44" s="1"/>
  <c r="G75" i="10"/>
  <c r="AP13" i="44" s="1"/>
  <c r="G74" i="10"/>
  <c r="G70"/>
  <c r="L15" i="45" s="1"/>
  <c r="G69" i="10"/>
  <c r="L14" i="45" s="1"/>
  <c r="G68" i="10"/>
  <c r="L13" i="45" s="1"/>
  <c r="G67" i="10"/>
  <c r="G66"/>
  <c r="G65"/>
  <c r="G63"/>
  <c r="L8" i="45" s="1"/>
  <c r="G62" i="10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9"/>
  <c r="G184"/>
  <c r="G183"/>
  <c r="G180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/>
  <c r="G163"/>
  <c r="G162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/>
  <c r="AM12" i="44" s="1"/>
  <c r="G132" i="9"/>
  <c r="G131"/>
  <c r="G130"/>
  <c r="G129"/>
  <c r="G128"/>
  <c r="G123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/>
  <c r="G113"/>
  <c r="G112"/>
  <c r="G92"/>
  <c r="AL11" i="1" s="1"/>
  <c r="G91" i="9"/>
  <c r="G90"/>
  <c r="G89"/>
  <c r="G88"/>
  <c r="G87"/>
  <c r="AC11" i="1" s="1"/>
  <c r="G86" i="9"/>
  <c r="AB11" i="1" s="1"/>
  <c r="G85" i="9"/>
  <c r="AA11" i="1" s="1"/>
  <c r="G84" i="9"/>
  <c r="Z11" i="1" s="1"/>
  <c r="G83" i="9"/>
  <c r="G82"/>
  <c r="G78"/>
  <c r="AS12" i="44" s="1"/>
  <c r="G77" i="9"/>
  <c r="AR12" i="44" s="1"/>
  <c r="G76" i="9"/>
  <c r="AQ12" i="44" s="1"/>
  <c r="G75" i="9"/>
  <c r="AP12" i="44" s="1"/>
  <c r="G74" i="9"/>
  <c r="G70"/>
  <c r="K15" i="45" s="1"/>
  <c r="G69" i="9"/>
  <c r="K14" i="45" s="1"/>
  <c r="G68" i="9"/>
  <c r="K13" i="45" s="1"/>
  <c r="G67" i="9"/>
  <c r="G66"/>
  <c r="G65"/>
  <c r="G63"/>
  <c r="K8" i="45" s="1"/>
  <c r="G62" i="9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G10"/>
  <c r="K9"/>
  <c r="M8"/>
  <c r="G188" i="29" l="1"/>
  <c r="AD8" i="45"/>
  <c r="AD13"/>
  <c r="AD15"/>
  <c r="AD14"/>
  <c r="G47" i="17"/>
  <c r="N7" i="45"/>
  <c r="O15"/>
  <c r="G188" i="13"/>
  <c r="G13" i="3"/>
  <c r="H13" s="1"/>
  <c r="J13" s="1"/>
  <c r="E19" i="7"/>
  <c r="E15" i="8"/>
  <c r="G15" i="18"/>
  <c r="G79" s="1"/>
  <c r="G80" s="1"/>
  <c r="E7" i="8"/>
  <c r="G10" i="17"/>
  <c r="E8" i="8"/>
  <c r="E9"/>
  <c r="AD13" i="44"/>
  <c r="G47" i="29"/>
  <c r="AD29" i="44"/>
  <c r="G153" i="19"/>
  <c r="I153" s="1"/>
  <c r="G47"/>
  <c r="AD24" i="44"/>
  <c r="AD22"/>
  <c r="AD21"/>
  <c r="AD32"/>
  <c r="AD26"/>
  <c r="AD27"/>
  <c r="AD31"/>
  <c r="AD35"/>
  <c r="AD33"/>
  <c r="AD34"/>
  <c r="G153" i="29"/>
  <c r="I153" s="1"/>
  <c r="AD30" i="44"/>
  <c r="AD28"/>
  <c r="AD25"/>
  <c r="AD23"/>
  <c r="AD20"/>
  <c r="AD19"/>
  <c r="AD18"/>
  <c r="AD17"/>
  <c r="AD16"/>
  <c r="AD15"/>
  <c r="AD14"/>
  <c r="AD12"/>
  <c r="AF21" i="45"/>
  <c r="G181" i="30"/>
  <c r="G189" s="1"/>
  <c r="G135" i="12"/>
  <c r="I135" s="1"/>
  <c r="G135" i="19"/>
  <c r="I135" s="1"/>
  <c r="G135" i="9"/>
  <c r="I135" s="1"/>
  <c r="G125" i="23"/>
  <c r="I125" s="1"/>
  <c r="G135" i="22"/>
  <c r="I135" s="1"/>
  <c r="G125" i="11"/>
  <c r="I125" s="1"/>
  <c r="G135" i="13"/>
  <c r="I135" s="1"/>
  <c r="G135" i="28"/>
  <c r="I135" s="1"/>
  <c r="G125" i="31"/>
  <c r="I125" s="1"/>
  <c r="G135" i="40"/>
  <c r="I135" s="1"/>
  <c r="N25" i="44"/>
  <c r="G153" i="22"/>
  <c r="I153" s="1"/>
  <c r="N18" i="44"/>
  <c r="G153" i="15"/>
  <c r="I153" s="1"/>
  <c r="G135" i="18"/>
  <c r="I135" s="1"/>
  <c r="G125" i="20"/>
  <c r="I125" s="1"/>
  <c r="N26" i="44"/>
  <c r="G153" i="23"/>
  <c r="I153" s="1"/>
  <c r="G125" i="27"/>
  <c r="I125" s="1"/>
  <c r="N32" i="44"/>
  <c r="G135" i="43"/>
  <c r="I135" s="1"/>
  <c r="N29" i="44"/>
  <c r="G153" i="40"/>
  <c r="I153" s="1"/>
  <c r="G125" i="10"/>
  <c r="I125" s="1"/>
  <c r="N14" i="44"/>
  <c r="G153" i="11"/>
  <c r="I153" s="1"/>
  <c r="G125" i="14"/>
  <c r="I125" s="1"/>
  <c r="G125" i="16"/>
  <c r="I125" s="1"/>
  <c r="G125" i="30"/>
  <c r="I125" s="1"/>
  <c r="N35" i="44"/>
  <c r="G153" i="31"/>
  <c r="I153" s="1"/>
  <c r="G135" i="15"/>
  <c r="I135" s="1"/>
  <c r="G125" i="17"/>
  <c r="I125" s="1"/>
  <c r="N23" i="44"/>
  <c r="G153" i="20"/>
  <c r="I153" s="1"/>
  <c r="G125" i="21"/>
  <c r="I125" s="1"/>
  <c r="G125" i="25"/>
  <c r="I125" s="1"/>
  <c r="N30" i="44"/>
  <c r="G153" i="27"/>
  <c r="I153" s="1"/>
  <c r="G135" i="29"/>
  <c r="I135" s="1"/>
  <c r="N15" i="44"/>
  <c r="G153" i="12"/>
  <c r="I153" s="1"/>
  <c r="G125" i="9"/>
  <c r="I125" s="1"/>
  <c r="N13" i="44"/>
  <c r="G153" i="10"/>
  <c r="I153" s="1"/>
  <c r="G135" i="11"/>
  <c r="I135" s="1"/>
  <c r="G125" i="13"/>
  <c r="N17" i="44"/>
  <c r="G153" i="14"/>
  <c r="I153" s="1"/>
  <c r="N19" i="44"/>
  <c r="G153" i="16"/>
  <c r="I153" s="1"/>
  <c r="N20" i="44"/>
  <c r="G153" i="17"/>
  <c r="I153" s="1"/>
  <c r="G135" i="23"/>
  <c r="I135" s="1"/>
  <c r="G125" i="28"/>
  <c r="I125" s="1"/>
  <c r="N33" i="44"/>
  <c r="G153" i="30"/>
  <c r="I153" s="1"/>
  <c r="G135" i="31"/>
  <c r="I135" s="1"/>
  <c r="G125" i="18"/>
  <c r="I125" s="1"/>
  <c r="G135" i="20"/>
  <c r="I135" s="1"/>
  <c r="N24" i="44"/>
  <c r="G153" i="21"/>
  <c r="I153" s="1"/>
  <c r="G135" i="27"/>
  <c r="I135" s="1"/>
  <c r="G125" i="43"/>
  <c r="I125" s="1"/>
  <c r="N12" i="44"/>
  <c r="G153" i="9"/>
  <c r="I153" s="1"/>
  <c r="G135" i="10"/>
  <c r="I135" s="1"/>
  <c r="G125" i="12"/>
  <c r="I125" s="1"/>
  <c r="N16" i="44"/>
  <c r="G153" i="13"/>
  <c r="I153" s="1"/>
  <c r="G135" i="14"/>
  <c r="I135" s="1"/>
  <c r="G135" i="16"/>
  <c r="I135" s="1"/>
  <c r="G135" i="17"/>
  <c r="I135" s="1"/>
  <c r="G125" i="19"/>
  <c r="I125" s="1"/>
  <c r="G125" i="22"/>
  <c r="I125" s="1"/>
  <c r="G125" i="40"/>
  <c r="I125" s="1"/>
  <c r="N31" i="44"/>
  <c r="G153" i="28"/>
  <c r="I153" s="1"/>
  <c r="G135" i="30"/>
  <c r="I135" s="1"/>
  <c r="G125" i="15"/>
  <c r="I125" s="1"/>
  <c r="G153" i="18"/>
  <c r="I153" s="1"/>
  <c r="G135" i="21"/>
  <c r="I135" s="1"/>
  <c r="G135" i="25"/>
  <c r="I135" s="1"/>
  <c r="G125" i="29"/>
  <c r="I125" s="1"/>
  <c r="N34" i="44"/>
  <c r="G153" i="43"/>
  <c r="I153" s="1"/>
  <c r="N28" i="44"/>
  <c r="G153" i="25"/>
  <c r="I153" s="1"/>
  <c r="N27" i="44"/>
  <c r="G153" i="24"/>
  <c r="I153" s="1"/>
  <c r="G135"/>
  <c r="I135" s="1"/>
  <c r="G125"/>
  <c r="I125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/>
  <c r="AW34" i="44"/>
  <c r="AK33" i="1"/>
  <c r="AU34" i="44"/>
  <c r="AO33" i="1"/>
  <c r="AO34" i="44"/>
  <c r="AG33" i="1"/>
  <c r="AV34" i="44"/>
  <c r="AI33" i="1"/>
  <c r="AX34" i="44"/>
  <c r="AX35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/>
  <c r="N22"/>
  <c r="AO22" i="1"/>
  <c r="AO23" i="44"/>
  <c r="AG21" i="1"/>
  <c r="AV22" i="44"/>
  <c r="AA22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s="1"/>
  <c r="AG17" i="1"/>
  <c r="AV18" i="44"/>
  <c r="AA18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/>
  <c r="BJ11"/>
  <c r="G96" i="11"/>
  <c r="G102" i="12"/>
  <c r="G98" i="13"/>
  <c r="G100"/>
  <c r="G102" i="27"/>
  <c r="G100" i="28"/>
  <c r="G102" i="43"/>
  <c r="J152" i="5"/>
  <c r="H152" i="33"/>
  <c r="G100" i="9"/>
  <c r="G102" i="16"/>
  <c r="G104" i="15"/>
  <c r="G102" i="19"/>
  <c r="G47" i="43"/>
  <c r="G186"/>
  <c r="G186" i="30"/>
  <c r="I88" i="28"/>
  <c r="I90" i="27"/>
  <c r="G186"/>
  <c r="G186" i="40"/>
  <c r="G47"/>
  <c r="I90" i="25"/>
  <c r="I90" i="23"/>
  <c r="G186" i="22"/>
  <c r="G186" i="21"/>
  <c r="I90" i="18"/>
  <c r="I90" i="16"/>
  <c r="I88" i="14"/>
  <c r="G186" i="11"/>
  <c r="G186" i="9"/>
  <c r="I90"/>
  <c r="H168" i="10"/>
  <c r="J168" i="9"/>
  <c r="H167" i="10"/>
  <c r="J167" i="9"/>
  <c r="H182" i="7"/>
  <c r="J182" i="33"/>
  <c r="H177" i="7"/>
  <c r="J177" i="33"/>
  <c r="J20" i="3"/>
  <c r="I20" s="1"/>
  <c r="G104" i="31"/>
  <c r="G186"/>
  <c r="G102"/>
  <c r="E31"/>
  <c r="G31" s="1"/>
  <c r="G94"/>
  <c r="G98"/>
  <c r="G100"/>
  <c r="I90"/>
  <c r="G71"/>
  <c r="I90" i="43"/>
  <c r="G71"/>
  <c r="G96"/>
  <c r="I90" i="30"/>
  <c r="G71"/>
  <c r="G100"/>
  <c r="G47"/>
  <c r="G100" i="29"/>
  <c r="G181" i="28"/>
  <c r="G189" s="1"/>
  <c r="G47" i="27"/>
  <c r="I90" i="40"/>
  <c r="G71"/>
  <c r="G96"/>
  <c r="G186" i="25"/>
  <c r="G176" i="24"/>
  <c r="G181"/>
  <c r="G189" s="1"/>
  <c r="G186" i="23"/>
  <c r="G71"/>
  <c r="G47"/>
  <c r="G47" i="22"/>
  <c r="G96" i="21"/>
  <c r="G186" i="20"/>
  <c r="I90"/>
  <c r="G71"/>
  <c r="I85" i="19"/>
  <c r="G104"/>
  <c r="G181" i="18"/>
  <c r="G189" s="1"/>
  <c r="I88"/>
  <c r="G186" i="16"/>
  <c r="G71"/>
  <c r="G47"/>
  <c r="G186" i="15"/>
  <c r="G79"/>
  <c r="G181" i="14"/>
  <c r="G189" s="1"/>
  <c r="I90"/>
  <c r="G176" i="13"/>
  <c r="G181"/>
  <c r="G189" s="1"/>
  <c r="I85"/>
  <c r="G186" i="12"/>
  <c r="G47"/>
  <c r="I90" i="11"/>
  <c r="G71"/>
  <c r="G47"/>
  <c r="G186" i="10"/>
  <c r="G47"/>
  <c r="G71" i="9"/>
  <c r="G96"/>
  <c r="G47"/>
  <c r="I88" i="31"/>
  <c r="G59"/>
  <c r="G176"/>
  <c r="G181"/>
  <c r="G189" s="1"/>
  <c r="G64"/>
  <c r="G96"/>
  <c r="G47"/>
  <c r="I85"/>
  <c r="G71" i="10"/>
  <c r="I90" i="12"/>
  <c r="G176" i="14"/>
  <c r="G181" i="15"/>
  <c r="G189" s="1"/>
  <c r="I90" i="10"/>
  <c r="G71" i="12"/>
  <c r="I88" i="17"/>
  <c r="G176" i="15"/>
  <c r="G181" i="17"/>
  <c r="G189" s="1"/>
  <c r="G186" i="18"/>
  <c r="G176" i="19"/>
  <c r="G176" i="21"/>
  <c r="G186" i="24"/>
  <c r="G176" i="28"/>
  <c r="G94" i="43"/>
  <c r="G59"/>
  <c r="G98"/>
  <c r="G100" i="14"/>
  <c r="G96" i="15"/>
  <c r="G79" i="16"/>
  <c r="G80" s="1"/>
  <c r="G102" i="17"/>
  <c r="G71" i="29"/>
  <c r="G176" i="18"/>
  <c r="G186" i="28"/>
  <c r="G104" i="14"/>
  <c r="G96"/>
  <c r="G104" i="43"/>
  <c r="G64"/>
  <c r="G176"/>
  <c r="G181"/>
  <c r="G189" s="1"/>
  <c r="G96" i="12"/>
  <c r="G102" i="14"/>
  <c r="G79" i="17"/>
  <c r="G80" s="1"/>
  <c r="G100"/>
  <c r="G104" i="18"/>
  <c r="G96"/>
  <c r="G186" i="19"/>
  <c r="I90" i="29"/>
  <c r="G186"/>
  <c r="G181" i="19"/>
  <c r="G189" s="1"/>
  <c r="I88" i="43"/>
  <c r="G100" i="15"/>
  <c r="G104" i="17"/>
  <c r="G96"/>
  <c r="G102" i="18"/>
  <c r="G71" i="25"/>
  <c r="G71" i="27"/>
  <c r="G102" i="24"/>
  <c r="G96" i="25"/>
  <c r="G71" i="22"/>
  <c r="I90"/>
  <c r="I85" i="43"/>
  <c r="G100" i="24"/>
  <c r="G104" i="28"/>
  <c r="G96"/>
  <c r="G96" i="29"/>
  <c r="G181" i="21"/>
  <c r="G189" s="1"/>
  <c r="G96" i="24"/>
  <c r="I88" i="30"/>
  <c r="G94"/>
  <c r="G59"/>
  <c r="G98"/>
  <c r="G176"/>
  <c r="G96"/>
  <c r="G104"/>
  <c r="G64"/>
  <c r="I85"/>
  <c r="I88" i="29"/>
  <c r="G59"/>
  <c r="G176"/>
  <c r="G181"/>
  <c r="G189" s="1"/>
  <c r="G64"/>
  <c r="I85"/>
  <c r="I90" i="28"/>
  <c r="G71"/>
  <c r="I85"/>
  <c r="G47"/>
  <c r="G59"/>
  <c r="G64"/>
  <c r="G94"/>
  <c r="G98"/>
  <c r="I88" i="27"/>
  <c r="G94"/>
  <c r="G59"/>
  <c r="G98"/>
  <c r="G176"/>
  <c r="G181"/>
  <c r="G189" s="1"/>
  <c r="G96"/>
  <c r="G104"/>
  <c r="G64"/>
  <c r="I85"/>
  <c r="I88" i="40"/>
  <c r="G94"/>
  <c r="G59"/>
  <c r="G98"/>
  <c r="G176"/>
  <c r="G181"/>
  <c r="G189" s="1"/>
  <c r="G104"/>
  <c r="G64"/>
  <c r="I85"/>
  <c r="I88" i="25"/>
  <c r="G59"/>
  <c r="G176"/>
  <c r="G181"/>
  <c r="G189" s="1"/>
  <c r="G64"/>
  <c r="G47"/>
  <c r="I85"/>
  <c r="I90" i="24"/>
  <c r="G71"/>
  <c r="I85"/>
  <c r="G47"/>
  <c r="I88"/>
  <c r="G59"/>
  <c r="G64"/>
  <c r="G94"/>
  <c r="G98"/>
  <c r="I88" i="23"/>
  <c r="G94"/>
  <c r="G59"/>
  <c r="G98"/>
  <c r="G176"/>
  <c r="G181"/>
  <c r="G189" s="1"/>
  <c r="G96"/>
  <c r="G104"/>
  <c r="G64"/>
  <c r="I85"/>
  <c r="I88" i="22"/>
  <c r="G94"/>
  <c r="G59"/>
  <c r="G98"/>
  <c r="G176"/>
  <c r="G181"/>
  <c r="G189" s="1"/>
  <c r="G96"/>
  <c r="G104"/>
  <c r="G64"/>
  <c r="I85"/>
  <c r="G64" i="21"/>
  <c r="G59"/>
  <c r="G71"/>
  <c r="I85"/>
  <c r="I90"/>
  <c r="G47"/>
  <c r="I88"/>
  <c r="G94"/>
  <c r="G98"/>
  <c r="I88" i="20"/>
  <c r="G59"/>
  <c r="G176"/>
  <c r="G181"/>
  <c r="G189" s="1"/>
  <c r="G96"/>
  <c r="G64"/>
  <c r="G47"/>
  <c r="I85"/>
  <c r="G64" i="19"/>
  <c r="I90"/>
  <c r="G96"/>
  <c r="G59"/>
  <c r="G71"/>
  <c r="I88"/>
  <c r="G94"/>
  <c r="G98"/>
  <c r="I85" i="18"/>
  <c r="G71"/>
  <c r="G47"/>
  <c r="G59"/>
  <c r="G64"/>
  <c r="G94"/>
  <c r="G98"/>
  <c r="G71" i="17"/>
  <c r="I85"/>
  <c r="I90"/>
  <c r="G186"/>
  <c r="G59"/>
  <c r="G64"/>
  <c r="G94"/>
  <c r="G98"/>
  <c r="E28"/>
  <c r="G28" s="1"/>
  <c r="I88" i="16"/>
  <c r="G94"/>
  <c r="G59"/>
  <c r="G98"/>
  <c r="G176"/>
  <c r="G181"/>
  <c r="G189" s="1"/>
  <c r="G96"/>
  <c r="G104"/>
  <c r="G64"/>
  <c r="I85"/>
  <c r="E28"/>
  <c r="G28" s="1"/>
  <c r="I90" i="15"/>
  <c r="G64"/>
  <c r="G59"/>
  <c r="G71"/>
  <c r="I85"/>
  <c r="G47"/>
  <c r="I88"/>
  <c r="G94"/>
  <c r="G98"/>
  <c r="E28"/>
  <c r="G28" s="1"/>
  <c r="I85" i="14"/>
  <c r="G186"/>
  <c r="G71"/>
  <c r="G47"/>
  <c r="G59"/>
  <c r="G64"/>
  <c r="G94"/>
  <c r="G98"/>
  <c r="G59" i="13"/>
  <c r="G71"/>
  <c r="G64"/>
  <c r="I90"/>
  <c r="G96"/>
  <c r="G186"/>
  <c r="G47"/>
  <c r="I88"/>
  <c r="G64" i="12"/>
  <c r="I88"/>
  <c r="G94"/>
  <c r="G59"/>
  <c r="G98"/>
  <c r="G176"/>
  <c r="G181"/>
  <c r="G189" s="1"/>
  <c r="G104"/>
  <c r="I85"/>
  <c r="G64" i="11"/>
  <c r="I88"/>
  <c r="G94"/>
  <c r="G59"/>
  <c r="G98"/>
  <c r="G176"/>
  <c r="G181"/>
  <c r="G189" s="1"/>
  <c r="G104"/>
  <c r="I85"/>
  <c r="G104" i="10"/>
  <c r="G64"/>
  <c r="I88"/>
  <c r="G94"/>
  <c r="G59"/>
  <c r="G98"/>
  <c r="G100"/>
  <c r="G102"/>
  <c r="G176"/>
  <c r="G181"/>
  <c r="G189" s="1"/>
  <c r="G96"/>
  <c r="I85"/>
  <c r="G64" i="9"/>
  <c r="I88"/>
  <c r="G59"/>
  <c r="G94"/>
  <c r="G98"/>
  <c r="G176"/>
  <c r="G181"/>
  <c r="G189" s="1"/>
  <c r="G104"/>
  <c r="E31"/>
  <c r="G31" s="1"/>
  <c r="I85"/>
  <c r="G185" i="8"/>
  <c r="G184"/>
  <c r="G183"/>
  <c r="G180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/>
  <c r="G163"/>
  <c r="G162"/>
  <c r="AB11" i="44" s="1"/>
  <c r="G161" i="8"/>
  <c r="G142"/>
  <c r="R11" i="44" s="1"/>
  <c r="G141" i="8"/>
  <c r="Q11" i="44" s="1"/>
  <c r="G140" i="8"/>
  <c r="P11" i="44" s="1"/>
  <c r="G139" i="8"/>
  <c r="O11" i="44" s="1"/>
  <c r="G138" i="8"/>
  <c r="G133"/>
  <c r="G132"/>
  <c r="G131"/>
  <c r="G130"/>
  <c r="G129"/>
  <c r="G128"/>
  <c r="G123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/>
  <c r="G113"/>
  <c r="G112"/>
  <c r="G92"/>
  <c r="AL10" i="1" s="1"/>
  <c r="G91" i="8"/>
  <c r="G90"/>
  <c r="G89"/>
  <c r="G88"/>
  <c r="G87"/>
  <c r="AC10" i="1" s="1"/>
  <c r="G86" i="8"/>
  <c r="AB10" i="1" s="1"/>
  <c r="G85" i="8"/>
  <c r="AA10" i="1" s="1"/>
  <c r="G84" i="8"/>
  <c r="Z10" i="1" s="1"/>
  <c r="G83" i="8"/>
  <c r="G82"/>
  <c r="G78"/>
  <c r="AS11" i="44" s="1"/>
  <c r="G77" i="8"/>
  <c r="AR11" i="44" s="1"/>
  <c r="G76" i="8"/>
  <c r="AQ11" i="44" s="1"/>
  <c r="G75" i="8"/>
  <c r="AP11" i="44" s="1"/>
  <c r="G74" i="8"/>
  <c r="G70"/>
  <c r="J15" i="45" s="1"/>
  <c r="G69" i="8"/>
  <c r="J14" i="45" s="1"/>
  <c r="G68" i="8"/>
  <c r="J13" i="45" s="1"/>
  <c r="G67" i="8"/>
  <c r="G66"/>
  <c r="G65"/>
  <c r="G63"/>
  <c r="J8" i="45" s="1"/>
  <c r="G62" i="8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7"/>
  <c r="G184"/>
  <c r="G183"/>
  <c r="G180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/>
  <c r="G163"/>
  <c r="G162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/>
  <c r="G132"/>
  <c r="G131"/>
  <c r="G130"/>
  <c r="G129"/>
  <c r="G128"/>
  <c r="G123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/>
  <c r="G113"/>
  <c r="G112"/>
  <c r="G92"/>
  <c r="AL9" i="1" s="1"/>
  <c r="G91" i="7"/>
  <c r="G90"/>
  <c r="G89"/>
  <c r="AW10" i="44" s="1"/>
  <c r="G88" i="7"/>
  <c r="G87"/>
  <c r="AC9" i="1" s="1"/>
  <c r="G86" i="7"/>
  <c r="AB9" i="1" s="1"/>
  <c r="G85" i="7"/>
  <c r="AA9" i="1" s="1"/>
  <c r="G84" i="7"/>
  <c r="Z9" i="1" s="1"/>
  <c r="G83" i="7"/>
  <c r="G82"/>
  <c r="G78"/>
  <c r="AS10" i="44" s="1"/>
  <c r="G77" i="7"/>
  <c r="AR10" i="44" s="1"/>
  <c r="G76" i="7"/>
  <c r="AQ10" i="44" s="1"/>
  <c r="G75" i="7"/>
  <c r="AP10" i="44" s="1"/>
  <c r="G74" i="7"/>
  <c r="G70"/>
  <c r="I15" i="45" s="1"/>
  <c r="G69" i="7"/>
  <c r="I14" i="45" s="1"/>
  <c r="G68" i="7"/>
  <c r="I13" i="45" s="1"/>
  <c r="G67" i="7"/>
  <c r="G66"/>
  <c r="G65"/>
  <c r="G63"/>
  <c r="I8" i="45" s="1"/>
  <c r="G62" i="7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G10"/>
  <c r="K9"/>
  <c r="M8"/>
  <c r="G8"/>
  <c r="G7"/>
  <c r="G185" i="33"/>
  <c r="G184"/>
  <c r="G183"/>
  <c r="G180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/>
  <c r="G163"/>
  <c r="G162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/>
  <c r="G132"/>
  <c r="G131"/>
  <c r="G130"/>
  <c r="G129"/>
  <c r="G128"/>
  <c r="G12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/>
  <c r="G113"/>
  <c r="G92"/>
  <c r="AL8" i="1" s="1"/>
  <c r="G91" i="33"/>
  <c r="G90"/>
  <c r="G89"/>
  <c r="G88"/>
  <c r="G87"/>
  <c r="AC8" i="1" s="1"/>
  <c r="G86" i="33"/>
  <c r="AB8" i="1" s="1"/>
  <c r="G85" i="33"/>
  <c r="AA8" i="1" s="1"/>
  <c r="G84" i="33"/>
  <c r="Z8" i="1" s="1"/>
  <c r="G83" i="33"/>
  <c r="G82"/>
  <c r="G78"/>
  <c r="AS9" i="44" s="1"/>
  <c r="G77" i="33"/>
  <c r="AR9" i="44" s="1"/>
  <c r="G76" i="33"/>
  <c r="AQ9" i="44" s="1"/>
  <c r="G75" i="33"/>
  <c r="AP9" i="44" s="1"/>
  <c r="G74" i="33"/>
  <c r="G70"/>
  <c r="H15" i="45" s="1"/>
  <c r="G69" i="33"/>
  <c r="H14" i="45" s="1"/>
  <c r="G68" i="33"/>
  <c r="H13" i="45" s="1"/>
  <c r="G67" i="33"/>
  <c r="G66"/>
  <c r="G65"/>
  <c r="G63"/>
  <c r="H8" i="45" s="1"/>
  <c r="H7"/>
  <c r="G58" i="3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7" s="1"/>
  <c r="G18"/>
  <c r="E31" s="1"/>
  <c r="G31" s="1"/>
  <c r="G15"/>
  <c r="G10"/>
  <c r="K9"/>
  <c r="G9"/>
  <c r="M8"/>
  <c r="G8"/>
  <c r="G7"/>
  <c r="G185" i="5"/>
  <c r="G184"/>
  <c r="G183"/>
  <c r="G180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/>
  <c r="G163"/>
  <c r="G162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/>
  <c r="AM8" i="44" s="1"/>
  <c r="G132" i="5"/>
  <c r="G131"/>
  <c r="G130"/>
  <c r="G129"/>
  <c r="G128"/>
  <c r="G123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/>
  <c r="G113"/>
  <c r="G112"/>
  <c r="G92"/>
  <c r="AL7" i="1" s="1"/>
  <c r="G91" i="5"/>
  <c r="G90"/>
  <c r="G89"/>
  <c r="G88"/>
  <c r="G87"/>
  <c r="AC7" i="1" s="1"/>
  <c r="G86" i="5"/>
  <c r="AB7" i="1" s="1"/>
  <c r="G85" i="5"/>
  <c r="AA7" i="1" s="1"/>
  <c r="G84" i="5"/>
  <c r="Z7" i="1" s="1"/>
  <c r="G83" i="5"/>
  <c r="G82"/>
  <c r="G78"/>
  <c r="AS8" i="44" s="1"/>
  <c r="G77" i="5"/>
  <c r="AR8" i="44" s="1"/>
  <c r="G76" i="5"/>
  <c r="AQ8" i="44" s="1"/>
  <c r="G75" i="5"/>
  <c r="AP8" i="44" s="1"/>
  <c r="G74" i="5"/>
  <c r="G70"/>
  <c r="G15" i="45" s="1"/>
  <c r="G69" i="5"/>
  <c r="G14" i="45" s="1"/>
  <c r="G68" i="5"/>
  <c r="G13" i="45" s="1"/>
  <c r="G67" i="5"/>
  <c r="G66"/>
  <c r="G65"/>
  <c r="G63"/>
  <c r="G8" i="45" s="1"/>
  <c r="G62" i="5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5" i="4"/>
  <c r="G184"/>
  <c r="G183"/>
  <c r="G180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/>
  <c r="G163"/>
  <c r="G162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/>
  <c r="AM7" i="44" s="1"/>
  <c r="G132" i="4"/>
  <c r="G131"/>
  <c r="G130"/>
  <c r="G129"/>
  <c r="G123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/>
  <c r="G113"/>
  <c r="G112"/>
  <c r="G92"/>
  <c r="AL6" i="1" s="1"/>
  <c r="G91" i="4"/>
  <c r="G90"/>
  <c r="G89"/>
  <c r="G88"/>
  <c r="G87"/>
  <c r="AC6" i="1" s="1"/>
  <c r="G86" i="4"/>
  <c r="AB6" i="1" s="1"/>
  <c r="G85" i="4"/>
  <c r="AA6" i="1" s="1"/>
  <c r="G84" i="4"/>
  <c r="Z6" i="1" s="1"/>
  <c r="G83" i="4"/>
  <c r="G82"/>
  <c r="G78"/>
  <c r="AS7" i="44" s="1"/>
  <c r="G77" i="4"/>
  <c r="AR7" i="44" s="1"/>
  <c r="G76" i="4"/>
  <c r="AQ7" i="44" s="1"/>
  <c r="G75" i="4"/>
  <c r="AP7" i="44" s="1"/>
  <c r="G74" i="4"/>
  <c r="G70"/>
  <c r="F15" i="45" s="1"/>
  <c r="G69" i="4"/>
  <c r="F14" i="45" s="1"/>
  <c r="G68" i="4"/>
  <c r="F13" i="45" s="1"/>
  <c r="G67" i="4"/>
  <c r="G66"/>
  <c r="G65"/>
  <c r="G63"/>
  <c r="F8" i="45" s="1"/>
  <c r="G62" i="4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H22" s="1"/>
  <c r="G19"/>
  <c r="H19" s="1"/>
  <c r="G18"/>
  <c r="G15"/>
  <c r="H15" s="1"/>
  <c r="G10"/>
  <c r="H10" s="1"/>
  <c r="K9"/>
  <c r="G9"/>
  <c r="H9" s="1"/>
  <c r="M8"/>
  <c r="G8"/>
  <c r="H8" s="1"/>
  <c r="G7"/>
  <c r="H7" s="1"/>
  <c r="G185" i="3"/>
  <c r="G184"/>
  <c r="G183"/>
  <c r="G180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/>
  <c r="G163"/>
  <c r="G162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/>
  <c r="G132"/>
  <c r="G131"/>
  <c r="G130"/>
  <c r="G129"/>
  <c r="G128"/>
  <c r="G12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/>
  <c r="G113"/>
  <c r="G112"/>
  <c r="G92"/>
  <c r="AL5" i="1" s="1"/>
  <c r="G91" i="3"/>
  <c r="G90"/>
  <c r="G89"/>
  <c r="G88"/>
  <c r="G87"/>
  <c r="AC5" i="1" s="1"/>
  <c r="G86" i="3"/>
  <c r="AB5" i="1" s="1"/>
  <c r="G85" i="3"/>
  <c r="AA5" i="1" s="1"/>
  <c r="G84" i="3"/>
  <c r="Z5" i="1" s="1"/>
  <c r="G83" i="3"/>
  <c r="G82"/>
  <c r="G78"/>
  <c r="AS6" i="44" s="1"/>
  <c r="G77" i="3"/>
  <c r="AR6" i="44" s="1"/>
  <c r="G76" i="3"/>
  <c r="AQ6" i="44" s="1"/>
  <c r="G75" i="3"/>
  <c r="AP6" i="44" s="1"/>
  <c r="G74" i="3"/>
  <c r="G70"/>
  <c r="E15" i="45" s="1"/>
  <c r="G69" i="3"/>
  <c r="E14" i="45" s="1"/>
  <c r="G68" i="3"/>
  <c r="E13" i="45" s="1"/>
  <c r="G67" i="3"/>
  <c r="G66"/>
  <c r="G65"/>
  <c r="G63"/>
  <c r="E8" i="45" s="1"/>
  <c r="G62" i="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K9"/>
  <c r="M8"/>
  <c r="G185" i="2"/>
  <c r="H185" s="1"/>
  <c r="J185" s="1"/>
  <c r="G184"/>
  <c r="G183"/>
  <c r="G180"/>
  <c r="D23" i="45" s="1"/>
  <c r="G179" i="2"/>
  <c r="D22" i="45" s="1"/>
  <c r="G178" i="2"/>
  <c r="G175"/>
  <c r="D19" i="45" s="1"/>
  <c r="G174" i="2"/>
  <c r="D18" i="45" s="1"/>
  <c r="G173" i="2"/>
  <c r="D17" i="45" s="1"/>
  <c r="G165" i="2"/>
  <c r="G163"/>
  <c r="G162"/>
  <c r="AB5" i="44" s="1"/>
  <c r="G161" i="2"/>
  <c r="G150"/>
  <c r="G149"/>
  <c r="G148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/>
  <c r="G132"/>
  <c r="H132" s="1"/>
  <c r="J132" s="1"/>
  <c r="G131"/>
  <c r="G130"/>
  <c r="G129"/>
  <c r="G128"/>
  <c r="G123"/>
  <c r="AL5" i="44" s="1"/>
  <c r="G122" i="2"/>
  <c r="G121"/>
  <c r="AJ5" i="44" s="1"/>
  <c r="G120" i="2"/>
  <c r="G119"/>
  <c r="AH5" i="44" s="1"/>
  <c r="G118" i="2"/>
  <c r="G117"/>
  <c r="AF5" i="44" s="1"/>
  <c r="G116" i="2"/>
  <c r="G115"/>
  <c r="G114"/>
  <c r="H114" s="1"/>
  <c r="J114" s="1"/>
  <c r="G113"/>
  <c r="G112"/>
  <c r="G92"/>
  <c r="G91"/>
  <c r="G90"/>
  <c r="G89"/>
  <c r="G88"/>
  <c r="G87"/>
  <c r="G86"/>
  <c r="G85"/>
  <c r="G84"/>
  <c r="G83"/>
  <c r="H83" s="1"/>
  <c r="G82"/>
  <c r="H82" s="1"/>
  <c r="G78"/>
  <c r="G77"/>
  <c r="G76"/>
  <c r="G75"/>
  <c r="G74"/>
  <c r="G70"/>
  <c r="G69"/>
  <c r="G68"/>
  <c r="G67"/>
  <c r="G188" s="1"/>
  <c r="G66"/>
  <c r="G65"/>
  <c r="G63"/>
  <c r="G62"/>
  <c r="G187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7"/>
  <c r="G36"/>
  <c r="G35"/>
  <c r="H35" s="1"/>
  <c r="G29"/>
  <c r="H29" s="1"/>
  <c r="G30"/>
  <c r="H30" s="1"/>
  <c r="G31"/>
  <c r="H31" s="1"/>
  <c r="K9"/>
  <c r="M8"/>
  <c r="H27"/>
  <c r="AZ12" i="44" l="1"/>
  <c r="G60" i="19"/>
  <c r="AZ14" i="44"/>
  <c r="AZ28"/>
  <c r="AZ15"/>
  <c r="AZ20"/>
  <c r="AZ24"/>
  <c r="AZ23"/>
  <c r="AZ26"/>
  <c r="AZ27"/>
  <c r="AZ13"/>
  <c r="AZ25"/>
  <c r="AZ16"/>
  <c r="AZ19"/>
  <c r="AZ17"/>
  <c r="AZ22"/>
  <c r="AZ21"/>
  <c r="N49" i="4"/>
  <c r="G188"/>
  <c r="H49" i="2"/>
  <c r="G59"/>
  <c r="H59" s="1"/>
  <c r="I13" i="3"/>
  <c r="G19" i="7"/>
  <c r="E30" s="1"/>
  <c r="G30" s="1"/>
  <c r="G15" i="8"/>
  <c r="G79" s="1"/>
  <c r="G9"/>
  <c r="G8"/>
  <c r="E27" s="1"/>
  <c r="G27" s="1"/>
  <c r="G9" i="7"/>
  <c r="E10" i="18"/>
  <c r="G7" i="8"/>
  <c r="G60" i="18"/>
  <c r="G60" i="29"/>
  <c r="G60" i="17"/>
  <c r="E28" i="18"/>
  <c r="G28" s="1"/>
  <c r="AD11" i="44"/>
  <c r="AD10"/>
  <c r="AD9"/>
  <c r="AD8"/>
  <c r="AD7"/>
  <c r="AD6"/>
  <c r="E15" i="19"/>
  <c r="AL37" i="44"/>
  <c r="O36"/>
  <c r="AB36"/>
  <c r="AJ37"/>
  <c r="R36"/>
  <c r="P37"/>
  <c r="AF36"/>
  <c r="Q36"/>
  <c r="AH37"/>
  <c r="Q37"/>
  <c r="U37"/>
  <c r="U36"/>
  <c r="S37"/>
  <c r="S36"/>
  <c r="AH36"/>
  <c r="AL36"/>
  <c r="R37"/>
  <c r="T37"/>
  <c r="T36"/>
  <c r="V36"/>
  <c r="V37"/>
  <c r="O37"/>
  <c r="W36"/>
  <c r="W37"/>
  <c r="G125" i="7"/>
  <c r="I125" s="1"/>
  <c r="AF37" i="44"/>
  <c r="AJ36"/>
  <c r="P36"/>
  <c r="AB37"/>
  <c r="X36"/>
  <c r="X37"/>
  <c r="G135" i="8"/>
  <c r="I135" s="1"/>
  <c r="N8" i="44"/>
  <c r="G153" i="5"/>
  <c r="I153" s="1"/>
  <c r="G125" i="8"/>
  <c r="I125" s="1"/>
  <c r="G135" i="2"/>
  <c r="G125" i="4"/>
  <c r="I125" s="1"/>
  <c r="N7" i="44"/>
  <c r="G153" i="4"/>
  <c r="I153" s="1"/>
  <c r="G135" i="5"/>
  <c r="I135" s="1"/>
  <c r="N11" i="44"/>
  <c r="G153" i="8"/>
  <c r="N10" i="44"/>
  <c r="G153" i="7"/>
  <c r="I153" s="1"/>
  <c r="H112" i="2"/>
  <c r="J112" s="1"/>
  <c r="G125"/>
  <c r="I125" s="1"/>
  <c r="N6" i="44"/>
  <c r="G153" i="3"/>
  <c r="I153" s="1"/>
  <c r="G135" i="4"/>
  <c r="I135" s="1"/>
  <c r="G125" i="5"/>
  <c r="I125" s="1"/>
  <c r="N9" i="44"/>
  <c r="G153" i="33"/>
  <c r="I15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s="1"/>
  <c r="E9" i="45"/>
  <c r="G188" i="3"/>
  <c r="G188" i="7"/>
  <c r="G7" i="45"/>
  <c r="G187" i="5"/>
  <c r="F7" i="45"/>
  <c r="G187" i="4"/>
  <c r="G188" i="5"/>
  <c r="G135" i="33"/>
  <c r="J7" i="45"/>
  <c r="H183" i="2"/>
  <c r="J183" s="1"/>
  <c r="G186"/>
  <c r="G102" i="5"/>
  <c r="G103" s="1"/>
  <c r="H127" i="7"/>
  <c r="H127" i="8" s="1"/>
  <c r="E7" i="45"/>
  <c r="G187" i="3"/>
  <c r="I7" i="45"/>
  <c r="G188" i="8"/>
  <c r="AA11" i="44"/>
  <c r="J156" i="9"/>
  <c r="G125" i="33"/>
  <c r="I125" s="1"/>
  <c r="G98"/>
  <c r="G99" s="1"/>
  <c r="G125" i="3"/>
  <c r="I125" s="1"/>
  <c r="G104" i="4"/>
  <c r="G105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s="1"/>
  <c r="D21" i="45"/>
  <c r="G102" i="4"/>
  <c r="G103" s="1"/>
  <c r="G100" i="5"/>
  <c r="G101" s="1"/>
  <c r="G94" i="8"/>
  <c r="J152" i="33"/>
  <c r="H152" i="7"/>
  <c r="H120" i="2"/>
  <c r="J120" s="1"/>
  <c r="AI5" i="44"/>
  <c r="H118" i="2"/>
  <c r="J118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/>
  <c r="AM5" i="44"/>
  <c r="AD5"/>
  <c r="G100" i="4"/>
  <c r="G101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s="1"/>
  <c r="AK5" i="44"/>
  <c r="G94" i="33"/>
  <c r="G95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s="1"/>
  <c r="H9"/>
  <c r="H9" i="33" s="1"/>
  <c r="G47" i="5"/>
  <c r="G71"/>
  <c r="H7"/>
  <c r="H7" i="33" s="1"/>
  <c r="H7" i="7" s="1"/>
  <c r="H19" i="5"/>
  <c r="H19" i="33" s="1"/>
  <c r="E31" i="4"/>
  <c r="G31" s="1"/>
  <c r="H18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/>
  <c r="J131" s="1"/>
  <c r="H129"/>
  <c r="H128"/>
  <c r="J128" s="1"/>
  <c r="H130"/>
  <c r="H182" i="8"/>
  <c r="J182" i="7"/>
  <c r="J166" i="10"/>
  <c r="H166" i="11"/>
  <c r="H132" i="3"/>
  <c r="H29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s="1"/>
  <c r="G176" i="2"/>
  <c r="H173"/>
  <c r="H175"/>
  <c r="G186" i="3"/>
  <c r="H180" i="2"/>
  <c r="J180" s="1"/>
  <c r="H174"/>
  <c r="H179"/>
  <c r="J179" s="1"/>
  <c r="H184"/>
  <c r="H185" i="3"/>
  <c r="H161" i="2"/>
  <c r="J161" s="1"/>
  <c r="H163"/>
  <c r="J163" s="1"/>
  <c r="H165"/>
  <c r="J165" s="1"/>
  <c r="H162"/>
  <c r="H164"/>
  <c r="H139"/>
  <c r="H143"/>
  <c r="H147"/>
  <c r="H149"/>
  <c r="H141"/>
  <c r="J141" s="1"/>
  <c r="H145"/>
  <c r="H140"/>
  <c r="H142"/>
  <c r="J142" s="1"/>
  <c r="H144"/>
  <c r="H148"/>
  <c r="H150"/>
  <c r="H138"/>
  <c r="H146"/>
  <c r="H117"/>
  <c r="J117" s="1"/>
  <c r="H112" i="3"/>
  <c r="H119" i="2"/>
  <c r="J119" s="1"/>
  <c r="H113"/>
  <c r="J113" s="1"/>
  <c r="H121"/>
  <c r="J121" s="1"/>
  <c r="H114" i="3"/>
  <c r="H115" i="2"/>
  <c r="H123"/>
  <c r="J12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s="1"/>
  <c r="H36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s="1"/>
  <c r="H42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s="1"/>
  <c r="H38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s="1"/>
  <c r="H40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/>
  <c r="G71" i="7"/>
  <c r="G102"/>
  <c r="G103" s="1"/>
  <c r="G79" i="33"/>
  <c r="G80" s="1"/>
  <c r="G71"/>
  <c r="G186" i="5"/>
  <c r="I90"/>
  <c r="G96" i="4"/>
  <c r="G97" s="1"/>
  <c r="G60" i="31"/>
  <c r="G71" i="3"/>
  <c r="G186" i="33"/>
  <c r="G176" i="4"/>
  <c r="G71" i="8"/>
  <c r="G181" i="2"/>
  <c r="I90" i="3"/>
  <c r="H80" i="17"/>
  <c r="G104" i="2"/>
  <c r="H104" s="1"/>
  <c r="G96"/>
  <c r="H96" s="1"/>
  <c r="G79" i="4"/>
  <c r="G181"/>
  <c r="G189" s="1"/>
  <c r="G60" i="28"/>
  <c r="G60" i="40"/>
  <c r="G60" i="24"/>
  <c r="G60" i="21"/>
  <c r="H189" i="20"/>
  <c r="G60"/>
  <c r="G60" i="15"/>
  <c r="G60" i="14"/>
  <c r="G60" i="13"/>
  <c r="G60" i="9"/>
  <c r="I88" i="8"/>
  <c r="G104"/>
  <c r="G59"/>
  <c r="G102"/>
  <c r="G176"/>
  <c r="G181"/>
  <c r="G189" s="1"/>
  <c r="G64"/>
  <c r="G47"/>
  <c r="I85"/>
  <c r="E27" i="7"/>
  <c r="G27" s="1"/>
  <c r="I88"/>
  <c r="G104"/>
  <c r="G96"/>
  <c r="G59"/>
  <c r="G176"/>
  <c r="G181"/>
  <c r="G189" s="1"/>
  <c r="G79"/>
  <c r="G94"/>
  <c r="G98"/>
  <c r="G64"/>
  <c r="G47"/>
  <c r="I85"/>
  <c r="E28"/>
  <c r="G28" s="1"/>
  <c r="E27" i="33"/>
  <c r="G27" s="1"/>
  <c r="I88"/>
  <c r="G100"/>
  <c r="G104"/>
  <c r="G96"/>
  <c r="G64"/>
  <c r="G59"/>
  <c r="G102"/>
  <c r="G176"/>
  <c r="G181"/>
  <c r="G189" s="1"/>
  <c r="E30"/>
  <c r="G30" s="1"/>
  <c r="G47"/>
  <c r="G20"/>
  <c r="I85"/>
  <c r="E28"/>
  <c r="G28" s="1"/>
  <c r="G64" i="5"/>
  <c r="I88"/>
  <c r="G98"/>
  <c r="G94"/>
  <c r="G59"/>
  <c r="G176"/>
  <c r="G181"/>
  <c r="G189" s="1"/>
  <c r="G79"/>
  <c r="E27"/>
  <c r="G27" s="1"/>
  <c r="E30"/>
  <c r="G30" s="1"/>
  <c r="G104"/>
  <c r="G20"/>
  <c r="I85"/>
  <c r="E28"/>
  <c r="G28" s="1"/>
  <c r="G64" i="4"/>
  <c r="E30"/>
  <c r="G30" s="1"/>
  <c r="E27"/>
  <c r="G27" s="1"/>
  <c r="G59"/>
  <c r="G71"/>
  <c r="I85"/>
  <c r="I90"/>
  <c r="G186"/>
  <c r="G47"/>
  <c r="I88"/>
  <c r="G20"/>
  <c r="H20" s="1"/>
  <c r="G94"/>
  <c r="G98"/>
  <c r="E28"/>
  <c r="G28" s="1"/>
  <c r="E30" i="3"/>
  <c r="G64"/>
  <c r="I88"/>
  <c r="G104"/>
  <c r="G96"/>
  <c r="G59"/>
  <c r="G176"/>
  <c r="G181"/>
  <c r="G189" s="1"/>
  <c r="G79"/>
  <c r="G94"/>
  <c r="G98"/>
  <c r="E31"/>
  <c r="G47"/>
  <c r="I85"/>
  <c r="E28"/>
  <c r="G28" s="1"/>
  <c r="G71" i="2"/>
  <c r="H71" s="1"/>
  <c r="I85"/>
  <c r="I90"/>
  <c r="G47"/>
  <c r="I88"/>
  <c r="G64"/>
  <c r="H64" s="1"/>
  <c r="G94"/>
  <c r="H94" s="1"/>
  <c r="G98"/>
  <c r="H98" s="1"/>
  <c r="G28"/>
  <c r="H28" s="1"/>
  <c r="G178" i="50"/>
  <c r="H178" s="1"/>
  <c r="J178" s="1"/>
  <c r="E177"/>
  <c r="G177" s="1"/>
  <c r="H177" s="1"/>
  <c r="J177" s="1"/>
  <c r="E176"/>
  <c r="G176" s="1"/>
  <c r="H176" s="1"/>
  <c r="J176" s="1"/>
  <c r="H175"/>
  <c r="J175" s="1"/>
  <c r="E173"/>
  <c r="G173" s="1"/>
  <c r="H173" s="1"/>
  <c r="J173" s="1"/>
  <c r="E172"/>
  <c r="G172" s="1"/>
  <c r="H172" s="1"/>
  <c r="J172" s="1"/>
  <c r="E171"/>
  <c r="G171" s="1"/>
  <c r="H170"/>
  <c r="E168"/>
  <c r="G168" s="1"/>
  <c r="H168" s="1"/>
  <c r="J168" s="1"/>
  <c r="E167"/>
  <c r="G167" s="1"/>
  <c r="H167" s="1"/>
  <c r="J167" s="1"/>
  <c r="E166"/>
  <c r="G166" s="1"/>
  <c r="E158"/>
  <c r="G158" s="1"/>
  <c r="H158" s="1"/>
  <c r="J158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H136"/>
  <c r="J136" s="1"/>
  <c r="H135"/>
  <c r="J135" s="1"/>
  <c r="E151"/>
  <c r="G151" s="1"/>
  <c r="H151" s="1"/>
  <c r="J151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4"/>
  <c r="G134" s="1"/>
  <c r="H134" s="1"/>
  <c r="J134" s="1"/>
  <c r="E133"/>
  <c r="G133" s="1"/>
  <c r="E132"/>
  <c r="G132" s="1"/>
  <c r="E131"/>
  <c r="G131" s="1"/>
  <c r="E130"/>
  <c r="G130" s="1"/>
  <c r="E129"/>
  <c r="G129" s="1"/>
  <c r="G118"/>
  <c r="G116"/>
  <c r="H116" s="1"/>
  <c r="J116" s="1"/>
  <c r="G115"/>
  <c r="H115" s="1"/>
  <c r="J115" s="1"/>
  <c r="G114"/>
  <c r="H114" s="1"/>
  <c r="J114" s="1"/>
  <c r="G113"/>
  <c r="H113" s="1"/>
  <c r="J113" s="1"/>
  <c r="E93"/>
  <c r="G93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79"/>
  <c r="G79" s="1"/>
  <c r="E78"/>
  <c r="G78" s="1"/>
  <c r="E77"/>
  <c r="G77" s="1"/>
  <c r="E76"/>
  <c r="G76" s="1"/>
  <c r="E75"/>
  <c r="G75" s="1"/>
  <c r="E71"/>
  <c r="G71" s="1"/>
  <c r="E70"/>
  <c r="G70" s="1"/>
  <c r="E69"/>
  <c r="G69" s="1"/>
  <c r="E68"/>
  <c r="G68" s="1"/>
  <c r="E67"/>
  <c r="G67" s="1"/>
  <c r="E66"/>
  <c r="G66" s="1"/>
  <c r="E64"/>
  <c r="G64" s="1"/>
  <c r="E63"/>
  <c r="G63" s="1"/>
  <c r="G123"/>
  <c r="G121"/>
  <c r="G119"/>
  <c r="E59"/>
  <c r="G59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G47"/>
  <c r="G46"/>
  <c r="G45"/>
  <c r="G44"/>
  <c r="G43"/>
  <c r="G42"/>
  <c r="G41"/>
  <c r="G40"/>
  <c r="G39"/>
  <c r="G38"/>
  <c r="G37"/>
  <c r="G36"/>
  <c r="E30"/>
  <c r="G30" s="1"/>
  <c r="E25"/>
  <c r="E24"/>
  <c r="E23"/>
  <c r="G23" s="1"/>
  <c r="G19"/>
  <c r="E19"/>
  <c r="G16"/>
  <c r="K9"/>
  <c r="M8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s="1"/>
  <c r="AZ5" i="44"/>
  <c r="H19" i="7"/>
  <c r="AZ11" i="44"/>
  <c r="E28" i="8"/>
  <c r="G28" s="1"/>
  <c r="H15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s="1"/>
  <c r="G60" i="4"/>
  <c r="H9" i="7"/>
  <c r="H9" i="8" s="1"/>
  <c r="E15" i="9"/>
  <c r="G15" s="1"/>
  <c r="H8" i="8"/>
  <c r="G187" i="7"/>
  <c r="G20"/>
  <c r="E19" i="8"/>
  <c r="E15" i="20"/>
  <c r="G99" i="8"/>
  <c r="G97"/>
  <c r="G101"/>
  <c r="E7" i="9"/>
  <c r="H7" i="8"/>
  <c r="G95"/>
  <c r="E8" i="9"/>
  <c r="G10" i="18"/>
  <c r="H10" s="1"/>
  <c r="E9" i="9"/>
  <c r="AM37" i="44"/>
  <c r="H183" i="3"/>
  <c r="J183" s="1"/>
  <c r="N37" i="44"/>
  <c r="AW37"/>
  <c r="AX36"/>
  <c r="H74" i="30"/>
  <c r="H74" i="43" s="1"/>
  <c r="AO36" i="44"/>
  <c r="AV36"/>
  <c r="AV37"/>
  <c r="AO37"/>
  <c r="AM36"/>
  <c r="N36"/>
  <c r="AE36"/>
  <c r="AE37"/>
  <c r="AP37"/>
  <c r="AP36"/>
  <c r="AI37"/>
  <c r="AI36"/>
  <c r="AW36"/>
  <c r="AK36"/>
  <c r="AK37"/>
  <c r="AA36"/>
  <c r="AA37"/>
  <c r="AX37"/>
  <c r="AS37"/>
  <c r="AS36"/>
  <c r="AR37"/>
  <c r="AR36"/>
  <c r="AQ36"/>
  <c r="AQ37"/>
  <c r="AG36"/>
  <c r="AG37"/>
  <c r="I135" i="33"/>
  <c r="H153" i="2"/>
  <c r="I153"/>
  <c r="I135"/>
  <c r="H135"/>
  <c r="J135" s="1"/>
  <c r="I135" i="3"/>
  <c r="H178"/>
  <c r="H178" i="4" s="1"/>
  <c r="H122" i="3"/>
  <c r="J122" s="1"/>
  <c r="J127" i="7"/>
  <c r="H181" i="2"/>
  <c r="J181" s="1"/>
  <c r="G189"/>
  <c r="H189" s="1"/>
  <c r="J189" s="1"/>
  <c r="G60" i="5"/>
  <c r="I59" s="1"/>
  <c r="G30" i="3"/>
  <c r="H30" s="1"/>
  <c r="H30" i="4" s="1"/>
  <c r="H30" i="5" s="1"/>
  <c r="H30" i="33" s="1"/>
  <c r="H30" i="7" s="1"/>
  <c r="H118" i="3"/>
  <c r="J118" s="1"/>
  <c r="G31"/>
  <c r="H31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/>
  <c r="H120" i="4" s="1"/>
  <c r="J155" i="11"/>
  <c r="H155" i="12"/>
  <c r="J156" i="11"/>
  <c r="H156" i="12"/>
  <c r="H131" i="3"/>
  <c r="J131" s="1"/>
  <c r="H117"/>
  <c r="H117" i="4" s="1"/>
  <c r="H121" i="3"/>
  <c r="J121" s="1"/>
  <c r="G97" i="2"/>
  <c r="H97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s="1"/>
  <c r="H119" i="3"/>
  <c r="H119" i="4" s="1"/>
  <c r="H28" i="3"/>
  <c r="H28" i="4" s="1"/>
  <c r="H28" i="5" s="1"/>
  <c r="H28" i="33" s="1"/>
  <c r="H28" i="7" s="1"/>
  <c r="H28" i="8" s="1"/>
  <c r="G105" i="2"/>
  <c r="H105" s="1"/>
  <c r="H161" i="3"/>
  <c r="J161" s="1"/>
  <c r="J148" i="2"/>
  <c r="H148" i="3"/>
  <c r="H148" i="4" s="1"/>
  <c r="J143" i="2"/>
  <c r="H143" i="3"/>
  <c r="H143" i="4" s="1"/>
  <c r="J147" i="2"/>
  <c r="H147" i="3"/>
  <c r="H147" i="4" s="1"/>
  <c r="H129" i="3"/>
  <c r="J129" s="1"/>
  <c r="J129" i="2"/>
  <c r="H116" i="3"/>
  <c r="J116" s="1"/>
  <c r="J144" i="2"/>
  <c r="H144" i="3"/>
  <c r="H144" i="4" s="1"/>
  <c r="H139" i="3"/>
  <c r="H139" i="4" s="1"/>
  <c r="J139" i="2"/>
  <c r="H128" i="3"/>
  <c r="J128" s="1"/>
  <c r="H133"/>
  <c r="H133" i="4" s="1"/>
  <c r="J133" i="2"/>
  <c r="J152" i="7"/>
  <c r="H152" i="8"/>
  <c r="H115" i="3"/>
  <c r="J115" s="1"/>
  <c r="J115" i="2"/>
  <c r="J150"/>
  <c r="H150" i="3"/>
  <c r="H150" i="4" s="1"/>
  <c r="H173" i="3"/>
  <c r="H173" i="4" s="1"/>
  <c r="J173" i="2"/>
  <c r="H140" i="3"/>
  <c r="J140" s="1"/>
  <c r="J140" i="2"/>
  <c r="H164" i="3"/>
  <c r="H164" i="4" s="1"/>
  <c r="J164" i="2"/>
  <c r="H184" i="3"/>
  <c r="J184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s="1"/>
  <c r="J138" i="2"/>
  <c r="H162" i="3"/>
  <c r="J162" s="1"/>
  <c r="J162" i="2"/>
  <c r="H174" i="3"/>
  <c r="H174" i="4" s="1"/>
  <c r="J174" i="2"/>
  <c r="H130" i="3"/>
  <c r="H130" i="4" s="1"/>
  <c r="J130" i="2"/>
  <c r="H123" i="3"/>
  <c r="H123" i="4" s="1"/>
  <c r="H142" i="3"/>
  <c r="J142" s="1"/>
  <c r="J149" i="2"/>
  <c r="H149" i="3"/>
  <c r="H149" i="4" s="1"/>
  <c r="G101" i="2"/>
  <c r="H101" s="1"/>
  <c r="H101" i="3" s="1"/>
  <c r="H101" i="4" s="1"/>
  <c r="H101" i="5" s="1"/>
  <c r="G103" i="2"/>
  <c r="H103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/>
  <c r="H141" i="3"/>
  <c r="J141" s="1"/>
  <c r="H179"/>
  <c r="H179" i="4" s="1"/>
  <c r="H180" i="3"/>
  <c r="J180" s="1"/>
  <c r="H168" i="12"/>
  <c r="J168" i="11"/>
  <c r="J166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s="1"/>
  <c r="H176" i="2"/>
  <c r="J176" s="1"/>
  <c r="H186"/>
  <c r="H185" i="4"/>
  <c r="J185" i="3"/>
  <c r="H175"/>
  <c r="H188" i="2"/>
  <c r="H187"/>
  <c r="J187" s="1"/>
  <c r="H163" i="3"/>
  <c r="H113"/>
  <c r="J114"/>
  <c r="H114" i="4"/>
  <c r="J112" i="3"/>
  <c r="H112" i="4"/>
  <c r="H86" i="31"/>
  <c r="J86" s="1"/>
  <c r="J86" i="43"/>
  <c r="H92" i="31"/>
  <c r="J92" s="1"/>
  <c r="J92" i="43"/>
  <c r="J85"/>
  <c r="H85" i="31"/>
  <c r="J85" s="1"/>
  <c r="H90"/>
  <c r="J90" s="1"/>
  <c r="J90" i="43"/>
  <c r="J89"/>
  <c r="H89" i="31"/>
  <c r="J89" s="1"/>
  <c r="J87" i="43"/>
  <c r="H87" i="31"/>
  <c r="J87" s="1"/>
  <c r="H84"/>
  <c r="J84" s="1"/>
  <c r="J84" i="43"/>
  <c r="H91" i="31"/>
  <c r="J91" s="1"/>
  <c r="J91" i="43"/>
  <c r="J88"/>
  <c r="H88" i="31"/>
  <c r="J88" s="1"/>
  <c r="H75"/>
  <c r="J75" s="1"/>
  <c r="J75" i="43"/>
  <c r="H76" i="31"/>
  <c r="J76" s="1"/>
  <c r="J76" i="43"/>
  <c r="J62"/>
  <c r="H62" i="31"/>
  <c r="J62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s="1"/>
  <c r="G80" i="4"/>
  <c r="G80" i="3"/>
  <c r="H80" s="1"/>
  <c r="G80" i="7"/>
  <c r="G60" i="8"/>
  <c r="G105"/>
  <c r="G103"/>
  <c r="G95" i="7"/>
  <c r="G99"/>
  <c r="G32"/>
  <c r="G60"/>
  <c r="G105"/>
  <c r="G97"/>
  <c r="G105" i="33"/>
  <c r="G101"/>
  <c r="G32"/>
  <c r="G60"/>
  <c r="G97"/>
  <c r="G103"/>
  <c r="G105" i="5"/>
  <c r="G95"/>
  <c r="G99"/>
  <c r="G32"/>
  <c r="G80"/>
  <c r="G99" i="4"/>
  <c r="G32"/>
  <c r="G95"/>
  <c r="G97" i="3"/>
  <c r="G95"/>
  <c r="G99"/>
  <c r="G60"/>
  <c r="G105"/>
  <c r="G95" i="2"/>
  <c r="H95" s="1"/>
  <c r="G99"/>
  <c r="H99" s="1"/>
  <c r="G32"/>
  <c r="H32" s="1"/>
  <c r="G181" i="50"/>
  <c r="H181" s="1"/>
  <c r="J181" s="1"/>
  <c r="G180"/>
  <c r="H180" s="1"/>
  <c r="J180" s="1"/>
  <c r="H166"/>
  <c r="J166" s="1"/>
  <c r="G169"/>
  <c r="H169" s="1"/>
  <c r="J169" s="1"/>
  <c r="H171"/>
  <c r="J171" s="1"/>
  <c r="G174"/>
  <c r="G179"/>
  <c r="H179" s="1"/>
  <c r="J179" s="1"/>
  <c r="G95"/>
  <c r="I86"/>
  <c r="G99"/>
  <c r="G80"/>
  <c r="G97"/>
  <c r="E32"/>
  <c r="G32" s="1"/>
  <c r="G103"/>
  <c r="G101"/>
  <c r="G117"/>
  <c r="G72"/>
  <c r="G122"/>
  <c r="I89"/>
  <c r="G120"/>
  <c r="G124"/>
  <c r="G60"/>
  <c r="G65"/>
  <c r="E29"/>
  <c r="G29" s="1"/>
  <c r="I91"/>
  <c r="G48"/>
  <c r="H69" i="31" l="1"/>
  <c r="J69" s="1"/>
  <c r="J69" i="43"/>
  <c r="H66" i="31"/>
  <c r="J66" s="1"/>
  <c r="J66" i="43"/>
  <c r="H67" i="31"/>
  <c r="J67" s="1"/>
  <c r="J67" i="43"/>
  <c r="H70" i="31"/>
  <c r="J70" s="1"/>
  <c r="J70" i="43"/>
  <c r="H65" i="31"/>
  <c r="J65" s="1"/>
  <c r="J65" i="43"/>
  <c r="H63" i="31"/>
  <c r="J63" s="1"/>
  <c r="J63" i="43"/>
  <c r="H64" i="28"/>
  <c r="H64" i="29" s="1"/>
  <c r="H64" i="30" s="1"/>
  <c r="H64" i="43" s="1"/>
  <c r="H64" i="31" s="1"/>
  <c r="J64" s="1"/>
  <c r="H71" i="28"/>
  <c r="H71" i="29" s="1"/>
  <c r="H71" i="30" s="1"/>
  <c r="H71" i="43" s="1"/>
  <c r="J71" s="1"/>
  <c r="J68"/>
  <c r="H15" i="9"/>
  <c r="E10" i="19"/>
  <c r="E10" i="20" s="1"/>
  <c r="G15" i="19"/>
  <c r="H20" i="7"/>
  <c r="G19" i="8"/>
  <c r="E15" i="21"/>
  <c r="G79" i="9"/>
  <c r="G80" s="1"/>
  <c r="E28"/>
  <c r="G28" s="1"/>
  <c r="H28" s="1"/>
  <c r="E15" i="10"/>
  <c r="G7" i="9"/>
  <c r="G9"/>
  <c r="H9" s="1"/>
  <c r="G8"/>
  <c r="H122" i="4"/>
  <c r="J122" s="1"/>
  <c r="H183"/>
  <c r="J183" s="1"/>
  <c r="J74" i="43"/>
  <c r="H74" i="31"/>
  <c r="J74" s="1"/>
  <c r="H104" i="30"/>
  <c r="H104" i="43" s="1"/>
  <c r="H135" i="3"/>
  <c r="H135" i="4" s="1"/>
  <c r="J178" i="3"/>
  <c r="H181"/>
  <c r="H181" i="4" s="1"/>
  <c r="J117" i="3"/>
  <c r="H118" i="4"/>
  <c r="J118" s="1"/>
  <c r="H138"/>
  <c r="H138" i="5" s="1"/>
  <c r="G32" i="3"/>
  <c r="H32" s="1"/>
  <c r="H32" i="4" s="1"/>
  <c r="H32" i="5" s="1"/>
  <c r="H32" i="33" s="1"/>
  <c r="H32" i="7" s="1"/>
  <c r="H115" i="4"/>
  <c r="H115" i="5" s="1"/>
  <c r="H121" i="4"/>
  <c r="J121" s="1"/>
  <c r="H27" i="3"/>
  <c r="H27" i="4" s="1"/>
  <c r="H27" i="5" s="1"/>
  <c r="H27" i="33" s="1"/>
  <c r="H27" i="7" s="1"/>
  <c r="H27" i="8" s="1"/>
  <c r="J164" i="3"/>
  <c r="H161" i="4"/>
  <c r="H161" i="5" s="1"/>
  <c r="J150" i="3"/>
  <c r="J149"/>
  <c r="J120"/>
  <c r="J143"/>
  <c r="H97"/>
  <c r="H97" i="4" s="1"/>
  <c r="H97" i="5" s="1"/>
  <c r="H97" i="33" s="1"/>
  <c r="H97" i="7" s="1"/>
  <c r="H97" i="8" s="1"/>
  <c r="H80" i="4"/>
  <c r="H80" i="5" s="1"/>
  <c r="J139" i="3"/>
  <c r="J174"/>
  <c r="J156" i="12"/>
  <c r="H156" i="13"/>
  <c r="H155"/>
  <c r="J155" i="12"/>
  <c r="J146" i="3"/>
  <c r="J144"/>
  <c r="H131" i="4"/>
  <c r="J131" s="1"/>
  <c r="J123" i="3"/>
  <c r="J119"/>
  <c r="H116" i="4"/>
  <c r="J116" s="1"/>
  <c r="H140"/>
  <c r="H140" i="5" s="1"/>
  <c r="H184" i="4"/>
  <c r="H184" i="5" s="1"/>
  <c r="H142" i="4"/>
  <c r="H142" i="5" s="1"/>
  <c r="J147" i="3"/>
  <c r="J148"/>
  <c r="H105"/>
  <c r="H105" i="4" s="1"/>
  <c r="H105" i="5" s="1"/>
  <c r="H105" i="33" s="1"/>
  <c r="H105" i="7" s="1"/>
  <c r="H105" i="8" s="1"/>
  <c r="H162" i="4"/>
  <c r="J162" s="1"/>
  <c r="H129"/>
  <c r="J129" s="1"/>
  <c r="J130" i="3"/>
  <c r="H141" i="4"/>
  <c r="J141" s="1"/>
  <c r="H165"/>
  <c r="J165" s="1"/>
  <c r="H128"/>
  <c r="J128" s="1"/>
  <c r="H134" i="9"/>
  <c r="J134" i="8"/>
  <c r="H103" i="33"/>
  <c r="H103" i="7" s="1"/>
  <c r="H103" i="8" s="1"/>
  <c r="H150" i="5"/>
  <c r="J150" i="4"/>
  <c r="H189" i="3"/>
  <c r="H189" i="4" s="1"/>
  <c r="J145"/>
  <c r="H145" i="5"/>
  <c r="H147"/>
  <c r="J147" i="4"/>
  <c r="J173" i="3"/>
  <c r="J179"/>
  <c r="J133"/>
  <c r="H149" i="5"/>
  <c r="J149" i="4"/>
  <c r="J146"/>
  <c r="H146" i="5"/>
  <c r="J144" i="4"/>
  <c r="H144" i="5"/>
  <c r="H143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s="1"/>
  <c r="J94" i="43"/>
  <c r="H101" i="33"/>
  <c r="H101" i="7" s="1"/>
  <c r="H101" i="8" s="1"/>
  <c r="H102" i="31"/>
  <c r="J102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/>
  <c r="J174" i="4"/>
  <c r="H175"/>
  <c r="J175" i="3"/>
  <c r="J179" i="4"/>
  <c r="H179" i="5"/>
  <c r="H176" i="3"/>
  <c r="H173" i="5"/>
  <c r="J173" i="4"/>
  <c r="H178" i="5"/>
  <c r="J178" i="4"/>
  <c r="H163"/>
  <c r="J163" i="3"/>
  <c r="H164" i="5"/>
  <c r="J164" i="4"/>
  <c r="H188" i="3"/>
  <c r="H187"/>
  <c r="J145"/>
  <c r="J139" i="4"/>
  <c r="H139" i="5"/>
  <c r="H114"/>
  <c r="J114" i="4"/>
  <c r="H117" i="5"/>
  <c r="J117" i="4"/>
  <c r="H123" i="5"/>
  <c r="J123" i="4"/>
  <c r="H119" i="5"/>
  <c r="J119" i="4"/>
  <c r="H120" i="5"/>
  <c r="J120" i="4"/>
  <c r="H113"/>
  <c r="J113" i="3"/>
  <c r="H112" i="5"/>
  <c r="J112" i="4"/>
  <c r="J100" i="43"/>
  <c r="H100" i="31"/>
  <c r="J100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/>
  <c r="H182" s="1"/>
  <c r="J182" s="1"/>
  <c r="H174"/>
  <c r="J174" s="1"/>
  <c r="G61"/>
  <c r="B26" i="48"/>
  <c r="J64" i="43" l="1"/>
  <c r="H71" i="31"/>
  <c r="J71" s="1"/>
  <c r="G10" i="19"/>
  <c r="H10" s="1"/>
  <c r="G79"/>
  <c r="G80" s="1"/>
  <c r="H80" s="1"/>
  <c r="E28"/>
  <c r="G28" s="1"/>
  <c r="E19" i="9"/>
  <c r="G19" s="1"/>
  <c r="E8" i="10"/>
  <c r="G8" s="1"/>
  <c r="E27" s="1"/>
  <c r="G27" s="1"/>
  <c r="G187" i="8"/>
  <c r="E30"/>
  <c r="G30" s="1"/>
  <c r="G20"/>
  <c r="H20" s="1"/>
  <c r="H19"/>
  <c r="G15" i="10"/>
  <c r="E15" i="22"/>
  <c r="G15" i="21"/>
  <c r="G15" i="20"/>
  <c r="H79" i="9"/>
  <c r="G10" i="20"/>
  <c r="G95" i="9"/>
  <c r="H95" s="1"/>
  <c r="G97"/>
  <c r="H97" s="1"/>
  <c r="G105"/>
  <c r="H105" s="1"/>
  <c r="G103"/>
  <c r="H103" s="1"/>
  <c r="G101"/>
  <c r="H101" s="1"/>
  <c r="G99"/>
  <c r="H99" s="1"/>
  <c r="I59"/>
  <c r="E27"/>
  <c r="G27" s="1"/>
  <c r="H8"/>
  <c r="E7" i="10"/>
  <c r="H7" i="9"/>
  <c r="H183" i="5"/>
  <c r="H183" i="33" s="1"/>
  <c r="H122" i="5"/>
  <c r="J122" s="1"/>
  <c r="H104" i="31"/>
  <c r="J104" s="1"/>
  <c r="J104" i="43"/>
  <c r="J135" i="3"/>
  <c r="H135" i="5"/>
  <c r="J135" i="4"/>
  <c r="J161"/>
  <c r="H121" i="5"/>
  <c r="J121" s="1"/>
  <c r="J181" i="3"/>
  <c r="J115" i="4"/>
  <c r="J138"/>
  <c r="J140"/>
  <c r="H118" i="5"/>
  <c r="H118" i="33" s="1"/>
  <c r="J184" i="4"/>
  <c r="H155" i="14"/>
  <c r="J155" i="13"/>
  <c r="H156" i="14"/>
  <c r="J156" i="13"/>
  <c r="H131" i="5"/>
  <c r="J131" s="1"/>
  <c r="J186" i="3"/>
  <c r="H116" i="5"/>
  <c r="J116" s="1"/>
  <c r="H129"/>
  <c r="J129" s="1"/>
  <c r="H165"/>
  <c r="H165" i="33" s="1"/>
  <c r="J142" i="4"/>
  <c r="H162" i="5"/>
  <c r="J162" s="1"/>
  <c r="H141"/>
  <c r="J141" s="1"/>
  <c r="H128"/>
  <c r="J128" s="1"/>
  <c r="J189" i="3"/>
  <c r="H152" i="10"/>
  <c r="J152" i="9"/>
  <c r="H145" i="33"/>
  <c r="J145" i="5"/>
  <c r="H149" i="33"/>
  <c r="J149" i="5"/>
  <c r="H151" i="8"/>
  <c r="J151" i="7"/>
  <c r="H143" i="33"/>
  <c r="J143" i="5"/>
  <c r="J150"/>
  <c r="H150" i="33"/>
  <c r="J144" i="5"/>
  <c r="H144" i="33"/>
  <c r="H146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/>
  <c r="J186" i="4"/>
  <c r="J181"/>
  <c r="H181" i="5"/>
  <c r="H184" i="33"/>
  <c r="J184" i="5"/>
  <c r="H180" i="33"/>
  <c r="J180" i="5"/>
  <c r="H176" i="4"/>
  <c r="J176" i="3"/>
  <c r="H175" i="5"/>
  <c r="J175" i="4"/>
  <c r="J189"/>
  <c r="H189" i="5"/>
  <c r="H164" i="33"/>
  <c r="J164" i="5"/>
  <c r="H161" i="33"/>
  <c r="J161" i="5"/>
  <c r="H188" i="4"/>
  <c r="J188" i="3"/>
  <c r="H163" i="5"/>
  <c r="J163" i="4"/>
  <c r="H187"/>
  <c r="J187" i="3"/>
  <c r="H139" i="33"/>
  <c r="J139" i="5"/>
  <c r="J142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s="1"/>
  <c r="G187"/>
  <c r="E30"/>
  <c r="G30" s="1"/>
  <c r="G32" s="1"/>
  <c r="E19" i="10"/>
  <c r="G32" i="8"/>
  <c r="H32" s="1"/>
  <c r="H30"/>
  <c r="H19" i="9"/>
  <c r="G79" i="20"/>
  <c r="G80" s="1"/>
  <c r="E28"/>
  <c r="G28" s="1"/>
  <c r="E28" i="21"/>
  <c r="G28" s="1"/>
  <c r="G79"/>
  <c r="G80" s="1"/>
  <c r="E15" i="23"/>
  <c r="G15" i="22"/>
  <c r="E28" i="10"/>
  <c r="G28" s="1"/>
  <c r="H28" s="1"/>
  <c r="G79"/>
  <c r="G80" s="1"/>
  <c r="H15"/>
  <c r="E15" i="11"/>
  <c r="E8"/>
  <c r="G9" i="10"/>
  <c r="H9" s="1"/>
  <c r="G7"/>
  <c r="H7" s="1"/>
  <c r="E10" i="21"/>
  <c r="H27" i="9"/>
  <c r="H27" i="10" s="1"/>
  <c r="J183" i="5"/>
  <c r="H122" i="33"/>
  <c r="J122" s="1"/>
  <c r="H162"/>
  <c r="H162" i="7" s="1"/>
  <c r="J135" i="5"/>
  <c r="H135" i="33"/>
  <c r="H121"/>
  <c r="H121" i="7" s="1"/>
  <c r="J118" i="5"/>
  <c r="J156" i="14"/>
  <c r="H156" i="15"/>
  <c r="H129" i="33"/>
  <c r="J129" s="1"/>
  <c r="H155" i="15"/>
  <c r="J155" i="14"/>
  <c r="H131" i="33"/>
  <c r="J131" s="1"/>
  <c r="J165" i="5"/>
  <c r="H116" i="33"/>
  <c r="H116" i="7" s="1"/>
  <c r="H141" i="33"/>
  <c r="H141" i="7" s="1"/>
  <c r="H128" i="33"/>
  <c r="J128" s="1"/>
  <c r="H151" i="9"/>
  <c r="J151" i="8"/>
  <c r="H144" i="7"/>
  <c r="J144" i="33"/>
  <c r="J134" i="10"/>
  <c r="H134" i="11"/>
  <c r="J149" i="33"/>
  <c r="H149" i="7"/>
  <c r="H150"/>
  <c r="J150" i="33"/>
  <c r="J146"/>
  <c r="H146" i="7"/>
  <c r="J147" i="33"/>
  <c r="H147" i="7"/>
  <c r="H145"/>
  <c r="J145" i="33"/>
  <c r="J148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/>
  <c r="J177" i="11"/>
  <c r="H130" i="7"/>
  <c r="J130" i="33"/>
  <c r="H167" i="15"/>
  <c r="J167" i="14"/>
  <c r="J166"/>
  <c r="H166" i="15"/>
  <c r="H133" i="7"/>
  <c r="J133" i="33"/>
  <c r="H168" i="15"/>
  <c r="J168" i="14"/>
  <c r="H176" i="5"/>
  <c r="J176" i="4"/>
  <c r="H183" i="7"/>
  <c r="J183" i="33"/>
  <c r="J174"/>
  <c r="H174" i="7"/>
  <c r="H179"/>
  <c r="J179" i="33"/>
  <c r="J178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/>
  <c r="J164" i="33"/>
  <c r="J165"/>
  <c r="H165" i="7"/>
  <c r="H188" i="5"/>
  <c r="J188" i="4"/>
  <c r="J138" i="33"/>
  <c r="H138" i="7"/>
  <c r="J142" i="33"/>
  <c r="H142" i="7"/>
  <c r="H139"/>
  <c r="J139" i="33"/>
  <c r="H140" i="7"/>
  <c r="J140" i="33"/>
  <c r="H122" i="7"/>
  <c r="J119" i="33"/>
  <c r="H119" i="7"/>
  <c r="J112" i="33"/>
  <c r="H112" i="7"/>
  <c r="H114"/>
  <c r="J114" i="33"/>
  <c r="J123"/>
  <c r="H123" i="7"/>
  <c r="H113" i="33"/>
  <c r="J113" i="5"/>
  <c r="H118" i="7"/>
  <c r="J118" i="33"/>
  <c r="J117"/>
  <c r="H117" i="7"/>
  <c r="J115" i="33"/>
  <c r="H115" i="7"/>
  <c r="J120" i="33"/>
  <c r="H120" i="7"/>
  <c r="B20" i="48"/>
  <c r="H30" i="9" l="1"/>
  <c r="E7" i="11"/>
  <c r="G7" s="1"/>
  <c r="H7" s="1"/>
  <c r="H32" i="9"/>
  <c r="G19" i="10"/>
  <c r="H19" s="1"/>
  <c r="E15" i="24"/>
  <c r="G15" i="23"/>
  <c r="E15" i="12"/>
  <c r="G15" i="11"/>
  <c r="H15" s="1"/>
  <c r="H79" i="10"/>
  <c r="E28" i="22"/>
  <c r="G28" s="1"/>
  <c r="G79"/>
  <c r="G80" s="1"/>
  <c r="E9" i="11"/>
  <c r="E8" i="12"/>
  <c r="G8" i="11"/>
  <c r="G10" i="21"/>
  <c r="H10" s="1"/>
  <c r="G99" i="10"/>
  <c r="H99" s="1"/>
  <c r="G103"/>
  <c r="H103" s="1"/>
  <c r="G97"/>
  <c r="H97" s="1"/>
  <c r="G95"/>
  <c r="H95" s="1"/>
  <c r="G105"/>
  <c r="H105" s="1"/>
  <c r="G101"/>
  <c r="H101" s="1"/>
  <c r="I59"/>
  <c r="J162" i="33"/>
  <c r="J135"/>
  <c r="H135" i="7"/>
  <c r="H129"/>
  <c r="J129" s="1"/>
  <c r="J121" i="33"/>
  <c r="J141"/>
  <c r="J155" i="15"/>
  <c r="H155" i="16"/>
  <c r="H156"/>
  <c r="J156" i="15"/>
  <c r="H131" i="7"/>
  <c r="H131" i="8" s="1"/>
  <c r="J116" i="33"/>
  <c r="H128" i="7"/>
  <c r="J128" s="1"/>
  <c r="J149"/>
  <c r="H149" i="8"/>
  <c r="H145"/>
  <c r="J145" i="7"/>
  <c r="J147"/>
  <c r="H147" i="8"/>
  <c r="J134" i="11"/>
  <c r="H134" i="12"/>
  <c r="H152"/>
  <c r="J152" i="11"/>
  <c r="H143" i="8"/>
  <c r="J143" i="7"/>
  <c r="H146" i="8"/>
  <c r="J146" i="7"/>
  <c r="J144"/>
  <c r="H144" i="8"/>
  <c r="J148" i="7"/>
  <c r="H148" i="8"/>
  <c r="H150"/>
  <c r="J150" i="7"/>
  <c r="H151" i="10"/>
  <c r="J151" i="9"/>
  <c r="H189" i="25"/>
  <c r="J189" i="24"/>
  <c r="J166" i="15"/>
  <c r="H166" i="16"/>
  <c r="J127" i="12"/>
  <c r="H127" i="13"/>
  <c r="H182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/>
  <c r="J162" i="7"/>
  <c r="J165"/>
  <c r="H165" i="8"/>
  <c r="H188" i="33"/>
  <c r="J188" i="5"/>
  <c r="J164" i="7"/>
  <c r="H164" i="8"/>
  <c r="J163" i="33"/>
  <c r="H163" i="7"/>
  <c r="J141"/>
  <c r="H141" i="8"/>
  <c r="J142" i="7"/>
  <c r="H142" i="8"/>
  <c r="H140"/>
  <c r="J140" i="7"/>
  <c r="H139" i="8"/>
  <c r="J139" i="7"/>
  <c r="J138"/>
  <c r="H138" i="8"/>
  <c r="H118"/>
  <c r="J118" i="7"/>
  <c r="H122" i="8"/>
  <c r="J122" i="7"/>
  <c r="J121"/>
  <c r="H121" i="8"/>
  <c r="J115" i="7"/>
  <c r="H115" i="8"/>
  <c r="J112" i="7"/>
  <c r="H112" i="8"/>
  <c r="J123" i="7"/>
  <c r="H123" i="8"/>
  <c r="J113" i="33"/>
  <c r="H113" i="7"/>
  <c r="H114" i="8"/>
  <c r="J114" i="7"/>
  <c r="J120"/>
  <c r="H120" i="8"/>
  <c r="J116" i="7"/>
  <c r="H116" i="8"/>
  <c r="J117" i="7"/>
  <c r="H117" i="8"/>
  <c r="J119" i="7"/>
  <c r="H119" i="8"/>
  <c r="C33" i="48"/>
  <c r="D33"/>
  <c r="F33"/>
  <c r="B3"/>
  <c r="E4" i="45" s="1"/>
  <c r="B4" i="48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1"/>
  <c r="B32"/>
  <c r="B2"/>
  <c r="D4" i="45" s="1"/>
  <c r="K2" i="48"/>
  <c r="E7" i="12" l="1"/>
  <c r="G7" s="1"/>
  <c r="E30" i="10"/>
  <c r="G30" s="1"/>
  <c r="G187"/>
  <c r="G20"/>
  <c r="H20" s="1"/>
  <c r="E19" i="11"/>
  <c r="E28"/>
  <c r="G28" s="1"/>
  <c r="H28" s="1"/>
  <c r="G79"/>
  <c r="G80" s="1"/>
  <c r="E15" i="13"/>
  <c r="G15" i="12"/>
  <c r="G79" i="23"/>
  <c r="G80" s="1"/>
  <c r="E28"/>
  <c r="G28" s="1"/>
  <c r="G15" i="24"/>
  <c r="E15" i="25"/>
  <c r="G99" i="11"/>
  <c r="H99" s="1"/>
  <c r="G97"/>
  <c r="H97" s="1"/>
  <c r="G103"/>
  <c r="H103" s="1"/>
  <c r="G105"/>
  <c r="H105" s="1"/>
  <c r="G101"/>
  <c r="H101" s="1"/>
  <c r="G95"/>
  <c r="H95" s="1"/>
  <c r="I59"/>
  <c r="E27"/>
  <c r="G27" s="1"/>
  <c r="H8"/>
  <c r="E9" i="12"/>
  <c r="G9" i="11"/>
  <c r="H9" s="1"/>
  <c r="E10" i="22"/>
  <c r="H135" i="8"/>
  <c r="J135" i="7"/>
  <c r="H129" i="8"/>
  <c r="H129" i="9" s="1"/>
  <c r="H156" i="17"/>
  <c r="J156" i="16"/>
  <c r="J155"/>
  <c r="H155" i="17"/>
  <c r="J131" i="7"/>
  <c r="H128" i="8"/>
  <c r="J12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/>
  <c r="J145" i="8"/>
  <c r="H148" i="9"/>
  <c r="J148" i="8"/>
  <c r="J149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/>
  <c r="J173" i="8"/>
  <c r="J181" i="7"/>
  <c r="H181" i="8"/>
  <c r="H184" i="9"/>
  <c r="J184" i="8"/>
  <c r="H183" i="9"/>
  <c r="J183" i="8"/>
  <c r="H189"/>
  <c r="J189" i="7"/>
  <c r="J176" i="33"/>
  <c r="H176" i="7"/>
  <c r="J174" i="8"/>
  <c r="H174" i="9"/>
  <c r="H180"/>
  <c r="J180" i="8"/>
  <c r="J186" i="7"/>
  <c r="H186" i="8"/>
  <c r="H185" i="9"/>
  <c r="J185" i="8"/>
  <c r="H179" i="9"/>
  <c r="J179" i="8"/>
  <c r="H175"/>
  <c r="J175" i="7"/>
  <c r="H188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/>
  <c r="H138" i="9"/>
  <c r="J142" i="8"/>
  <c r="H142" i="9"/>
  <c r="J141" i="8"/>
  <c r="H141" i="9"/>
  <c r="H139"/>
  <c r="J139" i="8"/>
  <c r="H140" i="9"/>
  <c r="J140" i="8"/>
  <c r="J116"/>
  <c r="H116" i="9"/>
  <c r="J123" i="8"/>
  <c r="H123" i="9"/>
  <c r="H118"/>
  <c r="J118" i="8"/>
  <c r="J120"/>
  <c r="H120" i="9"/>
  <c r="J113" i="7"/>
  <c r="H113" i="8"/>
  <c r="J112"/>
  <c r="H112" i="9"/>
  <c r="J121" i="8"/>
  <c r="H121" i="9"/>
  <c r="J119" i="8"/>
  <c r="H119" i="9"/>
  <c r="J115" i="8"/>
  <c r="H115" i="9"/>
  <c r="J117" i="8"/>
  <c r="H117" i="9"/>
  <c r="H114"/>
  <c r="J114" i="8"/>
  <c r="H122" i="9"/>
  <c r="J122" i="8"/>
  <c r="B33" i="48"/>
  <c r="G19" i="11" l="1"/>
  <c r="G32" i="10"/>
  <c r="H32" s="1"/>
  <c r="H30"/>
  <c r="G79" i="12"/>
  <c r="G80" s="1"/>
  <c r="E28"/>
  <c r="G28" s="1"/>
  <c r="H28" s="1"/>
  <c r="G15" i="13"/>
  <c r="E15" i="14"/>
  <c r="G15" i="25"/>
  <c r="E15" i="40"/>
  <c r="H15" i="12"/>
  <c r="G79" i="24"/>
  <c r="G80" s="1"/>
  <c r="E28"/>
  <c r="G28" s="1"/>
  <c r="H79" i="11"/>
  <c r="H27"/>
  <c r="E9" i="13"/>
  <c r="G9" i="12"/>
  <c r="H9" s="1"/>
  <c r="G10" i="22"/>
  <c r="H10" s="1"/>
  <c r="G105" i="12"/>
  <c r="H105" s="1"/>
  <c r="G97"/>
  <c r="H97" s="1"/>
  <c r="G99"/>
  <c r="H99" s="1"/>
  <c r="G95"/>
  <c r="H95" s="1"/>
  <c r="G101"/>
  <c r="H101" s="1"/>
  <c r="G103"/>
  <c r="H103" s="1"/>
  <c r="I59"/>
  <c r="E7" i="13"/>
  <c r="E8"/>
  <c r="G8" i="12"/>
  <c r="E27" s="1"/>
  <c r="G27" s="1"/>
  <c r="H7"/>
  <c r="H135" i="9"/>
  <c r="J135" i="8"/>
  <c r="J129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/>
  <c r="J129" i="9"/>
  <c r="J131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/>
  <c r="J186" i="8"/>
  <c r="H186" i="9"/>
  <c r="H174" i="10"/>
  <c r="J174" i="9"/>
  <c r="H175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/>
  <c r="H115" i="10"/>
  <c r="H121"/>
  <c r="J121" i="9"/>
  <c r="J113" i="8"/>
  <c r="H113" i="9"/>
  <c r="H122" i="10"/>
  <c r="J122" i="9"/>
  <c r="H117" i="10"/>
  <c r="J117" i="9"/>
  <c r="J119"/>
  <c r="H119" i="10"/>
  <c r="H112"/>
  <c r="J112" i="9"/>
  <c r="H120" i="10"/>
  <c r="J120" i="9"/>
  <c r="J123"/>
  <c r="H123" i="10"/>
  <c r="H3" i="48"/>
  <c r="K4" i="45" s="1"/>
  <c r="H4" i="48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2"/>
  <c r="H79" i="12" l="1"/>
  <c r="H8"/>
  <c r="H15" i="13"/>
  <c r="G187" i="11"/>
  <c r="E30"/>
  <c r="G30" s="1"/>
  <c r="G32" s="1"/>
  <c r="H32" s="1"/>
  <c r="G20"/>
  <c r="H20" s="1"/>
  <c r="H19"/>
  <c r="E19" i="12"/>
  <c r="G15" i="40"/>
  <c r="E15" i="27"/>
  <c r="G79" i="25"/>
  <c r="E28"/>
  <c r="G28" s="1"/>
  <c r="G15" i="14"/>
  <c r="E28" i="13"/>
  <c r="G28" s="1"/>
  <c r="H28" s="1"/>
  <c r="G79"/>
  <c r="G80" s="1"/>
  <c r="H80" s="1"/>
  <c r="J80" s="1"/>
  <c r="H27" i="12"/>
  <c r="G8" i="13"/>
  <c r="E27" s="1"/>
  <c r="G27" s="1"/>
  <c r="E8" i="14"/>
  <c r="G7" i="13"/>
  <c r="H7" s="1"/>
  <c r="G9"/>
  <c r="H9" s="1"/>
  <c r="E9" i="14"/>
  <c r="E10" i="23"/>
  <c r="H135" i="10"/>
  <c r="J135" i="9"/>
  <c r="J156" i="18"/>
  <c r="H156" i="19"/>
  <c r="H155"/>
  <c r="J155" i="18"/>
  <c r="J128" i="9"/>
  <c r="J134" i="14"/>
  <c r="H134" i="15"/>
  <c r="H147" i="11"/>
  <c r="J147" i="10"/>
  <c r="J144"/>
  <c r="H144" i="11"/>
  <c r="H150"/>
  <c r="J150" i="10"/>
  <c r="H152" i="15"/>
  <c r="J152" i="14"/>
  <c r="J151" i="12"/>
  <c r="H151" i="13"/>
  <c r="H148" i="11"/>
  <c r="J148" i="10"/>
  <c r="J149"/>
  <c r="H149" i="11"/>
  <c r="J145" i="10"/>
  <c r="H145" i="11"/>
  <c r="J146" i="10"/>
  <c r="H146" i="11"/>
  <c r="H143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/>
  <c r="H129" i="11"/>
  <c r="J129" i="10"/>
  <c r="J132"/>
  <c r="H132" i="11"/>
  <c r="H133"/>
  <c r="J133" i="10"/>
  <c r="H177" i="16"/>
  <c r="J177" i="15"/>
  <c r="H127" i="16"/>
  <c r="J127" i="15"/>
  <c r="H173" i="11"/>
  <c r="J173" i="10"/>
  <c r="H189"/>
  <c r="J189" i="9"/>
  <c r="H178" i="11"/>
  <c r="J178" i="10"/>
  <c r="H180" i="11"/>
  <c r="J180" i="10"/>
  <c r="H175"/>
  <c r="J175" i="9"/>
  <c r="H186" i="10"/>
  <c r="J186" i="9"/>
  <c r="H176"/>
  <c r="J176" i="8"/>
  <c r="H184" i="11"/>
  <c r="J184" i="10"/>
  <c r="J179"/>
  <c r="H179" i="11"/>
  <c r="H181" i="10"/>
  <c r="J181" i="9"/>
  <c r="J183" i="10"/>
  <c r="H183" i="11"/>
  <c r="H185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/>
  <c r="J162" i="10"/>
  <c r="H138" i="11"/>
  <c r="J138" i="10"/>
  <c r="H141" i="11"/>
  <c r="J141" i="10"/>
  <c r="J139"/>
  <c r="H139" i="11"/>
  <c r="H140"/>
  <c r="J140" i="10"/>
  <c r="H142" i="11"/>
  <c r="J142" i="10"/>
  <c r="J123"/>
  <c r="H123" i="11"/>
  <c r="J122" i="10"/>
  <c r="H122" i="11"/>
  <c r="J121" i="10"/>
  <c r="H121" i="11"/>
  <c r="H116"/>
  <c r="J116" i="10"/>
  <c r="J114"/>
  <c r="H114" i="11"/>
  <c r="J119" i="10"/>
  <c r="H119" i="11"/>
  <c r="H120"/>
  <c r="J120" i="10"/>
  <c r="H112" i="11"/>
  <c r="J112" i="10"/>
  <c r="J117"/>
  <c r="H117" i="11"/>
  <c r="J118" i="10"/>
  <c r="H118" i="11"/>
  <c r="H113" i="10"/>
  <c r="J113" i="9"/>
  <c r="J115" i="10"/>
  <c r="H115" i="11"/>
  <c r="H33" i="48"/>
  <c r="E7" i="14" l="1"/>
  <c r="G7" s="1"/>
  <c r="H30" i="11"/>
  <c r="G19" i="12"/>
  <c r="G79" i="14"/>
  <c r="E28"/>
  <c r="G28" s="1"/>
  <c r="H28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s="1"/>
  <c r="G79" i="40"/>
  <c r="E28"/>
  <c r="G28" s="1"/>
  <c r="H27" i="13"/>
  <c r="E9" i="15"/>
  <c r="G9" i="14"/>
  <c r="H9" s="1"/>
  <c r="E8" i="15"/>
  <c r="G8" i="14"/>
  <c r="E27" s="1"/>
  <c r="G27" s="1"/>
  <c r="G99" i="13"/>
  <c r="H99" s="1"/>
  <c r="G105"/>
  <c r="H105" s="1"/>
  <c r="G97"/>
  <c r="H97" s="1"/>
  <c r="G103"/>
  <c r="H103" s="1"/>
  <c r="G101"/>
  <c r="H101" s="1"/>
  <c r="G95"/>
  <c r="H95" s="1"/>
  <c r="I59"/>
  <c r="G10" i="23"/>
  <c r="H10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/>
  <c r="H146" i="12"/>
  <c r="J151" i="13"/>
  <c r="H151" i="14"/>
  <c r="H147" i="12"/>
  <c r="J147" i="11"/>
  <c r="H145" i="12"/>
  <c r="J145" i="11"/>
  <c r="H134" i="16"/>
  <c r="J134" i="15"/>
  <c r="J152"/>
  <c r="H152" i="16"/>
  <c r="H189" i="29"/>
  <c r="J189" i="28"/>
  <c r="H133" i="12"/>
  <c r="J133" i="11"/>
  <c r="J128"/>
  <c r="H128" i="12"/>
  <c r="H130"/>
  <c r="J130" i="11"/>
  <c r="H182" i="17"/>
  <c r="J182" i="16"/>
  <c r="J127"/>
  <c r="H127" i="17"/>
  <c r="H129" i="12"/>
  <c r="J129" i="11"/>
  <c r="J168" i="19"/>
  <c r="H177" i="17"/>
  <c r="J177" i="16"/>
  <c r="J166" i="19"/>
  <c r="J167"/>
  <c r="J132" i="11"/>
  <c r="H132" i="12"/>
  <c r="J131" i="11"/>
  <c r="H131" i="12"/>
  <c r="H174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/>
  <c r="J181" i="10"/>
  <c r="H184" i="12"/>
  <c r="J184" i="11"/>
  <c r="H186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/>
  <c r="H120" i="12"/>
  <c r="H123"/>
  <c r="J123" i="11"/>
  <c r="H117" i="12"/>
  <c r="J117" i="11"/>
  <c r="H114" i="12"/>
  <c r="J114" i="11"/>
  <c r="H121" i="12"/>
  <c r="J121" i="11"/>
  <c r="J112"/>
  <c r="H112" i="12"/>
  <c r="J116" i="11"/>
  <c r="H116" i="12"/>
  <c r="H118"/>
  <c r="J118" i="11"/>
  <c r="H119" i="12"/>
  <c r="J119" i="11"/>
  <c r="H122" i="12"/>
  <c r="J122" i="11"/>
  <c r="E34" i="1"/>
  <c r="F34"/>
  <c r="S34"/>
  <c r="U34" s="1"/>
  <c r="H19" i="12" l="1"/>
  <c r="G187"/>
  <c r="E10" i="24"/>
  <c r="G10" s="1"/>
  <c r="H10" s="1"/>
  <c r="E7" i="15"/>
  <c r="E7" i="16" s="1"/>
  <c r="E30" i="12"/>
  <c r="G30" s="1"/>
  <c r="G20"/>
  <c r="H20" s="1"/>
  <c r="E19" i="13"/>
  <c r="G15" i="28"/>
  <c r="E15" i="29"/>
  <c r="G15" s="1"/>
  <c r="G79" s="1"/>
  <c r="G80" s="1"/>
  <c r="E28" i="27"/>
  <c r="G28" s="1"/>
  <c r="H15"/>
  <c r="G79"/>
  <c r="H28" i="40"/>
  <c r="G80"/>
  <c r="G80" i="14"/>
  <c r="H79"/>
  <c r="H79" i="15" s="1"/>
  <c r="G105" i="14"/>
  <c r="H105" s="1"/>
  <c r="G95"/>
  <c r="H95" s="1"/>
  <c r="G103"/>
  <c r="H103" s="1"/>
  <c r="G97"/>
  <c r="H97" s="1"/>
  <c r="G101"/>
  <c r="H101" s="1"/>
  <c r="G99"/>
  <c r="H99" s="1"/>
  <c r="I59"/>
  <c r="H7"/>
  <c r="G8" i="15"/>
  <c r="E27" s="1"/>
  <c r="G27" s="1"/>
  <c r="E8" i="16"/>
  <c r="E9"/>
  <c r="G9" s="1"/>
  <c r="G9" i="15"/>
  <c r="H9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s="1"/>
  <c r="H135" i="12"/>
  <c r="J135" s="1"/>
  <c r="H135" i="17"/>
  <c r="J135" i="11"/>
  <c r="J156" i="20"/>
  <c r="H156" i="21"/>
  <c r="J155" i="20"/>
  <c r="H155" i="21"/>
  <c r="J147" i="12"/>
  <c r="H147" i="13"/>
  <c r="H14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/>
  <c r="J149" i="12"/>
  <c r="H189" i="30"/>
  <c r="J189" i="29"/>
  <c r="H131" i="13"/>
  <c r="J131" i="12"/>
  <c r="H127" i="18"/>
  <c r="J127" i="17"/>
  <c r="H167" i="21"/>
  <c r="H168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/>
  <c r="J186" i="11"/>
  <c r="H181" i="12"/>
  <c r="J181" i="11"/>
  <c r="H179" i="13"/>
  <c r="J179" i="12"/>
  <c r="H173" i="13"/>
  <c r="J173" i="12"/>
  <c r="H174" i="13"/>
  <c r="J174" i="12"/>
  <c r="H189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s="1"/>
  <c r="J79" i="15"/>
  <c r="E28" i="29"/>
  <c r="G28" s="1"/>
  <c r="E15" i="30"/>
  <c r="G15" s="1"/>
  <c r="G7" i="15"/>
  <c r="G105" s="1"/>
  <c r="H105" s="1"/>
  <c r="H27"/>
  <c r="G19" i="13"/>
  <c r="G187" s="1"/>
  <c r="G32" i="12"/>
  <c r="H32" s="1"/>
  <c r="H30"/>
  <c r="G80" i="27"/>
  <c r="H28"/>
  <c r="H15" i="28"/>
  <c r="H15" i="29" s="1"/>
  <c r="E28" i="28"/>
  <c r="G28" s="1"/>
  <c r="G79"/>
  <c r="E9" i="17"/>
  <c r="H9" i="16"/>
  <c r="N7"/>
  <c r="N8"/>
  <c r="E10" i="25"/>
  <c r="H135" i="43"/>
  <c r="J135" s="1"/>
  <c r="H135" i="40"/>
  <c r="H135" i="27"/>
  <c r="H135" i="29"/>
  <c r="H135" i="25"/>
  <c r="H135" i="31"/>
  <c r="H135" i="28"/>
  <c r="J155" i="21"/>
  <c r="H155" i="22"/>
  <c r="H156"/>
  <c r="J156" i="21"/>
  <c r="H151" i="16"/>
  <c r="J151" i="15"/>
  <c r="J152" i="17"/>
  <c r="H152" i="18"/>
  <c r="J149" i="13"/>
  <c r="H149" i="14"/>
  <c r="H144"/>
  <c r="J144" i="13"/>
  <c r="J148"/>
  <c r="H148" i="14"/>
  <c r="J134" i="17"/>
  <c r="H134" i="18"/>
  <c r="J143" i="13"/>
  <c r="H143" i="14"/>
  <c r="H150"/>
  <c r="J150" i="13"/>
  <c r="J145"/>
  <c r="H145" i="14"/>
  <c r="H147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/>
  <c r="J175" i="12"/>
  <c r="H174" i="14"/>
  <c r="J174" i="13"/>
  <c r="H179" i="14"/>
  <c r="J179" i="13"/>
  <c r="H186"/>
  <c r="J186" i="12"/>
  <c r="H178" i="14"/>
  <c r="J178" i="13"/>
  <c r="H185" i="14"/>
  <c r="J185" i="13"/>
  <c r="H180" i="14"/>
  <c r="J180" i="13"/>
  <c r="H189"/>
  <c r="J189" i="12"/>
  <c r="H173" i="14"/>
  <c r="J173" i="13"/>
  <c r="H181"/>
  <c r="J181" i="12"/>
  <c r="H187"/>
  <c r="J187" i="11"/>
  <c r="H162" i="14"/>
  <c r="J162" i="13"/>
  <c r="H16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/>
  <c r="J113" i="12"/>
  <c r="K32" i="47"/>
  <c r="L32"/>
  <c r="E31" i="48"/>
  <c r="G31"/>
  <c r="H79" i="40" l="1"/>
  <c r="H79" i="27" s="1"/>
  <c r="H79" i="28" s="1"/>
  <c r="H79" i="29" s="1"/>
  <c r="G103" i="15"/>
  <c r="H103" s="1"/>
  <c r="G99"/>
  <c r="H99" s="1"/>
  <c r="G95"/>
  <c r="H95" s="1"/>
  <c r="G97"/>
  <c r="H97" s="1"/>
  <c r="I59"/>
  <c r="G101"/>
  <c r="H101" s="1"/>
  <c r="H7"/>
  <c r="H28" i="28"/>
  <c r="H28" i="29" s="1"/>
  <c r="G20" i="13"/>
  <c r="H20" s="1"/>
  <c r="E30"/>
  <c r="G30" s="1"/>
  <c r="G32" s="1"/>
  <c r="H32" s="1"/>
  <c r="H19"/>
  <c r="E19" i="14"/>
  <c r="G80" i="28"/>
  <c r="G9" i="17"/>
  <c r="H9" s="1"/>
  <c r="E9" i="18"/>
  <c r="E7" i="17"/>
  <c r="G7" i="16"/>
  <c r="G10" i="25"/>
  <c r="H10" s="1"/>
  <c r="E8" i="17"/>
  <c r="G8" i="16"/>
  <c r="E27" s="1"/>
  <c r="G27" s="1"/>
  <c r="G79" i="30"/>
  <c r="G80" s="1"/>
  <c r="E28"/>
  <c r="G28" s="1"/>
  <c r="E15" i="43"/>
  <c r="H15" i="30"/>
  <c r="J156" i="22"/>
  <c r="H156" i="23"/>
  <c r="H156" i="24" s="1"/>
  <c r="J156" s="1"/>
  <c r="H155" i="23"/>
  <c r="J155" i="22"/>
  <c r="H150" i="15"/>
  <c r="J150" i="14"/>
  <c r="H144" i="15"/>
  <c r="J144" i="14"/>
  <c r="H143" i="15"/>
  <c r="J143" i="14"/>
  <c r="J149"/>
  <c r="H149" i="15"/>
  <c r="H146"/>
  <c r="J146" i="14"/>
  <c r="H134" i="19"/>
  <c r="J134" i="18"/>
  <c r="J152"/>
  <c r="H152" i="19"/>
  <c r="J147" i="14"/>
  <c r="H147" i="15"/>
  <c r="H145"/>
  <c r="J145" i="14"/>
  <c r="H148" i="15"/>
  <c r="J148" i="14"/>
  <c r="H151" i="17"/>
  <c r="J151" i="16"/>
  <c r="J189" i="43"/>
  <c r="H189" i="31"/>
  <c r="J189" s="1"/>
  <c r="H133" i="50"/>
  <c r="J133" s="1"/>
  <c r="H131" i="15"/>
  <c r="J131" i="14"/>
  <c r="J177" i="19"/>
  <c r="H177" i="20"/>
  <c r="H130" i="15"/>
  <c r="J130" i="14"/>
  <c r="H168" i="23"/>
  <c r="J168" i="22"/>
  <c r="J166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s="1"/>
  <c r="J135" s="1"/>
  <c r="J128" i="14"/>
  <c r="H181"/>
  <c r="J181" i="13"/>
  <c r="H189" i="14"/>
  <c r="J189" i="13"/>
  <c r="H185" i="15"/>
  <c r="J185" i="14"/>
  <c r="H186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/>
  <c r="J175" i="13"/>
  <c r="H183" i="15"/>
  <c r="J183" i="14"/>
  <c r="H165" i="15"/>
  <c r="J165" i="14"/>
  <c r="H163"/>
  <c r="J163" i="13"/>
  <c r="H187"/>
  <c r="J187" i="12"/>
  <c r="H188" i="13"/>
  <c r="H188" i="14" s="1"/>
  <c r="J188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/>
  <c r="D33"/>
  <c r="S33"/>
  <c r="U33" s="1"/>
  <c r="H30" i="13" l="1"/>
  <c r="H28" i="30"/>
  <c r="G19" i="14"/>
  <c r="H19" s="1"/>
  <c r="H27" i="16"/>
  <c r="G8" i="17"/>
  <c r="E27" s="1"/>
  <c r="G27" s="1"/>
  <c r="E8" i="18"/>
  <c r="E9" i="19"/>
  <c r="G103" i="16"/>
  <c r="H103" s="1"/>
  <c r="H7"/>
  <c r="G97"/>
  <c r="H97" s="1"/>
  <c r="G95"/>
  <c r="H95" s="1"/>
  <c r="G101"/>
  <c r="H101" s="1"/>
  <c r="G105"/>
  <c r="H105" s="1"/>
  <c r="I59"/>
  <c r="G99"/>
  <c r="H99" s="1"/>
  <c r="G7" i="17"/>
  <c r="E7" i="18"/>
  <c r="G15" i="43"/>
  <c r="H79" i="30"/>
  <c r="H155" i="24"/>
  <c r="J155" i="23"/>
  <c r="H156" i="25"/>
  <c r="J156" i="23"/>
  <c r="J147" i="15"/>
  <c r="H147" i="16"/>
  <c r="H149"/>
  <c r="J149" i="15"/>
  <c r="J152" i="19"/>
  <c r="H152" i="20"/>
  <c r="H151" i="18"/>
  <c r="J151" i="17"/>
  <c r="J143" i="15"/>
  <c r="H143" i="16"/>
  <c r="H148"/>
  <c r="J148" i="15"/>
  <c r="J134" i="19"/>
  <c r="H134" i="20"/>
  <c r="J144" i="15"/>
  <c r="H144" i="16"/>
  <c r="J145" i="15"/>
  <c r="H145" i="16"/>
  <c r="H146"/>
  <c r="J146" i="15"/>
  <c r="J150"/>
  <c r="H150" i="16"/>
  <c r="H128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/>
  <c r="J181" i="14"/>
  <c r="H175" i="15"/>
  <c r="J175" i="14"/>
  <c r="H178" i="16"/>
  <c r="J178" i="15"/>
  <c r="H173" i="16"/>
  <c r="J173" i="15"/>
  <c r="H184" i="16"/>
  <c r="J184" i="15"/>
  <c r="H186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H7" i="1"/>
  <c r="J7" s="1"/>
  <c r="G7"/>
  <c r="H6"/>
  <c r="J6" s="1"/>
  <c r="G6"/>
  <c r="H5"/>
  <c r="J5" s="1"/>
  <c r="G5"/>
  <c r="AN2" i="49"/>
  <c r="G4" i="1"/>
  <c r="E30" i="14" l="1"/>
  <c r="G30" s="1"/>
  <c r="G20"/>
  <c r="H20" s="1"/>
  <c r="G187"/>
  <c r="H187" s="1"/>
  <c r="J187" s="1"/>
  <c r="E19" i="15"/>
  <c r="G10" i="40"/>
  <c r="H10" s="1"/>
  <c r="G9" i="19"/>
  <c r="G9" i="18"/>
  <c r="H9" s="1"/>
  <c r="G8"/>
  <c r="E8" i="19"/>
  <c r="G7" i="18"/>
  <c r="E7" i="19"/>
  <c r="H27" i="17"/>
  <c r="G101"/>
  <c r="H101" s="1"/>
  <c r="G103"/>
  <c r="H103" s="1"/>
  <c r="I59"/>
  <c r="G105"/>
  <c r="H105" s="1"/>
  <c r="H7"/>
  <c r="G97"/>
  <c r="H97" s="1"/>
  <c r="G99"/>
  <c r="H99" s="1"/>
  <c r="G95"/>
  <c r="H95" s="1"/>
  <c r="H156" i="40"/>
  <c r="H156" i="27" s="1"/>
  <c r="H156" i="28" s="1"/>
  <c r="J156" i="25"/>
  <c r="E28" i="43"/>
  <c r="G28" s="1"/>
  <c r="H28" s="1"/>
  <c r="G79"/>
  <c r="G80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/>
  <c r="H145" i="17"/>
  <c r="H143"/>
  <c r="J143" i="16"/>
  <c r="H147" i="17"/>
  <c r="J147" i="16"/>
  <c r="H177" i="22"/>
  <c r="J177" i="21"/>
  <c r="H131" i="17"/>
  <c r="J131" i="16"/>
  <c r="J167" i="24"/>
  <c r="H167" i="25"/>
  <c r="H168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/>
  <c r="J181" i="15"/>
  <c r="H174" i="17"/>
  <c r="J174" i="16"/>
  <c r="H180" i="17"/>
  <c r="J180" i="16"/>
  <c r="H183" i="17"/>
  <c r="J183" i="16"/>
  <c r="H186"/>
  <c r="J186" i="15"/>
  <c r="H173" i="17"/>
  <c r="J173" i="16"/>
  <c r="H175"/>
  <c r="J175" i="15"/>
  <c r="H185" i="17"/>
  <c r="J185" i="16"/>
  <c r="H176" i="15"/>
  <c r="J176" i="14"/>
  <c r="H179" i="17"/>
  <c r="J179" i="16"/>
  <c r="H163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/>
  <c r="J113" i="15"/>
  <c r="H122" i="17"/>
  <c r="J122" i="16"/>
  <c r="H118" i="17"/>
  <c r="J118" i="16"/>
  <c r="H121" i="17"/>
  <c r="J121" i="16"/>
  <c r="H117" i="17"/>
  <c r="J117" i="16"/>
  <c r="J114"/>
  <c r="H112" i="17"/>
  <c r="J112" i="16"/>
  <c r="H123" i="17"/>
  <c r="J123" i="16"/>
  <c r="D5" i="44"/>
  <c r="H4" i="1"/>
  <c r="J4" s="1"/>
  <c r="B5" i="44"/>
  <c r="C5"/>
  <c r="J2" i="48" s="1"/>
  <c r="D6" i="44"/>
  <c r="D7"/>
  <c r="D8"/>
  <c r="B8"/>
  <c r="B6"/>
  <c r="B7"/>
  <c r="C6"/>
  <c r="C7"/>
  <c r="C8"/>
  <c r="AN4" i="49"/>
  <c r="AN3"/>
  <c r="E27" i="18" l="1"/>
  <c r="G27" s="1"/>
  <c r="H27" s="1"/>
  <c r="G19" i="15"/>
  <c r="G32" i="14"/>
  <c r="H32" s="1"/>
  <c r="H30"/>
  <c r="G15" i="31"/>
  <c r="E8" i="20"/>
  <c r="G8" i="19"/>
  <c r="E27" s="1"/>
  <c r="G27" s="1"/>
  <c r="H9"/>
  <c r="E9" i="20"/>
  <c r="E7"/>
  <c r="G7" i="19"/>
  <c r="G95" i="18"/>
  <c r="H95" s="1"/>
  <c r="G97"/>
  <c r="H97" s="1"/>
  <c r="I59"/>
  <c r="G99"/>
  <c r="H99" s="1"/>
  <c r="H7"/>
  <c r="G105"/>
  <c r="H105" s="1"/>
  <c r="G103"/>
  <c r="H103" s="1"/>
  <c r="G101"/>
  <c r="H101" s="1"/>
  <c r="H79" i="43"/>
  <c r="G8" i="40"/>
  <c r="E27" s="1"/>
  <c r="G27" s="1"/>
  <c r="H155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/>
  <c r="J189" i="16"/>
  <c r="H176"/>
  <c r="J176" i="15"/>
  <c r="H175" i="17"/>
  <c r="J175" i="16"/>
  <c r="J186"/>
  <c r="H186" i="17"/>
  <c r="H180" i="18"/>
  <c r="J180" i="17"/>
  <c r="H181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/>
  <c r="E6"/>
  <c r="E8"/>
  <c r="AN5" i="49"/>
  <c r="E19" i="16" l="1"/>
  <c r="F19" s="1"/>
  <c r="G19" s="1"/>
  <c r="E30" i="15"/>
  <c r="G30" s="1"/>
  <c r="G32" s="1"/>
  <c r="H32" s="1"/>
  <c r="G187"/>
  <c r="H187" s="1"/>
  <c r="J187" s="1"/>
  <c r="G20"/>
  <c r="H20" s="1"/>
  <c r="H19"/>
  <c r="H15" i="31"/>
  <c r="G79"/>
  <c r="G80" s="1"/>
  <c r="E28"/>
  <c r="G28" s="1"/>
  <c r="H28" s="1"/>
  <c r="G7" i="20"/>
  <c r="E7" i="21"/>
  <c r="G9" i="20"/>
  <c r="H9" s="1"/>
  <c r="E9" i="21"/>
  <c r="G105" i="19"/>
  <c r="H105" s="1"/>
  <c r="G95"/>
  <c r="H95" s="1"/>
  <c r="G97"/>
  <c r="H97" s="1"/>
  <c r="I59"/>
  <c r="G99"/>
  <c r="H99" s="1"/>
  <c r="G101"/>
  <c r="H101" s="1"/>
  <c r="G103"/>
  <c r="H103" s="1"/>
  <c r="H7"/>
  <c r="G10" i="27"/>
  <c r="H10" s="1"/>
  <c r="H27" i="19"/>
  <c r="E8" i="21"/>
  <c r="G8" i="20"/>
  <c r="E27" s="1"/>
  <c r="G27" s="1"/>
  <c r="J156" i="40"/>
  <c r="H155" i="27"/>
  <c r="J155" i="40"/>
  <c r="H148" i="19"/>
  <c r="J148" i="18"/>
  <c r="J149"/>
  <c r="H149" i="19"/>
  <c r="J143" i="18"/>
  <c r="H143" i="19"/>
  <c r="H147"/>
  <c r="J147" i="18"/>
  <c r="J144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/>
  <c r="J175" i="17"/>
  <c r="H189" i="18"/>
  <c r="J189" i="17"/>
  <c r="H174" i="19"/>
  <c r="J174" i="18"/>
  <c r="H173" i="19"/>
  <c r="J173" i="18"/>
  <c r="H179" i="19"/>
  <c r="J179" i="18"/>
  <c r="H181"/>
  <c r="J181" i="17"/>
  <c r="H176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/>
  <c r="J163" i="17"/>
  <c r="H188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/>
  <c r="J113" i="17"/>
  <c r="H117" i="19"/>
  <c r="J117" i="18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79" i="31" l="1"/>
  <c r="E10" i="28"/>
  <c r="G10" s="1"/>
  <c r="H10" s="1"/>
  <c r="H30" i="15"/>
  <c r="H27" i="20"/>
  <c r="E19" i="17"/>
  <c r="H19" i="16"/>
  <c r="G20"/>
  <c r="H20" s="1"/>
  <c r="G187"/>
  <c r="H187" s="1"/>
  <c r="J187" s="1"/>
  <c r="E30"/>
  <c r="G30" s="1"/>
  <c r="G32" s="1"/>
  <c r="H32" s="1"/>
  <c r="G9" i="21"/>
  <c r="H9" s="1"/>
  <c r="E9" i="22"/>
  <c r="E8"/>
  <c r="G7" i="21"/>
  <c r="E7" i="22"/>
  <c r="G103" i="20"/>
  <c r="H103" s="1"/>
  <c r="G99"/>
  <c r="H99" s="1"/>
  <c r="G101"/>
  <c r="H101" s="1"/>
  <c r="G97"/>
  <c r="H97" s="1"/>
  <c r="G95"/>
  <c r="H95" s="1"/>
  <c r="G105"/>
  <c r="H105" s="1"/>
  <c r="H7"/>
  <c r="I59"/>
  <c r="G8" i="27"/>
  <c r="E27" s="1"/>
  <c r="G27" s="1"/>
  <c r="E8" i="28"/>
  <c r="J156" i="27"/>
  <c r="J155"/>
  <c r="H155" i="28"/>
  <c r="H148" i="20"/>
  <c r="J148" i="19"/>
  <c r="H146" i="20"/>
  <c r="J146" i="19"/>
  <c r="J152" i="23"/>
  <c r="J147" i="19"/>
  <c r="H147" i="20"/>
  <c r="H150"/>
  <c r="J150" i="19"/>
  <c r="J134" i="23"/>
  <c r="H134" i="24"/>
  <c r="H143" i="20"/>
  <c r="J143" i="19"/>
  <c r="J145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/>
  <c r="J181" i="18"/>
  <c r="H173" i="20"/>
  <c r="J173" i="19"/>
  <c r="H189"/>
  <c r="J189" s="1"/>
  <c r="J189" i="18"/>
  <c r="H180" i="20"/>
  <c r="J180" i="19"/>
  <c r="H186"/>
  <c r="J186" i="18"/>
  <c r="H183" i="20"/>
  <c r="J183" i="19"/>
  <c r="H176" i="18"/>
  <c r="J176" i="17"/>
  <c r="H179" i="20"/>
  <c r="J179" i="19"/>
  <c r="H174" i="20"/>
  <c r="J174" i="19"/>
  <c r="H175"/>
  <c r="J175" i="18"/>
  <c r="H184" i="20"/>
  <c r="J184" i="19"/>
  <c r="H188" i="18"/>
  <c r="J188" i="17"/>
  <c r="H162" i="20"/>
  <c r="J162" i="19"/>
  <c r="H164" i="20"/>
  <c r="J164" i="19"/>
  <c r="H163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8" i="21" l="1"/>
  <c r="E27" s="1"/>
  <c r="G27" s="1"/>
  <c r="H27" s="1"/>
  <c r="H30" i="16"/>
  <c r="F19" i="17"/>
  <c r="G19" s="1"/>
  <c r="E9" i="23"/>
  <c r="G7" i="22"/>
  <c r="E7" i="23"/>
  <c r="I59" i="21"/>
  <c r="G101"/>
  <c r="H101" s="1"/>
  <c r="H7"/>
  <c r="G103"/>
  <c r="H103" s="1"/>
  <c r="G97"/>
  <c r="H97" s="1"/>
  <c r="G99"/>
  <c r="H99" s="1"/>
  <c r="G95"/>
  <c r="H95" s="1"/>
  <c r="G105"/>
  <c r="H105" s="1"/>
  <c r="E10" i="29"/>
  <c r="G8" i="22"/>
  <c r="E27" s="1"/>
  <c r="G27" s="1"/>
  <c r="E8" i="23"/>
  <c r="G8" i="28"/>
  <c r="E8" i="29"/>
  <c r="J155" i="28"/>
  <c r="H155" i="29"/>
  <c r="J156" i="28"/>
  <c r="H156" i="29"/>
  <c r="J145" i="20"/>
  <c r="H145" i="21"/>
  <c r="H147"/>
  <c r="J147" i="20"/>
  <c r="H144" i="21"/>
  <c r="J144" i="20"/>
  <c r="J143"/>
  <c r="H143" i="21"/>
  <c r="H152" i="25"/>
  <c r="J152" i="24"/>
  <c r="H134" i="25"/>
  <c r="J134" i="24"/>
  <c r="H151" i="23"/>
  <c r="J151" i="22"/>
  <c r="J146" i="20"/>
  <c r="H146" i="21"/>
  <c r="J149" i="20"/>
  <c r="H149" i="21"/>
  <c r="H150"/>
  <c r="J150" i="20"/>
  <c r="J148"/>
  <c r="H148" i="21"/>
  <c r="H132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/>
  <c r="J163" i="19"/>
  <c r="H188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/>
  <c r="G5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K2" i="47"/>
  <c r="E14" i="48"/>
  <c r="E15"/>
  <c r="E21"/>
  <c r="E22"/>
  <c r="E23"/>
  <c r="E24"/>
  <c r="E25"/>
  <c r="E26"/>
  <c r="E27"/>
  <c r="E28"/>
  <c r="E29"/>
  <c r="E30"/>
  <c r="H4" i="45"/>
  <c r="AM35" i="1"/>
  <c r="T35"/>
  <c r="P35"/>
  <c r="M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0" i="17" l="1"/>
  <c r="G30" s="1"/>
  <c r="G20"/>
  <c r="H20" s="1"/>
  <c r="G187"/>
  <c r="H187" s="1"/>
  <c r="J187" s="1"/>
  <c r="E19" i="18"/>
  <c r="H19" i="17"/>
  <c r="G7" i="23"/>
  <c r="E7" i="24"/>
  <c r="H7" i="22"/>
  <c r="I59"/>
  <c r="G99"/>
  <c r="H99" s="1"/>
  <c r="G97"/>
  <c r="H97" s="1"/>
  <c r="G95"/>
  <c r="H95" s="1"/>
  <c r="G105"/>
  <c r="H105" s="1"/>
  <c r="G103"/>
  <c r="H103" s="1"/>
  <c r="G101"/>
  <c r="H101" s="1"/>
  <c r="G8" i="29"/>
  <c r="G9" i="23"/>
  <c r="E9" i="24"/>
  <c r="G10" i="29"/>
  <c r="H10" s="1"/>
  <c r="G8" i="23"/>
  <c r="E27" s="1"/>
  <c r="G27" s="1"/>
  <c r="E8" i="24"/>
  <c r="G9" i="22"/>
  <c r="H9" s="1"/>
  <c r="H27"/>
  <c r="E27" i="28"/>
  <c r="G27" s="1"/>
  <c r="J3" i="48"/>
  <c r="M4" i="45" s="1"/>
  <c r="J4"/>
  <c r="K5" i="47"/>
  <c r="J5" i="48"/>
  <c r="K4" i="47"/>
  <c r="J4" i="48"/>
  <c r="H156" i="30"/>
  <c r="J156" i="29"/>
  <c r="J155"/>
  <c r="H155" i="30"/>
  <c r="H146" i="22"/>
  <c r="J146" i="21"/>
  <c r="H143" i="22"/>
  <c r="J143" i="21"/>
  <c r="J152" i="25"/>
  <c r="H152" i="40"/>
  <c r="H151" i="24"/>
  <c r="J151" i="23"/>
  <c r="J144" i="21"/>
  <c r="H144" i="22"/>
  <c r="H150"/>
  <c r="J150" i="21"/>
  <c r="H134" i="40"/>
  <c r="J134" i="25"/>
  <c r="J147" i="21"/>
  <c r="H147" i="22"/>
  <c r="J148" i="21"/>
  <c r="H148" i="22"/>
  <c r="H149"/>
  <c r="J149" i="21"/>
  <c r="J145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/>
  <c r="J175" i="20"/>
  <c r="H181" i="21"/>
  <c r="J181" i="20"/>
  <c r="H176"/>
  <c r="J176" i="19"/>
  <c r="H184" i="22"/>
  <c r="J184" i="21"/>
  <c r="H178" i="22"/>
  <c r="J178" i="21"/>
  <c r="H180" i="22"/>
  <c r="J180" i="21"/>
  <c r="H179" i="22"/>
  <c r="J179" i="21"/>
  <c r="H185" i="22"/>
  <c r="J185" i="21"/>
  <c r="H186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/>
  <c r="J113" i="20"/>
  <c r="H123" i="22"/>
  <c r="J123" i="21"/>
  <c r="H122" i="22"/>
  <c r="J122" i="21"/>
  <c r="K3" i="47"/>
  <c r="G33" i="48"/>
  <c r="E33"/>
  <c r="H9" i="23" l="1"/>
  <c r="G19" i="18"/>
  <c r="G32" i="17"/>
  <c r="H32" s="1"/>
  <c r="H30"/>
  <c r="E27" i="29"/>
  <c r="G27" s="1"/>
  <c r="O8"/>
  <c r="O15"/>
  <c r="E10" i="30"/>
  <c r="G9" i="24"/>
  <c r="E9" i="25"/>
  <c r="G8" i="24"/>
  <c r="E27" s="1"/>
  <c r="G27" s="1"/>
  <c r="E8" i="25"/>
  <c r="G8" s="1"/>
  <c r="E27" s="1"/>
  <c r="G27" s="1"/>
  <c r="G7" i="24"/>
  <c r="E7" i="25"/>
  <c r="H27" i="23"/>
  <c r="G105"/>
  <c r="H105" s="1"/>
  <c r="G95"/>
  <c r="H95" s="1"/>
  <c r="I59"/>
  <c r="G101"/>
  <c r="H101" s="1"/>
  <c r="H7"/>
  <c r="G103"/>
  <c r="H103" s="1"/>
  <c r="G99"/>
  <c r="H99" s="1"/>
  <c r="G97"/>
  <c r="H97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/>
  <c r="J150" i="22"/>
  <c r="H143" i="23"/>
  <c r="J143" i="22"/>
  <c r="H148" i="23"/>
  <c r="J148" i="22"/>
  <c r="J144"/>
  <c r="H144" i="23"/>
  <c r="J146" i="22"/>
  <c r="H146" i="23"/>
  <c r="H129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/>
  <c r="J181" i="21"/>
  <c r="H183" i="23"/>
  <c r="J183" i="22"/>
  <c r="H163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s="1"/>
  <c r="J142" i="22"/>
  <c r="H140" i="23"/>
  <c r="J140" i="22"/>
  <c r="H141" i="23"/>
  <c r="H141" i="24" s="1"/>
  <c r="J141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/>
  <c r="J113" i="21"/>
  <c r="H119" i="23"/>
  <c r="J119" i="22"/>
  <c r="H120" i="23"/>
  <c r="J120" i="22"/>
  <c r="H115" i="23"/>
  <c r="J115" i="22"/>
  <c r="H116" i="23"/>
  <c r="J116" i="22"/>
  <c r="AP45" i="44"/>
  <c r="AP41"/>
  <c r="H9" i="24" l="1"/>
  <c r="G20" i="18"/>
  <c r="H20" s="1"/>
  <c r="G187"/>
  <c r="H187" s="1"/>
  <c r="J187" s="1"/>
  <c r="E30"/>
  <c r="G30" s="1"/>
  <c r="G32" s="1"/>
  <c r="H32" s="1"/>
  <c r="E19" i="19"/>
  <c r="H19" i="18"/>
  <c r="G9" i="25"/>
  <c r="G7"/>
  <c r="E7" i="40"/>
  <c r="G10" i="30"/>
  <c r="H10" s="1"/>
  <c r="H7" i="24"/>
  <c r="G99"/>
  <c r="H99" s="1"/>
  <c r="G95"/>
  <c r="H95" s="1"/>
  <c r="I59"/>
  <c r="G101"/>
  <c r="H101" s="1"/>
  <c r="G105"/>
  <c r="H105" s="1"/>
  <c r="G97"/>
  <c r="H97" s="1"/>
  <c r="G103"/>
  <c r="H103" s="1"/>
  <c r="G8" i="30"/>
  <c r="E27" s="1"/>
  <c r="G27" s="1"/>
  <c r="H27" i="24"/>
  <c r="H27" i="25" s="1"/>
  <c r="H27" i="40" s="1"/>
  <c r="H27" i="27" s="1"/>
  <c r="H27" i="28" s="1"/>
  <c r="H27" i="29" s="1"/>
  <c r="G7" i="28"/>
  <c r="O9" s="1"/>
  <c r="H155" i="31"/>
  <c r="J155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s="1"/>
  <c r="J166" i="43"/>
  <c r="J177" i="28"/>
  <c r="H177" i="29"/>
  <c r="J127" i="28"/>
  <c r="H127" i="29"/>
  <c r="H132" i="24"/>
  <c r="J132" i="23"/>
  <c r="H168" i="31"/>
  <c r="J168" s="1"/>
  <c r="J168" i="43"/>
  <c r="H128" i="24"/>
  <c r="J128" i="23"/>
  <c r="H131" i="24"/>
  <c r="J131" i="23"/>
  <c r="H130" i="24"/>
  <c r="J130" i="23"/>
  <c r="H133" i="24"/>
  <c r="J133" i="23"/>
  <c r="H167" i="31"/>
  <c r="J167" s="1"/>
  <c r="J167" i="43"/>
  <c r="H181" i="23"/>
  <c r="J181" i="22"/>
  <c r="H180" i="24"/>
  <c r="J180" i="23"/>
  <c r="H174" i="24"/>
  <c r="J174" i="23"/>
  <c r="H175"/>
  <c r="J175" i="22"/>
  <c r="H178" i="24"/>
  <c r="J178" i="23"/>
  <c r="H186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/>
  <c r="J142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s="1"/>
  <c r="G95" i="25"/>
  <c r="H95" s="1"/>
  <c r="G99"/>
  <c r="H99" s="1"/>
  <c r="G103"/>
  <c r="H103" s="1"/>
  <c r="G97"/>
  <c r="H97" s="1"/>
  <c r="G101"/>
  <c r="H101" s="1"/>
  <c r="I59"/>
  <c r="H7"/>
  <c r="G105"/>
  <c r="H105" s="1"/>
  <c r="G9" i="40"/>
  <c r="H27" i="30"/>
  <c r="G105" i="28"/>
  <c r="G103"/>
  <c r="G101"/>
  <c r="G97"/>
  <c r="G95"/>
  <c r="G99"/>
  <c r="I59"/>
  <c r="E7" i="29"/>
  <c r="H144" i="25"/>
  <c r="J144" i="24"/>
  <c r="J147"/>
  <c r="H147" i="25"/>
  <c r="J150" i="24"/>
  <c r="H150" i="25"/>
  <c r="H143"/>
  <c r="J143" i="24"/>
  <c r="H145" i="25"/>
  <c r="J145" i="24"/>
  <c r="H152" i="29"/>
  <c r="J152" i="28"/>
  <c r="H151" i="27"/>
  <c r="J151" i="40"/>
  <c r="J148" i="24"/>
  <c r="H148" i="25"/>
  <c r="H149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/>
  <c r="J181" i="23"/>
  <c r="H179" i="25"/>
  <c r="J179" i="24"/>
  <c r="H173" i="25"/>
  <c r="J173" i="24"/>
  <c r="H184" i="25"/>
  <c r="J184" i="24"/>
  <c r="H186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/>
  <c r="J163" i="23"/>
  <c r="H188"/>
  <c r="J188" i="22"/>
  <c r="H139" i="25"/>
  <c r="J139" i="24"/>
  <c r="H142" i="25"/>
  <c r="H141"/>
  <c r="H140"/>
  <c r="J140" i="24"/>
  <c r="H138" i="25"/>
  <c r="J138" i="24"/>
  <c r="H117" i="25"/>
  <c r="J117" i="24"/>
  <c r="H113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s="1"/>
  <c r="G32" s="1"/>
  <c r="H32" s="1"/>
  <c r="G20"/>
  <c r="H20" s="1"/>
  <c r="G187"/>
  <c r="H187" s="1"/>
  <c r="J187" s="1"/>
  <c r="E19" i="21"/>
  <c r="G19" i="20"/>
  <c r="H19" i="19"/>
  <c r="G9" i="27"/>
  <c r="E9" i="28"/>
  <c r="G95" i="27"/>
  <c r="I59"/>
  <c r="G97"/>
  <c r="G101"/>
  <c r="G105"/>
  <c r="G103"/>
  <c r="G99"/>
  <c r="O10" i="29"/>
  <c r="H7" i="40"/>
  <c r="H7" i="27" s="1"/>
  <c r="H7" i="28" s="1"/>
  <c r="G105" i="40"/>
  <c r="H105" s="1"/>
  <c r="G103"/>
  <c r="H103" s="1"/>
  <c r="G99"/>
  <c r="H99" s="1"/>
  <c r="I59"/>
  <c r="G101"/>
  <c r="H101" s="1"/>
  <c r="G97"/>
  <c r="H97" s="1"/>
  <c r="G95"/>
  <c r="H95" s="1"/>
  <c r="G8" i="43"/>
  <c r="E27" s="1"/>
  <c r="G27" s="1"/>
  <c r="G8" i="50"/>
  <c r="E28" s="1"/>
  <c r="G28" s="1"/>
  <c r="G8" i="31"/>
  <c r="E27" s="1"/>
  <c r="G27" s="1"/>
  <c r="J143" i="25"/>
  <c r="H143" i="40"/>
  <c r="J150" i="25"/>
  <c r="H150" i="40"/>
  <c r="H134" i="30"/>
  <c r="J134" i="29"/>
  <c r="H151" i="28"/>
  <c r="J151" i="27"/>
  <c r="J147" i="25"/>
  <c r="H147" i="40"/>
  <c r="H146"/>
  <c r="J146" i="25"/>
  <c r="H152" i="30"/>
  <c r="J152" i="29"/>
  <c r="J148" i="25"/>
  <c r="H148" i="40"/>
  <c r="H149"/>
  <c r="J149" i="25"/>
  <c r="J145"/>
  <c r="H145" i="40"/>
  <c r="J144" i="25"/>
  <c r="H144" i="40"/>
  <c r="H129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/>
  <c r="J186" i="24"/>
  <c r="H173" i="40"/>
  <c r="J173" i="25"/>
  <c r="H181"/>
  <c r="J181" i="24"/>
  <c r="H178" i="40"/>
  <c r="J178" i="25"/>
  <c r="H185" i="40"/>
  <c r="J185" i="25"/>
  <c r="H188" i="24"/>
  <c r="J188" i="23"/>
  <c r="H162" i="40"/>
  <c r="J162" i="25"/>
  <c r="H164" i="40"/>
  <c r="J164" i="25"/>
  <c r="H163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/>
  <c r="J113" i="24"/>
  <c r="H9" i="27" l="1"/>
  <c r="H30" i="19"/>
  <c r="H99" i="27"/>
  <c r="H99" i="28" s="1"/>
  <c r="H105" i="27"/>
  <c r="H105" i="28" s="1"/>
  <c r="H19" i="20"/>
  <c r="G20"/>
  <c r="H20" s="1"/>
  <c r="G187"/>
  <c r="H187" s="1"/>
  <c r="J187" s="1"/>
  <c r="E30"/>
  <c r="G30" s="1"/>
  <c r="G19" i="21"/>
  <c r="G7" i="29"/>
  <c r="I59" s="1"/>
  <c r="H95" i="27"/>
  <c r="H95" i="28" s="1"/>
  <c r="H103" i="27"/>
  <c r="H103" i="28" s="1"/>
  <c r="E9" i="29"/>
  <c r="G9" i="28"/>
  <c r="G10" i="43"/>
  <c r="H10" s="1"/>
  <c r="H10" i="50" s="1"/>
  <c r="E10" i="31"/>
  <c r="G10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/>
  <c r="J150" i="40"/>
  <c r="H148" i="27"/>
  <c r="J148" i="40"/>
  <c r="H146" i="27"/>
  <c r="J146" i="40"/>
  <c r="H147" i="27"/>
  <c r="J147" i="40"/>
  <c r="H143" i="27"/>
  <c r="J143" i="40"/>
  <c r="J149"/>
  <c r="H149" i="27"/>
  <c r="H133"/>
  <c r="J133" i="40"/>
  <c r="H129" i="27"/>
  <c r="J129" i="40"/>
  <c r="J182" i="43"/>
  <c r="H182" i="31"/>
  <c r="J182" s="1"/>
  <c r="H131" i="27"/>
  <c r="J131" i="40"/>
  <c r="J177" i="43"/>
  <c r="H177" i="31"/>
  <c r="J177" s="1"/>
  <c r="H121" i="50"/>
  <c r="J121" s="1"/>
  <c r="H130" i="27"/>
  <c r="J130" i="40"/>
  <c r="H132" i="27"/>
  <c r="J132" i="40"/>
  <c r="H128" i="27"/>
  <c r="J128" i="40"/>
  <c r="H127" i="31"/>
  <c r="J127" s="1"/>
  <c r="J127" i="43"/>
  <c r="H178" i="27"/>
  <c r="J178" i="40"/>
  <c r="H173" i="27"/>
  <c r="J173" i="40"/>
  <c r="H180" i="27"/>
  <c r="J180" i="40"/>
  <c r="H183" i="27"/>
  <c r="J183" i="40"/>
  <c r="H179" i="27"/>
  <c r="J179" i="40"/>
  <c r="H175"/>
  <c r="J175" i="25"/>
  <c r="H185" i="27"/>
  <c r="J185" i="40"/>
  <c r="H181"/>
  <c r="J181" i="25"/>
  <c r="H186" i="40"/>
  <c r="J186" i="25"/>
  <c r="H176"/>
  <c r="J176" i="24"/>
  <c r="H174" i="27"/>
  <c r="J174" i="40"/>
  <c r="H184" i="27"/>
  <c r="J184" i="40"/>
  <c r="H165" i="27"/>
  <c r="J165" i="40"/>
  <c r="H163"/>
  <c r="J163" i="25"/>
  <c r="H188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/>
  <c r="AC7"/>
  <c r="AC8"/>
  <c r="AC6"/>
  <c r="G32" i="20" l="1"/>
  <c r="H32" s="1"/>
  <c r="H9" i="28"/>
  <c r="G103" i="29"/>
  <c r="H103" s="1"/>
  <c r="G101"/>
  <c r="H101" s="1"/>
  <c r="G97"/>
  <c r="H97" s="1"/>
  <c r="G105"/>
  <c r="H105" s="1"/>
  <c r="G95"/>
  <c r="H95" s="1"/>
  <c r="G99"/>
  <c r="H99" s="1"/>
  <c r="E19" i="22"/>
  <c r="G19" s="1"/>
  <c r="H30" i="20"/>
  <c r="G187" i="21"/>
  <c r="H187" s="1"/>
  <c r="J187" s="1"/>
  <c r="E30"/>
  <c r="G30" s="1"/>
  <c r="G32" s="1"/>
  <c r="G20"/>
  <c r="H20" s="1"/>
  <c r="H19"/>
  <c r="H10" i="31"/>
  <c r="G9" i="29"/>
  <c r="E9" i="30"/>
  <c r="G9" s="1"/>
  <c r="O12" i="29"/>
  <c r="H7"/>
  <c r="G7" i="30"/>
  <c r="H146" i="28"/>
  <c r="J146" i="27"/>
  <c r="J134" i="43"/>
  <c r="H134" i="31"/>
  <c r="J134" s="1"/>
  <c r="J149" i="27"/>
  <c r="H149" i="28"/>
  <c r="H148"/>
  <c r="J148" i="27"/>
  <c r="H152" i="31"/>
  <c r="J152" s="1"/>
  <c r="J152" i="43"/>
  <c r="H143" i="28"/>
  <c r="J143" i="27"/>
  <c r="J150"/>
  <c r="H150" i="28"/>
  <c r="J144" i="27"/>
  <c r="H144" i="28"/>
  <c r="H145"/>
  <c r="J145" i="27"/>
  <c r="J14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/>
  <c r="H32" i="21" l="1"/>
  <c r="H9" i="29"/>
  <c r="H9" i="30" s="1"/>
  <c r="E19" i="23"/>
  <c r="G19" s="1"/>
  <c r="H19" i="22"/>
  <c r="E9" i="43"/>
  <c r="G9" s="1"/>
  <c r="H30" i="21"/>
  <c r="E30" i="22"/>
  <c r="G30" s="1"/>
  <c r="G32" s="1"/>
  <c r="G20"/>
  <c r="H20" s="1"/>
  <c r="G187"/>
  <c r="H187" s="1"/>
  <c r="J187" s="1"/>
  <c r="G105" i="30"/>
  <c r="H105" s="1"/>
  <c r="G99"/>
  <c r="H99" s="1"/>
  <c r="G97"/>
  <c r="H97" s="1"/>
  <c r="G95"/>
  <c r="H95" s="1"/>
  <c r="G103"/>
  <c r="H103" s="1"/>
  <c r="G101"/>
  <c r="H101" s="1"/>
  <c r="I59"/>
  <c r="H7"/>
  <c r="E7" i="43"/>
  <c r="H144" i="29"/>
  <c r="J144" i="28"/>
  <c r="H148" i="29"/>
  <c r="J148" i="28"/>
  <c r="J146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/>
  <c r="J181" i="27"/>
  <c r="H184" i="29"/>
  <c r="J184" i="28"/>
  <c r="H180" i="29"/>
  <c r="J180" i="28"/>
  <c r="H185" i="29"/>
  <c r="J185" i="28"/>
  <c r="H174" i="29"/>
  <c r="J174" i="28"/>
  <c r="H173" i="29"/>
  <c r="J173" i="28"/>
  <c r="H175"/>
  <c r="J175" i="27"/>
  <c r="H176"/>
  <c r="J176" i="40"/>
  <c r="H178" i="29"/>
  <c r="J178" i="28"/>
  <c r="H179" i="29"/>
  <c r="J179" i="28"/>
  <c r="H186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s="1"/>
  <c r="E19" i="24"/>
  <c r="H30" i="22"/>
  <c r="G20" i="23"/>
  <c r="H20" s="1"/>
  <c r="G187"/>
  <c r="H187" s="1"/>
  <c r="J187" s="1"/>
  <c r="E30"/>
  <c r="G30" s="1"/>
  <c r="G32" s="1"/>
  <c r="H19"/>
  <c r="E9" i="31"/>
  <c r="G9" s="1"/>
  <c r="E7"/>
  <c r="J144" i="29"/>
  <c r="H144" i="30"/>
  <c r="H143"/>
  <c r="J143" i="29"/>
  <c r="J151" i="43"/>
  <c r="H151" i="31"/>
  <c r="J151" s="1"/>
  <c r="H147" i="30"/>
  <c r="J147" i="29"/>
  <c r="H146" i="30"/>
  <c r="J146" i="29"/>
  <c r="J148"/>
  <c r="H148" i="30"/>
  <c r="H150"/>
  <c r="J150" i="29"/>
  <c r="J149"/>
  <c r="H149" i="30"/>
  <c r="H145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/>
  <c r="J186" i="28"/>
  <c r="H178" i="30"/>
  <c r="J178" i="29"/>
  <c r="H175"/>
  <c r="J175" i="28"/>
  <c r="H174" i="30"/>
  <c r="J174" i="29"/>
  <c r="H180" i="30"/>
  <c r="J180" i="29"/>
  <c r="H181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/>
  <c r="AC28" i="44"/>
  <c r="Z25" i="49"/>
  <c r="AB7"/>
  <c r="AB9"/>
  <c r="Z30"/>
  <c r="H32" i="23" l="1"/>
  <c r="H9" i="31"/>
  <c r="H30" i="23"/>
  <c r="G19" i="24"/>
  <c r="AB25" i="49"/>
  <c r="N7" i="31"/>
  <c r="G7"/>
  <c r="G7" i="43"/>
  <c r="G7" i="50"/>
  <c r="G11" s="1"/>
  <c r="H147" i="43"/>
  <c r="J147" i="30"/>
  <c r="J150"/>
  <c r="H150" i="43"/>
  <c r="H148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/>
  <c r="J175" i="29"/>
  <c r="H186" i="30"/>
  <c r="J186" i="29"/>
  <c r="H184" i="43"/>
  <c r="J184" i="30"/>
  <c r="H173" i="43"/>
  <c r="J173" i="30"/>
  <c r="H179" i="43"/>
  <c r="J179" i="30"/>
  <c r="H181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/>
  <c r="J163" i="29"/>
  <c r="H188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/>
  <c r="J113" i="29"/>
  <c r="H117" i="43"/>
  <c r="J117" i="30"/>
  <c r="AC27" i="44"/>
  <c r="AB24" i="49" s="1"/>
  <c r="Z24"/>
  <c r="AB8"/>
  <c r="AA32"/>
  <c r="AB10"/>
  <c r="AB5"/>
  <c r="AA24"/>
  <c r="AA25"/>
  <c r="Z11"/>
  <c r="Z10"/>
  <c r="Z9"/>
  <c r="Z8"/>
  <c r="Z7"/>
  <c r="AA6"/>
  <c r="AB6"/>
  <c r="Z6"/>
  <c r="AA5"/>
  <c r="Z5"/>
  <c r="Z4"/>
  <c r="AB4"/>
  <c r="AA4"/>
  <c r="Z31"/>
  <c r="Z29"/>
  <c r="Z27"/>
  <c r="Z26"/>
  <c r="Z23"/>
  <c r="Z22"/>
  <c r="Z21"/>
  <c r="Z20"/>
  <c r="Z19"/>
  <c r="Z18"/>
  <c r="Z17"/>
  <c r="Z16"/>
  <c r="Z15"/>
  <c r="Z14"/>
  <c r="Z13"/>
  <c r="Z12"/>
  <c r="AA7"/>
  <c r="AC25" i="44"/>
  <c r="AB22" i="49" s="1"/>
  <c r="AA13"/>
  <c r="AA23"/>
  <c r="AA12"/>
  <c r="AA22"/>
  <c r="AC21" i="44"/>
  <c r="AB18" i="49" s="1"/>
  <c r="AC17" i="44"/>
  <c r="AB14" i="49" s="1"/>
  <c r="AA31"/>
  <c r="AA11"/>
  <c r="AA20"/>
  <c r="AB11"/>
  <c r="AC20" i="44"/>
  <c r="AB17" i="49" s="1"/>
  <c r="AA26"/>
  <c r="AC31" i="44"/>
  <c r="AB28" i="49" s="1"/>
  <c r="AA29"/>
  <c r="Z32"/>
  <c r="AA18"/>
  <c r="AC15" i="44"/>
  <c r="AC16"/>
  <c r="AB13" i="49" s="1"/>
  <c r="AA16"/>
  <c r="AC22" i="44"/>
  <c r="AB19" i="49" s="1"/>
  <c r="AC24" i="44"/>
  <c r="AB21" i="49" s="1"/>
  <c r="AC32" i="44"/>
  <c r="AB29" i="49" s="1"/>
  <c r="AC34" i="44"/>
  <c r="AB31" i="49" s="1"/>
  <c r="AC29" i="44"/>
  <c r="AB26" i="49" s="1"/>
  <c r="AA14"/>
  <c r="AA10"/>
  <c r="AA27"/>
  <c r="AA15"/>
  <c r="AA30"/>
  <c r="AA21"/>
  <c r="AA17"/>
  <c r="AC19" i="44"/>
  <c r="AB16" i="49" s="1"/>
  <c r="AC18" i="44"/>
  <c r="AB15" i="49" s="1"/>
  <c r="AA19"/>
  <c r="AA8"/>
  <c r="AA9"/>
  <c r="AC30" i="44"/>
  <c r="AB27" i="49" s="1"/>
  <c r="AC26" i="44"/>
  <c r="AB23" i="49" s="1"/>
  <c r="AC23" i="44"/>
  <c r="AB20" i="49" s="1"/>
  <c r="AA28"/>
  <c r="E19" i="25" l="1"/>
  <c r="G19" s="1"/>
  <c r="E30" i="24"/>
  <c r="G30" s="1"/>
  <c r="G32" s="1"/>
  <c r="H32" s="1"/>
  <c r="G187"/>
  <c r="H187" s="1"/>
  <c r="J187" s="1"/>
  <c r="G20"/>
  <c r="H20" s="1"/>
  <c r="H19"/>
  <c r="AC36" i="44"/>
  <c r="AC37"/>
  <c r="G104" i="50"/>
  <c r="G98"/>
  <c r="G100"/>
  <c r="G106"/>
  <c r="G96"/>
  <c r="G102"/>
  <c r="I60"/>
  <c r="G97" i="43"/>
  <c r="H97" s="1"/>
  <c r="J97" s="1"/>
  <c r="G99"/>
  <c r="H99" s="1"/>
  <c r="J99" s="1"/>
  <c r="G103"/>
  <c r="H103" s="1"/>
  <c r="J103" s="1"/>
  <c r="G101"/>
  <c r="H101" s="1"/>
  <c r="J101" s="1"/>
  <c r="G95"/>
  <c r="H95" s="1"/>
  <c r="G105"/>
  <c r="H105" s="1"/>
  <c r="I59"/>
  <c r="H7"/>
  <c r="G103" i="31"/>
  <c r="G95"/>
  <c r="G97"/>
  <c r="G101"/>
  <c r="G105"/>
  <c r="G99"/>
  <c r="I59"/>
  <c r="AB12" i="49"/>
  <c r="J146" i="43"/>
  <c r="H146" i="31"/>
  <c r="J146" s="1"/>
  <c r="H149"/>
  <c r="J149" s="1"/>
  <c r="J149" i="43"/>
  <c r="J145"/>
  <c r="H145" i="31"/>
  <c r="J145" s="1"/>
  <c r="H148"/>
  <c r="J148" s="1"/>
  <c r="J148" i="43"/>
  <c r="J150"/>
  <c r="H150" i="31"/>
  <c r="J150" s="1"/>
  <c r="J144" i="43"/>
  <c r="H144" i="31"/>
  <c r="J144" s="1"/>
  <c r="J143" i="43"/>
  <c r="H143" i="31"/>
  <c r="J143" s="1"/>
  <c r="H147"/>
  <c r="J147" s="1"/>
  <c r="J147" i="43"/>
  <c r="H130" i="31"/>
  <c r="J130" s="1"/>
  <c r="J130" i="43"/>
  <c r="H132" i="31"/>
  <c r="J132" s="1"/>
  <c r="J132" i="43"/>
  <c r="H128" i="31"/>
  <c r="J128" s="1"/>
  <c r="J128" i="43"/>
  <c r="J129"/>
  <c r="H129" i="31"/>
  <c r="J129" s="1"/>
  <c r="H80" i="50"/>
  <c r="H131" i="31"/>
  <c r="J131" s="1"/>
  <c r="J131" i="43"/>
  <c r="H82" i="31"/>
  <c r="J82" s="1"/>
  <c r="H133"/>
  <c r="J133" s="1"/>
  <c r="J133" i="43"/>
  <c r="J185"/>
  <c r="H185" i="31"/>
  <c r="J185" s="1"/>
  <c r="H129" i="50"/>
  <c r="J129" s="1"/>
  <c r="H178" i="31"/>
  <c r="J178" s="1"/>
  <c r="J178" i="43"/>
  <c r="H122" i="50"/>
  <c r="J122" s="1"/>
  <c r="H181" i="43"/>
  <c r="J181" i="30"/>
  <c r="H173" i="31"/>
  <c r="J173" s="1"/>
  <c r="J173" i="43"/>
  <c r="H117" i="50"/>
  <c r="J117" s="1"/>
  <c r="H186" i="43"/>
  <c r="J186" i="30"/>
  <c r="J180" i="43"/>
  <c r="H180" i="31"/>
  <c r="J180" s="1"/>
  <c r="H124" i="50"/>
  <c r="J124" s="1"/>
  <c r="H176" i="30"/>
  <c r="J176" i="29"/>
  <c r="J183" i="43"/>
  <c r="H183" i="31"/>
  <c r="J183" s="1"/>
  <c r="J174" i="43"/>
  <c r="H174" i="31"/>
  <c r="J174" s="1"/>
  <c r="H118" i="50"/>
  <c r="J118" s="1"/>
  <c r="J179" i="43"/>
  <c r="H179" i="31"/>
  <c r="J179" s="1"/>
  <c r="H123" i="50"/>
  <c r="J123" s="1"/>
  <c r="J184" i="43"/>
  <c r="H184" i="31"/>
  <c r="J184" s="1"/>
  <c r="H128" i="50"/>
  <c r="J128" s="1"/>
  <c r="H175" i="43"/>
  <c r="J175" i="30"/>
  <c r="H188"/>
  <c r="J188" i="29"/>
  <c r="J162" i="43"/>
  <c r="H162" i="31"/>
  <c r="J162" s="1"/>
  <c r="J164" i="43"/>
  <c r="H164" i="31"/>
  <c r="H163" i="43"/>
  <c r="J163" i="30"/>
  <c r="H161" i="31"/>
  <c r="J161" s="1"/>
  <c r="J161" i="43"/>
  <c r="J165" i="31"/>
  <c r="J165" i="43"/>
  <c r="J142"/>
  <c r="H142" i="31"/>
  <c r="J142" s="1"/>
  <c r="J140" i="43"/>
  <c r="H140" i="31"/>
  <c r="J140" s="1"/>
  <c r="H139"/>
  <c r="J139" s="1"/>
  <c r="J139" i="43"/>
  <c r="H141" i="31"/>
  <c r="J141" s="1"/>
  <c r="J141" i="43"/>
  <c r="H138" i="31"/>
  <c r="J138" s="1"/>
  <c r="J138" i="43"/>
  <c r="H113"/>
  <c r="J113" i="30"/>
  <c r="J114" i="43"/>
  <c r="H114" i="31"/>
  <c r="J114" s="1"/>
  <c r="H115"/>
  <c r="J115" s="1"/>
  <c r="J115" i="43"/>
  <c r="J118"/>
  <c r="H118" i="31"/>
  <c r="J118" s="1"/>
  <c r="H123"/>
  <c r="J123" s="1"/>
  <c r="J123" i="43"/>
  <c r="H119" i="31"/>
  <c r="J119" s="1"/>
  <c r="J119" i="43"/>
  <c r="H117" i="31"/>
  <c r="J117" s="1"/>
  <c r="J117" i="43"/>
  <c r="H116" i="31"/>
  <c r="J116" s="1"/>
  <c r="J116" i="43"/>
  <c r="H122" i="31"/>
  <c r="J122" s="1"/>
  <c r="J122" i="43"/>
  <c r="J112"/>
  <c r="H112" i="31"/>
  <c r="J112" s="1"/>
  <c r="J120" i="43"/>
  <c r="H120" i="31"/>
  <c r="J120" s="1"/>
  <c r="H121"/>
  <c r="J121" s="1"/>
  <c r="J121" i="43"/>
  <c r="Z3" i="49"/>
  <c r="AB3"/>
  <c r="AA3"/>
  <c r="Z2"/>
  <c r="AB2"/>
  <c r="AA2"/>
  <c r="H30" i="24" l="1"/>
  <c r="H19" i="25"/>
  <c r="E30"/>
  <c r="G30" s="1"/>
  <c r="G32" s="1"/>
  <c r="H32" s="1"/>
  <c r="G187"/>
  <c r="H187" s="1"/>
  <c r="J187" s="1"/>
  <c r="G20"/>
  <c r="H20" s="1"/>
  <c r="E19" i="40"/>
  <c r="H101" i="31"/>
  <c r="J101" s="1"/>
  <c r="H99"/>
  <c r="J99" s="1"/>
  <c r="H103"/>
  <c r="J103" s="1"/>
  <c r="H105"/>
  <c r="J105" s="1"/>
  <c r="J105" i="43"/>
  <c r="H95" i="31"/>
  <c r="J95" s="1"/>
  <c r="J95" i="43"/>
  <c r="AU35" i="44"/>
  <c r="H97" i="31"/>
  <c r="J97" s="1"/>
  <c r="J164"/>
  <c r="H176" i="43"/>
  <c r="J176" i="30"/>
  <c r="J175" i="43"/>
  <c r="H175" i="31"/>
  <c r="J175" s="1"/>
  <c r="H119" i="50"/>
  <c r="J119" s="1"/>
  <c r="H181" i="31"/>
  <c r="J181" s="1"/>
  <c r="J181" i="43"/>
  <c r="J186"/>
  <c r="H186" i="31"/>
  <c r="J186" s="1"/>
  <c r="H130" i="50"/>
  <c r="J130" s="1"/>
  <c r="H163" i="31"/>
  <c r="J163" s="1"/>
  <c r="J163" i="43"/>
  <c r="H188"/>
  <c r="J188" i="30"/>
  <c r="J113" i="43"/>
  <c r="H113" i="31"/>
  <c r="J113" s="1"/>
  <c r="AN10" i="49"/>
  <c r="AE10"/>
  <c r="Y13" i="44"/>
  <c r="X10" i="49" s="1"/>
  <c r="AD10"/>
  <c r="G19" i="40" l="1"/>
  <c r="H30" i="25"/>
  <c r="AD36" i="44"/>
  <c r="AD37"/>
  <c r="AU36"/>
  <c r="AU37"/>
  <c r="AC32" i="49"/>
  <c r="H176" i="31"/>
  <c r="J176" s="1"/>
  <c r="J176" i="43"/>
  <c r="H120" i="50"/>
  <c r="J120" s="1"/>
  <c r="H188" i="31"/>
  <c r="J188" s="1"/>
  <c r="J188" i="43"/>
  <c r="H132" i="50"/>
  <c r="J132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s="1"/>
  <c r="J187" s="1"/>
  <c r="G20"/>
  <c r="H20" s="1"/>
  <c r="E30"/>
  <c r="G30" s="1"/>
  <c r="G32" s="1"/>
  <c r="H32" s="1"/>
  <c r="H19"/>
  <c r="E19" i="27"/>
  <c r="AT10" i="49"/>
  <c r="BB10"/>
  <c r="AS10"/>
  <c r="BA10"/>
  <c r="H30" i="40" l="1"/>
  <c r="G19" i="27"/>
  <c r="H19" s="1"/>
  <c r="C9" i="44"/>
  <c r="J6" i="48" s="1"/>
  <c r="H8" i="1"/>
  <c r="J8" s="1"/>
  <c r="C10" i="44"/>
  <c r="H9" i="1"/>
  <c r="J9" s="1"/>
  <c r="AN32" i="49"/>
  <c r="BA34" i="1"/>
  <c r="BC34"/>
  <c r="BD34"/>
  <c r="BE34"/>
  <c r="BG34"/>
  <c r="Y35" i="44"/>
  <c r="AZ34" i="1"/>
  <c r="AR34"/>
  <c r="AU34"/>
  <c r="AV34"/>
  <c r="AW34"/>
  <c r="D35" i="44"/>
  <c r="BF34" i="1"/>
  <c r="AX34"/>
  <c r="AT34"/>
  <c r="G20" i="27" l="1"/>
  <c r="H20" s="1"/>
  <c r="E30"/>
  <c r="G30" s="1"/>
  <c r="G187"/>
  <c r="H187" s="1"/>
  <c r="J18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/>
  <c r="AE32"/>
  <c r="X32"/>
  <c r="G19" i="28" l="1"/>
  <c r="G32" i="27"/>
  <c r="H32" s="1"/>
  <c r="H30"/>
  <c r="N34" i="1"/>
  <c r="G32" i="47"/>
  <c r="AT35" i="44"/>
  <c r="AT32" i="49"/>
  <c r="BB32"/>
  <c r="AS32"/>
  <c r="BA32"/>
  <c r="E19" i="29" l="1"/>
  <c r="E30" i="28"/>
  <c r="G30" s="1"/>
  <c r="G32" s="1"/>
  <c r="H32" s="1"/>
  <c r="G187"/>
  <c r="H187" s="1"/>
  <c r="J187" s="1"/>
  <c r="G20"/>
  <c r="H20" s="1"/>
  <c r="H19"/>
  <c r="AI25" i="45"/>
  <c r="AI27"/>
  <c r="H30" i="28" l="1"/>
  <c r="E19" i="30"/>
  <c r="G19" i="29"/>
  <c r="AD20" i="49"/>
  <c r="G187" i="29" l="1"/>
  <c r="H187" s="1"/>
  <c r="J187" s="1"/>
  <c r="E30"/>
  <c r="G30" s="1"/>
  <c r="G32" s="1"/>
  <c r="H32" s="1"/>
  <c r="G20"/>
  <c r="H20" s="1"/>
  <c r="H19"/>
  <c r="G19" i="30"/>
  <c r="E19" i="43"/>
  <c r="L15" i="44"/>
  <c r="K12" i="49" s="1"/>
  <c r="Y15" i="44"/>
  <c r="X12" i="49" s="1"/>
  <c r="H19" i="30" l="1"/>
  <c r="G20"/>
  <c r="H20" s="1"/>
  <c r="E30"/>
  <c r="G30" s="1"/>
  <c r="G32" s="1"/>
  <c r="H32" s="1"/>
  <c r="G187"/>
  <c r="H187" s="1"/>
  <c r="J187" s="1"/>
  <c r="H30" i="29"/>
  <c r="AX7" i="49"/>
  <c r="AW7"/>
  <c r="AV9"/>
  <c r="AZ10"/>
  <c r="AY10"/>
  <c r="AX10"/>
  <c r="AW10"/>
  <c r="AV10"/>
  <c r="AU10"/>
  <c r="AZ14"/>
  <c r="AY14"/>
  <c r="AX14"/>
  <c r="AW14"/>
  <c r="AV14"/>
  <c r="AU14"/>
  <c r="AZ15"/>
  <c r="AY15"/>
  <c r="AX15"/>
  <c r="AW15"/>
  <c r="AV15"/>
  <c r="AU15"/>
  <c r="AZ16"/>
  <c r="AY16"/>
  <c r="AX16"/>
  <c r="AW16"/>
  <c r="AV16"/>
  <c r="AU16"/>
  <c r="AZ18"/>
  <c r="AY18"/>
  <c r="AX18"/>
  <c r="AW18"/>
  <c r="AV18"/>
  <c r="AU18"/>
  <c r="AZ19"/>
  <c r="AY19"/>
  <c r="AX19"/>
  <c r="AW19"/>
  <c r="AV19"/>
  <c r="AU19"/>
  <c r="AZ24"/>
  <c r="AY24"/>
  <c r="AX24"/>
  <c r="AW24"/>
  <c r="AV24"/>
  <c r="AU24"/>
  <c r="AZ25"/>
  <c r="AY25"/>
  <c r="AX25"/>
  <c r="AW25"/>
  <c r="AV25"/>
  <c r="AU25"/>
  <c r="AZ26"/>
  <c r="AY26"/>
  <c r="AX26"/>
  <c r="AW26"/>
  <c r="AV26"/>
  <c r="AU26"/>
  <c r="AZ27"/>
  <c r="AY27"/>
  <c r="AX27"/>
  <c r="AW27"/>
  <c r="AV27"/>
  <c r="AU27"/>
  <c r="AZ28"/>
  <c r="AY28"/>
  <c r="AX28"/>
  <c r="AW28"/>
  <c r="AV28"/>
  <c r="AU28"/>
  <c r="AZ29"/>
  <c r="AY29"/>
  <c r="AX29"/>
  <c r="AW29"/>
  <c r="AV29"/>
  <c r="AU29"/>
  <c r="AZ32"/>
  <c r="AY32"/>
  <c r="AX32"/>
  <c r="AW32"/>
  <c r="AV32"/>
  <c r="AU32"/>
  <c r="H30" i="30" l="1"/>
  <c r="G19" i="43"/>
  <c r="E20" i="50"/>
  <c r="G20" s="1"/>
  <c r="E19" i="31"/>
  <c r="G19" s="1"/>
  <c r="AT26" i="49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U31"/>
  <c r="BB31"/>
  <c r="BA31"/>
  <c r="AZ31"/>
  <c r="AY31"/>
  <c r="AX31"/>
  <c r="AW31"/>
  <c r="AV31"/>
  <c r="AT29"/>
  <c r="BB29"/>
  <c r="AT27"/>
  <c r="BB27"/>
  <c r="AT28"/>
  <c r="BB28"/>
  <c r="AS27"/>
  <c r="BA27"/>
  <c r="AX21"/>
  <c r="AY22"/>
  <c r="AW21"/>
  <c r="AU20"/>
  <c r="AX22"/>
  <c r="AV21"/>
  <c r="AW22"/>
  <c r="AU21"/>
  <c r="AY21"/>
  <c r="AV22"/>
  <c r="AZ20"/>
  <c r="AW20"/>
  <c r="AV20"/>
  <c r="AU22"/>
  <c r="AY20"/>
  <c r="AZ22"/>
  <c r="AZ21"/>
  <c r="AX20"/>
  <c r="AT17"/>
  <c r="AY3"/>
  <c r="AW5"/>
  <c r="AU9"/>
  <c r="AY9"/>
  <c r="AW8"/>
  <c r="AU7"/>
  <c r="AZ7"/>
  <c r="AX6"/>
  <c r="AZ5"/>
  <c r="AU3"/>
  <c r="AY4"/>
  <c r="AZ9"/>
  <c r="AX8"/>
  <c r="AU6"/>
  <c r="AX3"/>
  <c r="AX4"/>
  <c r="AW3"/>
  <c r="AW4"/>
  <c r="AX9"/>
  <c r="AV8"/>
  <c r="AZ8"/>
  <c r="AW6"/>
  <c r="AU5"/>
  <c r="AY5"/>
  <c r="AU4"/>
  <c r="AY6"/>
  <c r="AV3"/>
  <c r="AZ3"/>
  <c r="AV4"/>
  <c r="AZ4"/>
  <c r="AU8"/>
  <c r="AY8"/>
  <c r="AV6"/>
  <c r="AZ6"/>
  <c r="AX5"/>
  <c r="AZ11"/>
  <c r="AY11"/>
  <c r="AW11"/>
  <c r="AV11"/>
  <c r="AZ23"/>
  <c r="AU23"/>
  <c r="AY23"/>
  <c r="AW23"/>
  <c r="AV23"/>
  <c r="AV2"/>
  <c r="AZ2"/>
  <c r="AU2"/>
  <c r="AW2"/>
  <c r="AX30"/>
  <c r="AW30"/>
  <c r="AV30"/>
  <c r="AZ30"/>
  <c r="AU30"/>
  <c r="AY30"/>
  <c r="AU13"/>
  <c r="AX13"/>
  <c r="AY13"/>
  <c r="AW13"/>
  <c r="AV13"/>
  <c r="AZ13"/>
  <c r="AX12"/>
  <c r="AW12"/>
  <c r="AV12"/>
  <c r="AZ12"/>
  <c r="AU12"/>
  <c r="AY12"/>
  <c r="AU11"/>
  <c r="AX11"/>
  <c r="AY7"/>
  <c r="AW9"/>
  <c r="AV7"/>
  <c r="AV5"/>
  <c r="AX23"/>
  <c r="G187" i="31" l="1"/>
  <c r="G20"/>
  <c r="E30"/>
  <c r="G30" s="1"/>
  <c r="G32" s="1"/>
  <c r="G21" i="50"/>
  <c r="E31"/>
  <c r="G31" s="1"/>
  <c r="G33" s="1"/>
  <c r="G20" i="43"/>
  <c r="H20" s="1"/>
  <c r="H20" i="31" s="1"/>
  <c r="G187" i="43"/>
  <c r="H187" s="1"/>
  <c r="E30"/>
  <c r="G30" s="1"/>
  <c r="H19"/>
  <c r="H19" i="31" s="1"/>
  <c r="AU17" i="49"/>
  <c r="AS17"/>
  <c r="BB17"/>
  <c r="AZ17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J187" i="43" l="1"/>
  <c r="H131" i="50"/>
  <c r="J131" s="1"/>
  <c r="G32" i="43"/>
  <c r="H32" s="1"/>
  <c r="H32" i="31" s="1"/>
  <c r="H30" i="43"/>
  <c r="H30" i="31" s="1"/>
  <c r="H187"/>
  <c r="J187" s="1"/>
  <c r="H11" i="1"/>
  <c r="J11" s="1"/>
  <c r="C11" i="44" l="1"/>
  <c r="H10" i="1"/>
  <c r="J10" s="1"/>
  <c r="H12"/>
  <c r="J12" s="1"/>
  <c r="C12" i="44"/>
  <c r="J9" i="48" s="1"/>
  <c r="J8" l="1"/>
  <c r="C13" i="44"/>
  <c r="BB13" l="1"/>
  <c r="J10" i="48"/>
  <c r="H14" i="1"/>
  <c r="J14" s="1"/>
  <c r="C15" i="44"/>
  <c r="J12" i="48" s="1"/>
  <c r="H13" i="1"/>
  <c r="J13" s="1"/>
  <c r="C14" i="44"/>
  <c r="J11" i="48" s="1"/>
  <c r="H15" i="1" l="1"/>
  <c r="J15" s="1"/>
  <c r="C16" i="44"/>
  <c r="J13" i="48" s="1"/>
  <c r="C17" i="44" l="1"/>
  <c r="J14" i="48" s="1"/>
  <c r="H16" i="1"/>
  <c r="J16" s="1"/>
  <c r="H17" l="1"/>
  <c r="J17" s="1"/>
  <c r="C18" i="44"/>
  <c r="J15" i="48" s="1"/>
  <c r="W5" i="45"/>
  <c r="H18" i="1" l="1"/>
  <c r="J18" s="1"/>
  <c r="C19" i="44"/>
  <c r="J16" i="48" s="1"/>
  <c r="H19" i="1" l="1"/>
  <c r="J19" s="1"/>
  <c r="C20" i="44"/>
  <c r="J17" i="48" s="1"/>
  <c r="H20" i="1" l="1"/>
  <c r="J20" s="1"/>
  <c r="C21" i="44"/>
  <c r="J18" i="48" s="1"/>
  <c r="H21" i="1" l="1"/>
  <c r="J21" s="1"/>
  <c r="C22" i="44"/>
  <c r="J19" i="48" s="1"/>
  <c r="H22" i="1" l="1"/>
  <c r="J22" s="1"/>
  <c r="C23" i="44"/>
  <c r="J20" i="48" s="1"/>
  <c r="H23" i="1" l="1"/>
  <c r="J23" s="1"/>
  <c r="C24" i="44"/>
  <c r="J21" i="48" s="1"/>
  <c r="C25" i="44" l="1"/>
  <c r="J22" i="48" s="1"/>
  <c r="H24" i="1"/>
  <c r="J24" s="1"/>
  <c r="Y25" i="49"/>
  <c r="H25" i="1" l="1"/>
  <c r="J25" s="1"/>
  <c r="C26" i="44"/>
  <c r="J23" i="48" s="1"/>
  <c r="L28" i="44"/>
  <c r="K25" i="49" l="1"/>
  <c r="C27" i="44"/>
  <c r="J24" i="48" s="1"/>
  <c r="H26" i="1"/>
  <c r="J26" s="1"/>
  <c r="BL25" i="49"/>
  <c r="BK25"/>
  <c r="BJ25"/>
  <c r="BI25"/>
  <c r="BH25"/>
  <c r="BC25"/>
  <c r="AQ25"/>
  <c r="AN25"/>
  <c r="AL25"/>
  <c r="W25"/>
  <c r="V25"/>
  <c r="U25"/>
  <c r="T25"/>
  <c r="S25"/>
  <c r="R25"/>
  <c r="Q25"/>
  <c r="P25"/>
  <c r="O25"/>
  <c r="N25"/>
  <c r="M25"/>
  <c r="AK25"/>
  <c r="AJ25"/>
  <c r="AI25"/>
  <c r="AH25"/>
  <c r="AG25"/>
  <c r="AF25"/>
  <c r="AE25"/>
  <c r="AD25"/>
  <c r="Y28" i="44"/>
  <c r="X25" i="49" l="1"/>
  <c r="H27" i="1"/>
  <c r="J27" s="1"/>
  <c r="C28" i="44"/>
  <c r="AA27" i="45"/>
  <c r="BF25" i="49" s="1"/>
  <c r="AR25"/>
  <c r="AP25"/>
  <c r="AM25"/>
  <c r="AA29" i="45"/>
  <c r="AO25" i="49"/>
  <c r="M28" i="44"/>
  <c r="K28"/>
  <c r="I28"/>
  <c r="J28"/>
  <c r="G28"/>
  <c r="F28"/>
  <c r="H28"/>
  <c r="AA30" i="45"/>
  <c r="AA5"/>
  <c r="AY28" i="44"/>
  <c r="AA25" i="45"/>
  <c r="BE25" i="49" s="1"/>
  <c r="J25" l="1"/>
  <c r="I25"/>
  <c r="H25"/>
  <c r="G25"/>
  <c r="F25"/>
  <c r="L25"/>
  <c r="E25"/>
  <c r="J25" i="48"/>
  <c r="BB28" i="44"/>
  <c r="C29"/>
  <c r="J26" i="48" s="1"/>
  <c r="H28" i="1"/>
  <c r="J28" s="1"/>
  <c r="AA31" i="45"/>
  <c r="C30" i="44" l="1"/>
  <c r="J27" i="48" s="1"/>
  <c r="H29" i="1"/>
  <c r="J29" s="1"/>
  <c r="C31" i="44" l="1"/>
  <c r="H30" i="1"/>
  <c r="J30" s="1"/>
  <c r="J28" i="48" l="1"/>
  <c r="H31" i="1"/>
  <c r="J31" s="1"/>
  <c r="C32" i="44"/>
  <c r="AV9" i="1"/>
  <c r="BI32" i="49"/>
  <c r="BJ32"/>
  <c r="BK32"/>
  <c r="BL32"/>
  <c r="AQ32"/>
  <c r="BC32"/>
  <c r="N32"/>
  <c r="Q32"/>
  <c r="R32"/>
  <c r="S32"/>
  <c r="T32"/>
  <c r="U32"/>
  <c r="V32"/>
  <c r="W32"/>
  <c r="Y32"/>
  <c r="M32"/>
  <c r="AF32"/>
  <c r="AG32"/>
  <c r="AH32"/>
  <c r="AI32"/>
  <c r="AJ32"/>
  <c r="AK32"/>
  <c r="BJ31"/>
  <c r="BK31"/>
  <c r="BL31"/>
  <c r="AN31"/>
  <c r="N31"/>
  <c r="O31"/>
  <c r="P31"/>
  <c r="Q31"/>
  <c r="R31"/>
  <c r="S31"/>
  <c r="T31"/>
  <c r="U31"/>
  <c r="V31"/>
  <c r="W31"/>
  <c r="Y31"/>
  <c r="M31"/>
  <c r="AL10"/>
  <c r="BB20" i="1"/>
  <c r="BD20"/>
  <c r="BG5"/>
  <c r="BF5"/>
  <c r="BE5"/>
  <c r="BD5"/>
  <c r="BC5"/>
  <c r="BA5"/>
  <c r="AZ5"/>
  <c r="AV13"/>
  <c r="BI10" i="49"/>
  <c r="BJ10"/>
  <c r="BK10"/>
  <c r="BL10"/>
  <c r="N10"/>
  <c r="O10"/>
  <c r="P10"/>
  <c r="Q10"/>
  <c r="R10"/>
  <c r="S10"/>
  <c r="T10"/>
  <c r="U10"/>
  <c r="V10"/>
  <c r="W10"/>
  <c r="Y10"/>
  <c r="AY27" i="1"/>
  <c r="AQ27"/>
  <c r="AR27"/>
  <c r="AV27"/>
  <c r="AX27"/>
  <c r="BL20" i="49"/>
  <c r="BK20"/>
  <c r="BJ20"/>
  <c r="BC20"/>
  <c r="BC14" i="1"/>
  <c r="BD14"/>
  <c r="BE14"/>
  <c r="BF14"/>
  <c r="BG14"/>
  <c r="BC11" i="49"/>
  <c r="AN11"/>
  <c r="N11"/>
  <c r="O11"/>
  <c r="P11"/>
  <c r="Q11"/>
  <c r="R11"/>
  <c r="S11"/>
  <c r="T11"/>
  <c r="U11"/>
  <c r="V11"/>
  <c r="W11"/>
  <c r="Y11"/>
  <c r="AL11"/>
  <c r="BB13" i="1"/>
  <c r="BC13"/>
  <c r="BD13"/>
  <c r="BE13"/>
  <c r="BF13"/>
  <c r="BG13"/>
  <c r="Y14" i="44"/>
  <c r="X11" i="49" s="1"/>
  <c r="AV10" i="1"/>
  <c r="AZ10"/>
  <c r="BA10"/>
  <c r="BB10"/>
  <c r="BC10"/>
  <c r="BD10"/>
  <c r="BE10"/>
  <c r="BG10"/>
  <c r="Y11" i="44"/>
  <c r="X8" i="49" s="1"/>
  <c r="AD8"/>
  <c r="AE8"/>
  <c r="AF8"/>
  <c r="AG8"/>
  <c r="AH8"/>
  <c r="AI8"/>
  <c r="AJ8"/>
  <c r="N8"/>
  <c r="O8"/>
  <c r="P8"/>
  <c r="Q8"/>
  <c r="R8"/>
  <c r="S8"/>
  <c r="T8"/>
  <c r="U8"/>
  <c r="V8"/>
  <c r="W8"/>
  <c r="Y8"/>
  <c r="AN8"/>
  <c r="BC8"/>
  <c r="BI8"/>
  <c r="BJ8"/>
  <c r="BK8"/>
  <c r="BL8"/>
  <c r="BC4"/>
  <c r="AT6" i="1"/>
  <c r="BA6"/>
  <c r="BC6"/>
  <c r="BG6"/>
  <c r="Y7" i="44"/>
  <c r="X4" i="49" s="1"/>
  <c r="AH4"/>
  <c r="M4"/>
  <c r="N4"/>
  <c r="O4"/>
  <c r="P4"/>
  <c r="Q4"/>
  <c r="R4"/>
  <c r="S4"/>
  <c r="T4"/>
  <c r="U4"/>
  <c r="V4"/>
  <c r="W4"/>
  <c r="Y4"/>
  <c r="AL4"/>
  <c r="BI4"/>
  <c r="BJ4"/>
  <c r="BK4"/>
  <c r="BL4"/>
  <c r="J16" i="35"/>
  <c r="AF9" i="49"/>
  <c r="N22"/>
  <c r="O22"/>
  <c r="P22"/>
  <c r="Q22"/>
  <c r="R22"/>
  <c r="S22"/>
  <c r="T22"/>
  <c r="U22"/>
  <c r="V22"/>
  <c r="W22"/>
  <c r="Y22"/>
  <c r="BA19" i="1"/>
  <c r="BD19"/>
  <c r="BE19"/>
  <c r="BF19"/>
  <c r="BG19"/>
  <c r="Y20" i="44"/>
  <c r="X17" i="49" s="1"/>
  <c r="AV19" i="1"/>
  <c r="AN13" i="49"/>
  <c r="Y14"/>
  <c r="W14"/>
  <c r="V14"/>
  <c r="U14"/>
  <c r="T14"/>
  <c r="S14"/>
  <c r="R14"/>
  <c r="Q14"/>
  <c r="P14"/>
  <c r="O14"/>
  <c r="N14"/>
  <c r="M10"/>
  <c r="Y9"/>
  <c r="W9"/>
  <c r="V9"/>
  <c r="U9"/>
  <c r="T9"/>
  <c r="S9"/>
  <c r="R9"/>
  <c r="Q9"/>
  <c r="P9"/>
  <c r="O9"/>
  <c r="N9"/>
  <c r="M9"/>
  <c r="Y7"/>
  <c r="W7"/>
  <c r="V7"/>
  <c r="U7"/>
  <c r="T7"/>
  <c r="S7"/>
  <c r="R7"/>
  <c r="Q7"/>
  <c r="P7"/>
  <c r="O7"/>
  <c r="N7"/>
  <c r="M7"/>
  <c r="Y6"/>
  <c r="W6"/>
  <c r="V6"/>
  <c r="U6"/>
  <c r="T6"/>
  <c r="S6"/>
  <c r="R6"/>
  <c r="Q6"/>
  <c r="P6"/>
  <c r="O6"/>
  <c r="N6"/>
  <c r="M6"/>
  <c r="AL5"/>
  <c r="Y5"/>
  <c r="W5"/>
  <c r="V5"/>
  <c r="U5"/>
  <c r="T5"/>
  <c r="S5"/>
  <c r="R5"/>
  <c r="Q5"/>
  <c r="N5"/>
  <c r="M5"/>
  <c r="BI11"/>
  <c r="BJ11"/>
  <c r="BK11"/>
  <c r="BL11"/>
  <c r="BI9"/>
  <c r="BJ9"/>
  <c r="BK9"/>
  <c r="BL9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E30" i="49"/>
  <c r="L33" i="44"/>
  <c r="K30" i="49" s="1"/>
  <c r="M33" i="44"/>
  <c r="L30" i="49" s="1"/>
  <c r="BL29"/>
  <c r="BK29"/>
  <c r="BJ29"/>
  <c r="BI29"/>
  <c r="BH29"/>
  <c r="BC29"/>
  <c r="AN29"/>
  <c r="AL29"/>
  <c r="Y29"/>
  <c r="W29"/>
  <c r="V29"/>
  <c r="U29"/>
  <c r="T29"/>
  <c r="S29"/>
  <c r="R29"/>
  <c r="Q29"/>
  <c r="P29"/>
  <c r="O29"/>
  <c r="N29"/>
  <c r="M29"/>
  <c r="AK29"/>
  <c r="AJ29"/>
  <c r="AI29"/>
  <c r="AH29"/>
  <c r="AG29"/>
  <c r="AF29"/>
  <c r="AE29"/>
  <c r="Y32" i="44"/>
  <c r="X29" i="49" s="1"/>
  <c r="BG31" i="1"/>
  <c r="BF31"/>
  <c r="BD31"/>
  <c r="BA31"/>
  <c r="AZ31"/>
  <c r="AV31"/>
  <c r="BL28" i="49"/>
  <c r="BK28"/>
  <c r="BJ28"/>
  <c r="BI28"/>
  <c r="BC28"/>
  <c r="AN28"/>
  <c r="Y28"/>
  <c r="W28"/>
  <c r="V28"/>
  <c r="U28"/>
  <c r="T28"/>
  <c r="S28"/>
  <c r="R28"/>
  <c r="Q28"/>
  <c r="P28"/>
  <c r="O28"/>
  <c r="N28"/>
  <c r="M28"/>
  <c r="BF30" i="1"/>
  <c r="BD30"/>
  <c r="AP30"/>
  <c r="BL27" i="49"/>
  <c r="BK27"/>
  <c r="BJ27"/>
  <c r="BI27"/>
  <c r="BC27"/>
  <c r="AN27"/>
  <c r="Y27"/>
  <c r="W27"/>
  <c r="V27"/>
  <c r="U27"/>
  <c r="T27"/>
  <c r="S27"/>
  <c r="R27"/>
  <c r="Q27"/>
  <c r="P27"/>
  <c r="O27"/>
  <c r="N27"/>
  <c r="M27"/>
  <c r="BF29" i="1"/>
  <c r="BD29"/>
  <c r="BC29"/>
  <c r="BA29"/>
  <c r="AZ29"/>
  <c r="BL26" i="49"/>
  <c r="BK26"/>
  <c r="BJ26"/>
  <c r="BI26"/>
  <c r="BC26"/>
  <c r="AN26"/>
  <c r="Y26"/>
  <c r="W26"/>
  <c r="V26"/>
  <c r="U26"/>
  <c r="T26"/>
  <c r="S26"/>
  <c r="R26"/>
  <c r="Q26"/>
  <c r="P26"/>
  <c r="O26"/>
  <c r="N26"/>
  <c r="M26"/>
  <c r="BG28" i="1"/>
  <c r="BF28"/>
  <c r="BE28"/>
  <c r="BC28"/>
  <c r="BB28"/>
  <c r="BA28"/>
  <c r="BG27"/>
  <c r="BF27"/>
  <c r="BE27"/>
  <c r="BC27"/>
  <c r="BA27"/>
  <c r="BH27"/>
  <c r="AZ27"/>
  <c r="AP27"/>
  <c r="BL24" i="49"/>
  <c r="BK24"/>
  <c r="BJ24"/>
  <c r="BI24"/>
  <c r="BC24"/>
  <c r="AN24"/>
  <c r="Y24"/>
  <c r="W24"/>
  <c r="V24"/>
  <c r="U24"/>
  <c r="T24"/>
  <c r="S24"/>
  <c r="R24"/>
  <c r="Q24"/>
  <c r="P24"/>
  <c r="O24"/>
  <c r="N24"/>
  <c r="Y27" i="44"/>
  <c r="X24" i="49" s="1"/>
  <c r="BG26" i="1"/>
  <c r="BF26"/>
  <c r="BE26"/>
  <c r="BD26"/>
  <c r="BC26"/>
  <c r="BB26"/>
  <c r="BA26"/>
  <c r="AZ26"/>
  <c r="AV26"/>
  <c r="AN23" i="49"/>
  <c r="BL22"/>
  <c r="BK22"/>
  <c r="BJ22"/>
  <c r="BI22"/>
  <c r="BC22"/>
  <c r="AN22"/>
  <c r="M22"/>
  <c r="BL21"/>
  <c r="BK21"/>
  <c r="BJ21"/>
  <c r="BI21"/>
  <c r="BC21"/>
  <c r="AN21"/>
  <c r="Y21"/>
  <c r="W21"/>
  <c r="V21"/>
  <c r="U21"/>
  <c r="T21"/>
  <c r="S21"/>
  <c r="R21"/>
  <c r="P21"/>
  <c r="O21"/>
  <c r="N21"/>
  <c r="M21"/>
  <c r="BI20"/>
  <c r="AN20"/>
  <c r="Y20"/>
  <c r="W20"/>
  <c r="V20"/>
  <c r="U20"/>
  <c r="T20"/>
  <c r="S20"/>
  <c r="R20"/>
  <c r="P20"/>
  <c r="O20"/>
  <c r="N20"/>
  <c r="M20"/>
  <c r="BG22" i="1"/>
  <c r="BF22"/>
  <c r="BE22"/>
  <c r="BD22"/>
  <c r="BC22"/>
  <c r="BA22"/>
  <c r="AZ22"/>
  <c r="BL19" i="49"/>
  <c r="BK19"/>
  <c r="BJ19"/>
  <c r="BI19"/>
  <c r="BC19"/>
  <c r="AN19"/>
  <c r="Y19"/>
  <c r="W19"/>
  <c r="V19"/>
  <c r="U19"/>
  <c r="T19"/>
  <c r="S19"/>
  <c r="R19"/>
  <c r="Q19"/>
  <c r="P19"/>
  <c r="O19"/>
  <c r="N19"/>
  <c r="BL18"/>
  <c r="BK18"/>
  <c r="BJ18"/>
  <c r="BI18"/>
  <c r="BC18"/>
  <c r="AO18"/>
  <c r="AN18"/>
  <c r="Y18"/>
  <c r="W18"/>
  <c r="V18"/>
  <c r="U18"/>
  <c r="T18"/>
  <c r="S18"/>
  <c r="R18"/>
  <c r="Q18"/>
  <c r="P18"/>
  <c r="O18"/>
  <c r="N18"/>
  <c r="Y21" i="44"/>
  <c r="X18" i="49" s="1"/>
  <c r="BE20" i="1"/>
  <c r="BC20"/>
  <c r="BA20"/>
  <c r="L21" i="44"/>
  <c r="K18" i="49" s="1"/>
  <c r="M21" i="44"/>
  <c r="L18" i="49" s="1"/>
  <c r="BL17"/>
  <c r="BK17"/>
  <c r="BJ17"/>
  <c r="BI17"/>
  <c r="AN17"/>
  <c r="Y17"/>
  <c r="W17"/>
  <c r="V17"/>
  <c r="U17"/>
  <c r="T17"/>
  <c r="S17"/>
  <c r="R17"/>
  <c r="Q17"/>
  <c r="P17"/>
  <c r="O17"/>
  <c r="N17"/>
  <c r="M17"/>
  <c r="AK17"/>
  <c r="AJ17"/>
  <c r="AI17"/>
  <c r="AH17"/>
  <c r="AG17"/>
  <c r="AE17"/>
  <c r="AD17"/>
  <c r="BL16"/>
  <c r="BK16"/>
  <c r="BJ16"/>
  <c r="BI16"/>
  <c r="BC16"/>
  <c r="AN16"/>
  <c r="Y16"/>
  <c r="W16"/>
  <c r="V16"/>
  <c r="U16"/>
  <c r="T16"/>
  <c r="S16"/>
  <c r="R16"/>
  <c r="Q16"/>
  <c r="P16"/>
  <c r="O16"/>
  <c r="M16"/>
  <c r="AJ16"/>
  <c r="AI16"/>
  <c r="AH16"/>
  <c r="AG16"/>
  <c r="AF16"/>
  <c r="AE16"/>
  <c r="AD16"/>
  <c r="Y19" i="44"/>
  <c r="X16" i="49" s="1"/>
  <c r="BG18" i="1"/>
  <c r="BF18"/>
  <c r="BE18"/>
  <c r="BD18"/>
  <c r="BC18"/>
  <c r="BA18"/>
  <c r="BL15" i="49"/>
  <c r="BK15"/>
  <c r="BJ15"/>
  <c r="BC15"/>
  <c r="AN15"/>
  <c r="BG17" i="1"/>
  <c r="BE17"/>
  <c r="BD17"/>
  <c r="BC17"/>
  <c r="BA17"/>
  <c r="BL14" i="49"/>
  <c r="BK14"/>
  <c r="BJ14"/>
  <c r="BI14"/>
  <c r="BC14"/>
  <c r="AQ14"/>
  <c r="AN14"/>
  <c r="BG16" i="1"/>
  <c r="BF16"/>
  <c r="BE16"/>
  <c r="BD16"/>
  <c r="BC16"/>
  <c r="BA16"/>
  <c r="AZ16"/>
  <c r="AZ14"/>
  <c r="BH11" i="49"/>
  <c r="AZ13" i="1"/>
  <c r="BC10" i="49"/>
  <c r="AJ10"/>
  <c r="AI10"/>
  <c r="AH10"/>
  <c r="AG10"/>
  <c r="AF10"/>
  <c r="BG12" i="1"/>
  <c r="BF12"/>
  <c r="BE12"/>
  <c r="BD12"/>
  <c r="BB12"/>
  <c r="BA12"/>
  <c r="AZ12"/>
  <c r="AV12"/>
  <c r="BC9" i="49"/>
  <c r="AJ9"/>
  <c r="AI9"/>
  <c r="AH9"/>
  <c r="AG9"/>
  <c r="AE9"/>
  <c r="AD9"/>
  <c r="Y12" i="44"/>
  <c r="X9" i="49" s="1"/>
  <c r="BG11" i="1"/>
  <c r="BF11"/>
  <c r="BE11"/>
  <c r="BD11"/>
  <c r="BC11"/>
  <c r="BA11"/>
  <c r="AV11"/>
  <c r="BL7" i="49"/>
  <c r="BK7"/>
  <c r="BJ7"/>
  <c r="BI7"/>
  <c r="BC7"/>
  <c r="AN7"/>
  <c r="Y10" i="44"/>
  <c r="BG9" i="1"/>
  <c r="BF9"/>
  <c r="BE9"/>
  <c r="BD9"/>
  <c r="BC9"/>
  <c r="BB9"/>
  <c r="AZ9"/>
  <c r="BI6" i="49"/>
  <c r="BJ6"/>
  <c r="BK6"/>
  <c r="BL6"/>
  <c r="BC6"/>
  <c r="AN6"/>
  <c r="BA8" i="1"/>
  <c r="BB8"/>
  <c r="BC8"/>
  <c r="BD8"/>
  <c r="BE8"/>
  <c r="BF8"/>
  <c r="BG8"/>
  <c r="Y9" i="44"/>
  <c r="X6" i="49" s="1"/>
  <c r="AZ8" i="1"/>
  <c r="AV8"/>
  <c r="BI5" i="49"/>
  <c r="BJ5"/>
  <c r="BK5"/>
  <c r="BL5"/>
  <c r="BC5"/>
  <c r="BB7" i="1"/>
  <c r="BD7"/>
  <c r="BE7"/>
  <c r="BG7"/>
  <c r="Y8" i="44"/>
  <c r="X5" i="49" s="1"/>
  <c r="AV7" i="1"/>
  <c r="AT27"/>
  <c r="AF17" i="49"/>
  <c r="BC3"/>
  <c r="AO3"/>
  <c r="BC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M5" i="44"/>
  <c r="S25" i="1"/>
  <c r="S22"/>
  <c r="S7"/>
  <c r="S9"/>
  <c r="S12"/>
  <c r="S13"/>
  <c r="S14"/>
  <c r="S21"/>
  <c r="S15"/>
  <c r="S16"/>
  <c r="S18"/>
  <c r="S20"/>
  <c r="S24"/>
  <c r="S31"/>
  <c r="S27"/>
  <c r="S19"/>
  <c r="S10"/>
  <c r="S8"/>
  <c r="S17"/>
  <c r="S26"/>
  <c r="S28"/>
  <c r="S29"/>
  <c r="S30"/>
  <c r="S32"/>
  <c r="S23"/>
  <c r="S6"/>
  <c r="S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M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J29" i="48" l="1"/>
  <c r="X7" i="49"/>
  <c r="BK3"/>
  <c r="S3"/>
  <c r="BJ3"/>
  <c r="R3"/>
  <c r="BI3"/>
  <c r="Q3"/>
  <c r="P3"/>
  <c r="Y3"/>
  <c r="O3"/>
  <c r="W3"/>
  <c r="N3"/>
  <c r="V3"/>
  <c r="AD3"/>
  <c r="M3"/>
  <c r="U3"/>
  <c r="BL3"/>
  <c r="T3"/>
  <c r="BC21" i="1"/>
  <c r="AZ17"/>
  <c r="AV21"/>
  <c r="BI15" i="49"/>
  <c r="AT21" i="1"/>
  <c r="BA21"/>
  <c r="Y22" i="44"/>
  <c r="X19" i="49" s="1"/>
  <c r="BG21" i="1"/>
  <c r="BF21"/>
  <c r="J33" i="44"/>
  <c r="I30" i="49" s="1"/>
  <c r="C33" i="44"/>
  <c r="H32" i="1"/>
  <c r="J32" s="1"/>
  <c r="AD29"/>
  <c r="BE33"/>
  <c r="AN34"/>
  <c r="AX33"/>
  <c r="AJ34"/>
  <c r="AT33"/>
  <c r="BF33"/>
  <c r="BC31" i="49"/>
  <c r="BD33" i="1"/>
  <c r="AU33"/>
  <c r="BG33"/>
  <c r="BI31" i="49"/>
  <c r="AV33" i="1"/>
  <c r="AY35" i="44"/>
  <c r="BA35" s="1"/>
  <c r="AS33" i="1"/>
  <c r="I34" i="44"/>
  <c r="H31" i="49" s="1"/>
  <c r="I33" i="44"/>
  <c r="H30" i="49" s="1"/>
  <c r="AN9"/>
  <c r="AR33" i="1"/>
  <c r="H34" i="44"/>
  <c r="G31" i="49" s="1"/>
  <c r="AP33" i="1"/>
  <c r="F34" i="44"/>
  <c r="E31" i="49" s="1"/>
  <c r="L2"/>
  <c r="AQ33" i="1"/>
  <c r="G34" i="44"/>
  <c r="AW33" i="1"/>
  <c r="K34" i="44"/>
  <c r="J31" i="49" s="1"/>
  <c r="BA33" i="1"/>
  <c r="BB33"/>
  <c r="AL31" i="49"/>
  <c r="BC33" i="1"/>
  <c r="L34" i="44"/>
  <c r="K31" i="49" s="1"/>
  <c r="BH33" i="1"/>
  <c r="AZ33"/>
  <c r="M34" i="44"/>
  <c r="L31" i="49" s="1"/>
  <c r="AY33" i="1"/>
  <c r="AZ28"/>
  <c r="AN12" i="49"/>
  <c r="AN30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G33" i="44"/>
  <c r="F30" i="49" s="1"/>
  <c r="Q20"/>
  <c r="AA36" i="1"/>
  <c r="I8" i="44"/>
  <c r="H5" i="49" s="1"/>
  <c r="K10" i="44"/>
  <c r="G25"/>
  <c r="F22" i="49" s="1"/>
  <c r="F8" i="44"/>
  <c r="H8"/>
  <c r="G5" i="49" s="1"/>
  <c r="BC7" i="1"/>
  <c r="K9" i="44"/>
  <c r="J6" i="49" s="1"/>
  <c r="L12" i="44"/>
  <c r="K9" i="49" s="1"/>
  <c r="F18" i="44"/>
  <c r="K18"/>
  <c r="J15" i="49" s="1"/>
  <c r="F19" i="44"/>
  <c r="M2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L10"/>
  <c r="I12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G12" i="49" s="1"/>
  <c r="M14" i="44"/>
  <c r="L11" i="49" s="1"/>
  <c r="L6" i="44"/>
  <c r="F29"/>
  <c r="F30"/>
  <c r="L9"/>
  <c r="K6" i="49" s="1"/>
  <c r="F16" i="44"/>
  <c r="F20"/>
  <c r="G9"/>
  <c r="F6" i="49" s="1"/>
  <c r="H10" i="44"/>
  <c r="H12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/>
  <c r="F9" i="49" s="1"/>
  <c r="L18" i="44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I9"/>
  <c r="H6" i="49" s="1"/>
  <c r="M10" i="44"/>
  <c r="M12"/>
  <c r="L9" i="49" s="1"/>
  <c r="F15" i="44"/>
  <c r="I18"/>
  <c r="H15" i="49" s="1"/>
  <c r="M23" i="44"/>
  <c r="L20" i="49" s="1"/>
  <c r="L24" i="44"/>
  <c r="K21" i="49" s="1"/>
  <c r="L29" i="44"/>
  <c r="L30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F12"/>
  <c r="K12"/>
  <c r="J9" i="49" s="1"/>
  <c r="L16" i="44"/>
  <c r="K13" i="49" s="1"/>
  <c r="L17" i="44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J5"/>
  <c r="H19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/>
  <c r="J13" i="49" s="1"/>
  <c r="K5" i="44"/>
  <c r="F1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I5"/>
  <c r="L5"/>
  <c r="J10"/>
  <c r="J12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/>
  <c r="I31" i="49" s="1"/>
  <c r="G32" i="44"/>
  <c r="F29" i="49" s="1"/>
  <c r="G17" i="44"/>
  <c r="F14" i="49" s="1"/>
  <c r="J14" i="44"/>
  <c r="I11" i="49" s="1"/>
  <c r="F6" i="44"/>
  <c r="K30"/>
  <c r="J27" i="49" s="1"/>
  <c r="G29" i="44"/>
  <c r="AD5" i="49"/>
  <c r="AH5"/>
  <c r="AJ6"/>
  <c r="AF6"/>
  <c r="AD7"/>
  <c r="AH7"/>
  <c r="AG4"/>
  <c r="AI5"/>
  <c r="AE5"/>
  <c r="AK6"/>
  <c r="AG6"/>
  <c r="AG7"/>
  <c r="AK7"/>
  <c r="AD4"/>
  <c r="AJ5"/>
  <c r="AF5"/>
  <c r="AD6"/>
  <c r="AH6"/>
  <c r="AF7"/>
  <c r="AJ7"/>
  <c r="AI4"/>
  <c r="AE4"/>
  <c r="AK5"/>
  <c r="AG5"/>
  <c r="AI6"/>
  <c r="AE6"/>
  <c r="AE7"/>
  <c r="AI7"/>
  <c r="AJ4"/>
  <c r="AF4"/>
  <c r="D35" i="1"/>
  <c r="F35"/>
  <c r="F38" s="1"/>
  <c r="AH30" i="45"/>
  <c r="M24" i="49"/>
  <c r="G8" i="1"/>
  <c r="Y30" i="44"/>
  <c r="X27" i="49" s="1"/>
  <c r="Y31" i="44"/>
  <c r="X28" i="49" s="1"/>
  <c r="AV30" i="1"/>
  <c r="Y29" i="44"/>
  <c r="Y17"/>
  <c r="X14" i="49" s="1"/>
  <c r="Y18" i="44"/>
  <c r="X15" i="49" s="1"/>
  <c r="BB17" i="1"/>
  <c r="BB16"/>
  <c r="AV17"/>
  <c r="AV16"/>
  <c r="Y6" i="44"/>
  <c r="AV5" i="1"/>
  <c r="AE15" i="49"/>
  <c r="F21" i="44"/>
  <c r="AD18" i="49"/>
  <c r="T29" i="45"/>
  <c r="AF19" i="49"/>
  <c r="AV22" i="1"/>
  <c r="BA23"/>
  <c r="AD21" i="49"/>
  <c r="BF25" i="1"/>
  <c r="BK23" i="49"/>
  <c r="BA24" i="1"/>
  <c r="AE22" i="49"/>
  <c r="AE11"/>
  <c r="AD11"/>
  <c r="AV20" i="1"/>
  <c r="AD19" i="49"/>
  <c r="AI19"/>
  <c r="BD23" i="1"/>
  <c r="BA25"/>
  <c r="BE25"/>
  <c r="AD30" i="49"/>
  <c r="BF24" i="1"/>
  <c r="AD31" i="49"/>
  <c r="AH19"/>
  <c r="BG23" i="1"/>
  <c r="BD25"/>
  <c r="BI23" i="49"/>
  <c r="AE14"/>
  <c r="AE19"/>
  <c r="BG24" i="1"/>
  <c r="AV6"/>
  <c r="AE31" i="49"/>
  <c r="AD13"/>
  <c r="AD14"/>
  <c r="AE18"/>
  <c r="AG19"/>
  <c r="BF23" i="1"/>
  <c r="AE21" i="49"/>
  <c r="AD22"/>
  <c r="BG25" i="1"/>
  <c r="BL23" i="49"/>
  <c r="AE13"/>
  <c r="AZ19" i="1"/>
  <c r="BJ23" i="49"/>
  <c r="BC23"/>
  <c r="Y23"/>
  <c r="W23"/>
  <c r="V23"/>
  <c r="U23"/>
  <c r="T23"/>
  <c r="S23"/>
  <c r="R23"/>
  <c r="Q23"/>
  <c r="P23"/>
  <c r="O23"/>
  <c r="N23"/>
  <c r="M23"/>
  <c r="Y26" i="44"/>
  <c r="X23" i="49" s="1"/>
  <c r="BC25" i="1"/>
  <c r="BB25"/>
  <c r="AZ25"/>
  <c r="Y25" i="44"/>
  <c r="X22" i="49" s="1"/>
  <c r="BC24" i="1"/>
  <c r="BB24"/>
  <c r="AZ24"/>
  <c r="AV24"/>
  <c r="Y23" i="44"/>
  <c r="X20" i="49" s="1"/>
  <c r="Y24" i="44"/>
  <c r="X21" i="49" s="1"/>
  <c r="BB23" i="1"/>
  <c r="AZ23"/>
  <c r="AV23"/>
  <c r="AK19" i="49"/>
  <c r="Y16" i="44"/>
  <c r="X13" i="49" s="1"/>
  <c r="AK11"/>
  <c r="AJ11"/>
  <c r="AI11"/>
  <c r="AH11"/>
  <c r="AG11"/>
  <c r="AF11"/>
  <c r="BG4" i="1"/>
  <c r="AX4"/>
  <c r="BH4"/>
  <c r="BF4"/>
  <c r="AW4"/>
  <c r="Y5" i="44"/>
  <c r="AY4" i="1"/>
  <c r="AK31" i="49"/>
  <c r="AJ31"/>
  <c r="AI31"/>
  <c r="AH31"/>
  <c r="AG31"/>
  <c r="AF31"/>
  <c r="Y34" i="44"/>
  <c r="X31" i="49" s="1"/>
  <c r="Y33" i="44"/>
  <c r="X30" i="49" s="1"/>
  <c r="AD29"/>
  <c r="BC31" i="1"/>
  <c r="AV29"/>
  <c r="AD28" i="49"/>
  <c r="AH28"/>
  <c r="AG28"/>
  <c r="AK28"/>
  <c r="AF28"/>
  <c r="AJ28"/>
  <c r="AE28"/>
  <c r="AI28"/>
  <c r="AE27"/>
  <c r="AI27"/>
  <c r="AD27"/>
  <c r="AH27"/>
  <c r="AG27"/>
  <c r="AK27"/>
  <c r="AF27"/>
  <c r="AJ27"/>
  <c r="AE26"/>
  <c r="AI26"/>
  <c r="AD26"/>
  <c r="AH26"/>
  <c r="AG26"/>
  <c r="AK26"/>
  <c r="AF26"/>
  <c r="AJ26"/>
  <c r="AG24"/>
  <c r="AK24"/>
  <c r="AF24"/>
  <c r="AJ24"/>
  <c r="AE24"/>
  <c r="AI24"/>
  <c r="AD24"/>
  <c r="AH24"/>
  <c r="AK22"/>
  <c r="AJ22"/>
  <c r="AI22"/>
  <c r="AH22"/>
  <c r="AG22"/>
  <c r="AF22"/>
  <c r="AK21"/>
  <c r="AJ21"/>
  <c r="AI21"/>
  <c r="AH21"/>
  <c r="AG21"/>
  <c r="AF21"/>
  <c r="AE20"/>
  <c r="AK20"/>
  <c r="AJ20"/>
  <c r="AI20"/>
  <c r="AH20"/>
  <c r="AG20"/>
  <c r="AF20"/>
  <c r="AJ19"/>
  <c r="AK18"/>
  <c r="AJ18"/>
  <c r="AI18"/>
  <c r="AH18"/>
  <c r="AG18"/>
  <c r="AF18"/>
  <c r="I17" i="35"/>
  <c r="AJ15" i="49"/>
  <c r="AI15"/>
  <c r="AH15"/>
  <c r="AG15"/>
  <c r="AF15"/>
  <c r="AD15"/>
  <c r="I16" i="35"/>
  <c r="AJ14" i="49"/>
  <c r="AI14"/>
  <c r="AH14"/>
  <c r="AG14"/>
  <c r="AF14"/>
  <c r="AJ13"/>
  <c r="AH13"/>
  <c r="AG13"/>
  <c r="AF13"/>
  <c r="BG32" i="1"/>
  <c r="AF30" i="49"/>
  <c r="AJ30"/>
  <c r="BC30"/>
  <c r="BI30"/>
  <c r="U30"/>
  <c r="Q30"/>
  <c r="AV32" i="1"/>
  <c r="BF32"/>
  <c r="AI30" i="49"/>
  <c r="AQ30"/>
  <c r="BL30"/>
  <c r="V30"/>
  <c r="R30"/>
  <c r="N30"/>
  <c r="D5" i="45"/>
  <c r="BA32" i="1"/>
  <c r="AH30" i="49"/>
  <c r="M30"/>
  <c r="BK30"/>
  <c r="W30"/>
  <c r="S30"/>
  <c r="O30"/>
  <c r="BG36" i="1"/>
  <c r="AG30" i="49"/>
  <c r="AK30"/>
  <c r="BJ30"/>
  <c r="Y30"/>
  <c r="T30"/>
  <c r="P30"/>
  <c r="U13"/>
  <c r="Q13"/>
  <c r="BJ13"/>
  <c r="AT24" i="1"/>
  <c r="AZ15"/>
  <c r="BC15"/>
  <c r="BG15"/>
  <c r="V13" i="49"/>
  <c r="R13"/>
  <c r="N13"/>
  <c r="BK13"/>
  <c r="BD15" i="1"/>
  <c r="BC13" i="49"/>
  <c r="W13"/>
  <c r="S13"/>
  <c r="O13"/>
  <c r="BL13"/>
  <c r="AV15" i="1"/>
  <c r="BI13" i="49"/>
  <c r="Y13"/>
  <c r="T13"/>
  <c r="P13"/>
  <c r="BE15" i="1"/>
  <c r="N12" i="49"/>
  <c r="V12"/>
  <c r="BC12"/>
  <c r="BI12"/>
  <c r="Q12"/>
  <c r="U12"/>
  <c r="BL12"/>
  <c r="P12"/>
  <c r="T12"/>
  <c r="Y12"/>
  <c r="AV14" i="1"/>
  <c r="BJ12" i="49"/>
  <c r="R12"/>
  <c r="BK12"/>
  <c r="O12"/>
  <c r="S12"/>
  <c r="W12"/>
  <c r="T5" i="45"/>
  <c r="AQ19" i="49"/>
  <c r="G5" i="45"/>
  <c r="M5"/>
  <c r="AD5"/>
  <c r="AQ6" i="49"/>
  <c r="BE21" i="1"/>
  <c r="L5" i="45"/>
  <c r="U5"/>
  <c r="X5"/>
  <c r="AC5"/>
  <c r="AY10" i="44"/>
  <c r="K25" i="45"/>
  <c r="AQ15" i="49"/>
  <c r="AY24" i="44"/>
  <c r="AQ13" i="49"/>
  <c r="AE12"/>
  <c r="P5" i="45"/>
  <c r="AD12" i="49"/>
  <c r="K5" i="45"/>
  <c r="O5"/>
  <c r="R5"/>
  <c r="S5"/>
  <c r="V5"/>
  <c r="AB5"/>
  <c r="AE5"/>
  <c r="AQ10" i="49"/>
  <c r="AQ12"/>
  <c r="AV18" i="1"/>
  <c r="AQ16" i="49"/>
  <c r="AQ18"/>
  <c r="BE24" i="1"/>
  <c r="AQ8" i="49"/>
  <c r="H5" i="45"/>
  <c r="I5"/>
  <c r="N5"/>
  <c r="Q5"/>
  <c r="BE6" i="1"/>
  <c r="J5" i="45"/>
  <c r="BF6" i="1"/>
  <c r="BF7"/>
  <c r="AY8" i="44"/>
  <c r="G6" i="45"/>
  <c r="AQ5" i="49"/>
  <c r="F6" i="45"/>
  <c r="AY7" i="44"/>
  <c r="AQ4" i="49"/>
  <c r="AH5" i="45"/>
  <c r="AG5"/>
  <c r="AH25"/>
  <c r="BE32" i="49" s="1"/>
  <c r="AF5" i="45"/>
  <c r="AQ31" i="49"/>
  <c r="AQ29"/>
  <c r="BE31" i="1"/>
  <c r="BE30"/>
  <c r="BE29"/>
  <c r="BB30"/>
  <c r="AQ27" i="49"/>
  <c r="AY29" i="44"/>
  <c r="AQ26" i="49"/>
  <c r="Y5" i="45"/>
  <c r="Z5"/>
  <c r="AQ24" i="49"/>
  <c r="AQ23"/>
  <c r="AQ22"/>
  <c r="AQ21"/>
  <c r="AQ20"/>
  <c r="AQ2"/>
  <c r="D6" i="45"/>
  <c r="AQ3" i="49"/>
  <c r="E5" i="45"/>
  <c r="E6"/>
  <c r="E11" i="35"/>
  <c r="G11" s="1"/>
  <c r="E17"/>
  <c r="G17" s="1"/>
  <c r="E15"/>
  <c r="G15" s="1"/>
  <c r="E16"/>
  <c r="G16" s="1"/>
  <c r="E12"/>
  <c r="G12" s="1"/>
  <c r="E10"/>
  <c r="G10" s="1"/>
  <c r="E13"/>
  <c r="G13" s="1"/>
  <c r="BH31" i="49"/>
  <c r="AD9" i="1"/>
  <c r="I4" i="35"/>
  <c r="AS18" i="1"/>
  <c r="AP7"/>
  <c r="AR7"/>
  <c r="AP8"/>
  <c r="AW8"/>
  <c r="AS9"/>
  <c r="AX9"/>
  <c r="BH9"/>
  <c r="AR11"/>
  <c r="AY12"/>
  <c r="AT12"/>
  <c r="AX12"/>
  <c r="BH12"/>
  <c r="I12" i="35"/>
  <c r="AK10" i="49"/>
  <c r="AU17" i="1"/>
  <c r="AU18"/>
  <c r="AT20"/>
  <c r="AX20"/>
  <c r="BH20"/>
  <c r="AP22"/>
  <c r="AS22"/>
  <c r="AW22"/>
  <c r="AU23"/>
  <c r="AT25"/>
  <c r="AX25"/>
  <c r="BH25"/>
  <c r="AT26"/>
  <c r="AX26"/>
  <c r="BH26"/>
  <c r="AT30"/>
  <c r="AX30"/>
  <c r="BH30"/>
  <c r="AP31"/>
  <c r="AX32"/>
  <c r="AX16"/>
  <c r="AT16"/>
  <c r="AY16"/>
  <c r="AX19"/>
  <c r="AS19"/>
  <c r="BH19"/>
  <c r="AU24"/>
  <c r="AY24"/>
  <c r="AN8" i="44"/>
  <c r="BG5" i="49" s="1"/>
  <c r="I7" i="35"/>
  <c r="AK4" i="49"/>
  <c r="BD6" i="1"/>
  <c r="BH6"/>
  <c r="AX6"/>
  <c r="I10" i="35"/>
  <c r="AK8" i="49"/>
  <c r="BH10" i="1"/>
  <c r="AX10"/>
  <c r="AT10"/>
  <c r="BH13"/>
  <c r="AX14"/>
  <c r="AT14"/>
  <c r="AR15"/>
  <c r="AW13"/>
  <c r="AR5"/>
  <c r="AQ29"/>
  <c r="AU28"/>
  <c r="BI28" s="1"/>
  <c r="AQ28"/>
  <c r="AX7"/>
  <c r="BH7"/>
  <c r="AX8"/>
  <c r="AT8"/>
  <c r="AY8"/>
  <c r="AR9"/>
  <c r="AW9"/>
  <c r="AP12"/>
  <c r="AS12"/>
  <c r="AY17"/>
  <c r="AT17"/>
  <c r="AX17"/>
  <c r="AT18"/>
  <c r="AX18"/>
  <c r="I18" i="35"/>
  <c r="AK16" i="49"/>
  <c r="AP20" i="1"/>
  <c r="AW20"/>
  <c r="AY21"/>
  <c r="AU21"/>
  <c r="AR22"/>
  <c r="AY23"/>
  <c r="AT23"/>
  <c r="AX23"/>
  <c r="BH23"/>
  <c r="AP24"/>
  <c r="AP25"/>
  <c r="AS25"/>
  <c r="AW25"/>
  <c r="AP26"/>
  <c r="AW26"/>
  <c r="AS30"/>
  <c r="AZ30"/>
  <c r="AR31"/>
  <c r="AP32"/>
  <c r="AS32"/>
  <c r="AU16"/>
  <c r="AQ16"/>
  <c r="AU19"/>
  <c r="BI19" s="1"/>
  <c r="AY19"/>
  <c r="AQ24"/>
  <c r="AQ6"/>
  <c r="AU10"/>
  <c r="AQ10"/>
  <c r="AU14"/>
  <c r="AQ14"/>
  <c r="AW15"/>
  <c r="AS15"/>
  <c r="AX13"/>
  <c r="AT13"/>
  <c r="BH5"/>
  <c r="AR29"/>
  <c r="I5" i="35"/>
  <c r="AT7" i="1"/>
  <c r="AU8"/>
  <c r="BI8" s="1"/>
  <c r="AQ9"/>
  <c r="AY11"/>
  <c r="AT11"/>
  <c r="AX11"/>
  <c r="BH11"/>
  <c r="AP17"/>
  <c r="AS17"/>
  <c r="AW17"/>
  <c r="AR18"/>
  <c r="AW18"/>
  <c r="AX21"/>
  <c r="BH21"/>
  <c r="BD21"/>
  <c r="AU22"/>
  <c r="BH22"/>
  <c r="AS23"/>
  <c r="AW23"/>
  <c r="AR25"/>
  <c r="BH28"/>
  <c r="AR30"/>
  <c r="AU31"/>
  <c r="AR32"/>
  <c r="AQ19"/>
  <c r="AW24"/>
  <c r="AR24"/>
  <c r="AQ7"/>
  <c r="AR6"/>
  <c r="AN7" i="44"/>
  <c r="BG4" i="49" s="1"/>
  <c r="AR10" i="1"/>
  <c r="AR14"/>
  <c r="AX15"/>
  <c r="AT15"/>
  <c r="AY15"/>
  <c r="AU13"/>
  <c r="BI13" s="1"/>
  <c r="AQ13"/>
  <c r="AP5"/>
  <c r="AT5"/>
  <c r="AX5"/>
  <c r="AW29"/>
  <c r="AT19"/>
  <c r="AW28"/>
  <c r="AS28"/>
  <c r="BG32" i="49"/>
  <c r="AR8" i="1"/>
  <c r="BH8"/>
  <c r="AT9"/>
  <c r="AS11"/>
  <c r="AW11"/>
  <c r="I11" i="35"/>
  <c r="AK9" i="49"/>
  <c r="AP13" i="1"/>
  <c r="AP15"/>
  <c r="AR17"/>
  <c r="AQ20"/>
  <c r="AU20"/>
  <c r="AR21"/>
  <c r="AW21"/>
  <c r="AT22"/>
  <c r="AX22"/>
  <c r="AQ25"/>
  <c r="AU25"/>
  <c r="AQ26"/>
  <c r="AU26"/>
  <c r="BI26" s="1"/>
  <c r="AP29"/>
  <c r="AQ30"/>
  <c r="AY31"/>
  <c r="AT31"/>
  <c r="AX31"/>
  <c r="BH31"/>
  <c r="AQ32"/>
  <c r="AW16"/>
  <c r="AS16"/>
  <c r="AW19"/>
  <c r="AR19"/>
  <c r="AX24"/>
  <c r="BD24"/>
  <c r="BH24"/>
  <c r="AW7"/>
  <c r="AP6"/>
  <c r="AW10"/>
  <c r="AP10"/>
  <c r="AW14"/>
  <c r="AS14"/>
  <c r="BH14"/>
  <c r="AU15"/>
  <c r="AQ15"/>
  <c r="AX29"/>
  <c r="AT29"/>
  <c r="AY29"/>
  <c r="AX28"/>
  <c r="AT28"/>
  <c r="AW30"/>
  <c r="AW31"/>
  <c r="BH10" i="49"/>
  <c r="H18" i="35"/>
  <c r="AL17" i="49"/>
  <c r="M18"/>
  <c r="M19"/>
  <c r="AL19"/>
  <c r="AL23"/>
  <c r="AL24"/>
  <c r="M16" i="35"/>
  <c r="O16" s="1"/>
  <c r="M14" i="49"/>
  <c r="AL14"/>
  <c r="AL13"/>
  <c r="O15"/>
  <c r="AL30"/>
  <c r="O32"/>
  <c r="P32"/>
  <c r="BG20" i="1"/>
  <c r="BH18" i="49"/>
  <c r="AL21"/>
  <c r="BH22"/>
  <c r="BH26"/>
  <c r="AL27"/>
  <c r="BH28"/>
  <c r="AL9"/>
  <c r="M15" i="35"/>
  <c r="O15" s="1"/>
  <c r="M13" i="49"/>
  <c r="AL8"/>
  <c r="M10" i="35"/>
  <c r="O10" s="1"/>
  <c r="M8" i="49"/>
  <c r="P15"/>
  <c r="H11" i="35"/>
  <c r="BH14" i="49"/>
  <c r="BH17"/>
  <c r="BH19"/>
  <c r="AL20"/>
  <c r="BH20"/>
  <c r="BH23"/>
  <c r="BH24"/>
  <c r="AL26"/>
  <c r="BH30"/>
  <c r="AL7"/>
  <c r="M14" i="35"/>
  <c r="O14" s="1"/>
  <c r="M12" i="49"/>
  <c r="AL12"/>
  <c r="AL32"/>
  <c r="BH32"/>
  <c r="AN5" i="44"/>
  <c r="H12" i="35"/>
  <c r="BH12" i="49"/>
  <c r="AL18"/>
  <c r="BH21"/>
  <c r="BH27"/>
  <c r="AL28"/>
  <c r="BH9"/>
  <c r="O5"/>
  <c r="P5"/>
  <c r="AL6"/>
  <c r="M13" i="35"/>
  <c r="O13" s="1"/>
  <c r="M11" i="49"/>
  <c r="AL22"/>
  <c r="H7" i="35"/>
  <c r="H10"/>
  <c r="M15" i="49"/>
  <c r="BH15"/>
  <c r="BH16"/>
  <c r="AL16"/>
  <c r="AL15"/>
  <c r="Y15"/>
  <c r="W15"/>
  <c r="V15"/>
  <c r="U15"/>
  <c r="T15"/>
  <c r="S15"/>
  <c r="R15"/>
  <c r="Q15"/>
  <c r="M18" i="35"/>
  <c r="N16" i="49"/>
  <c r="M17" i="35"/>
  <c r="N15" i="49"/>
  <c r="L4" i="1"/>
  <c r="G2" i="47" s="1"/>
  <c r="H23" i="44"/>
  <c r="G20" i="49" s="1"/>
  <c r="G8" i="35"/>
  <c r="P36" i="1"/>
  <c r="U30"/>
  <c r="U21"/>
  <c r="U9"/>
  <c r="U8"/>
  <c r="AS4"/>
  <c r="BA36"/>
  <c r="BE36"/>
  <c r="U31"/>
  <c r="U28"/>
  <c r="U7"/>
  <c r="BB32"/>
  <c r="U6"/>
  <c r="AR23"/>
  <c r="E36"/>
  <c r="BC36"/>
  <c r="E18" i="35"/>
  <c r="G18" s="1"/>
  <c r="BB19" i="1"/>
  <c r="Z36"/>
  <c r="T36"/>
  <c r="AS27"/>
  <c r="BF17"/>
  <c r="AY26"/>
  <c r="BG30"/>
  <c r="AD13"/>
  <c r="BB27"/>
  <c r="U26"/>
  <c r="E9" i="35"/>
  <c r="G9" s="1"/>
  <c r="U25" i="1"/>
  <c r="U29"/>
  <c r="U18"/>
  <c r="U14"/>
  <c r="U32"/>
  <c r="BD36"/>
  <c r="D36"/>
  <c r="I36"/>
  <c r="AY28"/>
  <c r="BG29"/>
  <c r="AD16"/>
  <c r="BB15"/>
  <c r="U13"/>
  <c r="AN12"/>
  <c r="AU12"/>
  <c r="M11" i="35"/>
  <c r="O11" s="1"/>
  <c r="BB11" i="1"/>
  <c r="BF10"/>
  <c r="BA14"/>
  <c r="AY30"/>
  <c r="AQ5"/>
  <c r="AY13"/>
  <c r="L17" i="35"/>
  <c r="AP4" i="1"/>
  <c r="AD17"/>
  <c r="AY14"/>
  <c r="AR16"/>
  <c r="AD22"/>
  <c r="AQ18"/>
  <c r="AY20"/>
  <c r="BA13"/>
  <c r="AR13"/>
  <c r="AQ23"/>
  <c r="AR26"/>
  <c r="AP28"/>
  <c r="AU27"/>
  <c r="AQ31"/>
  <c r="AN27"/>
  <c r="BC4"/>
  <c r="U20"/>
  <c r="BA30"/>
  <c r="U12"/>
  <c r="AZ11"/>
  <c r="AW12"/>
  <c r="AP19"/>
  <c r="BH29"/>
  <c r="AD12"/>
  <c r="AS10"/>
  <c r="AU29"/>
  <c r="AU30"/>
  <c r="BF15"/>
  <c r="AP23"/>
  <c r="BE23"/>
  <c r="AS26"/>
  <c r="BC30"/>
  <c r="M12" i="35"/>
  <c r="O12" s="1"/>
  <c r="E5" i="47"/>
  <c r="AY10" i="1"/>
  <c r="AS29"/>
  <c r="AR4"/>
  <c r="BB18"/>
  <c r="AY22"/>
  <c r="U27"/>
  <c r="AD26"/>
  <c r="O8" i="35"/>
  <c r="U10" i="1"/>
  <c r="F36"/>
  <c r="U5"/>
  <c r="AD11"/>
  <c r="U24"/>
  <c r="U15"/>
  <c r="U22"/>
  <c r="AD19"/>
  <c r="M36"/>
  <c r="AC36"/>
  <c r="BA9"/>
  <c r="M9" i="35"/>
  <c r="O9" s="1"/>
  <c r="AP9" i="1"/>
  <c r="AD8"/>
  <c r="AS8"/>
  <c r="AR12"/>
  <c r="S36"/>
  <c r="U17"/>
  <c r="AP11"/>
  <c r="AQ17"/>
  <c r="E14" i="35"/>
  <c r="G14" s="1"/>
  <c r="BH15" i="1"/>
  <c r="AY25"/>
  <c r="BD28"/>
  <c r="BD27"/>
  <c r="Y27"/>
  <c r="BB29"/>
  <c r="AD30"/>
  <c r="BB14"/>
  <c r="AS24"/>
  <c r="AW27"/>
  <c r="AP18"/>
  <c r="L18" i="35"/>
  <c r="U19" i="1"/>
  <c r="AD27"/>
  <c r="AD28"/>
  <c r="AY9"/>
  <c r="BA15"/>
  <c r="K8" i="35"/>
  <c r="U16" i="1"/>
  <c r="H4" i="35"/>
  <c r="AQ11" i="1"/>
  <c r="AP21"/>
  <c r="BB21"/>
  <c r="AR28"/>
  <c r="AU11"/>
  <c r="BI11" s="1"/>
  <c r="AP14"/>
  <c r="AZ18"/>
  <c r="AV25"/>
  <c r="AQ8"/>
  <c r="BC12"/>
  <c r="AR20"/>
  <c r="AQ22"/>
  <c r="AS13"/>
  <c r="AD24"/>
  <c r="U23"/>
  <c r="AU9"/>
  <c r="BI9" s="1"/>
  <c r="AQ12"/>
  <c r="AP16"/>
  <c r="BH16"/>
  <c r="BH17"/>
  <c r="E12" i="47"/>
  <c r="E7" i="35"/>
  <c r="G7" s="1"/>
  <c r="M6"/>
  <c r="O6" s="1"/>
  <c r="BA7" i="1"/>
  <c r="AZ7"/>
  <c r="AU7"/>
  <c r="AS7"/>
  <c r="AY7"/>
  <c r="L7"/>
  <c r="G5" i="47" s="1"/>
  <c r="E6" i="35"/>
  <c r="G6" s="1"/>
  <c r="M7"/>
  <c r="O7" s="1"/>
  <c r="BB6" i="1"/>
  <c r="AZ6"/>
  <c r="AW6"/>
  <c r="AU6"/>
  <c r="AS6"/>
  <c r="AY6"/>
  <c r="L6"/>
  <c r="G4" i="47" s="1"/>
  <c r="E4"/>
  <c r="E5" i="35"/>
  <c r="G5" s="1"/>
  <c r="M5"/>
  <c r="O5" s="1"/>
  <c r="BB5" i="1"/>
  <c r="BA4"/>
  <c r="AW5"/>
  <c r="AU5"/>
  <c r="AS5"/>
  <c r="AY5"/>
  <c r="E3" i="47"/>
  <c r="AZ4" i="1"/>
  <c r="AT4"/>
  <c r="AQ4"/>
  <c r="E4" i="35"/>
  <c r="G4" s="1"/>
  <c r="M4"/>
  <c r="O4" s="1"/>
  <c r="BE4" i="1"/>
  <c r="BD4"/>
  <c r="BB4"/>
  <c r="AV4"/>
  <c r="AU4"/>
  <c r="E2" i="47"/>
  <c r="AD31" i="1"/>
  <c r="BE32"/>
  <c r="BD32"/>
  <c r="BC32"/>
  <c r="BB31"/>
  <c r="BH32"/>
  <c r="AZ32"/>
  <c r="AW32"/>
  <c r="AU32"/>
  <c r="AT32"/>
  <c r="AS31"/>
  <c r="AY32"/>
  <c r="X26" i="49" l="1"/>
  <c r="Y36" i="44"/>
  <c r="Y37"/>
  <c r="K26" i="49"/>
  <c r="L37" i="44"/>
  <c r="L36"/>
  <c r="J26" i="49"/>
  <c r="I26"/>
  <c r="H26"/>
  <c r="G26"/>
  <c r="H37" i="44"/>
  <c r="H36"/>
  <c r="F26" i="49"/>
  <c r="L26"/>
  <c r="M37" i="44"/>
  <c r="M36"/>
  <c r="J30" i="48"/>
  <c r="K7" i="49"/>
  <c r="J7"/>
  <c r="I7"/>
  <c r="H7"/>
  <c r="G7"/>
  <c r="F7"/>
  <c r="L7"/>
  <c r="BB33" i="44"/>
  <c r="BB32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/>
  <c r="E17"/>
  <c r="BB20" i="44"/>
  <c r="E16" i="49"/>
  <c r="BB19" i="44"/>
  <c r="E15" i="49"/>
  <c r="BB18" i="44"/>
  <c r="E14" i="49"/>
  <c r="BB17" i="44"/>
  <c r="BH13" i="49"/>
  <c r="E13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s="1"/>
  <c r="E4" i="49"/>
  <c r="BB6" i="44"/>
  <c r="BC6" s="1"/>
  <c r="AZ9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BH8"/>
  <c r="BH7"/>
  <c r="AZ10" i="44"/>
  <c r="E2" i="49"/>
  <c r="F3"/>
  <c r="AZ36" i="1"/>
  <c r="AZ21"/>
  <c r="H33"/>
  <c r="J33" s="1"/>
  <c r="C34" i="44"/>
  <c r="BH6" i="49"/>
  <c r="BH3"/>
  <c r="AZ6" i="44"/>
  <c r="BH5" i="49"/>
  <c r="AZ8" i="44"/>
  <c r="BH4" i="49"/>
  <c r="AZ7" i="44"/>
  <c r="E14" i="47"/>
  <c r="AG27" i="45"/>
  <c r="BF31" i="49" s="1"/>
  <c r="AN33" i="1"/>
  <c r="Y33"/>
  <c r="AR31" i="49"/>
  <c r="BI33" i="1"/>
  <c r="AH31" i="45"/>
  <c r="AE33" i="1"/>
  <c r="AD33"/>
  <c r="AD34"/>
  <c r="Y34"/>
  <c r="AJ33"/>
  <c r="BI34"/>
  <c r="AE34"/>
  <c r="BO34"/>
  <c r="AN18"/>
  <c r="AN23"/>
  <c r="BO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AQ17"/>
  <c r="AH2"/>
  <c r="AI2"/>
  <c r="F31"/>
  <c r="BG2"/>
  <c r="BI2"/>
  <c r="BH2"/>
  <c r="AD2"/>
  <c r="AK36" i="1"/>
  <c r="D24" i="45"/>
  <c r="BD2" i="49" s="1"/>
  <c r="BC2"/>
  <c r="BC17"/>
  <c r="D25" i="45"/>
  <c r="AR28" i="49"/>
  <c r="AN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N24" i="1"/>
  <c r="D29" i="45"/>
  <c r="AO2" i="49"/>
  <c r="AM13"/>
  <c r="AP17"/>
  <c r="N29" i="45"/>
  <c r="AO12" i="49"/>
  <c r="N27" i="45"/>
  <c r="BF12" i="49" s="1"/>
  <c r="AR12"/>
  <c r="M29" i="45"/>
  <c r="AO11" i="49"/>
  <c r="AN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N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AZ20" i="1"/>
  <c r="AN11"/>
  <c r="AD23"/>
  <c r="AN9"/>
  <c r="AN19"/>
  <c r="G39" i="44"/>
  <c r="AN22" i="1"/>
  <c r="AN16"/>
  <c r="H9" i="35"/>
  <c r="BI5" i="1"/>
  <c r="I9" i="35"/>
  <c r="AL36" i="1"/>
  <c r="J39" i="44"/>
  <c r="I39"/>
  <c r="I22"/>
  <c r="H19" i="49" s="1"/>
  <c r="G22" i="44"/>
  <c r="F19" i="49" s="1"/>
  <c r="AN30" i="1"/>
  <c r="H39" i="44"/>
  <c r="I21"/>
  <c r="H18" i="49" s="1"/>
  <c r="F39" i="44"/>
  <c r="K39"/>
  <c r="AN29" i="1"/>
  <c r="F22" i="44"/>
  <c r="F37" s="1"/>
  <c r="J23"/>
  <c r="I20" i="49" s="1"/>
  <c r="AN20" i="1"/>
  <c r="AN10"/>
  <c r="AN13"/>
  <c r="J7" i="44"/>
  <c r="I4" i="49" s="1"/>
  <c r="K21" i="44"/>
  <c r="J18" i="49" s="1"/>
  <c r="J21" i="44"/>
  <c r="I18" i="49" s="1"/>
  <c r="S11" i="1"/>
  <c r="U11" s="1"/>
  <c r="AJ21"/>
  <c r="T30" i="45"/>
  <c r="T31" s="1"/>
  <c r="BI14" i="1"/>
  <c r="E6" i="47"/>
  <c r="I6" i="35"/>
  <c r="H6"/>
  <c r="AN7" i="1"/>
  <c r="AG35"/>
  <c r="H5" i="35"/>
  <c r="K5" s="1"/>
  <c r="AJ23" i="1"/>
  <c r="H17" i="35"/>
  <c r="K17" s="1"/>
  <c r="L30" i="45"/>
  <c r="L31" s="1"/>
  <c r="BA35" i="1"/>
  <c r="F37"/>
  <c r="AN25"/>
  <c r="AN8"/>
  <c r="AU35"/>
  <c r="BE35"/>
  <c r="BD35"/>
  <c r="AT35"/>
  <c r="AR35"/>
  <c r="AC35"/>
  <c r="AN14"/>
  <c r="AW35"/>
  <c r="AV35"/>
  <c r="AB35"/>
  <c r="AH35"/>
  <c r="BC35"/>
  <c r="AP35"/>
  <c r="W35"/>
  <c r="V35"/>
  <c r="X35"/>
  <c r="BJ35"/>
  <c r="AO35"/>
  <c r="AX35"/>
  <c r="AY35"/>
  <c r="BH35"/>
  <c r="N4"/>
  <c r="U30" i="45"/>
  <c r="U31" s="1"/>
  <c r="N7" i="1"/>
  <c r="N6"/>
  <c r="N30" i="45"/>
  <c r="I25"/>
  <c r="BE7" i="49" s="1"/>
  <c r="AR36" i="1"/>
  <c r="BI16"/>
  <c r="H30" i="45"/>
  <c r="H31" s="1"/>
  <c r="I13" i="35"/>
  <c r="AN15" i="1"/>
  <c r="AD14"/>
  <c r="BI22"/>
  <c r="AV36"/>
  <c r="AI36"/>
  <c r="Q30" i="45"/>
  <c r="Q31" s="1"/>
  <c r="R30"/>
  <c r="R31" s="1"/>
  <c r="BB36" i="1"/>
  <c r="AK14" i="49"/>
  <c r="AK13"/>
  <c r="Y14" i="1"/>
  <c r="AN5"/>
  <c r="BK4"/>
  <c r="AD21"/>
  <c r="E25" i="45"/>
  <c r="BE3" i="49" s="1"/>
  <c r="E30" i="45"/>
  <c r="E31" s="1"/>
  <c r="W25"/>
  <c r="BE21" i="49" s="1"/>
  <c r="W30" i="45"/>
  <c r="W31" s="1"/>
  <c r="AD20" i="1"/>
  <c r="Z30" i="45"/>
  <c r="Z31" s="1"/>
  <c r="O30"/>
  <c r="P25"/>
  <c r="BE14" i="49" s="1"/>
  <c r="P30" i="45"/>
  <c r="P31" s="1"/>
  <c r="AD23" i="49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O4" i="1"/>
  <c r="BM4"/>
  <c r="D30" i="45"/>
  <c r="G30"/>
  <c r="G31" s="1"/>
  <c r="AE23" i="49"/>
  <c r="F30" i="45"/>
  <c r="F31" s="1"/>
  <c r="AG30"/>
  <c r="AE30"/>
  <c r="AE31" s="1"/>
  <c r="AF30"/>
  <c r="AD30"/>
  <c r="AD31" s="1"/>
  <c r="AC30"/>
  <c r="AC31" s="1"/>
  <c r="AB30"/>
  <c r="AB31" s="1"/>
  <c r="AN26" i="1"/>
  <c r="Y30" i="45"/>
  <c r="AD25" i="1"/>
  <c r="X30" i="45"/>
  <c r="X31" s="1"/>
  <c r="AK23" i="49"/>
  <c r="AJ23"/>
  <c r="AI23"/>
  <c r="AH23"/>
  <c r="AG23"/>
  <c r="AF23"/>
  <c r="BI24" i="1"/>
  <c r="AT5" i="44"/>
  <c r="Y21" i="1"/>
  <c r="X36"/>
  <c r="M25" i="45"/>
  <c r="BE11" i="49" s="1"/>
  <c r="I14" i="35"/>
  <c r="AK12" i="49"/>
  <c r="H13" i="35"/>
  <c r="AH36" i="1"/>
  <c r="AN4"/>
  <c r="Y7"/>
  <c r="BI29"/>
  <c r="AY32" i="44"/>
  <c r="U25" i="45"/>
  <c r="BE19" i="49" s="1"/>
  <c r="Y22" i="1"/>
  <c r="BI21"/>
  <c r="AY22" i="44"/>
  <c r="Y20" i="1"/>
  <c r="AJ17"/>
  <c r="Y18"/>
  <c r="AK15" i="49"/>
  <c r="O25" i="45"/>
  <c r="BE13" i="49" s="1"/>
  <c r="H16" i="35"/>
  <c r="K16" s="1"/>
  <c r="AD15" i="1"/>
  <c r="I15" i="35"/>
  <c r="H15"/>
  <c r="AI13" i="49"/>
  <c r="AY12" i="44"/>
  <c r="AJ8" i="1"/>
  <c r="AY26" i="44"/>
  <c r="AY21"/>
  <c r="R25" i="45"/>
  <c r="BE16" i="49" s="1"/>
  <c r="AG36" i="1"/>
  <c r="AJ26"/>
  <c r="AF25" i="45"/>
  <c r="BE30" i="49" s="1"/>
  <c r="AY33" i="44"/>
  <c r="L5" i="1"/>
  <c r="BI6"/>
  <c r="Y6"/>
  <c r="BI18"/>
  <c r="Y25" i="45"/>
  <c r="BE23" i="49" s="1"/>
  <c r="W36" i="1"/>
  <c r="AJ20"/>
  <c r="Q25" i="45"/>
  <c r="BE15" i="49" s="1"/>
  <c r="Y5" i="1"/>
  <c r="K11" i="35"/>
  <c r="AN6" i="44"/>
  <c r="AY5"/>
  <c r="AJ18" i="1"/>
  <c r="Y17"/>
  <c r="AY18" i="44"/>
  <c r="AY17"/>
  <c r="AJ11" i="1"/>
  <c r="AH12" i="49"/>
  <c r="AJ12"/>
  <c r="AI12"/>
  <c r="AG12"/>
  <c r="AF12"/>
  <c r="Z25" i="45"/>
  <c r="BE24" i="49" s="1"/>
  <c r="AJ15" i="1"/>
  <c r="AY16" i="44"/>
  <c r="N25" i="45"/>
  <c r="BE12" i="49" s="1"/>
  <c r="AJ14" i="1"/>
  <c r="AJ13"/>
  <c r="AJ12"/>
  <c r="Y12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/>
  <c r="AY9"/>
  <c r="E13" i="47"/>
  <c r="H14" i="35"/>
  <c r="Y29" i="1"/>
  <c r="AJ29"/>
  <c r="AG25" i="45"/>
  <c r="BE31" i="49" s="1"/>
  <c r="AY25" i="44"/>
  <c r="AY23"/>
  <c r="AY19"/>
  <c r="Y9" i="1"/>
  <c r="Y15"/>
  <c r="Y10"/>
  <c r="AE25" i="45"/>
  <c r="BE29" i="49" s="1"/>
  <c r="AY20" i="44"/>
  <c r="AJ16" i="1"/>
  <c r="AJ24"/>
  <c r="AJ25"/>
  <c r="AJ10"/>
  <c r="Y8"/>
  <c r="AY13" i="44"/>
  <c r="AY27"/>
  <c r="AY15"/>
  <c r="AY14"/>
  <c r="AJ7" i="1"/>
  <c r="F25" i="45"/>
  <c r="BE4" i="49" s="1"/>
  <c r="G25" i="45"/>
  <c r="BE5" i="49" s="1"/>
  <c r="S4" i="1"/>
  <c r="Y4"/>
  <c r="AY34" i="44"/>
  <c r="AJ31" i="1"/>
  <c r="Y31"/>
  <c r="BO31"/>
  <c r="BP31" s="1"/>
  <c r="BI31"/>
  <c r="BI41" s="1"/>
  <c r="AJ30"/>
  <c r="AY31" i="44"/>
  <c r="AC25" i="45"/>
  <c r="BE27" i="49" s="1"/>
  <c r="AY30" i="44"/>
  <c r="AB25" i="45"/>
  <c r="BE26" i="49" s="1"/>
  <c r="Y28" i="1"/>
  <c r="Y26"/>
  <c r="AE25"/>
  <c r="Y25"/>
  <c r="AE24"/>
  <c r="AF24" s="1"/>
  <c r="Y24"/>
  <c r="Y23"/>
  <c r="AE18"/>
  <c r="AE21"/>
  <c r="BF20"/>
  <c r="Y19"/>
  <c r="AJ5"/>
  <c r="BO24"/>
  <c r="BP24" s="1"/>
  <c r="AU36"/>
  <c r="AE28"/>
  <c r="AF28" s="1"/>
  <c r="BO28"/>
  <c r="BP28" s="1"/>
  <c r="AW36"/>
  <c r="K18" i="35"/>
  <c r="BO21" i="1"/>
  <c r="BO23"/>
  <c r="AJ6"/>
  <c r="AE19"/>
  <c r="AF19" s="1"/>
  <c r="AE15"/>
  <c r="Y30"/>
  <c r="AT36"/>
  <c r="K12" i="35"/>
  <c r="AS36" i="1"/>
  <c r="O17" i="35"/>
  <c r="BO13" i="1"/>
  <c r="BP13" s="1"/>
  <c r="BO14"/>
  <c r="AT7" i="44"/>
  <c r="K7" i="35"/>
  <c r="AE16" i="1"/>
  <c r="AF16" s="1"/>
  <c r="BI32"/>
  <c r="BO26"/>
  <c r="BP26" s="1"/>
  <c r="AE14"/>
  <c r="AE31"/>
  <c r="AF31" s="1"/>
  <c r="BO16"/>
  <c r="BP16" s="1"/>
  <c r="BO22"/>
  <c r="BP22" s="1"/>
  <c r="AE26"/>
  <c r="AF26" s="1"/>
  <c r="AE22"/>
  <c r="AF22" s="1"/>
  <c r="BM32" i="49"/>
  <c r="AE13" i="1"/>
  <c r="AF13" s="1"/>
  <c r="K10" i="35"/>
  <c r="BO10" i="1"/>
  <c r="AE8"/>
  <c r="AF8" s="1"/>
  <c r="BO8"/>
  <c r="BP8" s="1"/>
  <c r="K4" i="35"/>
  <c r="BO18" i="1"/>
  <c r="BO17"/>
  <c r="BP17" s="1"/>
  <c r="BO19"/>
  <c r="BP19" s="1"/>
  <c r="BI4"/>
  <c r="AE7"/>
  <c r="BI7"/>
  <c r="AQ21"/>
  <c r="AQ35" s="1"/>
  <c r="BI25"/>
  <c r="BI10"/>
  <c r="AE27"/>
  <c r="AF27" s="1"/>
  <c r="BI27"/>
  <c r="AE12"/>
  <c r="AF12" s="1"/>
  <c r="BI12"/>
  <c r="AS21"/>
  <c r="BI23"/>
  <c r="BI17"/>
  <c r="AS20"/>
  <c r="BI15"/>
  <c r="AE30"/>
  <c r="AF30" s="1"/>
  <c r="BI30"/>
  <c r="O4"/>
  <c r="I2" i="47" s="1"/>
  <c r="O18" i="35"/>
  <c r="BB22" i="1"/>
  <c r="BM14"/>
  <c r="BM6"/>
  <c r="BM5"/>
  <c r="BL5"/>
  <c r="BK5"/>
  <c r="BL4"/>
  <c r="BK14"/>
  <c r="BL14"/>
  <c r="BK7"/>
  <c r="BL7"/>
  <c r="BK6"/>
  <c r="BL6"/>
  <c r="BM7"/>
  <c r="Y13"/>
  <c r="BO7"/>
  <c r="O6"/>
  <c r="I4" i="47" s="1"/>
  <c r="AJ4" i="1"/>
  <c r="BO27"/>
  <c r="BP27" s="1"/>
  <c r="Y16"/>
  <c r="BO30"/>
  <c r="BP30" s="1"/>
  <c r="Y11"/>
  <c r="AB36"/>
  <c r="AQ36"/>
  <c r="BF36"/>
  <c r="AJ28"/>
  <c r="U36"/>
  <c r="AE17"/>
  <c r="AF17" s="1"/>
  <c r="BO15"/>
  <c r="BO12"/>
  <c r="BP12" s="1"/>
  <c r="AD10"/>
  <c r="AE10"/>
  <c r="V36"/>
  <c r="AE29"/>
  <c r="AF29" s="1"/>
  <c r="BO29"/>
  <c r="BP29" s="1"/>
  <c r="AE23"/>
  <c r="AJ27"/>
  <c r="K7"/>
  <c r="AP36"/>
  <c r="AE11"/>
  <c r="AF11" s="1"/>
  <c r="BO11"/>
  <c r="BP11" s="1"/>
  <c r="K14"/>
  <c r="K16"/>
  <c r="O7"/>
  <c r="I5" i="47" s="1"/>
  <c r="O5" i="1"/>
  <c r="I3" i="47" s="1"/>
  <c r="AD18" i="1"/>
  <c r="AD36" s="1"/>
  <c r="AE9"/>
  <c r="AF9" s="1"/>
  <c r="BO9"/>
  <c r="BP9" s="1"/>
  <c r="BO25"/>
  <c r="AD7"/>
  <c r="AD6"/>
  <c r="BO6"/>
  <c r="AE6"/>
  <c r="K6"/>
  <c r="AD5"/>
  <c r="AE5"/>
  <c r="BO5"/>
  <c r="K5"/>
  <c r="AD4"/>
  <c r="AE4"/>
  <c r="K4"/>
  <c r="AN32"/>
  <c r="AD32"/>
  <c r="Y32"/>
  <c r="AJ32"/>
  <c r="AE32"/>
  <c r="BO32"/>
  <c r="BM5" i="49" l="1"/>
  <c r="BA8" i="44"/>
  <c r="BA5"/>
  <c r="BM4" i="49"/>
  <c r="BA7" i="44"/>
  <c r="AY37"/>
  <c r="I36"/>
  <c r="J37"/>
  <c r="J36"/>
  <c r="F36"/>
  <c r="K37"/>
  <c r="K36"/>
  <c r="AY36"/>
  <c r="AZ36"/>
  <c r="AZ37"/>
  <c r="I37"/>
  <c r="BB34"/>
  <c r="J31" i="48"/>
  <c r="BB23" i="44"/>
  <c r="E19" i="49"/>
  <c r="BB22" i="44"/>
  <c r="BB21"/>
  <c r="BC9"/>
  <c r="BB7"/>
  <c r="BC7" s="1"/>
  <c r="AA35" i="1"/>
  <c r="BG3" i="49"/>
  <c r="H6" i="45"/>
  <c r="H24" s="1"/>
  <c r="BD6" i="49" s="1"/>
  <c r="AZ35" i="1"/>
  <c r="BP4"/>
  <c r="H34"/>
  <c r="C35" i="44"/>
  <c r="C36" s="1"/>
  <c r="G9" i="1"/>
  <c r="BM16"/>
  <c r="BL16"/>
  <c r="BK16"/>
  <c r="D9" i="44"/>
  <c r="AN9"/>
  <c r="L8" i="1"/>
  <c r="B10" i="44"/>
  <c r="BP33" i="1"/>
  <c r="AF33"/>
  <c r="Z35"/>
  <c r="AF34"/>
  <c r="BP34"/>
  <c r="O31" i="45"/>
  <c r="AN36" i="1"/>
  <c r="K8"/>
  <c r="Y31" i="45"/>
  <c r="BL8" i="1"/>
  <c r="BK8"/>
  <c r="N31" i="45"/>
  <c r="BM8" i="1"/>
  <c r="BP23"/>
  <c r="AG31" i="45"/>
  <c r="BM2" i="49"/>
  <c r="AF31" i="45"/>
  <c r="D31"/>
  <c r="BF17" i="49"/>
  <c r="BF2"/>
  <c r="BE17"/>
  <c r="BE2"/>
  <c r="M31" i="45"/>
  <c r="G3" i="47"/>
  <c r="K9" i="35"/>
  <c r="K13"/>
  <c r="AF23" i="1"/>
  <c r="AK35"/>
  <c r="AT6" i="44"/>
  <c r="BA6" s="1"/>
  <c r="AN21" i="1"/>
  <c r="AN35" s="1"/>
  <c r="AI35"/>
  <c r="K6" i="35"/>
  <c r="AJ19" i="1"/>
  <c r="AJ35" s="1"/>
  <c r="AF14"/>
  <c r="BP14"/>
  <c r="U4"/>
  <c r="U35" s="1"/>
  <c r="S35"/>
  <c r="AL35"/>
  <c r="BB35"/>
  <c r="BQ4"/>
  <c r="AD35"/>
  <c r="BF35"/>
  <c r="AS35"/>
  <c r="Y35"/>
  <c r="R7"/>
  <c r="M5" i="47"/>
  <c r="R6" i="1"/>
  <c r="M4" i="47"/>
  <c r="R5" i="1"/>
  <c r="R4"/>
  <c r="M2" i="47"/>
  <c r="N5" i="1"/>
  <c r="BK15"/>
  <c r="AF21"/>
  <c r="BP21"/>
  <c r="Y36"/>
  <c r="AJ36"/>
  <c r="K14" i="35"/>
  <c r="BP5" i="1"/>
  <c r="BP32"/>
  <c r="BP25"/>
  <c r="AF25"/>
  <c r="BP18"/>
  <c r="BP15"/>
  <c r="AF15"/>
  <c r="BP10"/>
  <c r="BP6"/>
  <c r="BP7"/>
  <c r="K15"/>
  <c r="K15" i="35"/>
  <c r="Q4" i="1"/>
  <c r="AE20"/>
  <c r="AF20" s="1"/>
  <c r="BL15"/>
  <c r="BM15"/>
  <c r="BO20"/>
  <c r="BP20" s="1"/>
  <c r="BI20"/>
  <c r="BI35" s="1"/>
  <c r="BO36"/>
  <c r="AF7"/>
  <c r="Q6"/>
  <c r="BN6" s="1"/>
  <c r="AE36"/>
  <c r="AF18"/>
  <c r="AF36" s="1"/>
  <c r="AF10"/>
  <c r="Q5"/>
  <c r="Q7"/>
  <c r="BN7" s="1"/>
  <c r="AF6"/>
  <c r="AF5"/>
  <c r="AF4"/>
  <c r="AF32"/>
  <c r="C37" i="44" l="1"/>
  <c r="BC10"/>
  <c r="BB35"/>
  <c r="J32" i="48"/>
  <c r="BM3" i="49"/>
  <c r="I6" i="45"/>
  <c r="I24" s="1"/>
  <c r="BD7" i="49" s="1"/>
  <c r="E10" i="44"/>
  <c r="J6" i="45"/>
  <c r="J24" s="1"/>
  <c r="BD8" i="49" s="1"/>
  <c r="E9" i="44"/>
  <c r="O8" i="1"/>
  <c r="I6" i="47" s="1"/>
  <c r="J34" i="1"/>
  <c r="K34"/>
  <c r="E32" i="47"/>
  <c r="BM34" i="1"/>
  <c r="BK34"/>
  <c r="BL34"/>
  <c r="G10"/>
  <c r="B11" i="44"/>
  <c r="BC11" s="1"/>
  <c r="K10" i="1"/>
  <c r="G6" i="47"/>
  <c r="N8" i="1"/>
  <c r="BG6" i="49"/>
  <c r="AT9" i="44"/>
  <c r="E7" i="47"/>
  <c r="K9" i="1"/>
  <c r="BM9"/>
  <c r="BL9"/>
  <c r="BK9"/>
  <c r="D11" i="44"/>
  <c r="AN11"/>
  <c r="L10" i="1"/>
  <c r="D10" i="44"/>
  <c r="AN10"/>
  <c r="L9" i="1"/>
  <c r="BN5"/>
  <c r="AF35"/>
  <c r="AE35"/>
  <c r="BN4"/>
  <c r="M3" i="47"/>
  <c r="BM6" i="49" l="1"/>
  <c r="BA9" i="44"/>
  <c r="O9" i="1"/>
  <c r="M6" i="47"/>
  <c r="Q8" i="1"/>
  <c r="BN8" s="1"/>
  <c r="R8"/>
  <c r="E11" i="44"/>
  <c r="O10" i="1"/>
  <c r="I8" i="47" s="1"/>
  <c r="B12" i="44"/>
  <c r="G11" i="1"/>
  <c r="K17"/>
  <c r="BK10"/>
  <c r="BM10"/>
  <c r="BL10"/>
  <c r="E8" i="47"/>
  <c r="BG7" i="49"/>
  <c r="AT10" i="44"/>
  <c r="BA10" s="1"/>
  <c r="BG8" i="49"/>
  <c r="AT11" i="44"/>
  <c r="G7" i="47"/>
  <c r="N9" i="1"/>
  <c r="G8" i="47"/>
  <c r="N10" i="1"/>
  <c r="E9" i="47"/>
  <c r="K11" i="1"/>
  <c r="BK11"/>
  <c r="BM11"/>
  <c r="BL11"/>
  <c r="G12"/>
  <c r="BM8" i="49" l="1"/>
  <c r="BA11" i="44"/>
  <c r="BC12"/>
  <c r="Q9" i="1"/>
  <c r="BN9" s="1"/>
  <c r="I7" i="47"/>
  <c r="M7" s="1"/>
  <c r="R9" i="1"/>
  <c r="G13"/>
  <c r="M8" i="47"/>
  <c r="R10" i="1"/>
  <c r="Q10"/>
  <c r="BN10" s="1"/>
  <c r="K6" i="45"/>
  <c r="K24" s="1"/>
  <c r="BD9" i="49" s="1"/>
  <c r="L6" i="45"/>
  <c r="L24" s="1"/>
  <c r="BD10" i="49" s="1"/>
  <c r="B15" i="44"/>
  <c r="BC15" s="1"/>
  <c r="G14" i="1"/>
  <c r="J36"/>
  <c r="BK17"/>
  <c r="BL17"/>
  <c r="BM17"/>
  <c r="E15" i="47"/>
  <c r="AN13" i="44"/>
  <c r="L11" i="1"/>
  <c r="N11" s="1"/>
  <c r="AN12" i="44"/>
  <c r="D12"/>
  <c r="BM7" i="49"/>
  <c r="B13" i="44"/>
  <c r="BC13" l="1"/>
  <c r="AT12"/>
  <c r="BA12" s="1"/>
  <c r="B14"/>
  <c r="BC14" s="1"/>
  <c r="E12"/>
  <c r="O11" i="1"/>
  <c r="I9" i="47" s="1"/>
  <c r="E13" i="44"/>
  <c r="O12" i="1"/>
  <c r="I10" i="47" s="1"/>
  <c r="L12" i="1"/>
  <c r="N12" s="1"/>
  <c r="D13" i="44"/>
  <c r="G9" i="47"/>
  <c r="BG9" i="49"/>
  <c r="BG10"/>
  <c r="AT13" i="44"/>
  <c r="E11" i="47"/>
  <c r="BL13" i="1"/>
  <c r="K13"/>
  <c r="BM13"/>
  <c r="BK13"/>
  <c r="E16" i="47"/>
  <c r="BL18" i="1"/>
  <c r="BL36" s="1"/>
  <c r="BM18"/>
  <c r="K18"/>
  <c r="K36" s="1"/>
  <c r="BK18"/>
  <c r="BK36" s="1"/>
  <c r="H36"/>
  <c r="E10" i="47"/>
  <c r="BK12" i="1"/>
  <c r="K12"/>
  <c r="BL12"/>
  <c r="BM12"/>
  <c r="E17" i="47"/>
  <c r="BL19" i="1"/>
  <c r="BK19"/>
  <c r="K19"/>
  <c r="BM19"/>
  <c r="BM10" i="49" l="1"/>
  <c r="BA13" i="44"/>
  <c r="BM9" i="49"/>
  <c r="O13" i="1"/>
  <c r="I11" i="47" s="1"/>
  <c r="M6" i="45"/>
  <c r="M24" s="1"/>
  <c r="BD11" i="49" s="1"/>
  <c r="G16" i="1"/>
  <c r="M9" i="47"/>
  <c r="R11" i="1"/>
  <c r="Q11"/>
  <c r="R12"/>
  <c r="Q12"/>
  <c r="BN12" s="1"/>
  <c r="G15"/>
  <c r="B16" i="44"/>
  <c r="BC16" s="1"/>
  <c r="G10" i="47"/>
  <c r="D14" i="44"/>
  <c r="AN14"/>
  <c r="L13" i="1"/>
  <c r="N13" s="1"/>
  <c r="D15" i="44"/>
  <c r="E18" i="47"/>
  <c r="K20" i="1"/>
  <c r="BM20"/>
  <c r="BL20"/>
  <c r="BK20"/>
  <c r="BG11" i="49" l="1"/>
  <c r="N6" i="45"/>
  <c r="N24" s="1"/>
  <c r="BD12" i="49" s="1"/>
  <c r="E14" i="44"/>
  <c r="E15"/>
  <c r="B17"/>
  <c r="BC17" s="1"/>
  <c r="M10" i="47"/>
  <c r="Q13" i="1"/>
  <c r="BN13" s="1"/>
  <c r="R13"/>
  <c r="BN11"/>
  <c r="D16" i="44"/>
  <c r="B18"/>
  <c r="BC18" s="1"/>
  <c r="G17" i="1"/>
  <c r="AT14" i="44"/>
  <c r="BA14" s="1"/>
  <c r="G11" i="47"/>
  <c r="AN15" i="44"/>
  <c r="AT15" s="1"/>
  <c r="L14" i="1"/>
  <c r="G12" i="47" s="1"/>
  <c r="E19"/>
  <c r="BM21" i="1"/>
  <c r="K21"/>
  <c r="BL21"/>
  <c r="BK21"/>
  <c r="BM12" i="49" l="1"/>
  <c r="BA15" i="44"/>
  <c r="BM11" i="49"/>
  <c r="O14" i="1"/>
  <c r="M11" i="47"/>
  <c r="O6" i="45"/>
  <c r="O24" s="1"/>
  <c r="BD13" i="49" s="1"/>
  <c r="O15" i="1"/>
  <c r="I13" i="47" s="1"/>
  <c r="P6" i="45"/>
  <c r="P24" s="1"/>
  <c r="BD14" i="49" s="1"/>
  <c r="L15" i="1"/>
  <c r="AN16" i="44"/>
  <c r="G18" i="1"/>
  <c r="B19" i="44"/>
  <c r="BC19" s="1"/>
  <c r="D17"/>
  <c r="L16" i="1"/>
  <c r="AN17" i="44"/>
  <c r="N14" i="1"/>
  <c r="BG12" i="49"/>
  <c r="E20" i="47"/>
  <c r="K22" i="1"/>
  <c r="BL22"/>
  <c r="BK22"/>
  <c r="BM22"/>
  <c r="I12" i="47" l="1"/>
  <c r="M12" s="1"/>
  <c r="Q14" i="1"/>
  <c r="BN14" s="1"/>
  <c r="R14"/>
  <c r="E16" i="44"/>
  <c r="O16" i="1"/>
  <c r="I14" i="47" s="1"/>
  <c r="Q6" i="45"/>
  <c r="Q24" s="1"/>
  <c r="BD15" i="49" s="1"/>
  <c r="Q15" i="1"/>
  <c r="R15"/>
  <c r="N15"/>
  <c r="G13" i="47"/>
  <c r="BG13" i="49"/>
  <c r="AT16" i="44"/>
  <c r="BA16" s="1"/>
  <c r="G19" i="1"/>
  <c r="B20" i="44"/>
  <c r="BC20" s="1"/>
  <c r="G14" i="47"/>
  <c r="N16" i="1"/>
  <c r="BG14" i="49"/>
  <c r="AT17" i="44"/>
  <c r="BA17" s="1"/>
  <c r="AN18"/>
  <c r="L17" i="1"/>
  <c r="D18" i="44"/>
  <c r="BM13" i="49" l="1"/>
  <c r="BN15" i="1"/>
  <c r="E17" i="44"/>
  <c r="O17" i="1"/>
  <c r="I15" i="47" s="1"/>
  <c r="M13"/>
  <c r="M14"/>
  <c r="Q16" i="1"/>
  <c r="BN16" s="1"/>
  <c r="R16"/>
  <c r="BM14" i="49"/>
  <c r="AT18" i="44"/>
  <c r="BA18" s="1"/>
  <c r="BG15" i="49"/>
  <c r="N17" i="1"/>
  <c r="G15" i="47"/>
  <c r="E22"/>
  <c r="E21"/>
  <c r="BL23" i="1"/>
  <c r="K23"/>
  <c r="BK23"/>
  <c r="BM23"/>
  <c r="E18" i="44" l="1"/>
  <c r="G20" i="1"/>
  <c r="B21" i="44"/>
  <c r="M15" i="47"/>
  <c r="Q17" i="1"/>
  <c r="BN17" s="1"/>
  <c r="R17"/>
  <c r="R6" i="45"/>
  <c r="R24" s="1"/>
  <c r="BD16" i="49" s="1"/>
  <c r="D19" i="44"/>
  <c r="AN19"/>
  <c r="AT19" s="1"/>
  <c r="BA19" s="1"/>
  <c r="G21" i="1"/>
  <c r="B22" i="44"/>
  <c r="BC22" s="1"/>
  <c r="L18" i="1"/>
  <c r="G16" i="47" s="1"/>
  <c r="BM15" i="49"/>
  <c r="AN20" i="44"/>
  <c r="L19" i="1"/>
  <c r="D20" i="44"/>
  <c r="K24" i="1"/>
  <c r="BM24"/>
  <c r="BK24"/>
  <c r="BL24"/>
  <c r="E23" i="47"/>
  <c r="BM25" i="1"/>
  <c r="BK25"/>
  <c r="BL25"/>
  <c r="K25"/>
  <c r="BC21" i="44" l="1"/>
  <c r="BG16" i="49"/>
  <c r="S6" i="45"/>
  <c r="S24" s="1"/>
  <c r="BD17" i="49" s="1"/>
  <c r="O18" i="1"/>
  <c r="I16" i="47" s="1"/>
  <c r="E19" i="44"/>
  <c r="G22" i="1"/>
  <c r="B23" i="44"/>
  <c r="BC23" s="1"/>
  <c r="N18" i="1"/>
  <c r="L36"/>
  <c r="AT20" i="44"/>
  <c r="BA20" s="1"/>
  <c r="BG17" i="49"/>
  <c r="N19" i="1"/>
  <c r="G17" i="47"/>
  <c r="BM16" i="49"/>
  <c r="E24" i="47"/>
  <c r="K26" i="1"/>
  <c r="BM26"/>
  <c r="BL26"/>
  <c r="BK26"/>
  <c r="O20" l="1"/>
  <c r="I18" i="47" s="1"/>
  <c r="T6" i="45"/>
  <c r="T24" s="1"/>
  <c r="BD18" i="49" s="1"/>
  <c r="U6" i="45"/>
  <c r="U24" s="1"/>
  <c r="BD19" i="49" s="1"/>
  <c r="M16" i="47"/>
  <c r="R18" i="1"/>
  <c r="R36" s="1"/>
  <c r="O36"/>
  <c r="Q18"/>
  <c r="Q36" s="1"/>
  <c r="E20" i="44"/>
  <c r="O19" i="1"/>
  <c r="I17" i="47" s="1"/>
  <c r="N36" i="1"/>
  <c r="G23"/>
  <c r="B24" i="44"/>
  <c r="BC24" s="1"/>
  <c r="BM17" i="49"/>
  <c r="D21" i="44"/>
  <c r="AN21"/>
  <c r="L20" i="1"/>
  <c r="E25" i="47"/>
  <c r="E21" i="44" l="1"/>
  <c r="O21" i="1"/>
  <c r="I19" i="47" s="1"/>
  <c r="M17"/>
  <c r="R19" i="1"/>
  <c r="Q19"/>
  <c r="BN19" s="1"/>
  <c r="R20"/>
  <c r="Q20"/>
  <c r="BN18"/>
  <c r="BN36" s="1"/>
  <c r="G24"/>
  <c r="B25" i="44"/>
  <c r="BC25" s="1"/>
  <c r="D22"/>
  <c r="L21" i="1"/>
  <c r="AN22" i="44"/>
  <c r="BG18" i="49"/>
  <c r="AT21" i="44"/>
  <c r="BA21" s="1"/>
  <c r="N20" i="1"/>
  <c r="G18" i="47"/>
  <c r="BK27" i="1"/>
  <c r="BM27"/>
  <c r="K27"/>
  <c r="BL27"/>
  <c r="E26" i="47"/>
  <c r="BM28" i="1"/>
  <c r="BK28"/>
  <c r="BL28"/>
  <c r="K28"/>
  <c r="E22" i="44" l="1"/>
  <c r="Q21" i="1"/>
  <c r="R21"/>
  <c r="V6" i="45"/>
  <c r="V24" s="1"/>
  <c r="BD20" i="49" s="1"/>
  <c r="BN20" i="1"/>
  <c r="M18" i="47"/>
  <c r="G25" i="1"/>
  <c r="B26" i="44"/>
  <c r="BC26" s="1"/>
  <c r="L22" i="1"/>
  <c r="AN23" i="44"/>
  <c r="D23"/>
  <c r="BM18" i="49"/>
  <c r="N21" i="1"/>
  <c r="G19" i="47"/>
  <c r="BG19" i="49"/>
  <c r="AT22" i="44"/>
  <c r="BA22" s="1"/>
  <c r="E27" i="47"/>
  <c r="BK29" i="1"/>
  <c r="BL29"/>
  <c r="BM29"/>
  <c r="K29"/>
  <c r="O23" l="1"/>
  <c r="I21" i="47" s="1"/>
  <c r="BN21" i="1"/>
  <c r="M19" i="47"/>
  <c r="W6" i="45"/>
  <c r="W24" s="1"/>
  <c r="BD21" i="49" s="1"/>
  <c r="E23" i="44"/>
  <c r="O22" i="1"/>
  <c r="I20" i="47" s="1"/>
  <c r="G26" i="1"/>
  <c r="B27" i="44"/>
  <c r="BC27" s="1"/>
  <c r="N22" i="1"/>
  <c r="G20" i="47"/>
  <c r="AN24" i="44"/>
  <c r="D24"/>
  <c r="L23" i="1"/>
  <c r="AT23" i="44"/>
  <c r="BA23" s="1"/>
  <c r="BG20" i="49"/>
  <c r="BM19"/>
  <c r="E28" i="47"/>
  <c r="BL30" i="1"/>
  <c r="K30"/>
  <c r="BM30"/>
  <c r="BK30"/>
  <c r="E24" i="44" l="1"/>
  <c r="X6" i="45"/>
  <c r="X24" s="1"/>
  <c r="BD22" i="49" s="1"/>
  <c r="O24" i="1"/>
  <c r="I22" i="47" s="1"/>
  <c r="Q23" i="1"/>
  <c r="R23"/>
  <c r="M20" i="47"/>
  <c r="Q22" i="1"/>
  <c r="BN22" s="1"/>
  <c r="R22"/>
  <c r="B28" i="44"/>
  <c r="BC28" s="1"/>
  <c r="G27" i="1"/>
  <c r="AT24" i="44"/>
  <c r="BA24" s="1"/>
  <c r="BG21" i="49"/>
  <c r="BM20"/>
  <c r="N23" i="1"/>
  <c r="G21" i="47"/>
  <c r="L24" i="1"/>
  <c r="D25" i="44"/>
  <c r="AN25"/>
  <c r="BK31" i="1"/>
  <c r="E29" i="47"/>
  <c r="Y6" i="45" l="1"/>
  <c r="Y24" s="1"/>
  <c r="BD23" i="49" s="1"/>
  <c r="E25" i="44"/>
  <c r="BN23" i="1"/>
  <c r="Z6" i="45"/>
  <c r="Z24" s="1"/>
  <c r="BD24" i="49" s="1"/>
  <c r="Q24" i="1"/>
  <c r="R24"/>
  <c r="M21" i="47"/>
  <c r="E26" i="44"/>
  <c r="O25" i="1"/>
  <c r="I23" i="47" s="1"/>
  <c r="G28" i="1"/>
  <c r="B29" i="44"/>
  <c r="BC29" s="1"/>
  <c r="N24" i="1"/>
  <c r="G22" i="47"/>
  <c r="BM21" i="49"/>
  <c r="BG22"/>
  <c r="AT25" i="44"/>
  <c r="BA25" s="1"/>
  <c r="L25" i="1"/>
  <c r="D26" i="44"/>
  <c r="AN26"/>
  <c r="K31" i="1"/>
  <c r="BM31"/>
  <c r="BL31"/>
  <c r="E30" i="47"/>
  <c r="BL32" i="1"/>
  <c r="BK32"/>
  <c r="BM32"/>
  <c r="K32"/>
  <c r="BN24" l="1"/>
  <c r="AA6" i="45"/>
  <c r="E27" i="44"/>
  <c r="O26" i="1"/>
  <c r="I24" i="47" s="1"/>
  <c r="R25" i="1"/>
  <c r="Q25"/>
  <c r="M22" i="47"/>
  <c r="B30" i="44"/>
  <c r="BC30" s="1"/>
  <c r="G29" i="1"/>
  <c r="AN27" i="44"/>
  <c r="D27"/>
  <c r="L26" i="1"/>
  <c r="N25"/>
  <c r="G23" i="47"/>
  <c r="AT26" i="44"/>
  <c r="BA26" s="1"/>
  <c r="BG23" i="49"/>
  <c r="BM22"/>
  <c r="AA24" i="45" l="1"/>
  <c r="BD25" i="49" s="1"/>
  <c r="BN25" i="1"/>
  <c r="M23" i="47"/>
  <c r="E28" i="44"/>
  <c r="O27" i="1"/>
  <c r="I25" i="47" s="1"/>
  <c r="R26" i="1"/>
  <c r="Q26"/>
  <c r="B31" i="44"/>
  <c r="BC31" s="1"/>
  <c r="G30" i="1"/>
  <c r="BM23" i="49"/>
  <c r="BG24"/>
  <c r="AT27" i="44"/>
  <c r="BA27" s="1"/>
  <c r="N26" i="1"/>
  <c r="G24" i="47"/>
  <c r="L27" i="1"/>
  <c r="AN28" i="44"/>
  <c r="D28"/>
  <c r="O28" i="1" l="1"/>
  <c r="I26" i="47" s="1"/>
  <c r="AB6" i="45"/>
  <c r="AB24" s="1"/>
  <c r="BD26" i="49" s="1"/>
  <c r="BN26" i="1"/>
  <c r="M24" i="47"/>
  <c r="R27" i="1"/>
  <c r="Q27"/>
  <c r="B32" i="44"/>
  <c r="BC32" s="1"/>
  <c r="G31" i="1"/>
  <c r="AN29" i="44"/>
  <c r="L28" i="1"/>
  <c r="D29" i="44"/>
  <c r="N27" i="1"/>
  <c r="G25" i="47"/>
  <c r="BM24" i="49"/>
  <c r="BG25"/>
  <c r="AT28" i="44"/>
  <c r="BA28" s="1"/>
  <c r="AC6" i="45" l="1"/>
  <c r="AC24" s="1"/>
  <c r="BD27" i="49" s="1"/>
  <c r="M25" i="47"/>
  <c r="E29" i="44"/>
  <c r="Q28" i="1"/>
  <c r="R28"/>
  <c r="E30" i="44"/>
  <c r="O29" i="1"/>
  <c r="I27" i="47" s="1"/>
  <c r="G32" i="1"/>
  <c r="B33" i="44"/>
  <c r="BC33" s="1"/>
  <c r="AT29"/>
  <c r="BA29" s="1"/>
  <c r="BG26" i="49"/>
  <c r="G26" i="47"/>
  <c r="N28" i="1"/>
  <c r="BM25" i="49"/>
  <c r="BN27" i="1"/>
  <c r="AN30" i="44"/>
  <c r="L29" i="1"/>
  <c r="D30" i="44"/>
  <c r="E31" l="1"/>
  <c r="AD6" i="45"/>
  <c r="AD24" s="1"/>
  <c r="BD28" i="49" s="1"/>
  <c r="BN28" i="1"/>
  <c r="M26" i="47"/>
  <c r="R29" i="1"/>
  <c r="Q29"/>
  <c r="AN31" i="44"/>
  <c r="L30" i="1"/>
  <c r="D31" i="44"/>
  <c r="BG27" i="49"/>
  <c r="AT30" i="44"/>
  <c r="BA30" s="1"/>
  <c r="N29" i="1"/>
  <c r="G27" i="47"/>
  <c r="BM26" i="49"/>
  <c r="O30" i="1" l="1"/>
  <c r="M27" i="47"/>
  <c r="E32" i="44"/>
  <c r="AE6" i="45"/>
  <c r="AE24" s="1"/>
  <c r="BD29" i="49" s="1"/>
  <c r="AF6" i="45"/>
  <c r="AF24" s="1"/>
  <c r="BD30" i="49" s="1"/>
  <c r="G34" i="1"/>
  <c r="B35" i="44"/>
  <c r="BM27" i="49"/>
  <c r="AT31" i="44"/>
  <c r="BA31" s="1"/>
  <c r="BG28" i="49"/>
  <c r="BN29" i="1"/>
  <c r="N30"/>
  <c r="G28" i="47"/>
  <c r="D32" i="44"/>
  <c r="L31" i="1"/>
  <c r="AN32" i="44"/>
  <c r="BC35" l="1"/>
  <c r="R30" i="1"/>
  <c r="I28" i="47"/>
  <c r="M28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s="1"/>
  <c r="Q30" i="1"/>
  <c r="BN30" s="1"/>
  <c r="O31"/>
  <c r="E33" i="44"/>
  <c r="O32" i="1"/>
  <c r="I30" i="47" s="1"/>
  <c r="AT32" i="44"/>
  <c r="BA32" s="1"/>
  <c r="BG29" i="49"/>
  <c r="L32" i="1"/>
  <c r="D33" i="44"/>
  <c r="AN33"/>
  <c r="BM28" i="49"/>
  <c r="N31" i="1"/>
  <c r="G29" i="47"/>
  <c r="R31" i="1" l="1"/>
  <c r="I29" i="47"/>
  <c r="M29" s="1"/>
  <c r="J85" i="22"/>
  <c r="J85" i="2"/>
  <c r="Q31" i="1"/>
  <c r="BN31" s="1"/>
  <c r="R32"/>
  <c r="Q32"/>
  <c r="AG6" i="45"/>
  <c r="AG24" s="1"/>
  <c r="BD31" i="49" s="1"/>
  <c r="BM29"/>
  <c r="D34" i="44"/>
  <c r="D36" s="1"/>
  <c r="L33" i="1"/>
  <c r="AN34" i="44"/>
  <c r="AN37" s="1"/>
  <c r="N32" i="1"/>
  <c r="G30" i="47"/>
  <c r="BG30" i="49"/>
  <c r="AT33" i="44"/>
  <c r="BA33" s="1"/>
  <c r="D37" l="1"/>
  <c r="AN36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s="1"/>
  <c r="J92" i="2"/>
  <c r="H84" i="50"/>
  <c r="J84" s="1"/>
  <c r="BN32" i="1"/>
  <c r="M30" i="47"/>
  <c r="O33" i="1"/>
  <c r="I31" i="47" s="1"/>
  <c r="E34" i="44"/>
  <c r="N33" i="1"/>
  <c r="N35" s="1"/>
  <c r="G31" i="47"/>
  <c r="L35" i="1"/>
  <c r="BM30" i="49"/>
  <c r="AT34" i="44"/>
  <c r="BG31" i="49"/>
  <c r="BG35" i="1"/>
  <c r="BO35" s="1"/>
  <c r="BP35" s="1"/>
  <c r="AT36" i="44" l="1"/>
  <c r="BA34"/>
  <c r="BA36" s="1"/>
  <c r="AT37"/>
  <c r="AC29" i="49"/>
  <c r="J96" i="29"/>
  <c r="J96" i="30"/>
  <c r="J88" i="29"/>
  <c r="J102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/>
  <c r="J96"/>
  <c r="J94"/>
  <c r="J88"/>
  <c r="J84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/>
  <c r="J84" i="19"/>
  <c r="J84" i="20"/>
  <c r="J102" i="19"/>
  <c r="J102" i="20"/>
  <c r="J82" i="19"/>
  <c r="J82" i="20"/>
  <c r="J74" i="18"/>
  <c r="J74" i="19"/>
  <c r="J76" i="18"/>
  <c r="J76" i="19"/>
  <c r="J88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/>
  <c r="J94" i="9"/>
  <c r="J94" i="10"/>
  <c r="J84" i="9"/>
  <c r="J84" i="10"/>
  <c r="J82" i="9"/>
  <c r="J82" i="10"/>
  <c r="J102" i="9"/>
  <c r="J102" i="10"/>
  <c r="J77" i="8"/>
  <c r="J77" i="9"/>
  <c r="J88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/>
  <c r="J76" i="2"/>
  <c r="J76" i="3"/>
  <c r="H103" i="50"/>
  <c r="J103" s="1"/>
  <c r="H95"/>
  <c r="J95" s="1"/>
  <c r="J74" i="2"/>
  <c r="H89" i="50"/>
  <c r="J89" s="1"/>
  <c r="H85"/>
  <c r="J85" s="1"/>
  <c r="J83" i="2"/>
  <c r="H97" i="50"/>
  <c r="J97" s="1"/>
  <c r="H83"/>
  <c r="J83" s="1"/>
  <c r="H78"/>
  <c r="J78" s="1"/>
  <c r="H79"/>
  <c r="J79" s="1"/>
  <c r="H75"/>
  <c r="J75" s="1"/>
  <c r="H77"/>
  <c r="J77" s="1"/>
  <c r="H63"/>
  <c r="J63" s="1"/>
  <c r="H76"/>
  <c r="J76" s="1"/>
  <c r="AH6" i="45"/>
  <c r="AH24" s="1"/>
  <c r="BD32" i="49" s="1"/>
  <c r="R33" i="1"/>
  <c r="Q33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/>
  <c r="J96"/>
  <c r="J102"/>
  <c r="J74"/>
  <c r="J76"/>
  <c r="J75"/>
  <c r="J84"/>
  <c r="J94"/>
  <c r="J82"/>
  <c r="J78"/>
  <c r="J77"/>
  <c r="J104"/>
  <c r="J91" i="21"/>
  <c r="J98"/>
  <c r="J100"/>
  <c r="J104" i="20"/>
  <c r="J104" i="21"/>
  <c r="J91" i="19"/>
  <c r="J98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/>
  <c r="J100" i="33"/>
  <c r="J62" i="5"/>
  <c r="J104" i="4"/>
  <c r="J104" i="5"/>
  <c r="J91" i="3"/>
  <c r="J100"/>
  <c r="J100" i="4"/>
  <c r="J98" i="3"/>
  <c r="J98" i="4"/>
  <c r="J104" i="2"/>
  <c r="J104" i="3"/>
  <c r="J82" i="2"/>
  <c r="J84"/>
  <c r="J88"/>
  <c r="J102"/>
  <c r="J96"/>
  <c r="H92" i="50"/>
  <c r="J92" s="1"/>
  <c r="H99"/>
  <c r="J99" s="1"/>
  <c r="H101"/>
  <c r="J101" s="1"/>
  <c r="J94" i="2"/>
  <c r="H105" i="50"/>
  <c r="J105" s="1"/>
  <c r="H87"/>
  <c r="J87" s="1"/>
  <c r="O34" i="1"/>
  <c r="I32" i="47" s="1"/>
  <c r="E35" i="44"/>
  <c r="E37" l="1"/>
  <c r="E36"/>
  <c r="J86" i="30"/>
  <c r="J91"/>
  <c r="J98" i="22"/>
  <c r="J100"/>
  <c r="J91"/>
  <c r="J91" i="20"/>
  <c r="J91" i="33"/>
  <c r="J91" i="4"/>
  <c r="J98" i="2"/>
  <c r="J91"/>
  <c r="J100"/>
  <c r="Q34" i="1"/>
  <c r="R34"/>
  <c r="R35" s="1"/>
  <c r="O35"/>
  <c r="Q35" l="1"/>
  <c r="BN34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s="1"/>
  <c r="J71" i="2"/>
  <c r="H72" i="50"/>
  <c r="J72" s="1"/>
  <c r="H66"/>
  <c r="J66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/>
  <c r="J67" i="21"/>
  <c r="J69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/>
  <c r="H68" i="50"/>
  <c r="J68" s="1"/>
  <c r="H70"/>
  <c r="J70" s="1"/>
  <c r="G33" i="1"/>
  <c r="J67" i="22" l="1"/>
  <c r="J69"/>
  <c r="J69" i="2"/>
  <c r="J67"/>
  <c r="G35" i="1"/>
  <c r="K33"/>
  <c r="BK33"/>
  <c r="BM33"/>
  <c r="BL33"/>
  <c r="B34" i="44"/>
  <c r="B37" s="1"/>
  <c r="E31" i="47"/>
  <c r="B36" i="44" l="1"/>
  <c r="BC34"/>
  <c r="J97" i="29"/>
  <c r="J97" i="30"/>
  <c r="J99" i="29"/>
  <c r="J99" i="30"/>
  <c r="J95" i="29"/>
  <c r="J95" i="30"/>
  <c r="J103" i="29"/>
  <c r="J103" i="30"/>
  <c r="J105" i="29"/>
  <c r="J101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s="1"/>
  <c r="H96"/>
  <c r="J96" s="1"/>
  <c r="H106"/>
  <c r="J106" s="1"/>
  <c r="H98"/>
  <c r="J98" s="1"/>
  <c r="H104"/>
  <c r="J104" s="1"/>
  <c r="H100"/>
  <c r="J100" s="1"/>
  <c r="J35" i="1"/>
  <c r="BN33"/>
  <c r="BN35" s="1"/>
  <c r="M31" i="47"/>
  <c r="H35" i="1"/>
  <c r="H37" s="1"/>
  <c r="K35"/>
  <c r="BM35"/>
  <c r="BL35"/>
  <c r="BK35"/>
  <c r="J105" i="30" l="1"/>
  <c r="J95" i="22"/>
  <c r="J101"/>
  <c r="J97"/>
  <c r="J99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/>
  <c r="J68"/>
  <c r="J66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s="1"/>
  <c r="J70" i="2"/>
  <c r="H71" i="50"/>
  <c r="J71" s="1"/>
  <c r="H69"/>
  <c r="J69" s="1"/>
  <c r="H67"/>
  <c r="J67" s="1"/>
  <c r="J68" i="22" l="1"/>
  <c r="J64"/>
  <c r="J66"/>
  <c r="J70"/>
  <c r="J66" i="2"/>
  <c r="J64"/>
  <c r="J68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/>
  <c r="I7" i="9"/>
  <c r="I7" i="20"/>
  <c r="I18" i="19"/>
  <c r="I18" i="16"/>
  <c r="I7" i="8"/>
  <c r="I18" i="7"/>
  <c r="I15" i="19"/>
  <c r="I18" i="12"/>
  <c r="I7" i="24"/>
  <c r="I18" i="14"/>
  <c r="I18" i="21"/>
  <c r="I15"/>
  <c r="I18" i="13"/>
  <c r="I7" i="14"/>
  <c r="I18" i="25"/>
  <c r="I7" i="18"/>
  <c r="I7" i="12"/>
  <c r="I15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/>
  <c r="I15" i="16"/>
  <c r="I7" i="5"/>
  <c r="I7" i="33"/>
  <c r="J27" i="2"/>
  <c r="J30"/>
  <c r="J31"/>
  <c r="J28"/>
  <c r="J29"/>
  <c r="J32"/>
  <c r="J38"/>
  <c r="J37"/>
  <c r="J42"/>
  <c r="J43"/>
  <c r="J45"/>
  <c r="J44"/>
  <c r="J39"/>
  <c r="J41"/>
  <c r="J40"/>
  <c r="J36"/>
  <c r="J47"/>
  <c r="J35"/>
  <c r="J46"/>
  <c r="J50"/>
  <c r="J58"/>
  <c r="J57"/>
  <c r="J56"/>
  <c r="J60"/>
  <c r="J59"/>
  <c r="J53"/>
  <c r="J51"/>
  <c r="J54"/>
  <c r="J52"/>
  <c r="G5" i="44"/>
  <c r="J55" i="2"/>
  <c r="J49"/>
  <c r="G36" i="44" l="1"/>
  <c r="G37"/>
  <c r="BB5"/>
  <c r="F2" i="49"/>
  <c r="J29" i="3"/>
  <c r="J27"/>
  <c r="J28"/>
  <c r="J30"/>
  <c r="J32"/>
  <c r="J31"/>
  <c r="J46"/>
  <c r="J37"/>
  <c r="J45"/>
  <c r="J41"/>
  <c r="J38"/>
  <c r="J47"/>
  <c r="J39"/>
  <c r="J40"/>
  <c r="J36"/>
  <c r="J42"/>
  <c r="J35"/>
  <c r="J44"/>
  <c r="J43"/>
  <c r="J56"/>
  <c r="J49"/>
  <c r="J58"/>
  <c r="J51"/>
  <c r="J52"/>
  <c r="J57"/>
  <c r="J60"/>
  <c r="J59"/>
  <c r="J50"/>
  <c r="J53"/>
  <c r="J55"/>
  <c r="J54"/>
  <c r="G12" i="4"/>
  <c r="H12" s="1"/>
  <c r="G11"/>
  <c r="H11" s="1"/>
  <c r="BB37" i="44" l="1"/>
  <c r="BB36"/>
  <c r="BC5"/>
  <c r="G13" i="4"/>
  <c r="H13" s="1"/>
  <c r="BC37" i="44" l="1"/>
  <c r="BC36"/>
  <c r="I60" i="4"/>
  <c r="I13"/>
  <c r="J7"/>
  <c r="I9" s="1"/>
  <c r="J12"/>
  <c r="J10"/>
  <c r="J8"/>
  <c r="J11"/>
  <c r="J9"/>
  <c r="J13"/>
  <c r="J15"/>
  <c r="I16" s="1"/>
  <c r="J19"/>
  <c r="J18"/>
  <c r="J20"/>
  <c r="I20" s="1"/>
  <c r="J22"/>
  <c r="J24"/>
  <c r="J23"/>
  <c r="J28"/>
  <c r="J27"/>
  <c r="J32"/>
  <c r="J29"/>
  <c r="J30"/>
  <c r="J31"/>
  <c r="J43"/>
  <c r="J45"/>
  <c r="J47"/>
  <c r="J41"/>
  <c r="J39"/>
  <c r="J37"/>
  <c r="J35"/>
  <c r="J42"/>
  <c r="J44"/>
  <c r="J38"/>
  <c r="J36"/>
  <c r="J46"/>
  <c r="J40"/>
  <c r="J58"/>
  <c r="J56"/>
  <c r="J52"/>
  <c r="J60"/>
  <c r="J57"/>
  <c r="J49"/>
  <c r="J55"/>
  <c r="J54"/>
  <c r="J51"/>
  <c r="J59"/>
  <c r="J53"/>
  <c r="J50"/>
  <c r="G12" i="5"/>
  <c r="H12" s="1"/>
  <c r="G11"/>
  <c r="G13" l="1"/>
  <c r="H13" s="1"/>
  <c r="H11"/>
  <c r="J7"/>
  <c r="I9" s="1"/>
  <c r="J8"/>
  <c r="J12"/>
  <c r="J9"/>
  <c r="J10"/>
  <c r="J15"/>
  <c r="I16" s="1"/>
  <c r="J19"/>
  <c r="J20"/>
  <c r="I20" s="1"/>
  <c r="J18"/>
  <c r="J24"/>
  <c r="J23"/>
  <c r="J22"/>
  <c r="J27"/>
  <c r="J31"/>
  <c r="J32"/>
  <c r="J30"/>
  <c r="J28"/>
  <c r="J29"/>
  <c r="J36"/>
  <c r="J46"/>
  <c r="J44"/>
  <c r="J37"/>
  <c r="J43"/>
  <c r="J41"/>
  <c r="J47"/>
  <c r="J42"/>
  <c r="J39"/>
  <c r="J38"/>
  <c r="J35"/>
  <c r="J40"/>
  <c r="J45"/>
  <c r="J59"/>
  <c r="J55"/>
  <c r="J56"/>
  <c r="J50"/>
  <c r="J49"/>
  <c r="J54"/>
  <c r="J57"/>
  <c r="J52"/>
  <c r="J53"/>
  <c r="J60"/>
  <c r="J58"/>
  <c r="J51"/>
  <c r="G11" i="9"/>
  <c r="G11" i="21"/>
  <c r="G11" i="33"/>
  <c r="G11" i="27"/>
  <c r="G12" i="10"/>
  <c r="G12" i="16"/>
  <c r="G1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s="1"/>
  <c r="G11" i="20"/>
  <c r="G12" i="15"/>
  <c r="G11" i="22"/>
  <c r="G12" i="40"/>
  <c r="G11" i="7"/>
  <c r="G12" i="9"/>
  <c r="G12" i="14"/>
  <c r="G12" i="7"/>
  <c r="G13" i="20" l="1"/>
  <c r="G13" i="22"/>
  <c r="I60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/>
  <c r="I13"/>
  <c r="I60"/>
  <c r="G13" i="31"/>
  <c r="G13" i="23"/>
  <c r="I60" s="1"/>
  <c r="G13" i="17"/>
  <c r="I60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/>
  <c r="I13" i="17"/>
  <c r="I60" i="10"/>
  <c r="I13"/>
  <c r="I60" i="30"/>
  <c r="I13"/>
  <c r="I13" i="7"/>
  <c r="I60"/>
  <c r="I60" i="14"/>
  <c r="I13"/>
  <c r="I60" i="27"/>
  <c r="I13"/>
  <c r="I13" i="28"/>
  <c r="I60"/>
  <c r="I13" i="19"/>
  <c r="I60"/>
  <c r="I13" i="16"/>
  <c r="I60"/>
  <c r="I60" i="43"/>
  <c r="I13"/>
  <c r="I13" i="13"/>
  <c r="I60"/>
  <c r="I60" i="20"/>
  <c r="I13"/>
  <c r="I13" i="25"/>
  <c r="I60"/>
  <c r="I60" i="21"/>
  <c r="I13"/>
  <c r="I60" i="15"/>
  <c r="I13"/>
  <c r="I60" i="8"/>
  <c r="I13"/>
  <c r="I13" i="11"/>
  <c r="I60"/>
  <c r="I60" i="12"/>
  <c r="I13"/>
  <c r="I60" i="33"/>
  <c r="I13"/>
  <c r="I14" i="50"/>
  <c r="I61"/>
  <c r="I13" i="40"/>
  <c r="I60"/>
  <c r="I13" i="9"/>
  <c r="I60"/>
  <c r="I13" i="29"/>
  <c r="I60"/>
  <c r="I13" i="18"/>
  <c r="I60"/>
  <c r="I13" i="24"/>
  <c r="I60"/>
  <c r="J7" i="33"/>
  <c r="I9" s="1"/>
  <c r="J9"/>
  <c r="J8"/>
  <c r="J12"/>
  <c r="J13"/>
  <c r="J11"/>
  <c r="J10"/>
  <c r="J15"/>
  <c r="I16" s="1"/>
  <c r="J18"/>
  <c r="J19"/>
  <c r="J20"/>
  <c r="I20" s="1"/>
  <c r="J24"/>
  <c r="J22"/>
  <c r="J23"/>
  <c r="J29"/>
  <c r="J31"/>
  <c r="J30"/>
  <c r="J28"/>
  <c r="J27"/>
  <c r="J32"/>
  <c r="J43"/>
  <c r="J39"/>
  <c r="J42"/>
  <c r="J45"/>
  <c r="J46"/>
  <c r="J37"/>
  <c r="J36"/>
  <c r="J35"/>
  <c r="J40"/>
  <c r="J38"/>
  <c r="J47"/>
  <c r="J41"/>
  <c r="J44"/>
  <c r="J50"/>
  <c r="J57"/>
  <c r="J58"/>
  <c r="J54"/>
  <c r="J56"/>
  <c r="J55"/>
  <c r="J59"/>
  <c r="J53"/>
  <c r="J49"/>
  <c r="J51"/>
  <c r="J60"/>
  <c r="J52"/>
  <c r="J7" i="7"/>
  <c r="I9" s="1"/>
  <c r="J10"/>
  <c r="J9"/>
  <c r="J12"/>
  <c r="J8"/>
  <c r="J11"/>
  <c r="J15"/>
  <c r="I16" s="1"/>
  <c r="J18"/>
  <c r="J19"/>
  <c r="J20"/>
  <c r="I20" s="1"/>
  <c r="J24"/>
  <c r="J22"/>
  <c r="J23"/>
  <c r="J30"/>
  <c r="J32"/>
  <c r="J27"/>
  <c r="J28"/>
  <c r="J31"/>
  <c r="J29"/>
  <c r="J37"/>
  <c r="J46"/>
  <c r="J47"/>
  <c r="J38"/>
  <c r="J44"/>
  <c r="J42"/>
  <c r="J35"/>
  <c r="J45"/>
  <c r="J41"/>
  <c r="J40"/>
  <c r="J36"/>
  <c r="J39"/>
  <c r="J43"/>
  <c r="J52"/>
  <c r="J58"/>
  <c r="J60"/>
  <c r="J57"/>
  <c r="J53"/>
  <c r="J49"/>
  <c r="J55"/>
  <c r="J56"/>
  <c r="J59"/>
  <c r="J54"/>
  <c r="J50"/>
  <c r="J51"/>
  <c r="J7" i="8"/>
  <c r="I9" s="1"/>
  <c r="J12"/>
  <c r="J9"/>
  <c r="J11"/>
  <c r="J10"/>
  <c r="J8"/>
  <c r="J15"/>
  <c r="I16" s="1"/>
  <c r="J19"/>
  <c r="J18"/>
  <c r="J20"/>
  <c r="I20" s="1"/>
  <c r="J22"/>
  <c r="J24"/>
  <c r="J23"/>
  <c r="J27"/>
  <c r="J30"/>
  <c r="J32"/>
  <c r="J29"/>
  <c r="J28"/>
  <c r="J31"/>
  <c r="J38"/>
  <c r="J36"/>
  <c r="J41"/>
  <c r="J35"/>
  <c r="J42"/>
  <c r="J37"/>
  <c r="J44"/>
  <c r="J46"/>
  <c r="J39"/>
  <c r="J40"/>
  <c r="J47"/>
  <c r="J45"/>
  <c r="J43"/>
  <c r="J52"/>
  <c r="J57"/>
  <c r="J60"/>
  <c r="J50"/>
  <c r="J55"/>
  <c r="J58"/>
  <c r="J51"/>
  <c r="J59"/>
  <c r="J53"/>
  <c r="J49"/>
  <c r="J56"/>
  <c r="J54"/>
  <c r="J7" i="9"/>
  <c r="I9" s="1"/>
  <c r="J8"/>
  <c r="J10"/>
  <c r="J12"/>
  <c r="J9"/>
  <c r="J11"/>
  <c r="J15"/>
  <c r="I16" s="1"/>
  <c r="J18"/>
  <c r="J19"/>
  <c r="J20"/>
  <c r="I20" s="1"/>
  <c r="J22"/>
  <c r="J24"/>
  <c r="J23"/>
  <c r="J29"/>
  <c r="J31"/>
  <c r="J30"/>
  <c r="J28"/>
  <c r="J32"/>
  <c r="J27"/>
  <c r="J40"/>
  <c r="J39"/>
  <c r="J36"/>
  <c r="J37"/>
  <c r="J42"/>
  <c r="J44"/>
  <c r="J46"/>
  <c r="J41"/>
  <c r="J47"/>
  <c r="J43"/>
  <c r="J38"/>
  <c r="J35"/>
  <c r="J45"/>
  <c r="J54"/>
  <c r="J59"/>
  <c r="J49"/>
  <c r="J57"/>
  <c r="J50"/>
  <c r="J53"/>
  <c r="J51"/>
  <c r="J55"/>
  <c r="J58"/>
  <c r="J52"/>
  <c r="J60"/>
  <c r="J56"/>
  <c r="J7" i="10"/>
  <c r="I9" s="1"/>
  <c r="J12"/>
  <c r="J8"/>
  <c r="J9"/>
  <c r="J11"/>
  <c r="J10"/>
  <c r="J15"/>
  <c r="I16" s="1"/>
  <c r="J19"/>
  <c r="J18"/>
  <c r="J20"/>
  <c r="I20" s="1"/>
  <c r="J24"/>
  <c r="J22"/>
  <c r="J23"/>
  <c r="J27"/>
  <c r="J31"/>
  <c r="J29"/>
  <c r="J28"/>
  <c r="J30"/>
  <c r="J32"/>
  <c r="J45"/>
  <c r="J37"/>
  <c r="J42"/>
  <c r="J36"/>
  <c r="J43"/>
  <c r="J38"/>
  <c r="J40"/>
  <c r="J39"/>
  <c r="J35"/>
  <c r="J47"/>
  <c r="J41"/>
  <c r="J44"/>
  <c r="J46"/>
  <c r="J55"/>
  <c r="J60"/>
  <c r="J57"/>
  <c r="J56"/>
  <c r="J50"/>
  <c r="J52"/>
  <c r="J51"/>
  <c r="J53"/>
  <c r="J58"/>
  <c r="J59"/>
  <c r="J49"/>
  <c r="J54"/>
  <c r="J7" i="11"/>
  <c r="I9" s="1"/>
  <c r="J12"/>
  <c r="J9"/>
  <c r="J11"/>
  <c r="J10"/>
  <c r="J8"/>
  <c r="J15"/>
  <c r="I16" s="1"/>
  <c r="J19"/>
  <c r="J20"/>
  <c r="I20" s="1"/>
  <c r="J18"/>
  <c r="J23"/>
  <c r="J24"/>
  <c r="J22"/>
  <c r="J29"/>
  <c r="J27"/>
  <c r="J31"/>
  <c r="J32"/>
  <c r="J30"/>
  <c r="J28"/>
  <c r="J45"/>
  <c r="J38"/>
  <c r="J43"/>
  <c r="J37"/>
  <c r="J35"/>
  <c r="J39"/>
  <c r="J36"/>
  <c r="J40"/>
  <c r="J41"/>
  <c r="J46"/>
  <c r="J47"/>
  <c r="J44"/>
  <c r="J42"/>
  <c r="J60"/>
  <c r="J53"/>
  <c r="J56"/>
  <c r="J52"/>
  <c r="J59"/>
  <c r="J58"/>
  <c r="J50"/>
  <c r="J49"/>
  <c r="J55"/>
  <c r="J54"/>
  <c r="J57"/>
  <c r="J51"/>
  <c r="J7" i="12"/>
  <c r="I9" s="1"/>
  <c r="J10"/>
  <c r="J12"/>
  <c r="J11"/>
  <c r="J9"/>
  <c r="J15"/>
  <c r="I16" s="1"/>
  <c r="J19"/>
  <c r="J18"/>
  <c r="J20"/>
  <c r="I20" s="1"/>
  <c r="J22"/>
  <c r="J24"/>
  <c r="J23"/>
  <c r="J28"/>
  <c r="J30"/>
  <c r="J32"/>
  <c r="J29"/>
  <c r="J27"/>
  <c r="J31"/>
  <c r="J45"/>
  <c r="J38"/>
  <c r="J42"/>
  <c r="J44"/>
  <c r="J35"/>
  <c r="J43"/>
  <c r="J40"/>
  <c r="J41"/>
  <c r="J46"/>
  <c r="J36"/>
  <c r="J37"/>
  <c r="J47"/>
  <c r="J39"/>
  <c r="J56"/>
  <c r="J49"/>
  <c r="J59"/>
  <c r="J54"/>
  <c r="J50"/>
  <c r="J51"/>
  <c r="J55"/>
  <c r="J58"/>
  <c r="J53"/>
  <c r="J57"/>
  <c r="J60"/>
  <c r="J52"/>
  <c r="J7" i="13"/>
  <c r="I9" s="1"/>
  <c r="J12"/>
  <c r="J11"/>
  <c r="J9"/>
  <c r="J10"/>
  <c r="J15"/>
  <c r="I16" s="1"/>
  <c r="J20"/>
  <c r="I20" s="1"/>
  <c r="J19"/>
  <c r="J18"/>
  <c r="J23"/>
  <c r="J24"/>
  <c r="J22"/>
  <c r="J30"/>
  <c r="J29"/>
  <c r="J31"/>
  <c r="J32"/>
  <c r="J27"/>
  <c r="J28"/>
  <c r="J44"/>
  <c r="J38"/>
  <c r="J42"/>
  <c r="J37"/>
  <c r="J45"/>
  <c r="J46"/>
  <c r="J40"/>
  <c r="J43"/>
  <c r="J36"/>
  <c r="J41"/>
  <c r="J47"/>
  <c r="J39"/>
  <c r="J35"/>
  <c r="J60"/>
  <c r="J54"/>
  <c r="J53"/>
  <c r="J56"/>
  <c r="J50"/>
  <c r="J49"/>
  <c r="J55"/>
  <c r="J59"/>
  <c r="J52"/>
  <c r="J57"/>
  <c r="J51"/>
  <c r="J58"/>
  <c r="J7" i="14"/>
  <c r="I9" s="1"/>
  <c r="J10"/>
  <c r="J12"/>
  <c r="J11"/>
  <c r="J9"/>
  <c r="J15"/>
  <c r="I16" s="1"/>
  <c r="J19"/>
  <c r="J18"/>
  <c r="J20"/>
  <c r="I20" s="1"/>
  <c r="J24"/>
  <c r="J22"/>
  <c r="J23"/>
  <c r="J30"/>
  <c r="J27"/>
  <c r="J29"/>
  <c r="J32"/>
  <c r="J28"/>
  <c r="J31"/>
  <c r="J44"/>
  <c r="J36"/>
  <c r="J42"/>
  <c r="J39"/>
  <c r="J37"/>
  <c r="J43"/>
  <c r="J41"/>
  <c r="J35"/>
  <c r="J45"/>
  <c r="J40"/>
  <c r="J47"/>
  <c r="J38"/>
  <c r="J46"/>
  <c r="J54"/>
  <c r="J55"/>
  <c r="J60"/>
  <c r="J53"/>
  <c r="J51"/>
  <c r="J56"/>
  <c r="J57"/>
  <c r="J58"/>
  <c r="J49"/>
  <c r="J59"/>
  <c r="J52"/>
  <c r="J50"/>
  <c r="J7" i="15"/>
  <c r="I9" s="1"/>
  <c r="J12"/>
  <c r="J11"/>
  <c r="J9"/>
  <c r="J10"/>
  <c r="J15"/>
  <c r="I16" s="1"/>
  <c r="J19"/>
  <c r="J20"/>
  <c r="I20" s="1"/>
  <c r="J18"/>
  <c r="J22"/>
  <c r="J23"/>
  <c r="J24"/>
  <c r="J32"/>
  <c r="J29"/>
  <c r="J31"/>
  <c r="J27"/>
  <c r="J30"/>
  <c r="J28"/>
  <c r="J46"/>
  <c r="J47"/>
  <c r="J36"/>
  <c r="J35"/>
  <c r="J45"/>
  <c r="J41"/>
  <c r="J38"/>
  <c r="J44"/>
  <c r="J37"/>
  <c r="J39"/>
  <c r="J40"/>
  <c r="J43"/>
  <c r="J42"/>
  <c r="J55"/>
  <c r="J53"/>
  <c r="J58"/>
  <c r="J60"/>
  <c r="J59"/>
  <c r="J57"/>
  <c r="J54"/>
  <c r="J49"/>
  <c r="J50"/>
  <c r="J56"/>
  <c r="J51"/>
  <c r="J52"/>
  <c r="J7" i="16"/>
  <c r="I9" s="1"/>
  <c r="J12"/>
  <c r="J10"/>
  <c r="J9"/>
  <c r="J11"/>
  <c r="J15"/>
  <c r="I16" s="1"/>
  <c r="J18"/>
  <c r="J19"/>
  <c r="J20"/>
  <c r="I20" s="1"/>
  <c r="J23"/>
  <c r="J24"/>
  <c r="J22"/>
  <c r="J27"/>
  <c r="J31"/>
  <c r="J29"/>
  <c r="J30"/>
  <c r="J32"/>
  <c r="J28"/>
  <c r="J40"/>
  <c r="J46"/>
  <c r="J41"/>
  <c r="J44"/>
  <c r="J36"/>
  <c r="J42"/>
  <c r="J39"/>
  <c r="J35"/>
  <c r="J47"/>
  <c r="J45"/>
  <c r="J43"/>
  <c r="J37"/>
  <c r="J38"/>
  <c r="J58"/>
  <c r="J51"/>
  <c r="J59"/>
  <c r="J54"/>
  <c r="J57"/>
  <c r="J56"/>
  <c r="J50"/>
  <c r="J52"/>
  <c r="J49"/>
  <c r="J55"/>
  <c r="J60"/>
  <c r="J53"/>
  <c r="J7" i="17"/>
  <c r="I9" s="1"/>
  <c r="J10"/>
  <c r="J9"/>
  <c r="J11"/>
  <c r="J12"/>
  <c r="J15"/>
  <c r="I16" s="1"/>
  <c r="J18"/>
  <c r="J19"/>
  <c r="J20"/>
  <c r="I20" s="1"/>
  <c r="J24"/>
  <c r="J22"/>
  <c r="J23"/>
  <c r="J32"/>
  <c r="J30"/>
  <c r="J28"/>
  <c r="J27"/>
  <c r="J29"/>
  <c r="J31"/>
  <c r="J36"/>
  <c r="J43"/>
  <c r="J37"/>
  <c r="J41"/>
  <c r="J46"/>
  <c r="J38"/>
  <c r="J42"/>
  <c r="J40"/>
  <c r="J47"/>
  <c r="J45"/>
  <c r="J39"/>
  <c r="J35"/>
  <c r="J44"/>
  <c r="J52"/>
  <c r="J60"/>
  <c r="J56"/>
  <c r="J57"/>
  <c r="J55"/>
  <c r="J53"/>
  <c r="J54"/>
  <c r="J50"/>
  <c r="J58"/>
  <c r="J49"/>
  <c r="J59"/>
  <c r="J51"/>
  <c r="J7" i="18"/>
  <c r="I9" s="1"/>
  <c r="J9"/>
  <c r="J12"/>
  <c r="J11"/>
  <c r="J10"/>
  <c r="J15"/>
  <c r="I16" s="1"/>
  <c r="J20"/>
  <c r="I20" s="1"/>
  <c r="J19"/>
  <c r="J18"/>
  <c r="J24"/>
  <c r="J22"/>
  <c r="J23"/>
  <c r="J29"/>
  <c r="J27"/>
  <c r="J30"/>
  <c r="J32"/>
  <c r="J31"/>
  <c r="J28"/>
  <c r="J40"/>
  <c r="J38"/>
  <c r="J45"/>
  <c r="J47"/>
  <c r="J35"/>
  <c r="J46"/>
  <c r="J39"/>
  <c r="J44"/>
  <c r="J43"/>
  <c r="J36"/>
  <c r="J41"/>
  <c r="J37"/>
  <c r="J42"/>
  <c r="J57"/>
  <c r="J60"/>
  <c r="J54"/>
  <c r="J53"/>
  <c r="J55"/>
  <c r="J49"/>
  <c r="J58"/>
  <c r="J51"/>
  <c r="J52"/>
  <c r="J59"/>
  <c r="J50"/>
  <c r="J56"/>
  <c r="J7" i="19"/>
  <c r="I9" s="1"/>
  <c r="J10"/>
  <c r="J12"/>
  <c r="J9"/>
  <c r="J15"/>
  <c r="I16" s="1"/>
  <c r="J19"/>
  <c r="J18"/>
  <c r="J20"/>
  <c r="I20" s="1"/>
  <c r="J24"/>
  <c r="J23"/>
  <c r="J22"/>
  <c r="J30"/>
  <c r="J27"/>
  <c r="J31"/>
  <c r="J29"/>
  <c r="J28"/>
  <c r="J32"/>
  <c r="J35"/>
  <c r="J40"/>
  <c r="J46"/>
  <c r="J38"/>
  <c r="J45"/>
  <c r="J43"/>
  <c r="J37"/>
  <c r="J36"/>
  <c r="J41"/>
  <c r="J39"/>
  <c r="J42"/>
  <c r="J44"/>
  <c r="J47"/>
  <c r="J52"/>
  <c r="J59"/>
  <c r="J53"/>
  <c r="J51"/>
  <c r="J49"/>
  <c r="J57"/>
  <c r="J56"/>
  <c r="J50"/>
  <c r="J60"/>
  <c r="J58"/>
  <c r="J55"/>
  <c r="J54"/>
  <c r="J7" i="20"/>
  <c r="I9" s="1"/>
  <c r="J9"/>
  <c r="J10"/>
  <c r="J12"/>
  <c r="J15"/>
  <c r="I16" s="1"/>
  <c r="J18"/>
  <c r="J19"/>
  <c r="J20"/>
  <c r="I20" s="1"/>
  <c r="J22"/>
  <c r="J23"/>
  <c r="J24"/>
  <c r="J32"/>
  <c r="J27"/>
  <c r="J28"/>
  <c r="J29"/>
  <c r="J30"/>
  <c r="J31"/>
  <c r="J41"/>
  <c r="J39"/>
  <c r="J36"/>
  <c r="J42"/>
  <c r="J47"/>
  <c r="J43"/>
  <c r="J46"/>
  <c r="J35"/>
  <c r="J38"/>
  <c r="J37"/>
  <c r="J40"/>
  <c r="J44"/>
  <c r="J45"/>
  <c r="J57"/>
  <c r="J58"/>
  <c r="J54"/>
  <c r="J53"/>
  <c r="J49"/>
  <c r="J51"/>
  <c r="J60"/>
  <c r="J52"/>
  <c r="J55"/>
  <c r="J56"/>
  <c r="J59"/>
  <c r="J50"/>
  <c r="J7" i="21"/>
  <c r="I9" s="1"/>
  <c r="J12"/>
  <c r="J10"/>
  <c r="J9"/>
  <c r="J15"/>
  <c r="I16" s="1"/>
  <c r="J19"/>
  <c r="J18"/>
  <c r="J20"/>
  <c r="I20" s="1"/>
  <c r="J23"/>
  <c r="J22"/>
  <c r="J24"/>
  <c r="J31"/>
  <c r="J28"/>
  <c r="J29"/>
  <c r="J27"/>
  <c r="J32"/>
  <c r="J30"/>
  <c r="J44"/>
  <c r="J45"/>
  <c r="J35"/>
  <c r="J37"/>
  <c r="J41"/>
  <c r="J47"/>
  <c r="J46"/>
  <c r="J42"/>
  <c r="J39"/>
  <c r="J38"/>
  <c r="J40"/>
  <c r="J43"/>
  <c r="J36"/>
  <c r="J58"/>
  <c r="J56"/>
  <c r="J53"/>
  <c r="J52"/>
  <c r="J54"/>
  <c r="J59"/>
  <c r="J49"/>
  <c r="J50"/>
  <c r="J51"/>
  <c r="J60"/>
  <c r="J57"/>
  <c r="J55"/>
  <c r="J7" i="22"/>
  <c r="I9" s="1"/>
  <c r="J10"/>
  <c r="J12"/>
  <c r="J9"/>
  <c r="J15"/>
  <c r="I16" s="1"/>
  <c r="J18"/>
  <c r="J19"/>
  <c r="J20"/>
  <c r="I20" s="1"/>
  <c r="J24"/>
  <c r="J23"/>
  <c r="J22"/>
  <c r="J28"/>
  <c r="J30"/>
  <c r="J32"/>
  <c r="J29"/>
  <c r="J31"/>
  <c r="J27"/>
  <c r="J35"/>
  <c r="J36"/>
  <c r="J37"/>
  <c r="J47"/>
  <c r="J38"/>
  <c r="J45"/>
  <c r="J40"/>
  <c r="J39"/>
  <c r="J46"/>
  <c r="J41"/>
  <c r="J44"/>
  <c r="J42"/>
  <c r="J43"/>
  <c r="J50"/>
  <c r="J59"/>
  <c r="J49"/>
  <c r="J54"/>
  <c r="J52"/>
  <c r="J57"/>
  <c r="J55"/>
  <c r="J53"/>
  <c r="J58"/>
  <c r="J51"/>
  <c r="J56"/>
  <c r="J60"/>
  <c r="J7" i="23"/>
  <c r="I9" s="1"/>
  <c r="J9"/>
  <c r="J10"/>
  <c r="J12"/>
  <c r="J15"/>
  <c r="I16" s="1"/>
  <c r="J19"/>
  <c r="J18"/>
  <c r="J20"/>
  <c r="I20" s="1"/>
  <c r="J24"/>
  <c r="J22"/>
  <c r="J23"/>
  <c r="J29"/>
  <c r="J31"/>
  <c r="J30"/>
  <c r="J28"/>
  <c r="J27"/>
  <c r="J32"/>
  <c r="J38"/>
  <c r="J46"/>
  <c r="J47"/>
  <c r="J35"/>
  <c r="J41"/>
  <c r="J39"/>
  <c r="J36"/>
  <c r="J40"/>
  <c r="J43"/>
  <c r="J37"/>
  <c r="J45"/>
  <c r="J42"/>
  <c r="J44"/>
  <c r="J57"/>
  <c r="J60"/>
  <c r="J49"/>
  <c r="J50"/>
  <c r="J54"/>
  <c r="J55"/>
  <c r="J58"/>
  <c r="J51"/>
  <c r="J56"/>
  <c r="J53"/>
  <c r="J59"/>
  <c r="J52"/>
  <c r="J7" i="24"/>
  <c r="I9" s="1"/>
  <c r="J9"/>
  <c r="J12"/>
  <c r="J10"/>
  <c r="J15"/>
  <c r="I16" s="1"/>
  <c r="J19"/>
  <c r="J18"/>
  <c r="J20"/>
  <c r="I20" s="1"/>
  <c r="J23"/>
  <c r="J24"/>
  <c r="J22"/>
  <c r="J31"/>
  <c r="J30"/>
  <c r="J27"/>
  <c r="J28"/>
  <c r="J32"/>
  <c r="J29"/>
  <c r="J46"/>
  <c r="J43"/>
  <c r="J47"/>
  <c r="J44"/>
  <c r="J38"/>
  <c r="J40"/>
  <c r="J37"/>
  <c r="J42"/>
  <c r="J45"/>
  <c r="J36"/>
  <c r="J35"/>
  <c r="J39"/>
  <c r="J41"/>
  <c r="J52"/>
  <c r="J59"/>
  <c r="J50"/>
  <c r="J49"/>
  <c r="J55"/>
  <c r="J51"/>
  <c r="J54"/>
  <c r="J57"/>
  <c r="J56"/>
  <c r="J58"/>
  <c r="J53"/>
  <c r="J60"/>
  <c r="J7" i="25"/>
  <c r="I9" s="1"/>
  <c r="J9"/>
  <c r="J12"/>
  <c r="J10"/>
  <c r="J15"/>
  <c r="I16" s="1"/>
  <c r="J19"/>
  <c r="J20"/>
  <c r="I20" s="1"/>
  <c r="J18"/>
  <c r="J22"/>
  <c r="J24"/>
  <c r="J23"/>
  <c r="J27"/>
  <c r="J29"/>
  <c r="J32"/>
  <c r="J28"/>
  <c r="J31"/>
  <c r="J30"/>
  <c r="J35"/>
  <c r="J45"/>
  <c r="J39"/>
  <c r="J46"/>
  <c r="J36"/>
  <c r="J43"/>
  <c r="J47"/>
  <c r="J40"/>
  <c r="J38"/>
  <c r="J42"/>
  <c r="J44"/>
  <c r="J37"/>
  <c r="J41"/>
  <c r="J56"/>
  <c r="J54"/>
  <c r="J58"/>
  <c r="J53"/>
  <c r="J60"/>
  <c r="J59"/>
  <c r="J50"/>
  <c r="J51"/>
  <c r="J49"/>
  <c r="J55"/>
  <c r="J52"/>
  <c r="J57"/>
  <c r="J7" i="40"/>
  <c r="I9" s="1"/>
  <c r="J10"/>
  <c r="J9"/>
  <c r="J12"/>
  <c r="J15"/>
  <c r="I16" s="1"/>
  <c r="J19"/>
  <c r="J18"/>
  <c r="J20"/>
  <c r="I20" s="1"/>
  <c r="J24"/>
  <c r="J23"/>
  <c r="J22"/>
  <c r="J38"/>
  <c r="J47"/>
  <c r="J35"/>
  <c r="J37"/>
  <c r="J44"/>
  <c r="J41"/>
  <c r="J42"/>
  <c r="J46"/>
  <c r="J40"/>
  <c r="J43"/>
  <c r="J45"/>
  <c r="J36"/>
  <c r="J39"/>
  <c r="J32"/>
  <c r="J27"/>
  <c r="J29"/>
  <c r="J28"/>
  <c r="J31"/>
  <c r="J30"/>
  <c r="J49"/>
  <c r="J55"/>
  <c r="J54"/>
  <c r="J59"/>
  <c r="J57"/>
  <c r="J60"/>
  <c r="J53"/>
  <c r="J50"/>
  <c r="J51"/>
  <c r="J52"/>
  <c r="J56"/>
  <c r="J58"/>
  <c r="J7" i="27"/>
  <c r="I9" s="1"/>
  <c r="J9"/>
  <c r="J12"/>
  <c r="J10"/>
  <c r="J15"/>
  <c r="I16" s="1"/>
  <c r="J20"/>
  <c r="I20" s="1"/>
  <c r="J18"/>
  <c r="J19"/>
  <c r="J23"/>
  <c r="J22"/>
  <c r="J24"/>
  <c r="J30"/>
  <c r="J28"/>
  <c r="J31"/>
  <c r="J29"/>
  <c r="J27"/>
  <c r="J32"/>
  <c r="J37"/>
  <c r="J35"/>
  <c r="J41"/>
  <c r="J45"/>
  <c r="J47"/>
  <c r="J40"/>
  <c r="J36"/>
  <c r="J43"/>
  <c r="J46"/>
  <c r="J38"/>
  <c r="J42"/>
  <c r="J39"/>
  <c r="J44"/>
  <c r="J56"/>
  <c r="J57"/>
  <c r="J51"/>
  <c r="J49"/>
  <c r="J55"/>
  <c r="J59"/>
  <c r="J53"/>
  <c r="J52"/>
  <c r="J54"/>
  <c r="J50"/>
  <c r="J58"/>
  <c r="J60"/>
  <c r="J7" i="28"/>
  <c r="I9" s="1"/>
  <c r="J12"/>
  <c r="J9"/>
  <c r="J10"/>
  <c r="J15"/>
  <c r="I16" s="1"/>
  <c r="J18"/>
  <c r="J19"/>
  <c r="J20"/>
  <c r="I20" s="1"/>
  <c r="J22"/>
  <c r="J24"/>
  <c r="J23"/>
  <c r="J32"/>
  <c r="J30"/>
  <c r="J28"/>
  <c r="J29"/>
  <c r="J27"/>
  <c r="J31"/>
  <c r="J37"/>
  <c r="J40"/>
  <c r="J46"/>
  <c r="J47"/>
  <c r="J44"/>
  <c r="J36"/>
  <c r="J41"/>
  <c r="J39"/>
  <c r="J38"/>
  <c r="J42"/>
  <c r="J35"/>
  <c r="J43"/>
  <c r="J45"/>
  <c r="J59"/>
  <c r="J54"/>
  <c r="J57"/>
  <c r="J53"/>
  <c r="J60"/>
  <c r="J56"/>
  <c r="J52"/>
  <c r="J51"/>
  <c r="J55"/>
  <c r="J58"/>
  <c r="J50"/>
  <c r="J49"/>
  <c r="J7" i="29"/>
  <c r="I9" s="1"/>
  <c r="J12"/>
  <c r="J10"/>
  <c r="J9"/>
  <c r="J15"/>
  <c r="I16" s="1"/>
  <c r="J19"/>
  <c r="J20"/>
  <c r="I20" s="1"/>
  <c r="J18"/>
  <c r="J24"/>
  <c r="J22"/>
  <c r="J23"/>
  <c r="J31"/>
  <c r="J28"/>
  <c r="J30"/>
  <c r="J27"/>
  <c r="J29"/>
  <c r="J32"/>
  <c r="J44"/>
  <c r="J46"/>
  <c r="J36"/>
  <c r="J38"/>
  <c r="J47"/>
  <c r="J35"/>
  <c r="J39"/>
  <c r="J42"/>
  <c r="J41"/>
  <c r="J37"/>
  <c r="J43"/>
  <c r="J45"/>
  <c r="J40"/>
  <c r="J60"/>
  <c r="J49"/>
  <c r="J58"/>
  <c r="J50"/>
  <c r="J52"/>
  <c r="J53"/>
  <c r="J55"/>
  <c r="J59"/>
  <c r="J56"/>
  <c r="J54"/>
  <c r="J57"/>
  <c r="J51"/>
  <c r="J7" i="30"/>
  <c r="I9" s="1"/>
  <c r="J12"/>
  <c r="J10"/>
  <c r="J9"/>
  <c r="J15"/>
  <c r="I16" s="1"/>
  <c r="J20"/>
  <c r="I20" s="1"/>
  <c r="J19"/>
  <c r="J18"/>
  <c r="J24"/>
  <c r="J23"/>
  <c r="J22"/>
  <c r="J31"/>
  <c r="J29"/>
  <c r="J28"/>
  <c r="J27"/>
  <c r="J30"/>
  <c r="J32"/>
  <c r="J44"/>
  <c r="J39"/>
  <c r="J43"/>
  <c r="J36"/>
  <c r="J41"/>
  <c r="J47"/>
  <c r="J40"/>
  <c r="J38"/>
  <c r="J35"/>
  <c r="J42"/>
  <c r="J45"/>
  <c r="J37"/>
  <c r="J46"/>
  <c r="J49"/>
  <c r="J54"/>
  <c r="J56"/>
  <c r="J59"/>
  <c r="J50"/>
  <c r="J53"/>
  <c r="J60"/>
  <c r="J58"/>
  <c r="J57"/>
  <c r="J52"/>
  <c r="J55"/>
  <c r="J51"/>
  <c r="J7" i="43"/>
  <c r="I9" s="1"/>
  <c r="H7" i="31"/>
  <c r="J7" s="1"/>
  <c r="I9" s="1"/>
  <c r="H7" i="50"/>
  <c r="J7" s="1"/>
  <c r="J12" i="43"/>
  <c r="J9"/>
  <c r="J10"/>
  <c r="J9" i="31"/>
  <c r="J10"/>
  <c r="J12"/>
  <c r="J15" i="43"/>
  <c r="I16" s="1"/>
  <c r="J15" i="31"/>
  <c r="I16" s="1"/>
  <c r="H16" i="50"/>
  <c r="J16" s="1"/>
  <c r="I17" s="1"/>
  <c r="J18" i="31"/>
  <c r="J18" i="43"/>
  <c r="J20"/>
  <c r="I20" s="1"/>
  <c r="H19" i="50"/>
  <c r="J19" s="1"/>
  <c r="J19" i="43"/>
  <c r="H20" i="50"/>
  <c r="J20" s="1"/>
  <c r="J19" i="31"/>
  <c r="H21" i="50"/>
  <c r="J21" s="1"/>
  <c r="I21" s="1"/>
  <c r="J20" i="31"/>
  <c r="I20" s="1"/>
  <c r="J22" i="43"/>
  <c r="J24"/>
  <c r="H24" i="50"/>
  <c r="J24" s="1"/>
  <c r="J23" i="43"/>
  <c r="J24" i="31"/>
  <c r="H23" i="50"/>
  <c r="J23" s="1"/>
  <c r="J22" i="31"/>
  <c r="J23"/>
  <c r="H25" i="50"/>
  <c r="J25" s="1"/>
  <c r="J27" i="43"/>
  <c r="J28"/>
  <c r="H29" i="50"/>
  <c r="J29" s="1"/>
  <c r="J32" i="31"/>
  <c r="J32" i="43"/>
  <c r="J31"/>
  <c r="J30"/>
  <c r="J30" i="31"/>
  <c r="J31"/>
  <c r="H31" i="50"/>
  <c r="J31" s="1"/>
  <c r="J29" i="43"/>
  <c r="J29" i="31"/>
  <c r="H30" i="50"/>
  <c r="J30" s="1"/>
  <c r="H28"/>
  <c r="J28" s="1"/>
  <c r="J27" i="31"/>
  <c r="H33" i="50"/>
  <c r="J33" s="1"/>
  <c r="H32"/>
  <c r="J32" s="1"/>
  <c r="J28" i="31"/>
  <c r="J42" i="43"/>
  <c r="J41"/>
  <c r="J35"/>
  <c r="J40"/>
  <c r="J43"/>
  <c r="J41" i="31"/>
  <c r="J44" i="43"/>
  <c r="H41" i="50"/>
  <c r="J41" s="1"/>
  <c r="J45" i="43"/>
  <c r="J39"/>
  <c r="J36"/>
  <c r="J38"/>
  <c r="J47" i="31"/>
  <c r="J47" i="43"/>
  <c r="H37" i="50"/>
  <c r="J37" s="1"/>
  <c r="J42" i="31"/>
  <c r="J45"/>
  <c r="H36" i="50"/>
  <c r="J36" s="1"/>
  <c r="H46"/>
  <c r="J46" s="1"/>
  <c r="J46" i="31"/>
  <c r="J46" i="43"/>
  <c r="H39" i="50"/>
  <c r="J39" s="1"/>
  <c r="H38"/>
  <c r="J38" s="1"/>
  <c r="J37" i="43"/>
  <c r="J37" i="31"/>
  <c r="H47" i="50"/>
  <c r="J47" s="1"/>
  <c r="J40" i="31"/>
  <c r="J39"/>
  <c r="H48" i="50"/>
  <c r="J48" s="1"/>
  <c r="H44"/>
  <c r="J44" s="1"/>
  <c r="J35" i="31"/>
  <c r="J44"/>
  <c r="H42" i="50"/>
  <c r="J42" s="1"/>
  <c r="J43" i="31"/>
  <c r="H40" i="50"/>
  <c r="J40" s="1"/>
  <c r="J38" i="31"/>
  <c r="H43" i="50"/>
  <c r="J43" s="1"/>
  <c r="H45"/>
  <c r="J45" s="1"/>
  <c r="J36" i="31"/>
  <c r="J58" i="43"/>
  <c r="J59"/>
  <c r="H60" i="50"/>
  <c r="J60" s="1"/>
  <c r="J49" i="43"/>
  <c r="J54"/>
  <c r="H50" i="50"/>
  <c r="J50" s="1"/>
  <c r="H59"/>
  <c r="J59" s="1"/>
  <c r="J50" i="43"/>
  <c r="J49" i="31"/>
  <c r="H57" i="50"/>
  <c r="J57" s="1"/>
  <c r="J56" i="43"/>
  <c r="J60"/>
  <c r="H51" i="50"/>
  <c r="J51" s="1"/>
  <c r="J53" i="43"/>
  <c r="H54" i="50"/>
  <c r="J54" s="1"/>
  <c r="J55" i="43"/>
  <c r="J57"/>
  <c r="H55" i="50"/>
  <c r="J55" s="1"/>
  <c r="J56" i="31"/>
  <c r="J54"/>
  <c r="J52" i="43"/>
  <c r="J53" i="31"/>
  <c r="H56" i="50"/>
  <c r="J56" s="1"/>
  <c r="J51" i="31"/>
  <c r="J51" i="43"/>
  <c r="H53" i="50"/>
  <c r="J53" s="1"/>
  <c r="J50" i="31"/>
  <c r="J52"/>
  <c r="H61" i="50"/>
  <c r="J61" s="1"/>
  <c r="H58"/>
  <c r="J58" s="1"/>
  <c r="J57" i="31"/>
  <c r="H52" i="50"/>
  <c r="J52" s="1"/>
  <c r="J58" i="31"/>
  <c r="J55"/>
  <c r="J60"/>
  <c r="J59"/>
  <c r="J8" i="12"/>
  <c r="H8" i="13"/>
  <c r="H8" i="14" s="1"/>
  <c r="J11" i="19" l="1"/>
  <c r="H11" i="21"/>
  <c r="J11" i="20"/>
  <c r="H13" i="28"/>
  <c r="H13" i="29" s="1"/>
  <c r="H13" i="30" s="1"/>
  <c r="H13" i="43" s="1"/>
  <c r="J1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s="1"/>
  <c r="H14" i="50"/>
  <c r="J14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s="1"/>
  <c r="J11" i="43"/>
  <c r="J8" i="25"/>
  <c r="H8" i="40"/>
  <c r="H8" i="27" l="1"/>
  <c r="J8" i="40"/>
  <c r="H8" i="28" l="1"/>
  <c r="J8" i="27"/>
  <c r="J8" i="28" l="1"/>
  <c r="H8" i="29"/>
  <c r="J8" l="1"/>
  <c r="H8" i="30"/>
  <c r="J8" l="1"/>
  <c r="H8" i="43"/>
  <c r="J8" l="1"/>
  <c r="H8" i="50"/>
  <c r="J8" s="1"/>
  <c r="H8" i="31"/>
  <c r="J8" s="1"/>
</calcChain>
</file>

<file path=xl/sharedStrings.xml><?xml version="1.0" encoding="utf-8"?>
<sst xmlns="http://schemas.openxmlformats.org/spreadsheetml/2006/main" count="10761" uniqueCount="372">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</sst>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82" fillId="0" borderId="0" applyFont="0" applyFill="0" applyBorder="0" applyAlignment="0" applyProtection="0"/>
  </cellStyleXfs>
  <cellXfs count="95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9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16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8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9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2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6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6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6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38" fillId="10" borderId="1" xfId="5" applyNumberFormat="1" applyFont="1" applyFill="1" applyBorder="1" applyAlignment="1">
      <alignment horizontal="center" vertic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165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7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43" fontId="70" fillId="8" borderId="1" xfId="19" applyFont="1" applyFill="1" applyBorder="1" applyAlignment="1">
      <alignment horizontal="center"/>
    </xf>
    <xf numFmtId="43" fontId="74" fillId="2" borderId="1" xfId="19" applyFont="1" applyFill="1" applyBorder="1" applyAlignment="1">
      <alignment horizontal="center"/>
    </xf>
    <xf numFmtId="43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43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6" fontId="83" fillId="2" borderId="0" xfId="3" applyNumberFormat="1" applyFont="1" applyFill="1" applyBorder="1" applyAlignment="1">
      <alignment horizontal="center" vertical="center" wrapText="1" shrinkToFi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6"/>
    <cellStyle name="Normal 4 2" xfId="18"/>
    <cellStyle name="Normal 5" xfId="17"/>
    <cellStyle name="Percent 2" xfId="6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-720.2899999999986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59382912"/>
        <c:axId val="178988160"/>
      </c:lineChart>
      <c:catAx>
        <c:axId val="1593829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88160"/>
        <c:crosses val="autoZero"/>
        <c:auto val="1"/>
        <c:lblAlgn val="ctr"/>
        <c:lblOffset val="100"/>
      </c:catAx>
      <c:valAx>
        <c:axId val="17898816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5938291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-363.16999999999462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79017216"/>
        <c:axId val="179018752"/>
      </c:lineChart>
      <c:catAx>
        <c:axId val="1790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8752"/>
        <c:crosses val="autoZero"/>
        <c:auto val="1"/>
        <c:lblAlgn val="ctr"/>
        <c:lblOffset val="100"/>
      </c:catAx>
      <c:valAx>
        <c:axId val="17901875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72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48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-1288</c:v>
                </c:pt>
                <c:pt idx="3">
                  <c:v>219</c:v>
                </c:pt>
                <c:pt idx="4">
                  <c:v>171</c:v>
                </c:pt>
                <c:pt idx="5">
                  <c:v>164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3960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79486720"/>
        <c:axId val="179488256"/>
      </c:lineChart>
      <c:catAx>
        <c:axId val="17948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88256"/>
        <c:crosses val="autoZero"/>
        <c:auto val="1"/>
        <c:lblAlgn val="ctr"/>
        <c:lblOffset val="100"/>
      </c:catAx>
      <c:valAx>
        <c:axId val="1794882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8672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2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-27705.070000000065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80459008"/>
        <c:axId val="180460544"/>
      </c:lineChart>
      <c:catAx>
        <c:axId val="18045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60544"/>
        <c:crosses val="autoZero"/>
        <c:auto val="1"/>
        <c:lblAlgn val="ctr"/>
        <c:lblOffset val="100"/>
      </c:catAx>
      <c:valAx>
        <c:axId val="18046054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900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15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354872.89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432761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80588928"/>
        <c:axId val="180590464"/>
      </c:lineChart>
      <c:catAx>
        <c:axId val="18058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90464"/>
        <c:crosses val="autoZero"/>
        <c:auto val="1"/>
        <c:lblAlgn val="ctr"/>
        <c:lblOffset val="100"/>
      </c:catAx>
      <c:valAx>
        <c:axId val="18059046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8892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124147.64000000001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168042.00000000003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80615424"/>
        <c:axId val="180498432"/>
      </c:lineChart>
      <c:catAx>
        <c:axId val="1806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98432"/>
        <c:crosses val="autoZero"/>
        <c:auto val="1"/>
        <c:lblAlgn val="ctr"/>
        <c:lblOffset val="100"/>
      </c:catAx>
      <c:valAx>
        <c:axId val="18049843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154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1.3629419354838708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80539392"/>
        <c:axId val="180540928"/>
      </c:lineChart>
      <c:catAx>
        <c:axId val="18053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40928"/>
        <c:crosses val="autoZero"/>
        <c:auto val="1"/>
        <c:lblAlgn val="ctr"/>
        <c:lblOffset val="100"/>
      </c:catAx>
      <c:valAx>
        <c:axId val="1805409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805393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-543589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80651904"/>
        <c:axId val="180653440"/>
      </c:lineChart>
      <c:catAx>
        <c:axId val="18065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53440"/>
        <c:crosses val="autoZero"/>
        <c:auto val="1"/>
        <c:lblAlgn val="ctr"/>
        <c:lblOffset val="100"/>
      </c:catAx>
      <c:valAx>
        <c:axId val="18065344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5190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-323.85999999999967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80710400"/>
        <c:axId val="180720384"/>
      </c:lineChart>
      <c:catAx>
        <c:axId val="1807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20384"/>
        <c:crosses val="autoZero"/>
        <c:auto val="1"/>
        <c:lblAlgn val="ctr"/>
        <c:lblOffset val="100"/>
      </c:catAx>
      <c:valAx>
        <c:axId val="18072038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104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9931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81156096"/>
        <c:axId val="181161984"/>
      </c:lineChart>
      <c:catAx>
        <c:axId val="1811560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1161984"/>
        <c:crosses val="autoZero"/>
        <c:auto val="1"/>
        <c:lblAlgn val="ctr"/>
        <c:lblOffset val="100"/>
      </c:catAx>
      <c:valAx>
        <c:axId val="18116198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1156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928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-96007.19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84678272"/>
        <c:axId val="18467980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85476224"/>
        <c:axId val="185477760"/>
      </c:lineChart>
      <c:catAx>
        <c:axId val="18467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79808"/>
        <c:crosses val="autoZero"/>
        <c:auto val="1"/>
        <c:lblAlgn val="ctr"/>
        <c:lblOffset val="100"/>
      </c:catAx>
      <c:valAx>
        <c:axId val="18467980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78272"/>
        <c:crosses val="autoZero"/>
        <c:crossBetween val="between"/>
        <c:minorUnit val="50"/>
      </c:valAx>
      <c:catAx>
        <c:axId val="185476224"/>
        <c:scaling>
          <c:orientation val="minMax"/>
        </c:scaling>
        <c:delete val="1"/>
        <c:axPos val="b"/>
        <c:tickLblPos val="none"/>
        <c:crossAx val="185477760"/>
        <c:crosses val="autoZero"/>
        <c:auto val="1"/>
        <c:lblAlgn val="ctr"/>
        <c:lblOffset val="100"/>
      </c:catAx>
      <c:valAx>
        <c:axId val="1854777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7622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85518720"/>
        <c:axId val="184549760"/>
      </c:lineChart>
      <c:catAx>
        <c:axId val="1855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49760"/>
        <c:crosses val="autoZero"/>
        <c:auto val="1"/>
        <c:lblAlgn val="ctr"/>
        <c:lblOffset val="100"/>
      </c:catAx>
      <c:valAx>
        <c:axId val="18454976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187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84595200"/>
        <c:axId val="184596736"/>
      </c:lineChart>
      <c:catAx>
        <c:axId val="1845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96736"/>
        <c:crosses val="autoZero"/>
        <c:auto val="1"/>
        <c:lblAlgn val="ctr"/>
        <c:lblOffset val="100"/>
      </c:catAx>
      <c:valAx>
        <c:axId val="18459673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952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238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169</c:v>
                </c:pt>
                <c:pt idx="3">
                  <c:v>-5055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85204736"/>
        <c:axId val="18520627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85207808"/>
        <c:axId val="185213696"/>
      </c:lineChart>
      <c:catAx>
        <c:axId val="18520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06272"/>
        <c:crosses val="autoZero"/>
        <c:auto val="1"/>
        <c:lblAlgn val="ctr"/>
        <c:lblOffset val="100"/>
      </c:catAx>
      <c:valAx>
        <c:axId val="18520627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04736"/>
        <c:crosses val="autoZero"/>
        <c:crossBetween val="between"/>
      </c:valAx>
      <c:catAx>
        <c:axId val="185207808"/>
        <c:scaling>
          <c:orientation val="minMax"/>
        </c:scaling>
        <c:delete val="1"/>
        <c:axPos val="b"/>
        <c:tickLblPos val="none"/>
        <c:crossAx val="185213696"/>
        <c:crosses val="autoZero"/>
        <c:auto val="1"/>
        <c:lblAlgn val="ctr"/>
        <c:lblOffset val="100"/>
      </c:catAx>
      <c:valAx>
        <c:axId val="1852136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07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34</c:v>
                </c:pt>
                <c:pt idx="3">
                  <c:v>-1410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6</c:v>
                </c:pt>
                <c:pt idx="3">
                  <c:v>-244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85265152"/>
        <c:axId val="18579942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85800960"/>
        <c:axId val="185810944"/>
      </c:lineChart>
      <c:catAx>
        <c:axId val="1852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99424"/>
        <c:crosses val="autoZero"/>
        <c:auto val="1"/>
        <c:lblAlgn val="ctr"/>
        <c:lblOffset val="100"/>
      </c:catAx>
      <c:valAx>
        <c:axId val="18579942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65152"/>
        <c:crosses val="autoZero"/>
        <c:crossBetween val="between"/>
        <c:majorUnit val="2"/>
      </c:valAx>
      <c:catAx>
        <c:axId val="185800960"/>
        <c:scaling>
          <c:orientation val="minMax"/>
        </c:scaling>
        <c:delete val="1"/>
        <c:axPos val="b"/>
        <c:tickLblPos val="none"/>
        <c:crossAx val="185810944"/>
        <c:crosses val="autoZero"/>
        <c:auto val="1"/>
        <c:lblAlgn val="ctr"/>
        <c:lblOffset val="100"/>
      </c:catAx>
      <c:valAx>
        <c:axId val="1858109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80096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D22" sqref="D2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0</v>
      </c>
      <c r="F4" s="276">
        <v>9</v>
      </c>
      <c r="G4" s="276">
        <f>(IF('Daily HLP'!L6&gt;0,'Daily HLP'!L6,0))</f>
        <v>0</v>
      </c>
      <c r="H4" s="276">
        <v>75</v>
      </c>
      <c r="I4" s="276">
        <f>(IF('Daily HLP'!O6&gt;0,'Daily HLP'!O6,0))</f>
        <v>0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164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98</v>
      </c>
      <c r="L20" s="275">
        <f>Occupancy!F20</f>
        <v>304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89</v>
      </c>
      <c r="L21" s="275">
        <f>Occupancy!F21</f>
        <v>304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109</v>
      </c>
      <c r="L22" s="275">
        <f>Occupancy!F22</f>
        <v>338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144</v>
      </c>
      <c r="L23" s="275">
        <f>Occupancy!F23</f>
        <v>462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124</v>
      </c>
      <c r="L24" s="275">
        <f>Occupancy!F24</f>
        <v>825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108</v>
      </c>
      <c r="L25" s="275">
        <f>Occupancy!F25</f>
        <v>358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133</v>
      </c>
      <c r="L26" s="275">
        <f>Occupancy!F26</f>
        <v>384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132</v>
      </c>
      <c r="L27" s="275">
        <f>Occupancy!F27</f>
        <v>323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117</v>
      </c>
      <c r="L28" s="275">
        <f>Occupancy!F28</f>
        <v>327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135</v>
      </c>
      <c r="L29" s="275">
        <f>Occupancy!F29</f>
        <v>389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160</v>
      </c>
      <c r="L30" s="275">
        <f>Occupancy!F30</f>
        <v>445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124</v>
      </c>
      <c r="L31" s="275">
        <f>Occupancy!F31</f>
        <v>450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305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374546.64</v>
      </c>
      <c r="F4" s="294">
        <f>(IF('Section Load'!G7&gt;0,'Section Load'!G7,0))</f>
        <v>161463.65000000002</v>
      </c>
      <c r="G4" s="294">
        <f>(IF('Section Load'!H7&gt;0,'Section Load'!H7,0))</f>
        <v>195431.64</v>
      </c>
      <c r="H4" s="294">
        <f>(IF('Section Load'!I7&gt;0,'Section Load'!I7,0))</f>
        <v>354872.89</v>
      </c>
      <c r="I4" s="294">
        <f>(IF('Section Load'!J7&gt;0,'Section Load'!J7,0))</f>
        <v>0</v>
      </c>
      <c r="J4" s="294">
        <f>(IF('Section Load'!K7&gt;0,'Section Load'!K7,0))</f>
        <v>0</v>
      </c>
      <c r="K4" s="294">
        <f>(IF('Section Load'!L7&gt;0,'Section Load'!L7,0))</f>
        <v>0</v>
      </c>
      <c r="L4" s="294">
        <f>(IF('Section Load'!M7&gt;0,'Section Load'!M7,0))</f>
        <v>0</v>
      </c>
      <c r="M4" s="294">
        <f>(IF('Section Load'!N7&gt;0,'Section Load'!N7,0))</f>
        <v>0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0</v>
      </c>
      <c r="Q4" s="294">
        <f>(IF('Section Load'!R7&gt;0,'Section Load'!R7,0))</f>
        <v>0</v>
      </c>
      <c r="R4" s="294">
        <f>(IF('Section Load'!S7&gt;0,'Section Load'!S7,0))</f>
        <v>0</v>
      </c>
      <c r="S4" s="294">
        <f>(IF('Section Load'!T7&gt;0,'Section Load'!T7,0))</f>
        <v>0</v>
      </c>
      <c r="T4" s="294">
        <f>(IF('Section Load'!U7&gt;0,'Section Load'!U7,0))</f>
        <v>0</v>
      </c>
      <c r="U4" s="294">
        <f>(IF('Section Load'!V7&gt;0,'Section Load'!V7,0))</f>
        <v>0</v>
      </c>
      <c r="V4" s="294">
        <f>(IF('Section Load'!W7&gt;0,'Section Load'!W7,0))</f>
        <v>0</v>
      </c>
      <c r="W4" s="294">
        <f>(IF('Section Load'!X7&gt;0,'Section Load'!X7,0))</f>
        <v>0</v>
      </c>
      <c r="X4" s="294">
        <f>(IF('Section Load'!Y7&gt;0,'Section Load'!Y7,0))</f>
        <v>87443.840000000011</v>
      </c>
      <c r="Y4" s="294">
        <f>(IF('Section Load'!Z7&gt;0,'Section Load'!Z7,0))</f>
        <v>0</v>
      </c>
      <c r="Z4" s="294">
        <f>(IF('Section Load'!AA7&gt;0,'Section Load'!AA7,0))</f>
        <v>0</v>
      </c>
      <c r="AA4" s="294">
        <f>(IF('Section Load'!AB7&gt;0,'Section Load'!AB7,0))</f>
        <v>0</v>
      </c>
      <c r="AB4" s="294">
        <f>(IF('Section Load'!AC7&gt;0,'Section Load'!AC7,0))</f>
        <v>0</v>
      </c>
      <c r="AC4" s="294">
        <f>(IF('Section Load'!AD7&gt;0,'Section Load'!AD7,0))</f>
        <v>0</v>
      </c>
      <c r="AD4" s="294">
        <f>(IF('Section Load'!AE7&gt;0,'Section Load'!AE7,0))</f>
        <v>0</v>
      </c>
      <c r="AE4" s="294">
        <f>(IF('Section Load'!AF7&gt;0,'Section Load'!AF7,0))</f>
        <v>0</v>
      </c>
      <c r="AF4" s="294">
        <f>(IF('Section Load'!AG7&gt;0,'Section Load'!AG7,0))</f>
        <v>0</v>
      </c>
      <c r="AG4" s="294">
        <f>(IF('Section Load'!AH7&gt;0,'Section Load'!AH7,0))</f>
        <v>0</v>
      </c>
      <c r="AH4" s="294">
        <f>(IF('Section Load'!AI7&gt;0,'Section Load'!AI7,0))</f>
        <v>0</v>
      </c>
      <c r="AI4" s="294">
        <f>(IF('Section Load'!AJ7&gt;0,'Section Load'!AJ7,0))</f>
        <v>0</v>
      </c>
      <c r="AJ4" s="294">
        <f>(IF('Section Load'!AK7&gt;0,'Section Load'!AK7,0))</f>
        <v>0</v>
      </c>
      <c r="AK4" s="294">
        <f>(IF('Section Load'!AL7&gt;0,'Section Load'!AL7,0))</f>
        <v>0</v>
      </c>
      <c r="AL4" s="294">
        <f>(IF('Section Load'!AM7&gt;0,'Section Load'!AM7,0))</f>
        <v>0</v>
      </c>
      <c r="AM4" s="295">
        <f>(IF('Water Report'!$F$7&gt;0,'Water Report'!$F$7,0))</f>
        <v>0</v>
      </c>
      <c r="AN4" s="295">
        <f>(IF('Water Report'!$F$8&gt;0,'Water Report'!$F$8,0))</f>
        <v>0</v>
      </c>
      <c r="AO4" s="295">
        <f>(IF('Water Report'!$F$9&gt;0,'Water Report'!$G$9,0))</f>
        <v>0</v>
      </c>
      <c r="AP4" s="295">
        <f>(IF('Water Report'!$F$10&gt;0,'Water Report'!$F$10,0))</f>
        <v>0</v>
      </c>
      <c r="AQ4" s="295">
        <f>(IF('Water Report'!$F$11&gt;0,'Water Report'!$F$11,0))</f>
        <v>0</v>
      </c>
      <c r="AR4" s="295">
        <f>(IF('Water Report'!$F$13&gt;0,'Water Report'!$F$13,0))</f>
        <v>0</v>
      </c>
      <c r="AS4" s="295">
        <f>(IF('Water Report'!$F$14&gt;0,'Water Report'!$F$14,0))</f>
        <v>0</v>
      </c>
      <c r="AT4" s="295">
        <f>(IF('Water Report'!$F$15&gt;0,'Water Report'!$F$15,0))</f>
        <v>0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0</v>
      </c>
      <c r="AX4" s="301">
        <f>(IF('Water Report'!$F$21&gt;0,'Water Report'!$F$21,0))</f>
        <v>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0</v>
      </c>
      <c r="BB4" s="301">
        <f>(IF('Water Report'!$F$15&gt;0,'Water Report'!$F$15,0))</f>
        <v>0</v>
      </c>
      <c r="BC4" s="301">
        <f>(IF('Water Report'!$F$13&gt;0,'Water Report'!$F$13,0))</f>
        <v>0</v>
      </c>
      <c r="BD4" s="301">
        <f>(IF('Water Report'!$F$24&gt;0,'Water Report'!$F$24,0))</f>
        <v>0</v>
      </c>
      <c r="BE4" s="301">
        <f>(IF('Water Report'!$F$25&gt;0,'Water Report'!$F$25,0))</f>
        <v>0</v>
      </c>
      <c r="BF4" s="301">
        <f>(IF('Water Report'!$F$27&gt;0,'Water Report'!$F$27,0))</f>
        <v>0</v>
      </c>
      <c r="BG4" s="296">
        <f>(IF('Section Load'!AN7&gt;0,'Section Load'!AN7,0))</f>
        <v>0</v>
      </c>
      <c r="BH4" s="296">
        <f>(IF('Section Load'!AO7&gt;0,'Section Load'!AO7,0))</f>
        <v>0</v>
      </c>
      <c r="BI4" s="296">
        <f>(IF('Section Load'!AP7&gt;0,'Section Load'!AP7,0))</f>
        <v>0</v>
      </c>
      <c r="BJ4" s="296">
        <f>(IF('Section Load'!AQ7&gt;0,'Section Load'!AQ7,0))</f>
        <v>0</v>
      </c>
      <c r="BK4" s="296">
        <f>(IF('Section Load'!AR7&gt;0,'Section Load'!AR7,0))</f>
        <v>0</v>
      </c>
      <c r="BL4" s="296">
        <f>(IF('Section Load'!AS7&gt;0,'Section Load'!AS7,0))</f>
        <v>0</v>
      </c>
      <c r="BM4" s="296">
        <f>(IF('Section Load'!AT7&gt;0,'Section Load'!AT7,0))</f>
        <v>0</v>
      </c>
    </row>
    <row r="5" spans="1:6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-2641</v>
      </c>
      <c r="AN5" s="295">
        <f>(IF('Water Report'!$G$8&gt;0,'Water Report'!$F$8,0))</f>
        <v>-3355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164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39"/>
      <c r="AR1" s="739"/>
      <c r="AS1" s="739"/>
      <c r="AT1" s="739"/>
      <c r="AU1" s="739"/>
      <c r="AV1" s="739"/>
      <c r="AW1" s="739"/>
      <c r="AX1" s="739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39"/>
      <c r="BJ1" s="739"/>
      <c r="BK1" s="739"/>
      <c r="BL1" s="739"/>
      <c r="BM1" s="739"/>
      <c r="BN1" s="739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0" t="s">
        <v>5</v>
      </c>
      <c r="I2" s="740"/>
      <c r="J2" s="740"/>
      <c r="K2" s="44"/>
      <c r="L2" s="741" t="s">
        <v>6</v>
      </c>
      <c r="M2" s="741"/>
      <c r="N2" s="741"/>
      <c r="O2" s="742" t="s">
        <v>7</v>
      </c>
      <c r="P2" s="742"/>
      <c r="Q2" s="742"/>
      <c r="R2" s="44" t="s">
        <v>8</v>
      </c>
      <c r="S2" s="743" t="s">
        <v>9</v>
      </c>
      <c r="T2" s="743"/>
      <c r="U2" s="743"/>
      <c r="V2" s="744" t="s">
        <v>10</v>
      </c>
      <c r="W2" s="745"/>
      <c r="X2" s="746"/>
      <c r="Y2" s="263"/>
      <c r="Z2" s="747" t="s">
        <v>11</v>
      </c>
      <c r="AA2" s="747"/>
      <c r="AB2" s="747"/>
      <c r="AC2" s="747"/>
      <c r="AD2" s="264"/>
      <c r="AE2" s="264" t="s">
        <v>12</v>
      </c>
      <c r="AF2" s="264" t="s">
        <v>13</v>
      </c>
      <c r="AG2" s="747" t="s">
        <v>14</v>
      </c>
      <c r="AH2" s="747"/>
      <c r="AI2" s="747"/>
      <c r="AJ2" s="264" t="s">
        <v>15</v>
      </c>
      <c r="AK2" s="747" t="s">
        <v>16</v>
      </c>
      <c r="AL2" s="747"/>
      <c r="AM2" s="747"/>
      <c r="AN2" s="264" t="s">
        <v>17</v>
      </c>
      <c r="AO2" s="5" t="s">
        <v>18</v>
      </c>
      <c r="AP2" s="748" t="s">
        <v>19</v>
      </c>
      <c r="AQ2" s="749"/>
      <c r="AR2" s="749"/>
      <c r="AS2" s="749"/>
      <c r="AT2" s="749"/>
      <c r="AU2" s="749"/>
      <c r="AV2" s="749"/>
      <c r="AW2" s="749"/>
      <c r="AX2" s="749"/>
      <c r="AY2" s="750"/>
      <c r="AZ2" s="748" t="s">
        <v>20</v>
      </c>
      <c r="BA2" s="749"/>
      <c r="BB2" s="749"/>
      <c r="BC2" s="749"/>
      <c r="BD2" s="749"/>
      <c r="BE2" s="749"/>
      <c r="BF2" s="749"/>
      <c r="BG2" s="749"/>
      <c r="BH2" s="74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-533245</v>
      </c>
      <c r="H6" s="19">
        <f>'3'!G8</f>
        <v>-543589</v>
      </c>
      <c r="I6" s="19">
        <v>9</v>
      </c>
      <c r="J6" s="49">
        <f t="shared" si="3"/>
        <v>-4892301</v>
      </c>
      <c r="K6" s="45">
        <f t="shared" si="4"/>
        <v>-2691.0346534653463</v>
      </c>
      <c r="L6" s="19">
        <f>'3'!G15</f>
        <v>-27705.070000000065</v>
      </c>
      <c r="M6" s="19">
        <v>56.2</v>
      </c>
      <c r="N6" s="45">
        <f t="shared" si="5"/>
        <v>-1557024.9340000039</v>
      </c>
      <c r="O6" s="19">
        <f>'3'!G20</f>
        <v>-1288</v>
      </c>
      <c r="P6" s="19">
        <v>108</v>
      </c>
      <c r="Q6" s="46">
        <f t="shared" si="0"/>
        <v>-139104</v>
      </c>
      <c r="R6" s="47">
        <f t="shared" si="1"/>
        <v>-1250.2426713259561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-2253</v>
      </c>
      <c r="W6" s="22">
        <f>'3'!G66</f>
        <v>-493</v>
      </c>
      <c r="X6" s="22">
        <f>'3'!G67</f>
        <v>-655</v>
      </c>
      <c r="Y6" s="22">
        <f>V6+W6+X6</f>
        <v>-3401</v>
      </c>
      <c r="Z6" s="19">
        <f>'3'!G84</f>
        <v>0</v>
      </c>
      <c r="AA6" s="19">
        <f>'3'!G85</f>
        <v>-205.44000000000005</v>
      </c>
      <c r="AB6" s="19">
        <f>'3'!G86</f>
        <v>-514.84999999999854</v>
      </c>
      <c r="AC6" s="19">
        <f>'3'!G87</f>
        <v>0</v>
      </c>
      <c r="AD6" s="19">
        <f t="shared" si="8"/>
        <v>-720.2899999999986</v>
      </c>
      <c r="AE6" s="23">
        <f t="shared" si="2"/>
        <v>-96007.19</v>
      </c>
      <c r="AF6" s="23">
        <f t="shared" si="9"/>
        <v>133.28963334212634</v>
      </c>
      <c r="AG6" s="19">
        <f>'3'!G88</f>
        <v>-7.3600000000005821</v>
      </c>
      <c r="AH6" s="19">
        <f>'3'!G89</f>
        <v>-242.43999999999869</v>
      </c>
      <c r="AI6" s="19">
        <f>'3'!G90</f>
        <v>-113.36999999999534</v>
      </c>
      <c r="AJ6" s="19">
        <f t="shared" si="10"/>
        <v>-363.16999999999462</v>
      </c>
      <c r="AK6" s="19">
        <f>'3'!G91</f>
        <v>-48</v>
      </c>
      <c r="AL6" s="19">
        <f>'3'!G92</f>
        <v>-275.85999999999967</v>
      </c>
      <c r="AM6" s="19"/>
      <c r="AN6" s="19">
        <f t="shared" si="11"/>
        <v>-323.85999999999967</v>
      </c>
      <c r="AO6" s="52">
        <f>'3'!G74</f>
        <v>-9133.3560000000289</v>
      </c>
      <c r="AP6" s="55">
        <f>'3'!G35</f>
        <v>124147.64000000001</v>
      </c>
      <c r="AQ6" s="19">
        <f>'3'!G37</f>
        <v>161463.65000000002</v>
      </c>
      <c r="AR6" s="19">
        <f>'3'!G38</f>
        <v>195431.64</v>
      </c>
      <c r="AS6" s="19">
        <f>'3'!G39</f>
        <v>354872.89</v>
      </c>
      <c r="AT6" s="19">
        <f>'3'!G40</f>
        <v>5548.98</v>
      </c>
      <c r="AU6" s="19">
        <f>'3'!G41</f>
        <v>0</v>
      </c>
      <c r="AV6" s="19">
        <f>'3'!G42</f>
        <v>-32655.25</v>
      </c>
      <c r="AW6" s="19">
        <f>'3'!G43</f>
        <v>-64071.62</v>
      </c>
      <c r="AX6" s="19">
        <f>'3'!G44</f>
        <v>0</v>
      </c>
      <c r="AY6" s="56">
        <f>'3'!G36</f>
        <v>-21028.78</v>
      </c>
      <c r="AZ6" s="55">
        <f>'3'!G49</f>
        <v>250399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-2106.6499999999996</v>
      </c>
      <c r="BE6" s="19">
        <f>'3'!G55</f>
        <v>-63351.939999999995</v>
      </c>
      <c r="BF6" s="19">
        <f>'3'!G56</f>
        <v>0</v>
      </c>
      <c r="BG6" s="19">
        <f>'3'!G57</f>
        <v>0</v>
      </c>
      <c r="BH6" s="56">
        <f>'3'!G50</f>
        <v>-30310.870000000003</v>
      </c>
      <c r="BI6" s="60">
        <f t="shared" si="12"/>
        <v>-96007.19</v>
      </c>
      <c r="BJ6" s="60">
        <f>'3'!G133</f>
        <v>-16197.869999999995</v>
      </c>
      <c r="BK6" s="23">
        <f t="shared" si="13"/>
        <v>-39.454041564490822</v>
      </c>
      <c r="BL6" s="23">
        <f t="shared" si="14"/>
        <v>-65.283309632829216</v>
      </c>
      <c r="BM6" s="24">
        <f t="shared" si="15"/>
        <v>-0.3595209616088626</v>
      </c>
      <c r="BN6" s="25">
        <f t="shared" si="16"/>
        <v>-6588429.9340000041</v>
      </c>
      <c r="BO6" s="38">
        <f t="shared" si="17"/>
        <v>-176276.68</v>
      </c>
      <c r="BP6">
        <f t="shared" si="18"/>
        <v>0.87403625127181084</v>
      </c>
    </row>
    <row r="7" spans="1:69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-16197.869999999995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-10606.429999999993</v>
      </c>
      <c r="BP7">
        <f t="shared" si="18"/>
        <v>-1.534850370456105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164</v>
      </c>
      <c r="P9" s="19">
        <v>108</v>
      </c>
      <c r="Q9" s="46">
        <f t="shared" si="0"/>
        <v>17712</v>
      </c>
      <c r="R9" s="47">
        <f t="shared" si="1"/>
        <v>104.08733181010408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256535.46000000261</v>
      </c>
      <c r="BO9" s="38">
        <f t="shared" si="17"/>
        <v>6559.0200000000041</v>
      </c>
      <c r="BP9">
        <f t="shared" si="18"/>
        <v>0.9695807710500024</v>
      </c>
    </row>
    <row r="10" spans="1:69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767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5650</v>
      </c>
      <c r="BP13">
        <f t="shared" si="18"/>
        <v>0.84112427797295664</v>
      </c>
    </row>
    <row r="14" spans="1:69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>
      <c r="A35" s="16" t="s">
        <v>196</v>
      </c>
      <c r="B35" s="30"/>
      <c r="C35" s="31"/>
      <c r="D35" s="32">
        <f>AVERAGE(D4:D34)</f>
        <v>24.548387096774192</v>
      </c>
      <c r="E35" s="33"/>
      <c r="F35" s="73">
        <f>AVERAGE(F4:F34)</f>
        <v>1.3629419354838708</v>
      </c>
      <c r="G35" s="34">
        <f>SUM(G4:G34)</f>
        <v>15</v>
      </c>
      <c r="H35" s="34">
        <f t="shared" ref="H35:BN35" si="37">SUM(H4:H34)</f>
        <v>0</v>
      </c>
      <c r="I35" s="19">
        <v>9</v>
      </c>
      <c r="J35" s="34">
        <f t="shared" si="37"/>
        <v>-3.4924596548080444E-10</v>
      </c>
      <c r="K35" s="34">
        <f t="shared" si="37"/>
        <v>4.1211478674085811E-13</v>
      </c>
      <c r="L35" s="34">
        <f t="shared" si="37"/>
        <v>0</v>
      </c>
      <c r="M35" s="34">
        <f t="shared" si="37"/>
        <v>1742.200000000001</v>
      </c>
      <c r="N35" s="34">
        <f t="shared" si="37"/>
        <v>-3.1286617740988731E-10</v>
      </c>
      <c r="O35" s="34">
        <f t="shared" si="37"/>
        <v>3960</v>
      </c>
      <c r="P35" s="34">
        <f t="shared" si="37"/>
        <v>3348</v>
      </c>
      <c r="Q35" s="34">
        <f t="shared" si="37"/>
        <v>427680</v>
      </c>
      <c r="R35" s="34">
        <f t="shared" si="37"/>
        <v>3105.5497136051517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-3028.4000000000015</v>
      </c>
      <c r="AF35" s="34">
        <f t="shared" si="37"/>
        <v>3996.0023866268211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168042.00000000003</v>
      </c>
      <c r="AQ35" s="34">
        <f t="shared" si="37"/>
        <v>207605.00000000006</v>
      </c>
      <c r="AR35" s="34">
        <f t="shared" si="37"/>
        <v>245682</v>
      </c>
      <c r="AS35" s="34">
        <f t="shared" si="37"/>
        <v>432761</v>
      </c>
      <c r="AT35" s="34">
        <f t="shared" si="37"/>
        <v>21877.599999999999</v>
      </c>
      <c r="AU35" s="34">
        <f t="shared" si="37"/>
        <v>0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285361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4949.66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-3028.4000000000015</v>
      </c>
      <c r="BJ35" s="34">
        <f t="shared" si="37"/>
        <v>-16394.049999999988</v>
      </c>
      <c r="BK35" s="34">
        <f t="shared" si="37"/>
        <v>1261.408213795298</v>
      </c>
      <c r="BL35" s="34">
        <f t="shared" si="37"/>
        <v>365.81074479036738</v>
      </c>
      <c r="BM35" s="34">
        <f t="shared" si="37"/>
        <v>2.4214696792075321</v>
      </c>
      <c r="BN35" s="34">
        <f t="shared" si="37"/>
        <v>435270.00000000047</v>
      </c>
      <c r="BO35" s="38">
        <f t="shared" si="17"/>
        <v>-19422.449999999983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>
      <c r="F37" s="38">
        <f>AVERAGE(F4:F35)</f>
        <v>1.3629419354838708</v>
      </c>
      <c r="G37" s="38"/>
      <c r="H37" s="38">
        <f>AVERAGE(H4:H35)</f>
        <v>0</v>
      </c>
    </row>
    <row r="38" spans="1:68">
      <c r="B38" s="36" t="s">
        <v>66</v>
      </c>
      <c r="F38" s="72">
        <f>AVERAGE(F4:F35)</f>
        <v>1.3629419354838708</v>
      </c>
      <c r="G38" s="72"/>
    </row>
    <row r="41" spans="1:68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topLeftCell="A20" workbookViewId="0">
      <selection activeCell="F35" sqref="F3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>
      <c r="A2" s="248">
        <v>1</v>
      </c>
      <c r="B2" s="463">
        <f>C2/202%</f>
        <v>77.227722772277232</v>
      </c>
      <c r="C2" s="463">
        <v>156</v>
      </c>
      <c r="D2" s="463">
        <v>5</v>
      </c>
      <c r="E2" s="463">
        <v>80</v>
      </c>
      <c r="F2" s="464">
        <v>614</v>
      </c>
      <c r="G2" s="464">
        <f>C2+D2</f>
        <v>161</v>
      </c>
      <c r="H2" s="465">
        <f>C2/202%</f>
        <v>77.227722772277232</v>
      </c>
      <c r="I2" s="466"/>
      <c r="J2" s="465">
        <f>'Section Load'!C5/G2</f>
        <v>108.4400621118011</v>
      </c>
      <c r="K2">
        <f>10/202</f>
        <v>4.9504950495049507E-2</v>
      </c>
    </row>
    <row r="3" spans="1:17">
      <c r="A3" s="248">
        <v>2</v>
      </c>
      <c r="B3" s="463">
        <f t="shared" ref="B3:B32" si="0">C3/202%</f>
        <v>53.465346534653463</v>
      </c>
      <c r="C3" s="463">
        <v>108</v>
      </c>
      <c r="D3" s="463">
        <v>5</v>
      </c>
      <c r="E3" s="463">
        <v>56</v>
      </c>
      <c r="F3" s="464">
        <v>516</v>
      </c>
      <c r="G3" s="464">
        <f t="shared" ref="G3:G31" si="1">C3+D3</f>
        <v>113</v>
      </c>
      <c r="H3" s="465">
        <f t="shared" ref="H3:H32" si="2">C3/202%</f>
        <v>53.465346534653463</v>
      </c>
      <c r="I3" s="466"/>
      <c r="J3" s="465">
        <f>'Section Load'!C6/G3</f>
        <v>162.28318584070797</v>
      </c>
    </row>
    <row r="4" spans="1:17">
      <c r="A4" s="248">
        <v>3</v>
      </c>
      <c r="B4" s="463">
        <f t="shared" si="0"/>
        <v>54.455445544554458</v>
      </c>
      <c r="C4" s="463">
        <v>110</v>
      </c>
      <c r="D4" s="463">
        <v>5</v>
      </c>
      <c r="E4" s="463">
        <v>57</v>
      </c>
      <c r="F4" s="464">
        <v>306</v>
      </c>
      <c r="G4" s="464">
        <f t="shared" si="1"/>
        <v>115</v>
      </c>
      <c r="H4" s="465">
        <f t="shared" si="2"/>
        <v>54.455445544554458</v>
      </c>
      <c r="I4" s="466"/>
      <c r="J4" s="465">
        <f>'Section Load'!C7/G4</f>
        <v>-4726.8608695652174</v>
      </c>
      <c r="Q4" s="485">
        <f>C2/202</f>
        <v>0.7722772277227723</v>
      </c>
    </row>
    <row r="5" spans="1:17">
      <c r="A5" s="248">
        <v>4</v>
      </c>
      <c r="B5" s="463">
        <f t="shared" si="0"/>
        <v>62.376237623762378</v>
      </c>
      <c r="C5" s="463">
        <v>126</v>
      </c>
      <c r="D5" s="463">
        <v>6</v>
      </c>
      <c r="E5" s="463">
        <v>65</v>
      </c>
      <c r="F5" s="464">
        <v>385</v>
      </c>
      <c r="G5" s="464">
        <f t="shared" si="1"/>
        <v>132</v>
      </c>
      <c r="H5" s="465">
        <f t="shared" si="2"/>
        <v>62.376237623762378</v>
      </c>
      <c r="I5" s="466"/>
      <c r="J5" s="465">
        <f>'Section Load'!C8/G5</f>
        <v>153.17386363636373</v>
      </c>
    </row>
    <row r="6" spans="1:17">
      <c r="A6" s="248">
        <v>5</v>
      </c>
      <c r="B6" s="463">
        <f t="shared" si="0"/>
        <v>59.900990099009903</v>
      </c>
      <c r="C6" s="463">
        <v>121</v>
      </c>
      <c r="D6" s="463">
        <v>6</v>
      </c>
      <c r="E6" s="463">
        <v>63</v>
      </c>
      <c r="F6" s="464">
        <v>417</v>
      </c>
      <c r="G6" s="464">
        <f t="shared" si="1"/>
        <v>127</v>
      </c>
      <c r="H6" s="465">
        <f t="shared" si="2"/>
        <v>59.900990099009903</v>
      </c>
      <c r="I6" s="466"/>
      <c r="J6" s="465">
        <f>'Section Load'!C9/G6</f>
        <v>160.11850393700777</v>
      </c>
    </row>
    <row r="7" spans="1:17">
      <c r="A7" s="248">
        <v>6</v>
      </c>
      <c r="B7" s="463">
        <f t="shared" si="0"/>
        <v>58.415841584158414</v>
      </c>
      <c r="C7" s="463">
        <v>118</v>
      </c>
      <c r="D7" s="463">
        <v>10</v>
      </c>
      <c r="E7" s="463">
        <v>63</v>
      </c>
      <c r="F7" s="464">
        <v>477</v>
      </c>
      <c r="G7" s="464">
        <f t="shared" si="1"/>
        <v>128</v>
      </c>
      <c r="H7" s="465">
        <f t="shared" si="2"/>
        <v>58.415841584158414</v>
      </c>
      <c r="I7" s="466"/>
      <c r="J7" s="465">
        <f>'Section Load'!C10/G7</f>
        <v>161.78125</v>
      </c>
    </row>
    <row r="8" spans="1:17">
      <c r="A8" s="248">
        <v>7</v>
      </c>
      <c r="B8" s="463">
        <f t="shared" si="0"/>
        <v>50.990099009900987</v>
      </c>
      <c r="C8" s="463">
        <v>103</v>
      </c>
      <c r="D8" s="463">
        <v>12</v>
      </c>
      <c r="E8" s="463">
        <v>57</v>
      </c>
      <c r="F8" s="464">
        <v>355</v>
      </c>
      <c r="G8" s="464">
        <f t="shared" si="1"/>
        <v>115</v>
      </c>
      <c r="H8" s="465">
        <f t="shared" si="2"/>
        <v>50.990099009900987</v>
      </c>
      <c r="I8" s="466"/>
      <c r="J8" s="465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>
      <c r="A9" s="248">
        <v>8</v>
      </c>
      <c r="B9" s="463">
        <f t="shared" si="0"/>
        <v>50.495049504950494</v>
      </c>
      <c r="C9" s="463">
        <v>102</v>
      </c>
      <c r="D9" s="463">
        <v>10</v>
      </c>
      <c r="E9" s="463">
        <v>55</v>
      </c>
      <c r="F9" s="464">
        <v>301</v>
      </c>
      <c r="G9" s="464">
        <f t="shared" si="1"/>
        <v>112</v>
      </c>
      <c r="H9" s="465">
        <f t="shared" si="2"/>
        <v>50.495049504950494</v>
      </c>
      <c r="I9" s="466"/>
      <c r="J9" s="465">
        <f>'Section Load'!C12/G9</f>
        <v>175.41964285714286</v>
      </c>
    </row>
    <row r="10" spans="1:17">
      <c r="A10" s="248">
        <v>9</v>
      </c>
      <c r="B10" s="463">
        <f t="shared" si="0"/>
        <v>49.009900990099013</v>
      </c>
      <c r="C10" s="463">
        <v>99</v>
      </c>
      <c r="D10" s="463">
        <v>11</v>
      </c>
      <c r="E10" s="463">
        <v>54</v>
      </c>
      <c r="F10" s="464">
        <v>349</v>
      </c>
      <c r="G10" s="464">
        <f t="shared" si="1"/>
        <v>110</v>
      </c>
      <c r="H10" s="465">
        <f t="shared" si="2"/>
        <v>49.009900990099013</v>
      </c>
      <c r="I10" s="466"/>
      <c r="J10" s="465">
        <f>'Section Load'!C13/G10</f>
        <v>163.73636363636365</v>
      </c>
    </row>
    <row r="11" spans="1:17">
      <c r="A11" s="248">
        <v>10</v>
      </c>
      <c r="B11" s="463">
        <f t="shared" si="0"/>
        <v>45.544554455445542</v>
      </c>
      <c r="C11" s="463">
        <v>92</v>
      </c>
      <c r="D11" s="463">
        <v>11</v>
      </c>
      <c r="E11" s="463">
        <v>51</v>
      </c>
      <c r="F11" s="464">
        <v>280</v>
      </c>
      <c r="G11" s="464">
        <f t="shared" si="1"/>
        <v>103</v>
      </c>
      <c r="H11" s="465">
        <f t="shared" si="2"/>
        <v>45.544554455445542</v>
      </c>
      <c r="I11" s="466"/>
      <c r="J11" s="465">
        <f>'Section Load'!C14/G11</f>
        <v>165.66019417475729</v>
      </c>
    </row>
    <row r="12" spans="1:17">
      <c r="A12" s="248">
        <v>11</v>
      </c>
      <c r="B12" s="463">
        <f t="shared" si="0"/>
        <v>35.148514851485146</v>
      </c>
      <c r="C12" s="463">
        <v>71</v>
      </c>
      <c r="D12" s="463">
        <v>11</v>
      </c>
      <c r="E12" s="463">
        <v>41</v>
      </c>
      <c r="F12" s="464">
        <v>290</v>
      </c>
      <c r="G12" s="464">
        <f t="shared" si="1"/>
        <v>82</v>
      </c>
      <c r="H12" s="465">
        <f t="shared" si="2"/>
        <v>35.148514851485146</v>
      </c>
      <c r="I12" s="466"/>
      <c r="J12" s="465">
        <f>'Section Load'!C15/G12</f>
        <v>210.51219512195121</v>
      </c>
    </row>
    <row r="13" spans="1:17">
      <c r="A13" s="248">
        <v>12</v>
      </c>
      <c r="B13" s="463">
        <f t="shared" si="0"/>
        <v>35.643564356435647</v>
      </c>
      <c r="C13" s="463">
        <v>72</v>
      </c>
      <c r="D13" s="463">
        <v>11</v>
      </c>
      <c r="E13" s="463">
        <v>41</v>
      </c>
      <c r="F13" s="463">
        <v>302</v>
      </c>
      <c r="G13" s="464">
        <f t="shared" si="1"/>
        <v>83</v>
      </c>
      <c r="H13" s="465">
        <f t="shared" si="2"/>
        <v>35.643564356435647</v>
      </c>
      <c r="I13" s="466"/>
      <c r="J13" s="465">
        <f>'Section Load'!C16/G13</f>
        <v>201.36144578313252</v>
      </c>
    </row>
    <row r="14" spans="1:17">
      <c r="A14" s="248">
        <v>13</v>
      </c>
      <c r="B14" s="463">
        <f t="shared" si="0"/>
        <v>38.118811881188115</v>
      </c>
      <c r="C14" s="463">
        <v>77</v>
      </c>
      <c r="D14" s="463">
        <v>11</v>
      </c>
      <c r="E14" s="463">
        <f t="shared" ref="E14:E31" si="3">SUM(C14:D14)/202%</f>
        <v>43.564356435643568</v>
      </c>
      <c r="F14" s="463">
        <v>249</v>
      </c>
      <c r="G14" s="464">
        <f t="shared" si="1"/>
        <v>88</v>
      </c>
      <c r="H14" s="465">
        <f t="shared" si="2"/>
        <v>38.118811881188115</v>
      </c>
      <c r="I14" s="466"/>
      <c r="J14" s="465">
        <f>'Section Load'!C17/G14</f>
        <v>193.75</v>
      </c>
    </row>
    <row r="15" spans="1:17">
      <c r="A15" s="248">
        <v>14</v>
      </c>
      <c r="B15" s="463">
        <f t="shared" si="0"/>
        <v>42.079207920792079</v>
      </c>
      <c r="C15" s="463">
        <v>85</v>
      </c>
      <c r="D15" s="463">
        <v>10</v>
      </c>
      <c r="E15" s="463">
        <f t="shared" si="3"/>
        <v>47.029702970297031</v>
      </c>
      <c r="F15" s="463">
        <v>224</v>
      </c>
      <c r="G15" s="464">
        <f t="shared" si="1"/>
        <v>95</v>
      </c>
      <c r="H15" s="465">
        <f t="shared" si="2"/>
        <v>42.079207920792079</v>
      </c>
      <c r="I15" s="466"/>
      <c r="J15" s="465">
        <f>'Section Load'!C18/G15</f>
        <v>183.47368421052633</v>
      </c>
    </row>
    <row r="16" spans="1:17">
      <c r="A16" s="248">
        <v>15</v>
      </c>
      <c r="B16" s="463">
        <f t="shared" si="0"/>
        <v>55.445544554455445</v>
      </c>
      <c r="C16" s="463">
        <v>112</v>
      </c>
      <c r="D16" s="463">
        <v>9</v>
      </c>
      <c r="E16" s="463">
        <f t="shared" si="3"/>
        <v>59.900990099009903</v>
      </c>
      <c r="F16" s="463">
        <v>338</v>
      </c>
      <c r="G16" s="464">
        <f t="shared" si="1"/>
        <v>121</v>
      </c>
      <c r="H16" s="465">
        <f t="shared" si="2"/>
        <v>55.445544554455445</v>
      </c>
      <c r="I16" s="466"/>
      <c r="J16" s="465">
        <f>'Section Load'!C19/G16</f>
        <v>143.21247933884314</v>
      </c>
    </row>
    <row r="17" spans="1:10">
      <c r="A17" s="248">
        <v>16</v>
      </c>
      <c r="B17" s="463">
        <f t="shared" si="0"/>
        <v>40.099009900990097</v>
      </c>
      <c r="C17" s="463">
        <v>81</v>
      </c>
      <c r="D17" s="463">
        <v>8</v>
      </c>
      <c r="E17" s="463">
        <f>SUM(C17:D17)/202%</f>
        <v>44.059405940594061</v>
      </c>
      <c r="F17" s="463">
        <v>309</v>
      </c>
      <c r="G17" s="464">
        <f t="shared" si="1"/>
        <v>89</v>
      </c>
      <c r="H17" s="465">
        <f t="shared" si="2"/>
        <v>40.099009900990097</v>
      </c>
      <c r="I17" s="466"/>
      <c r="J17" s="465">
        <f>'Section Load'!C20/G17</f>
        <v>195.57629213483122</v>
      </c>
    </row>
    <row r="18" spans="1:10">
      <c r="A18" s="248">
        <v>17</v>
      </c>
      <c r="B18" s="463">
        <f t="shared" si="0"/>
        <v>42.079207920792079</v>
      </c>
      <c r="C18" s="463">
        <v>85</v>
      </c>
      <c r="D18" s="463">
        <v>9</v>
      </c>
      <c r="E18" s="463">
        <f t="shared" si="3"/>
        <v>46.534653465346537</v>
      </c>
      <c r="F18" s="463">
        <v>204</v>
      </c>
      <c r="G18" s="464">
        <f t="shared" si="1"/>
        <v>94</v>
      </c>
      <c r="H18" s="465">
        <f t="shared" si="2"/>
        <v>42.079207920792079</v>
      </c>
      <c r="I18" s="466"/>
      <c r="J18" s="465">
        <f>'Section Load'!C21/G18</f>
        <v>186.62765957446808</v>
      </c>
    </row>
    <row r="19" spans="1:10">
      <c r="A19" s="248">
        <v>18</v>
      </c>
      <c r="B19" s="463">
        <f t="shared" si="0"/>
        <v>47.524752475247524</v>
      </c>
      <c r="C19" s="467">
        <v>96</v>
      </c>
      <c r="D19" s="467">
        <v>9</v>
      </c>
      <c r="E19" s="463">
        <f t="shared" si="3"/>
        <v>51.980198019801982</v>
      </c>
      <c r="F19" s="467">
        <v>325</v>
      </c>
      <c r="G19" s="464">
        <f t="shared" si="1"/>
        <v>105</v>
      </c>
      <c r="H19" s="465">
        <f t="shared" si="2"/>
        <v>47.524752475247524</v>
      </c>
      <c r="I19" s="466"/>
      <c r="J19" s="465">
        <f>'Section Load'!C22/G19</f>
        <v>172.04600000000016</v>
      </c>
    </row>
    <row r="20" spans="1:10">
      <c r="A20" s="248">
        <v>19</v>
      </c>
      <c r="B20" s="463">
        <f t="shared" si="0"/>
        <v>43.564356435643568</v>
      </c>
      <c r="C20" s="463">
        <v>88</v>
      </c>
      <c r="D20" s="463">
        <v>10</v>
      </c>
      <c r="E20" s="463">
        <f t="shared" si="3"/>
        <v>48.514851485148512</v>
      </c>
      <c r="F20" s="463">
        <v>304</v>
      </c>
      <c r="G20" s="464">
        <f t="shared" si="1"/>
        <v>98</v>
      </c>
      <c r="H20" s="465">
        <f t="shared" si="2"/>
        <v>43.564356435643568</v>
      </c>
      <c r="I20" s="466"/>
      <c r="J20" s="465">
        <f>'Section Load'!C23/G20</f>
        <v>191.03234693877533</v>
      </c>
    </row>
    <row r="21" spans="1:10">
      <c r="A21" s="248">
        <v>20</v>
      </c>
      <c r="B21" s="463">
        <f t="shared" si="0"/>
        <v>39.10891089108911</v>
      </c>
      <c r="C21" s="463">
        <v>79</v>
      </c>
      <c r="D21" s="463">
        <v>10</v>
      </c>
      <c r="E21" s="463">
        <f t="shared" si="3"/>
        <v>44.059405940594061</v>
      </c>
      <c r="F21" s="463">
        <v>304</v>
      </c>
      <c r="G21" s="464">
        <f t="shared" si="1"/>
        <v>89</v>
      </c>
      <c r="H21" s="465">
        <f t="shared" si="2"/>
        <v>39.10891089108911</v>
      </c>
      <c r="I21" s="466"/>
      <c r="J21" s="465">
        <f>'Section Load'!C24/G21</f>
        <v>194.79449438202272</v>
      </c>
    </row>
    <row r="22" spans="1:10">
      <c r="A22" s="248">
        <v>21</v>
      </c>
      <c r="B22" s="463">
        <f t="shared" si="0"/>
        <v>47.029702970297031</v>
      </c>
      <c r="C22" s="463">
        <v>95</v>
      </c>
      <c r="D22" s="463">
        <v>14</v>
      </c>
      <c r="E22" s="463">
        <f t="shared" si="3"/>
        <v>53.960396039603957</v>
      </c>
      <c r="F22" s="463">
        <v>338</v>
      </c>
      <c r="G22" s="464">
        <f t="shared" si="1"/>
        <v>109</v>
      </c>
      <c r="H22" s="465">
        <f t="shared" si="2"/>
        <v>47.029702970297031</v>
      </c>
      <c r="I22" s="466"/>
      <c r="J22" s="465">
        <f>'Section Load'!C25/G22</f>
        <v>170.16550458715577</v>
      </c>
    </row>
    <row r="23" spans="1:10">
      <c r="A23" s="248">
        <v>22</v>
      </c>
      <c r="B23" s="463">
        <v>83</v>
      </c>
      <c r="C23" s="463">
        <v>131</v>
      </c>
      <c r="D23" s="463">
        <v>13</v>
      </c>
      <c r="E23" s="463">
        <f t="shared" si="3"/>
        <v>71.287128712871294</v>
      </c>
      <c r="F23" s="463">
        <v>462</v>
      </c>
      <c r="G23" s="464">
        <f t="shared" si="1"/>
        <v>144</v>
      </c>
      <c r="H23" s="465">
        <f t="shared" si="2"/>
        <v>64.851485148514854</v>
      </c>
      <c r="I23" s="466"/>
      <c r="J23" s="465">
        <f>'Section Load'!C26/G23</f>
        <v>138.35250000000008</v>
      </c>
    </row>
    <row r="24" spans="1:10">
      <c r="A24" s="248">
        <v>23</v>
      </c>
      <c r="B24" s="463">
        <v>98</v>
      </c>
      <c r="C24" s="463">
        <v>108</v>
      </c>
      <c r="D24" s="463">
        <v>16</v>
      </c>
      <c r="E24" s="463">
        <f t="shared" si="3"/>
        <v>61.386138613861384</v>
      </c>
      <c r="F24" s="463">
        <v>825</v>
      </c>
      <c r="G24" s="464">
        <f t="shared" si="1"/>
        <v>124</v>
      </c>
      <c r="H24" s="465">
        <f t="shared" si="2"/>
        <v>53.465346534653463</v>
      </c>
      <c r="I24" s="466"/>
      <c r="J24" s="465">
        <f>'Section Load'!C27/G24</f>
        <v>156.3574193548383</v>
      </c>
    </row>
    <row r="25" spans="1:10">
      <c r="A25" s="248">
        <v>24</v>
      </c>
      <c r="B25" s="463">
        <f t="shared" si="0"/>
        <v>47.524752475247524</v>
      </c>
      <c r="C25" s="463">
        <v>96</v>
      </c>
      <c r="D25" s="463">
        <v>12</v>
      </c>
      <c r="E25" s="463">
        <f t="shared" si="3"/>
        <v>53.465346534653463</v>
      </c>
      <c r="F25" s="463">
        <v>358</v>
      </c>
      <c r="G25" s="464">
        <f t="shared" si="1"/>
        <v>108</v>
      </c>
      <c r="H25" s="465">
        <f t="shared" si="2"/>
        <v>47.524752475247524</v>
      </c>
      <c r="I25" s="466"/>
      <c r="J25" s="465">
        <f>'Section Load'!C28/G25</f>
        <v>156.26083333333372</v>
      </c>
    </row>
    <row r="26" spans="1:10">
      <c r="A26" s="248">
        <v>25</v>
      </c>
      <c r="B26" s="463">
        <f t="shared" si="0"/>
        <v>59.900990099009903</v>
      </c>
      <c r="C26" s="463">
        <v>121</v>
      </c>
      <c r="D26" s="463">
        <v>12</v>
      </c>
      <c r="E26" s="463">
        <f t="shared" si="3"/>
        <v>65.841584158415841</v>
      </c>
      <c r="F26" s="463">
        <v>384</v>
      </c>
      <c r="G26" s="464">
        <f t="shared" si="1"/>
        <v>133</v>
      </c>
      <c r="H26" s="465">
        <f t="shared" si="2"/>
        <v>59.900990099009903</v>
      </c>
      <c r="I26" s="466"/>
      <c r="J26" s="465">
        <f>'Section Load'!C29/G26</f>
        <v>125.01503759398496</v>
      </c>
    </row>
    <row r="27" spans="1:10">
      <c r="A27" s="248">
        <v>26</v>
      </c>
      <c r="B27" s="463">
        <f t="shared" si="0"/>
        <v>59.405940594059409</v>
      </c>
      <c r="C27" s="463">
        <v>120</v>
      </c>
      <c r="D27" s="463">
        <v>12</v>
      </c>
      <c r="E27" s="463">
        <f t="shared" si="3"/>
        <v>65.346534653465341</v>
      </c>
      <c r="F27" s="463">
        <v>323</v>
      </c>
      <c r="G27" s="464">
        <f t="shared" si="1"/>
        <v>132</v>
      </c>
      <c r="H27" s="465">
        <f t="shared" si="2"/>
        <v>59.405940594059409</v>
      </c>
      <c r="I27" s="466"/>
      <c r="J27" s="465">
        <f>'Section Load'!C30/G27</f>
        <v>127.96969696969697</v>
      </c>
    </row>
    <row r="28" spans="1:10">
      <c r="A28" s="248">
        <v>27</v>
      </c>
      <c r="B28" s="463">
        <f t="shared" si="0"/>
        <v>51.980198019801982</v>
      </c>
      <c r="C28" s="463">
        <v>105</v>
      </c>
      <c r="D28" s="463">
        <v>12</v>
      </c>
      <c r="E28" s="463">
        <f t="shared" si="3"/>
        <v>57.920792079207921</v>
      </c>
      <c r="F28" s="463">
        <v>327</v>
      </c>
      <c r="G28" s="464">
        <f t="shared" si="1"/>
        <v>117</v>
      </c>
      <c r="H28" s="465">
        <f t="shared" si="2"/>
        <v>51.980198019801982</v>
      </c>
      <c r="I28" s="466"/>
      <c r="J28" s="465">
        <f>'Section Load'!C31/G28</f>
        <v>151.2905982905983</v>
      </c>
    </row>
    <row r="29" spans="1:10">
      <c r="A29" s="248">
        <v>28</v>
      </c>
      <c r="B29" s="463">
        <f t="shared" si="0"/>
        <v>60.89108910891089</v>
      </c>
      <c r="C29" s="463">
        <v>123</v>
      </c>
      <c r="D29" s="463">
        <v>12</v>
      </c>
      <c r="E29" s="463">
        <f t="shared" si="3"/>
        <v>66.831683168316829</v>
      </c>
      <c r="F29" s="463">
        <v>389</v>
      </c>
      <c r="G29" s="464">
        <f t="shared" si="1"/>
        <v>135</v>
      </c>
      <c r="H29" s="465">
        <f t="shared" si="2"/>
        <v>60.89108910891089</v>
      </c>
      <c r="I29" s="466"/>
      <c r="J29" s="465">
        <f>'Section Load'!C32/G29</f>
        <v>132.48888888888888</v>
      </c>
    </row>
    <row r="30" spans="1:10">
      <c r="A30" s="248">
        <v>29</v>
      </c>
      <c r="B30" s="463">
        <f>C30/202%</f>
        <v>73.267326732673268</v>
      </c>
      <c r="C30" s="463">
        <v>148</v>
      </c>
      <c r="D30" s="463">
        <v>12</v>
      </c>
      <c r="E30" s="463">
        <f t="shared" si="3"/>
        <v>79.207920792079207</v>
      </c>
      <c r="F30" s="463">
        <v>445</v>
      </c>
      <c r="G30" s="464">
        <f t="shared" si="1"/>
        <v>160</v>
      </c>
      <c r="H30" s="465">
        <f>C30/202%</f>
        <v>73.267326732673268</v>
      </c>
      <c r="I30" s="466"/>
      <c r="J30" s="465">
        <f>'Section Load'!C33/G30</f>
        <v>109.325</v>
      </c>
    </row>
    <row r="31" spans="1:10">
      <c r="A31" s="248">
        <v>30</v>
      </c>
      <c r="B31" s="463">
        <f t="shared" si="0"/>
        <v>55.940594059405939</v>
      </c>
      <c r="C31" s="463">
        <v>113</v>
      </c>
      <c r="D31" s="463">
        <v>11</v>
      </c>
      <c r="E31" s="463">
        <f t="shared" si="3"/>
        <v>61.386138613861384</v>
      </c>
      <c r="F31" s="463">
        <v>450</v>
      </c>
      <c r="G31" s="468">
        <f t="shared" si="1"/>
        <v>124</v>
      </c>
      <c r="H31" s="465">
        <f t="shared" si="2"/>
        <v>55.940594059405939</v>
      </c>
      <c r="I31" s="466"/>
      <c r="J31" s="465">
        <f>'Section Load'!C34/G31</f>
        <v>141.36290322580646</v>
      </c>
    </row>
    <row r="32" spans="1:10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>
      <c r="A33" t="s">
        <v>316</v>
      </c>
      <c r="B33" s="275">
        <f>AVERAGE(B2:B31)</f>
        <v>53.921122112211201</v>
      </c>
      <c r="C33" s="275">
        <f t="shared" ref="C33:H33" si="4">AVERAGE(C2:C31)</f>
        <v>104.7</v>
      </c>
      <c r="D33" s="275">
        <f t="shared" si="4"/>
        <v>10.166666666666666</v>
      </c>
      <c r="E33" s="275">
        <f t="shared" si="4"/>
        <v>56.84257425742576</v>
      </c>
      <c r="F33" s="275">
        <f t="shared" si="4"/>
        <v>371.66666666666669</v>
      </c>
      <c r="G33" s="275">
        <f t="shared" si="4"/>
        <v>114.86666666666666</v>
      </c>
      <c r="H33" s="275">
        <f t="shared" si="4"/>
        <v>51.831683168316815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C1" zoomScale="90" zoomScaleNormal="90" workbookViewId="0">
      <selection activeCell="N4" sqref="N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162.28318584070797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120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-1588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>
      <c r="B7" s="93"/>
      <c r="C7" s="90" t="s">
        <v>70</v>
      </c>
      <c r="D7" s="91">
        <f>'1'!G62</f>
        <v>63</v>
      </c>
      <c r="E7" s="91">
        <f>'2'!G62</f>
        <v>305</v>
      </c>
      <c r="F7" s="91">
        <f>'3'!G62</f>
        <v>-2641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-3355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>
      <c r="B9" s="751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-2253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>
      <c r="B10" s="751"/>
      <c r="C10" s="90" t="s">
        <v>32</v>
      </c>
      <c r="D10" s="91">
        <f>'1'!G66</f>
        <v>17</v>
      </c>
      <c r="E10" s="91">
        <f>'2'!G66</f>
        <v>20</v>
      </c>
      <c r="F10" s="91">
        <f>'3'!G66</f>
        <v>-493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>
      <c r="B11" s="751"/>
      <c r="C11" s="90" t="s">
        <v>33</v>
      </c>
      <c r="D11" s="91">
        <f>'1'!G67</f>
        <v>14</v>
      </c>
      <c r="E11" s="91">
        <f>'2'!G67</f>
        <v>20</v>
      </c>
      <c r="F11" s="91">
        <f>'3'!G67</f>
        <v>-655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51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-1113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>
      <c r="B14" s="751"/>
      <c r="C14" s="90" t="s">
        <v>32</v>
      </c>
      <c r="D14" s="91">
        <f>'1'!G69</f>
        <v>9</v>
      </c>
      <c r="E14" s="91">
        <f>'2'!G69</f>
        <v>19</v>
      </c>
      <c r="F14" s="91">
        <f>'3'!G69</f>
        <v>-297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>
      <c r="B15" s="751"/>
      <c r="C15" s="90" t="s">
        <v>33</v>
      </c>
      <c r="D15" s="91">
        <f>'1'!G70</f>
        <v>8</v>
      </c>
      <c r="E15" s="91">
        <f>'2'!G70</f>
        <v>10</v>
      </c>
      <c r="F15" s="91">
        <f>'3'!G70</f>
        <v>-244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5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51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-329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>
      <c r="B19" s="751"/>
      <c r="C19" s="90" t="s">
        <v>76</v>
      </c>
      <c r="D19" s="90">
        <f>'1'!G175</f>
        <v>10</v>
      </c>
      <c r="E19" s="91">
        <f>'2'!G175</f>
        <v>9</v>
      </c>
      <c r="F19" s="91">
        <f>'3'!G175</f>
        <v>-293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51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-1650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>
      <c r="B22" s="751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-896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>
      <c r="B23" s="751"/>
      <c r="C23" s="90" t="s">
        <v>80</v>
      </c>
      <c r="D23" s="90">
        <f>'1'!G180</f>
        <v>3</v>
      </c>
      <c r="E23" s="91">
        <f>'2'!G180</f>
        <v>5</v>
      </c>
      <c r="F23" s="91">
        <f>'3'!G180</f>
        <v>-222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-1288</v>
      </c>
      <c r="G24" s="91">
        <f t="shared" si="0"/>
        <v>219</v>
      </c>
      <c r="H24" s="91">
        <f t="shared" si="0"/>
        <v>171</v>
      </c>
      <c r="I24" s="91">
        <f t="shared" si="0"/>
        <v>164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-3942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-2985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-2253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-1689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42.846270928462708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34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55" t="s">
        <v>308</v>
      </c>
      <c r="G2" s="756"/>
      <c r="H2" s="756"/>
      <c r="I2" s="756"/>
      <c r="J2" s="756"/>
      <c r="K2" s="756"/>
      <c r="L2" s="756"/>
      <c r="M2" s="757"/>
      <c r="N2" s="754" t="s">
        <v>86</v>
      </c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3"/>
      <c r="AO2" s="753"/>
      <c r="AP2" s="753"/>
      <c r="AQ2" s="753"/>
      <c r="AR2" s="753"/>
      <c r="AS2" s="753"/>
      <c r="AT2" s="753"/>
      <c r="AU2" s="635"/>
      <c r="AV2" s="752" t="s">
        <v>87</v>
      </c>
      <c r="AW2" s="752"/>
      <c r="AX2" s="752"/>
      <c r="AY2" s="752"/>
      <c r="BB2" s="318" t="s">
        <v>334</v>
      </c>
      <c r="BC2" s="318" t="s">
        <v>335</v>
      </c>
    </row>
    <row r="3" spans="1:55">
      <c r="F3" s="637"/>
      <c r="G3" s="638"/>
      <c r="H3" s="638"/>
      <c r="I3" s="638"/>
      <c r="J3" s="638"/>
      <c r="K3" s="638"/>
      <c r="L3" s="638"/>
      <c r="M3" s="639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6"/>
      <c r="AN3" s="758" t="s">
        <v>138</v>
      </c>
      <c r="AO3" s="758"/>
      <c r="AP3" s="758"/>
      <c r="AQ3" s="758"/>
      <c r="AR3" s="758"/>
      <c r="AS3" s="758"/>
      <c r="AT3" s="758"/>
      <c r="AU3" s="759" t="s">
        <v>283</v>
      </c>
      <c r="AV3" s="759"/>
      <c r="AW3" s="759"/>
      <c r="AX3" s="759"/>
      <c r="AY3" s="759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0" t="s">
        <v>284</v>
      </c>
      <c r="G4" s="641" t="s">
        <v>285</v>
      </c>
      <c r="H4" s="641" t="s">
        <v>286</v>
      </c>
      <c r="I4" s="641" t="s">
        <v>287</v>
      </c>
      <c r="J4" s="641" t="s">
        <v>282</v>
      </c>
      <c r="K4" s="641" t="s">
        <v>51</v>
      </c>
      <c r="L4" s="642" t="s">
        <v>60</v>
      </c>
      <c r="M4" s="642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643">
        <f>'1'!G7</f>
        <v>17264.770000000019</v>
      </c>
      <c r="C5" s="643">
        <f>'1'!G8</f>
        <v>17458.849999999977</v>
      </c>
      <c r="D5" s="643">
        <f>'1'!G15</f>
        <v>918.55799999996088</v>
      </c>
      <c r="E5" s="643">
        <f>'1'!G20</f>
        <v>235</v>
      </c>
      <c r="F5" s="643">
        <f>SUM('1'!G35,'1'!G49)</f>
        <v>2185.1000000000022</v>
      </c>
      <c r="G5" s="643">
        <f>SUM('1'!H37,'1'!H51)</f>
        <v>1554.1100000000006</v>
      </c>
      <c r="H5" s="643">
        <f>SUM('1'!G38,'1'!G52)</f>
        <v>1620.2699999999968</v>
      </c>
      <c r="I5" s="643">
        <f>SUM('1'!G39,'1'!G53)</f>
        <v>2609.5899999999965</v>
      </c>
      <c r="J5" s="643">
        <f>SUM('1'!G41,'1'!G42,'1'!G55,'1'!G56)</f>
        <v>3987.7899999999936</v>
      </c>
      <c r="K5" s="643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>
      <c r="A6" s="359">
        <v>2</v>
      </c>
      <c r="B6" s="643">
        <f>'2'!G7</f>
        <v>18049</v>
      </c>
      <c r="C6" s="643">
        <f>'2'!G8</f>
        <v>18338</v>
      </c>
      <c r="D6" s="643">
        <f>'2'!G15</f>
        <v>983.14500000001863</v>
      </c>
      <c r="E6" s="643">
        <f>'2'!G20</f>
        <v>183</v>
      </c>
      <c r="F6" s="643">
        <f>SUM('2'!G35,'2'!G49)</f>
        <v>2435.0399999999972</v>
      </c>
      <c r="G6" s="643">
        <f>SUM('2'!G37,'2'!G51)</f>
        <v>1547.1000000000058</v>
      </c>
      <c r="H6" s="643">
        <f>SUM('2'!G38,'2'!G52)</f>
        <v>1758.7900000000009</v>
      </c>
      <c r="I6" s="643">
        <f>SUM('2'!G39,'2'!G53)</f>
        <v>2628.2200000000012</v>
      </c>
      <c r="J6" s="643">
        <f>SUM('2'!G41,'2'!G42,'2'!G55,'2'!G56)</f>
        <v>3469.6100000000006</v>
      </c>
      <c r="K6" s="643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>
      <c r="A7" s="359">
        <v>3</v>
      </c>
      <c r="B7" s="643">
        <f>'3'!G7</f>
        <v>-533245</v>
      </c>
      <c r="C7" s="643">
        <f>'3'!G8</f>
        <v>-543589</v>
      </c>
      <c r="D7" s="643">
        <f>'3'!G15</f>
        <v>-27705.070000000065</v>
      </c>
      <c r="E7" s="643">
        <f>'3'!G20</f>
        <v>-1288</v>
      </c>
      <c r="F7" s="643">
        <f>SUM('3'!G35,'3'!G49)</f>
        <v>374546.64</v>
      </c>
      <c r="G7" s="643">
        <f>SUM('3'!G37,'3'!G51)</f>
        <v>161463.65000000002</v>
      </c>
      <c r="H7" s="643">
        <f>SUM('3'!G38,'3'!G52)</f>
        <v>195431.64</v>
      </c>
      <c r="I7" s="643">
        <f>SUM('3'!G39,'3'!G53)</f>
        <v>354872.89</v>
      </c>
      <c r="J7" s="643">
        <f>SUM('3'!G41,'3'!G42,'3'!G55,'3'!G56)</f>
        <v>-96007.19</v>
      </c>
      <c r="K7" s="643">
        <f>SUM('3'!G43,'3'!G57)</f>
        <v>-64071.62</v>
      </c>
      <c r="L7" s="251">
        <f>'3'!G50</f>
        <v>-30310.870000000003</v>
      </c>
      <c r="M7" s="251">
        <f>'3'!G36</f>
        <v>-21028.78</v>
      </c>
      <c r="N7" s="251">
        <f>'3'!G138</f>
        <v>-1886</v>
      </c>
      <c r="O7" s="251">
        <f>'3'!$G$139</f>
        <v>-29</v>
      </c>
      <c r="P7" s="251">
        <f>'3'!$G$140</f>
        <v>-36.700000000011642</v>
      </c>
      <c r="Q7" s="251">
        <f>'3'!$G$141</f>
        <v>-5173</v>
      </c>
      <c r="R7" s="251">
        <f>'3'!$G$142</f>
        <v>-2205.4400000000023</v>
      </c>
      <c r="S7" s="251">
        <f>'3'!$G$145</f>
        <v>-378.36999999999989</v>
      </c>
      <c r="T7" s="251">
        <f>'3'!$G$146</f>
        <v>-11853</v>
      </c>
      <c r="U7" s="251">
        <f>'3'!$G$144</f>
        <v>-6549</v>
      </c>
      <c r="V7" s="251">
        <f>'3'!$G$147</f>
        <v>-10814.319999999949</v>
      </c>
      <c r="W7" s="251">
        <f>'3'!$G$148</f>
        <v>-5988.7199999999721</v>
      </c>
      <c r="X7" s="251">
        <f>'3'!$G$143</f>
        <v>-767.38999999999987</v>
      </c>
      <c r="Y7" s="251">
        <f>'3'!$G$58</f>
        <v>87443.840000000011</v>
      </c>
      <c r="Z7" s="251">
        <f>'3'!$G$151</f>
        <v>-7034</v>
      </c>
      <c r="AA7" s="254">
        <f>'3'!G161</f>
        <v>-1001.1199999999953</v>
      </c>
      <c r="AB7" s="254">
        <f>'3'!G162</f>
        <v>-960.89999999999418</v>
      </c>
      <c r="AC7" s="254"/>
      <c r="AD7" s="254">
        <f>'3'!G163+'3'!G164</f>
        <v>-1416.2000000000035</v>
      </c>
      <c r="AE7" s="251">
        <f>'3'!$G$116</f>
        <v>0</v>
      </c>
      <c r="AF7" s="251">
        <f>'3'!$G$117</f>
        <v>-742.27</v>
      </c>
      <c r="AG7" s="251">
        <f>'3'!$G$118</f>
        <v>-10314.360000000015</v>
      </c>
      <c r="AH7" s="251">
        <f>'3'!$G$119</f>
        <v>-12582.340000000026</v>
      </c>
      <c r="AI7" s="251">
        <f>'3'!$G$120</f>
        <v>-12428.509999999998</v>
      </c>
      <c r="AJ7" s="251">
        <f>'3'!$G$121</f>
        <v>-20626.399999999965</v>
      </c>
      <c r="AK7" s="251">
        <f>'3'!$G$122</f>
        <v>-5890.2800000000134</v>
      </c>
      <c r="AL7" s="251">
        <f>'3'!$G$123</f>
        <v>-8408.6999999999825</v>
      </c>
      <c r="AM7" s="251">
        <f>'3'!$G$133</f>
        <v>-16197.869999999995</v>
      </c>
      <c r="AN7" s="251">
        <f>'3'!$G$15</f>
        <v>-27705.070000000065</v>
      </c>
      <c r="AO7" s="251">
        <f>'3'!$G$74</f>
        <v>-9133.3560000000289</v>
      </c>
      <c r="AP7" s="251">
        <f>'3'!$G$75</f>
        <v>0</v>
      </c>
      <c r="AQ7" s="251">
        <f>'3'!$G$76</f>
        <v>-2682.7699999999895</v>
      </c>
      <c r="AR7" s="251">
        <f>'3'!$G$77</f>
        <v>-963</v>
      </c>
      <c r="AS7" s="251">
        <f>'3'!$G$78</f>
        <v>-28.400000000001455</v>
      </c>
      <c r="AT7" s="251">
        <f t="shared" si="0"/>
        <v>-14897.544000000045</v>
      </c>
      <c r="AU7" s="254">
        <f>SUM('3'!G91:G92)</f>
        <v>-323.85999999999967</v>
      </c>
      <c r="AV7" s="251">
        <f>'3'!$G$88</f>
        <v>-7.3600000000005821</v>
      </c>
      <c r="AW7" s="251">
        <f>'3'!$G$89</f>
        <v>-242.43999999999869</v>
      </c>
      <c r="AX7" s="251">
        <f>'3'!$G$90</f>
        <v>-113.36999999999534</v>
      </c>
      <c r="AY7" s="255">
        <f t="shared" si="1"/>
        <v>-363.16999999999462</v>
      </c>
      <c r="AZ7" s="311">
        <f t="shared" si="2"/>
        <v>28.20155622799987</v>
      </c>
      <c r="BA7" s="311">
        <f t="shared" si="3"/>
        <v>41.020855246854822</v>
      </c>
      <c r="BB7" s="351">
        <f t="shared" si="4"/>
        <v>-1557268.85</v>
      </c>
      <c r="BC7" s="351">
        <f t="shared" si="5"/>
        <v>292.03627788352446</v>
      </c>
    </row>
    <row r="8" spans="1:55">
      <c r="A8" s="359">
        <v>4</v>
      </c>
      <c r="B8" s="643">
        <f>'4'!G7</f>
        <v>19783.089999999997</v>
      </c>
      <c r="C8" s="643">
        <f>'4'!G8</f>
        <v>20218.950000000012</v>
      </c>
      <c r="D8" s="643">
        <f>'4'!G15</f>
        <v>1035.25</v>
      </c>
      <c r="E8" s="643">
        <f>'4'!G20</f>
        <v>219</v>
      </c>
      <c r="F8" s="643">
        <f>SUM('4'!G35,'4'!G49)</f>
        <v>3322.8600000000151</v>
      </c>
      <c r="G8" s="643">
        <f>SUM('4'!G37,'4'!G51)</f>
        <v>1526.8799999999756</v>
      </c>
      <c r="H8" s="643">
        <f>SUM('4'!G38,'4'!G52)</f>
        <v>1752.359999999986</v>
      </c>
      <c r="I8" s="643">
        <f>SUM('4'!G39,'4'!G53)</f>
        <v>2740.5200000000186</v>
      </c>
      <c r="J8" s="643">
        <f>SUM('4'!G41,'4'!G42,'4'!G55,'4'!G56)</f>
        <v>3146.7900000000009</v>
      </c>
      <c r="K8" s="643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A8" s="311">
        <f t="shared" si="3"/>
        <v>40.367676767680422</v>
      </c>
      <c r="BB8" s="351">
        <f t="shared" si="4"/>
        <v>5111.2300000000141</v>
      </c>
      <c r="BC8" s="351">
        <f t="shared" si="5"/>
        <v>25.836358223108803</v>
      </c>
    </row>
    <row r="9" spans="1:55">
      <c r="A9" s="359">
        <v>5</v>
      </c>
      <c r="B9" s="643">
        <f>'5'!G7</f>
        <v>19899.910000000003</v>
      </c>
      <c r="C9" s="643">
        <f>'5'!G8</f>
        <v>20335.049999999988</v>
      </c>
      <c r="D9" s="643">
        <f>'5'!G15</f>
        <v>1002.0500000000466</v>
      </c>
      <c r="E9" s="643">
        <f>'5'!G20</f>
        <v>171</v>
      </c>
      <c r="F9" s="643">
        <f>SUM('5'!G35,'5'!G49)</f>
        <v>3487.7099999999919</v>
      </c>
      <c r="G9" s="643">
        <f>SUM('5'!G37,'5'!G51)</f>
        <v>1513.0600000000268</v>
      </c>
      <c r="H9" s="643">
        <f>SUM('5'!G38,'5'!G52)</f>
        <v>1672.4000000000233</v>
      </c>
      <c r="I9" s="643">
        <f>SUM('5'!G39,'5'!G53)</f>
        <v>2669.0800000000163</v>
      </c>
      <c r="J9" s="643">
        <f>SUM('5'!G41,'5'!G42,'5'!G55,'5'!G56)</f>
        <v>3314.6699999999983</v>
      </c>
      <c r="K9" s="643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A9" s="311">
        <f t="shared" si="3"/>
        <v>41.786969253308889</v>
      </c>
      <c r="BB9" s="351">
        <f t="shared" si="4"/>
        <v>5193.8499999999312</v>
      </c>
      <c r="BC9" s="351">
        <f t="shared" si="5"/>
        <v>26.099866783316763</v>
      </c>
    </row>
    <row r="10" spans="1:55">
      <c r="A10" s="359">
        <v>6</v>
      </c>
      <c r="B10" s="643">
        <f>'6'!G7</f>
        <v>20272</v>
      </c>
      <c r="C10" s="643">
        <f>'6'!G8</f>
        <v>20708</v>
      </c>
      <c r="D10" s="643">
        <f>'6'!G15</f>
        <v>933.30000000004657</v>
      </c>
      <c r="E10" s="643">
        <f>'6'!G20</f>
        <v>164</v>
      </c>
      <c r="F10" s="643">
        <f>SUM('6'!G35,'6'!G49)</f>
        <v>3481.4799999999814</v>
      </c>
      <c r="G10" s="643">
        <f>SUM('6'!G37,'6'!G51)</f>
        <v>1517.109999999986</v>
      </c>
      <c r="H10" s="643">
        <f>SUM('6'!G38,'6'!G52)</f>
        <v>1687.109999999986</v>
      </c>
      <c r="I10" s="643">
        <f>SUM('6'!G39,'6'!G53)</f>
        <v>2707.4099999999744</v>
      </c>
      <c r="J10" s="643">
        <f>SUM('6'!G41,'6'!G42,'6'!G55,'6'!G56)</f>
        <v>3311.0800000000017</v>
      </c>
      <c r="K10" s="643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28" si="6">AO10/AU10</f>
        <v>28.592488262910209</v>
      </c>
      <c r="BA10" s="311">
        <f t="shared" si="3"/>
        <v>43.009274873512531</v>
      </c>
      <c r="BB10" s="351">
        <f t="shared" si="4"/>
        <v>5365.4700000000721</v>
      </c>
      <c r="BC10" s="351">
        <f t="shared" si="5"/>
        <v>26.4673934490927</v>
      </c>
    </row>
    <row r="11" spans="1:55">
      <c r="A11" s="359">
        <v>7</v>
      </c>
      <c r="B11" s="643">
        <f>'7'!G7</f>
        <v>19831</v>
      </c>
      <c r="C11" s="643">
        <f>'7'!G8</f>
        <v>20261</v>
      </c>
      <c r="D11" s="643">
        <f>'7'!G15</f>
        <v>963</v>
      </c>
      <c r="E11" s="643">
        <f>'7'!G20</f>
        <v>214</v>
      </c>
      <c r="F11" s="643">
        <f>SUM('7'!G35,'7'!G49)</f>
        <v>3527</v>
      </c>
      <c r="G11" s="643">
        <f>SUM('7'!G37,'7'!G51)</f>
        <v>1524</v>
      </c>
      <c r="H11" s="643">
        <f>SUM('7'!G38,'7'!G52)</f>
        <v>1668</v>
      </c>
      <c r="I11" s="643">
        <f>SUM('7'!G39,'7'!G53)</f>
        <v>2675</v>
      </c>
      <c r="J11" s="643">
        <f>SUM('7'!G41,'7'!G42,'7'!G55,'7'!G56)</f>
        <v>3369</v>
      </c>
      <c r="K11" s="643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>AO11/AU11</f>
        <v>28.584995251662608</v>
      </c>
      <c r="BA11" s="311">
        <f t="shared" si="3"/>
        <v>36.666666666666664</v>
      </c>
      <c r="BB11" s="351">
        <f t="shared" si="4"/>
        <v>5053</v>
      </c>
      <c r="BC11" s="351">
        <f t="shared" si="5"/>
        <v>25.480308607735363</v>
      </c>
    </row>
    <row r="12" spans="1:55">
      <c r="A12" s="359">
        <v>8</v>
      </c>
      <c r="B12" s="643">
        <f>'8'!G7</f>
        <v>19232</v>
      </c>
      <c r="C12" s="643">
        <f>'8'!G8</f>
        <v>19647</v>
      </c>
      <c r="D12" s="643">
        <f>'8'!G15</f>
        <v>925</v>
      </c>
      <c r="E12" s="643">
        <f>'8'!G20</f>
        <v>211</v>
      </c>
      <c r="F12" s="643">
        <f>SUM('8'!G35,'8'!G49)</f>
        <v>3416</v>
      </c>
      <c r="G12" s="643">
        <f>SUM('8'!G37,'8'!G51)</f>
        <v>1534</v>
      </c>
      <c r="H12" s="643">
        <f>SUM('8'!G38,'8'!G52)</f>
        <v>1715</v>
      </c>
      <c r="I12" s="643">
        <f>SUM('8'!G39,'8'!G53)</f>
        <v>2685</v>
      </c>
      <c r="J12" s="643">
        <f>SUM('8'!G41,'8'!G42,'8'!G55,'8'!G56)</f>
        <v>3190</v>
      </c>
      <c r="K12" s="643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AZ12" s="311">
        <f t="shared" si="6"/>
        <v>28.705440900563243</v>
      </c>
      <c r="BA12" s="311">
        <f t="shared" si="3"/>
        <v>39.07692307692308</v>
      </c>
      <c r="BB12" s="351">
        <f t="shared" si="4"/>
        <v>4756</v>
      </c>
      <c r="BC12" s="351">
        <f t="shared" si="5"/>
        <v>24.729617304492514</v>
      </c>
    </row>
    <row r="13" spans="1:55">
      <c r="A13" s="359">
        <v>9</v>
      </c>
      <c r="B13" s="643">
        <f>'9'!G7</f>
        <v>17711</v>
      </c>
      <c r="C13" s="643">
        <f>'9'!G8</f>
        <v>18011</v>
      </c>
      <c r="D13" s="643">
        <f>'9'!G15</f>
        <v>907</v>
      </c>
      <c r="E13" s="643">
        <f>'9'!G20</f>
        <v>205</v>
      </c>
      <c r="F13" s="643">
        <f>SUM('9'!G35,'9'!G49)</f>
        <v>3089</v>
      </c>
      <c r="G13" s="643">
        <f>SUM('9'!G37,'9'!G51)</f>
        <v>1472</v>
      </c>
      <c r="H13" s="643">
        <f>SUM('9'!G38,'9'!G52)</f>
        <v>1658</v>
      </c>
      <c r="I13" s="643">
        <f>SUM('9'!G39,'9'!G53)</f>
        <v>2610</v>
      </c>
      <c r="J13" s="643">
        <f>SUM('9'!G41,'9'!G42,'9'!G55,'9'!G56)</f>
        <v>2762.4599999999991</v>
      </c>
      <c r="K13" s="643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>
      <c r="A14" s="359">
        <v>10</v>
      </c>
      <c r="B14" s="643">
        <f>'10'!G7</f>
        <v>16861</v>
      </c>
      <c r="C14" s="643">
        <f>'10'!G8</f>
        <v>17063</v>
      </c>
      <c r="D14" s="643">
        <f>'10'!G15</f>
        <v>759</v>
      </c>
      <c r="E14" s="643">
        <f>'10'!G20</f>
        <v>124</v>
      </c>
      <c r="F14" s="643">
        <f>SUM('10'!G35,'10'!G49)</f>
        <v>2752</v>
      </c>
      <c r="G14" s="643">
        <f>SUM('10'!G37,'10'!G51)</f>
        <v>1452</v>
      </c>
      <c r="H14" s="643">
        <f>SUM('10'!G38,'10'!G52)</f>
        <v>1541</v>
      </c>
      <c r="I14" s="643">
        <f>SUM('10'!G39,'10'!G53)</f>
        <v>2574</v>
      </c>
      <c r="J14" s="643">
        <f>SUM('10'!G41,'10'!G42,'10'!G55,'10'!G56)</f>
        <v>2760</v>
      </c>
      <c r="K14" s="643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>
      <c r="A15" s="359">
        <v>11</v>
      </c>
      <c r="B15" s="643">
        <f>'11'!G7</f>
        <v>17025</v>
      </c>
      <c r="C15" s="643">
        <f>'11'!G8</f>
        <v>17262</v>
      </c>
      <c r="D15" s="643">
        <f>'11'!G15</f>
        <v>931</v>
      </c>
      <c r="E15" s="643">
        <f>'11'!G20</f>
        <v>130</v>
      </c>
      <c r="F15" s="643">
        <f>SUM('11'!G35,'11'!G49)</f>
        <v>2699</v>
      </c>
      <c r="G15" s="643">
        <f>SUM('11'!G37,'11'!G51)</f>
        <v>1445</v>
      </c>
      <c r="H15" s="643">
        <f>SUM('11'!G38,'11'!G52)</f>
        <v>1494</v>
      </c>
      <c r="I15" s="643">
        <f>SUM('11'!G39,'11'!G53)</f>
        <v>2471</v>
      </c>
      <c r="J15" s="643">
        <f>SUM('11'!G41,'11'!G42,'11'!G55,'11'!G56)</f>
        <v>2906.3999999999942</v>
      </c>
      <c r="K15" s="643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>
      <c r="A16" s="359">
        <v>12</v>
      </c>
      <c r="B16" s="643">
        <f>'12'!G7</f>
        <v>16531</v>
      </c>
      <c r="C16" s="643">
        <f>'12'!G8</f>
        <v>16713</v>
      </c>
      <c r="D16" s="643">
        <f>'12'!G15</f>
        <v>644</v>
      </c>
      <c r="E16" s="643">
        <f>'12'!G20</f>
        <v>136</v>
      </c>
      <c r="F16" s="643">
        <f>SUM('12'!G35,'12'!G49)</f>
        <v>2756</v>
      </c>
      <c r="G16" s="643">
        <f>SUM('12'!G37,'12'!G51)</f>
        <v>1481</v>
      </c>
      <c r="H16" s="643">
        <f>SUM('12'!G38,'12'!G52)</f>
        <v>1484</v>
      </c>
      <c r="I16" s="643">
        <f>SUM('12'!G39,'12'!G53)</f>
        <v>2461</v>
      </c>
      <c r="J16" s="643">
        <f>SUM('12'!G41,'12'!G42,'12'!G55,'12'!G56)</f>
        <v>2812</v>
      </c>
      <c r="K16" s="643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>
      <c r="A17" s="359">
        <v>13</v>
      </c>
      <c r="B17" s="643">
        <f>'13'!G7</f>
        <v>16800</v>
      </c>
      <c r="C17" s="643">
        <f>'13'!G8</f>
        <v>17050</v>
      </c>
      <c r="D17" s="643">
        <f>'13'!G15</f>
        <v>957</v>
      </c>
      <c r="E17" s="643">
        <f>'13'!G20</f>
        <v>103</v>
      </c>
      <c r="F17" s="643">
        <f>SUM('13'!G35,'13'!G49)</f>
        <v>2750</v>
      </c>
      <c r="G17" s="643">
        <f>SUM('13'!G37,'13'!G51)</f>
        <v>1471</v>
      </c>
      <c r="H17" s="643">
        <f>SUM('13'!G38,'13'!G52)</f>
        <v>1543</v>
      </c>
      <c r="I17" s="643">
        <f>SUM('13'!G39,'13'!G53)</f>
        <v>2404</v>
      </c>
      <c r="J17" s="643">
        <f>SUM('13'!G41,'13'!G42,'13'!G55,'13'!G56)</f>
        <v>2861</v>
      </c>
      <c r="K17" s="643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>
      <c r="A18" s="359">
        <v>14</v>
      </c>
      <c r="B18" s="643">
        <f>'14'!G7</f>
        <v>17228</v>
      </c>
      <c r="C18" s="643">
        <f>'14'!G8</f>
        <v>17430</v>
      </c>
      <c r="D18" s="643">
        <f>'14'!G15</f>
        <v>745</v>
      </c>
      <c r="E18" s="643">
        <f>'14'!G20</f>
        <v>114</v>
      </c>
      <c r="F18" s="643">
        <f>SUM('14'!G35,'14'!G49)</f>
        <v>2564</v>
      </c>
      <c r="G18" s="643">
        <f>SUM('14'!G37,'14'!G51)</f>
        <v>1509</v>
      </c>
      <c r="H18" s="643">
        <f>SUM('14'!G38,'14'!G52)</f>
        <v>1832</v>
      </c>
      <c r="I18" s="643">
        <f>SUM('14'!G39,'14'!G53)</f>
        <v>2495</v>
      </c>
      <c r="J18" s="643">
        <f>SUM('14'!G41,'14'!G42,'14'!G55,'14'!G56)</f>
        <v>3132</v>
      </c>
      <c r="K18" s="643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>
      <c r="A19" s="359">
        <v>15</v>
      </c>
      <c r="B19" s="643">
        <f>'15'!G7</f>
        <v>17216.75</v>
      </c>
      <c r="C19" s="643">
        <f>'15'!G8</f>
        <v>17328.710000000021</v>
      </c>
      <c r="D19" s="643">
        <f>'15'!G15</f>
        <v>965</v>
      </c>
      <c r="E19" s="643">
        <f>'15'!G20</f>
        <v>155</v>
      </c>
      <c r="F19" s="643">
        <f>SUM('15'!G35,'15'!G49)</f>
        <v>2552.4300000000003</v>
      </c>
      <c r="G19" s="643">
        <f>SUM('15'!G37,'15'!G51)</f>
        <v>1497.7399999999998</v>
      </c>
      <c r="H19" s="643">
        <f>SUM('15'!G38,'15'!G52)</f>
        <v>1386.9500000000007</v>
      </c>
      <c r="I19" s="643">
        <f>SUM('15'!G39,'15'!G53)</f>
        <v>2494.9000000000015</v>
      </c>
      <c r="J19" s="643">
        <f>SUM('15'!G41,'15'!G42,'15'!G55,'15'!G56)</f>
        <v>3008.3700000000099</v>
      </c>
      <c r="K19" s="643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>
      <c r="A20" s="359">
        <v>16</v>
      </c>
      <c r="B20" s="643">
        <f>'16'!G7</f>
        <v>17314.25</v>
      </c>
      <c r="C20" s="643">
        <f>'16'!G8</f>
        <v>17406.289999999979</v>
      </c>
      <c r="D20" s="643">
        <f>'16'!G15</f>
        <v>1006</v>
      </c>
      <c r="E20" s="643">
        <f>'16'!G20</f>
        <v>135</v>
      </c>
      <c r="F20" s="643">
        <f>SUM('16'!G35,'16'!G49)</f>
        <v>2589.5699999999997</v>
      </c>
      <c r="G20" s="643">
        <f>SUM('16'!G37,'16'!G51)</f>
        <v>1483.2600000000002</v>
      </c>
      <c r="H20" s="643">
        <f>SUM('16'!G38,'16'!G52)</f>
        <v>1625.0499999999993</v>
      </c>
      <c r="I20" s="643">
        <f>SUM('16'!G39,'16'!G53)</f>
        <v>2600.0999999999985</v>
      </c>
      <c r="J20" s="643">
        <f>SUM('16'!G41,'16'!G42,'16'!G55,'16'!G56)</f>
        <v>3032.7699999999968</v>
      </c>
      <c r="K20" s="643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>
      <c r="A21" s="359">
        <v>17</v>
      </c>
      <c r="B21" s="643">
        <f>'17'!G7</f>
        <v>17454</v>
      </c>
      <c r="C21" s="643">
        <f>'17'!G8</f>
        <v>17543</v>
      </c>
      <c r="D21" s="643">
        <f>'17'!G15</f>
        <v>734.2730000000447</v>
      </c>
      <c r="E21" s="643">
        <f>'17'!G20</f>
        <v>133</v>
      </c>
      <c r="F21" s="643">
        <f>SUM('17'!G35,'17'!G49)</f>
        <v>2686.2100000000009</v>
      </c>
      <c r="G21" s="643">
        <f>SUM('17'!G37,'17'!G51)</f>
        <v>1510.42</v>
      </c>
      <c r="H21" s="643">
        <f>SUM('17'!G38,'17'!G52)</f>
        <v>1604.1599999999999</v>
      </c>
      <c r="I21" s="643">
        <f>SUM('17'!G39,'17'!G53)</f>
        <v>2698</v>
      </c>
      <c r="J21" s="643">
        <f>SUM('17'!G41,'17'!G42,'17'!G55,'17'!G56)</f>
        <v>3005.1699999999983</v>
      </c>
      <c r="K21" s="643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>
      <c r="A22" s="359">
        <v>18</v>
      </c>
      <c r="B22" s="643">
        <f>'18 '!G7</f>
        <v>17765</v>
      </c>
      <c r="C22" s="643">
        <f>'18 '!G8</f>
        <v>18064.830000000016</v>
      </c>
      <c r="D22" s="643">
        <f>'18 '!G15</f>
        <v>881.7269999999553</v>
      </c>
      <c r="E22" s="643">
        <f>'18 '!G20</f>
        <v>154</v>
      </c>
      <c r="F22" s="643">
        <f>SUM('18 '!G35,'18 '!G49)</f>
        <v>2634.4799999999996</v>
      </c>
      <c r="G22" s="643">
        <f>SUM('18 '!G37,'18 '!G51)</f>
        <v>1562.5499999999993</v>
      </c>
      <c r="H22" s="643">
        <f>SUM('18 '!G38,'18 '!G52)</f>
        <v>1696.2999999999993</v>
      </c>
      <c r="I22" s="643">
        <f>SUM('18 '!G39,'18 '!G53)</f>
        <v>2546.4900000000016</v>
      </c>
      <c r="J22" s="643">
        <f>SUM('18 '!G41,'18 '!G42,'18 '!G55,'18 '!G56)</f>
        <v>3090.5200000000041</v>
      </c>
      <c r="K22" s="643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>
      <c r="A23" s="359">
        <v>19</v>
      </c>
      <c r="B23" s="643">
        <f>'19'!G7</f>
        <v>18033</v>
      </c>
      <c r="C23" s="643">
        <f>'19'!G8</f>
        <v>18721.169999999984</v>
      </c>
      <c r="D23" s="643">
        <f>'19'!G15</f>
        <v>834.30000000004657</v>
      </c>
      <c r="E23" s="643">
        <f>'19'!G20</f>
        <v>157</v>
      </c>
      <c r="F23" s="643">
        <f>SUM('19'!G35,'19'!G49)</f>
        <v>2941.6499999999996</v>
      </c>
      <c r="G23" s="643">
        <f>SUM('19'!G37,'19'!G51)</f>
        <v>1596.17</v>
      </c>
      <c r="H23" s="643">
        <f>SUM('19'!G38,'19'!G52)</f>
        <v>1623.5400000000009</v>
      </c>
      <c r="I23" s="643">
        <f>SUM('19'!G39,'19'!G53)</f>
        <v>2646.0699999999997</v>
      </c>
      <c r="J23" s="643">
        <f>SUM('19'!G41,'19'!G42,'19'!G55,'19'!G56)</f>
        <v>2846.1399999999994</v>
      </c>
      <c r="K23" s="643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>
      <c r="A24" s="359">
        <v>20</v>
      </c>
      <c r="B24" s="643">
        <f>'20'!G7</f>
        <v>16723.150000000023</v>
      </c>
      <c r="C24" s="643">
        <f>'20'!G8</f>
        <v>17336.710000000021</v>
      </c>
      <c r="D24" s="643">
        <f>'20'!G15</f>
        <v>986.94999999995343</v>
      </c>
      <c r="E24" s="643">
        <f>'20'!G20</f>
        <v>216</v>
      </c>
      <c r="F24" s="643">
        <f>SUM('20'!G35,'20'!G49)</f>
        <v>2570.5700000000015</v>
      </c>
      <c r="G24" s="643">
        <f>SUM('20'!G37,'20'!G51)</f>
        <v>1537.7799999999988</v>
      </c>
      <c r="H24" s="643">
        <f>SUM('20'!G38,'20'!G52)</f>
        <v>1612.8499999999985</v>
      </c>
      <c r="I24" s="643">
        <f>SUM('20'!G39,'20'!G53)</f>
        <v>2507.0499999999993</v>
      </c>
      <c r="J24" s="643">
        <f>SUM('20'!G41,'20'!G42,'20'!G55,'20'!G56)</f>
        <v>2588.6399999999994</v>
      </c>
      <c r="K24" s="643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>
      <c r="A25" s="359">
        <v>21</v>
      </c>
      <c r="B25" s="643">
        <f>'21'!G7</f>
        <v>17868.559999999998</v>
      </c>
      <c r="C25" s="643">
        <f>'21'!G8</f>
        <v>18548.039999999979</v>
      </c>
      <c r="D25" s="643">
        <f>'21'!G15</f>
        <v>1017.3400000000838</v>
      </c>
      <c r="E25" s="643">
        <f>'21'!G20</f>
        <v>167</v>
      </c>
      <c r="F25" s="643">
        <f>SUM('21'!G35,'21'!G49)</f>
        <v>2555.7699999999968</v>
      </c>
      <c r="G25" s="643">
        <f>SUM('21'!G37,'21'!G51)</f>
        <v>1565.5</v>
      </c>
      <c r="H25" s="643">
        <f>SUM('21'!G38,'21'!G52)</f>
        <v>1671.4500000000007</v>
      </c>
      <c r="I25" s="643">
        <f>SUM('21'!G39,'21'!G53)</f>
        <v>2598.239999999998</v>
      </c>
      <c r="J25" s="643">
        <f>SUM('21'!G41,'21'!G42,'21'!G55,'21'!G56)</f>
        <v>2838.3999999999942</v>
      </c>
      <c r="K25" s="643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>
      <c r="A26" s="359">
        <v>22</v>
      </c>
      <c r="B26" s="643">
        <f>'22'!G7</f>
        <v>19215.959999999963</v>
      </c>
      <c r="C26" s="643">
        <f>'22'!G8</f>
        <v>19922.760000000009</v>
      </c>
      <c r="D26" s="643">
        <f>'22'!G15</f>
        <v>1036.4099999999162</v>
      </c>
      <c r="E26" s="643">
        <f>'22'!G20</f>
        <v>176</v>
      </c>
      <c r="F26" s="643">
        <f>SUM('22'!G35,'22'!G49)</f>
        <v>2596.6300000000028</v>
      </c>
      <c r="G26" s="643">
        <f>SUM('22'!G37,'22'!G51)</f>
        <v>1587.0900000000001</v>
      </c>
      <c r="H26" s="643">
        <f>SUM('22'!G38,'22'!G52)</f>
        <v>1787.2400000000016</v>
      </c>
      <c r="I26" s="643">
        <f>SUM('22'!G39,'22'!G53)</f>
        <v>2648.7000000000044</v>
      </c>
      <c r="J26" s="643">
        <f>SUM('22'!G41,'22'!G42,'22'!G55,'22'!G56)</f>
        <v>3073.5800000000017</v>
      </c>
      <c r="K26" s="643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>
      <c r="A27" s="359">
        <v>23</v>
      </c>
      <c r="B27" s="643">
        <f>'23'!G7</f>
        <v>18703.160000000033</v>
      </c>
      <c r="C27" s="643">
        <f>'23'!G8</f>
        <v>19388.319999999949</v>
      </c>
      <c r="D27" s="643">
        <f>'23'!G15</f>
        <v>979.91999999992549</v>
      </c>
      <c r="E27" s="643">
        <f>'23'!G20</f>
        <v>216</v>
      </c>
      <c r="F27" s="643">
        <f>SUM('23'!G35,'23'!G49)</f>
        <v>2448.6800000000003</v>
      </c>
      <c r="G27" s="643">
        <f>SUM('23'!G37,'23'!G51)</f>
        <v>1571.9800000000032</v>
      </c>
      <c r="H27" s="643">
        <f>SUM('23'!G38,'23'!G52)</f>
        <v>1932.0699999999997</v>
      </c>
      <c r="I27" s="643">
        <f>SUM('23'!G39,'23'!G53)</f>
        <v>2576.25</v>
      </c>
      <c r="J27" s="643">
        <f>SUM('23'!G41,'23'!G42,'23'!G55,'23'!G56)</f>
        <v>2695.2200000000012</v>
      </c>
      <c r="K27" s="643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>
      <c r="A28" s="359">
        <v>24</v>
      </c>
      <c r="B28" s="643">
        <f>'24'!G7</f>
        <v>16363.169999999984</v>
      </c>
      <c r="C28" s="643">
        <f>'24'!G8</f>
        <v>16876.170000000042</v>
      </c>
      <c r="D28" s="643">
        <f>'24'!G15</f>
        <v>1037.0800000000745</v>
      </c>
      <c r="E28" s="643">
        <f>'24'!G20</f>
        <v>212</v>
      </c>
      <c r="F28" s="643">
        <f>SUM('24'!G35,'24'!G49)</f>
        <v>2037.0099999999984</v>
      </c>
      <c r="G28" s="643">
        <f>SUM('24'!G37,'24'!G51)</f>
        <v>1645.5099999999984</v>
      </c>
      <c r="H28" s="643">
        <f>SUM('24'!G38,'24'!G52)</f>
        <v>1826.3899999999994</v>
      </c>
      <c r="I28" s="643">
        <f>SUM('24'!G39,'24'!G53)</f>
        <v>2607.1999999999971</v>
      </c>
      <c r="J28" s="643">
        <f>SUM('24'!G41,'24'!G42,'24'!G55,'24'!G56)</f>
        <v>2484.3300000000017</v>
      </c>
      <c r="K28" s="643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>
      <c r="A29" s="359">
        <v>25</v>
      </c>
      <c r="B29" s="643">
        <f>'25'!G7</f>
        <v>16329</v>
      </c>
      <c r="C29" s="643">
        <f>'25'!G8</f>
        <v>16627</v>
      </c>
      <c r="D29" s="643">
        <f>'25'!G15</f>
        <v>815</v>
      </c>
      <c r="E29" s="643">
        <f>'25'!G20</f>
        <v>190</v>
      </c>
      <c r="F29" s="643">
        <f>SUM('25'!G35,'25'!G49)</f>
        <v>2140</v>
      </c>
      <c r="G29" s="643">
        <f>SUM('25'!G37,'25'!G51)</f>
        <v>1608</v>
      </c>
      <c r="H29" s="643">
        <f>SUM('25'!G38,'25'!G52)</f>
        <v>1761</v>
      </c>
      <c r="I29" s="643">
        <f>SUM('25'!G39,'25'!G53)</f>
        <v>2591</v>
      </c>
      <c r="J29" s="643">
        <f>SUM('25'!G41,'25'!G42,'25'!G55,'25'!G56)</f>
        <v>3028.3999999999942</v>
      </c>
      <c r="K29" s="643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>
      <c r="A30" s="359">
        <v>26</v>
      </c>
      <c r="B30" s="643">
        <f>'26'!G7</f>
        <v>16454</v>
      </c>
      <c r="C30" s="643">
        <f>'26'!G8</f>
        <v>16892</v>
      </c>
      <c r="D30" s="643">
        <f>'26'!G15</f>
        <v>936</v>
      </c>
      <c r="E30" s="643">
        <f>'26'!G20</f>
        <v>175</v>
      </c>
      <c r="F30" s="643">
        <f>SUM('26'!G35,'26'!G49)</f>
        <v>2079</v>
      </c>
      <c r="G30" s="643">
        <f>SUM('26'!G37,'26'!G51)</f>
        <v>1519</v>
      </c>
      <c r="H30" s="643">
        <f>SUM('26'!G38,'26'!G52)</f>
        <v>1746</v>
      </c>
      <c r="I30" s="643">
        <f>SUM('26'!G39,'26'!G53)</f>
        <v>2557</v>
      </c>
      <c r="J30" s="643">
        <f>SUM('26'!G41,'26'!G42,'26'!G55,'26'!G56)</f>
        <v>3448</v>
      </c>
      <c r="K30" s="643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>
      <c r="A31" s="359">
        <v>27</v>
      </c>
      <c r="B31" s="643">
        <f>'27'!G7</f>
        <v>17608</v>
      </c>
      <c r="C31" s="643">
        <f>'27'!G8</f>
        <v>17701</v>
      </c>
      <c r="D31" s="643">
        <f>'27'!G15</f>
        <v>954</v>
      </c>
      <c r="E31" s="643">
        <f>'27'!G20</f>
        <v>177</v>
      </c>
      <c r="F31" s="643">
        <f>SUM('27'!G35,'27'!G49)</f>
        <v>2111</v>
      </c>
      <c r="G31" s="643">
        <f>SUM('27'!G37,'27'!G51)</f>
        <v>1582</v>
      </c>
      <c r="H31" s="643">
        <f>SUM('27'!G38,'27'!G52)</f>
        <v>1792</v>
      </c>
      <c r="I31" s="643">
        <f>SUM('27'!G39,'27'!G53)</f>
        <v>2612</v>
      </c>
      <c r="J31" s="643">
        <f>SUM('27'!G41,'27'!G42,'27'!G55,'27'!G56)</f>
        <v>3934</v>
      </c>
      <c r="K31" s="643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>
      <c r="A32" s="359">
        <v>28</v>
      </c>
      <c r="B32" s="643">
        <f>'28'!G7</f>
        <v>17654</v>
      </c>
      <c r="C32" s="643">
        <f>'28'!G8</f>
        <v>17886</v>
      </c>
      <c r="D32" s="643">
        <f>'28'!G15</f>
        <v>971</v>
      </c>
      <c r="E32" s="643">
        <f>'28'!G20</f>
        <v>92</v>
      </c>
      <c r="F32" s="643">
        <f>SUM('28'!G35,'28'!G49)</f>
        <v>2153</v>
      </c>
      <c r="G32" s="643">
        <f>SUM('28'!G37,'28'!G51)</f>
        <v>1576</v>
      </c>
      <c r="H32" s="643">
        <f>SUM('28'!G38,'28'!G52)</f>
        <v>1753</v>
      </c>
      <c r="I32" s="643">
        <f>SUM('28'!G39,'28'!G53)</f>
        <v>2604</v>
      </c>
      <c r="J32" s="643">
        <f>SUM('28'!G41,'28'!G42,'28'!G55,'28'!G56)</f>
        <v>4136</v>
      </c>
      <c r="K32" s="643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>
      <c r="A33" s="359">
        <v>29</v>
      </c>
      <c r="B33" s="643">
        <f>'29'!G7</f>
        <v>17167</v>
      </c>
      <c r="C33" s="643">
        <f>'29'!G8</f>
        <v>17492</v>
      </c>
      <c r="D33" s="643">
        <f>'29'!G15</f>
        <v>1002</v>
      </c>
      <c r="E33" s="643">
        <f>'29'!G20</f>
        <v>312</v>
      </c>
      <c r="F33" s="643">
        <f>SUM('29'!G35,'29'!G49)</f>
        <v>2108</v>
      </c>
      <c r="G33" s="643">
        <f>SUM('29'!G37,'29'!G51)</f>
        <v>1611</v>
      </c>
      <c r="H33" s="643">
        <f>SUM('29'!G38,'29'!G52)</f>
        <v>1750</v>
      </c>
      <c r="I33" s="643">
        <f>SUM('29'!G39,'29'!G53)</f>
        <v>2606</v>
      </c>
      <c r="J33" s="643">
        <f>SUM('29'!G41,'29'!G42,'29'!G55,'29'!G56)</f>
        <v>3572</v>
      </c>
      <c r="K33" s="643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>
      <c r="A34" s="359">
        <v>30</v>
      </c>
      <c r="B34" s="643">
        <f>'30'!G7</f>
        <v>17289</v>
      </c>
      <c r="C34" s="643">
        <f>'30'!G8</f>
        <v>17529</v>
      </c>
      <c r="D34" s="643">
        <f>'30'!G15</f>
        <v>929</v>
      </c>
      <c r="E34" s="643">
        <f>'30'!G20</f>
        <v>226</v>
      </c>
      <c r="F34" s="643">
        <f>SUM('30'!G35,'30'!G49)</f>
        <v>2077</v>
      </c>
      <c r="G34" s="643">
        <f>SUM('30'!G37,'30'!G51)</f>
        <v>1553</v>
      </c>
      <c r="H34" s="643">
        <f>SUM('30'!G38,'30'!G52)</f>
        <v>1629</v>
      </c>
      <c r="I34" s="643">
        <f>SUM('30'!G39,'30'!G53)</f>
        <v>2616</v>
      </c>
      <c r="J34" s="643">
        <f>SUM('30'!G41,'30'!G42,'30'!G55,'30'!G56)</f>
        <v>3884</v>
      </c>
      <c r="K34" s="643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>
      <c r="A35" s="359">
        <v>31</v>
      </c>
      <c r="B35" s="643">
        <f>'31'!G7</f>
        <v>17614.229999999981</v>
      </c>
      <c r="C35" s="643">
        <f>'31'!G8</f>
        <v>17830.150000000023</v>
      </c>
      <c r="D35" s="643">
        <f>'31'!G15</f>
        <v>915.76699999999255</v>
      </c>
      <c r="E35" s="643">
        <f>'31'!G20</f>
        <v>146</v>
      </c>
      <c r="F35" s="643">
        <f>SUM('31'!G35,'31'!G49)</f>
        <v>2110.1699999999983</v>
      </c>
      <c r="G35" s="643">
        <f>SUM('31'!G37,'31'!G51)</f>
        <v>1588.0899999999965</v>
      </c>
      <c r="H35" s="643">
        <f>SUM('31'!G38,'31'!G52)</f>
        <v>1627.4300000000003</v>
      </c>
      <c r="I35" s="643">
        <f>SUM('31'!G39,'31'!G53)</f>
        <v>2649.2900000000009</v>
      </c>
      <c r="J35" s="643">
        <f>SUM('31'!G41,'31'!G42,'31'!G55,'31'!G56)</f>
        <v>4318.8500000000058</v>
      </c>
      <c r="K35" s="643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>
      <c r="A36" s="304" t="s">
        <v>359</v>
      </c>
      <c r="B36" s="305">
        <f>AVERAGE(B5:B35)</f>
        <v>0.4838709677419355</v>
      </c>
      <c r="C36" s="305">
        <f t="shared" ref="C36:BC36" si="9">AVERAGE(C5:C35)</f>
        <v>0</v>
      </c>
      <c r="D36" s="305">
        <f t="shared" si="9"/>
        <v>0</v>
      </c>
      <c r="E36" s="305">
        <f t="shared" si="9"/>
        <v>127.74193548387096</v>
      </c>
      <c r="F36" s="305">
        <f t="shared" si="9"/>
        <v>14625.903225806451</v>
      </c>
      <c r="G36" s="305">
        <f t="shared" si="9"/>
        <v>6696.9354838709696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-2.3470831013494922E-13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2987.923548387098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0.70142857142855064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0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28.417474776018675</v>
      </c>
      <c r="BA36" s="305">
        <f t="shared" si="9"/>
        <v>41.299380017781161</v>
      </c>
      <c r="BB36" s="305">
        <f t="shared" si="9"/>
        <v>-46196.020322580633</v>
      </c>
      <c r="BC36" s="305">
        <f t="shared" si="9"/>
        <v>32.037864635218902</v>
      </c>
    </row>
    <row r="37" spans="1:55">
      <c r="A37" s="261" t="s">
        <v>196</v>
      </c>
      <c r="B37" s="305">
        <f>SUM(B5:B35)</f>
        <v>15</v>
      </c>
      <c r="C37" s="305">
        <f t="shared" ref="C37:BC37" si="10">SUM(C5:C35)</f>
        <v>0</v>
      </c>
      <c r="D37" s="305">
        <f t="shared" si="10"/>
        <v>0</v>
      </c>
      <c r="E37" s="305">
        <f t="shared" si="10"/>
        <v>3960</v>
      </c>
      <c r="F37" s="305">
        <f>SUM(F5:F35)</f>
        <v>453403</v>
      </c>
      <c r="G37" s="305">
        <f t="shared" si="10"/>
        <v>207605.00000000006</v>
      </c>
      <c r="H37" s="305">
        <f t="shared" si="10"/>
        <v>245682</v>
      </c>
      <c r="I37" s="305">
        <f t="shared" si="10"/>
        <v>432761</v>
      </c>
      <c r="J37" s="305">
        <f t="shared" si="10"/>
        <v>-7.2759576141834259E-12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92625.630000000034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14.729999999999563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0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682.01939462444818</v>
      </c>
      <c r="BA37" s="305">
        <f t="shared" si="10"/>
        <v>1280.2807805512159</v>
      </c>
      <c r="BB37" s="305">
        <f t="shared" si="10"/>
        <v>-1432076.6299999997</v>
      </c>
      <c r="BC37" s="305">
        <f t="shared" si="10"/>
        <v>993.17380369178591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644">
        <f t="shared" ref="F39:K39" si="11">F19-F18</f>
        <v>-11.569999999999709</v>
      </c>
      <c r="G39" s="644">
        <f t="shared" si="11"/>
        <v>-11.260000000000218</v>
      </c>
      <c r="H39" s="644">
        <f t="shared" si="11"/>
        <v>-445.04999999999927</v>
      </c>
      <c r="I39" s="644">
        <f t="shared" si="11"/>
        <v>-9.9999999998544808E-2</v>
      </c>
      <c r="J39" s="644">
        <f t="shared" si="11"/>
        <v>-123.6299999999901</v>
      </c>
      <c r="K39" s="644">
        <f t="shared" si="11"/>
        <v>1.7100000000064028</v>
      </c>
      <c r="L39" s="644"/>
      <c r="M39" s="644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15" zoomScale="60" zoomScaleNormal="61" zoomScalePageLayoutView="70" workbookViewId="0">
      <selection activeCell="A146" sqref="A146:XFD146"/>
    </sheetView>
  </sheetViews>
  <sheetFormatPr defaultColWidth="22.33203125" defaultRowHeight="21.95" customHeight="1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3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>
      <c r="A1" s="778" t="s">
        <v>115</v>
      </c>
      <c r="B1" s="779"/>
      <c r="C1" s="779"/>
      <c r="D1" s="779"/>
      <c r="E1" s="779"/>
      <c r="F1" s="779"/>
      <c r="G1" s="779"/>
      <c r="H1" s="779"/>
      <c r="I1" s="779"/>
      <c r="J1" s="780"/>
    </row>
    <row r="2" spans="1:15" ht="27">
      <c r="A2" s="508" t="s">
        <v>350</v>
      </c>
      <c r="B2" s="531">
        <v>44593</v>
      </c>
      <c r="C2" s="378" t="s">
        <v>67</v>
      </c>
      <c r="D2" s="379">
        <v>0.40589999999999998</v>
      </c>
      <c r="E2" s="701"/>
      <c r="F2" s="378"/>
      <c r="G2" s="713" t="s">
        <v>116</v>
      </c>
      <c r="H2" s="378" t="s">
        <v>5</v>
      </c>
      <c r="I2" s="378" t="s">
        <v>7</v>
      </c>
      <c r="J2" s="383" t="s">
        <v>117</v>
      </c>
    </row>
    <row r="3" spans="1:15" ht="22.5">
      <c r="A3" s="509"/>
      <c r="B3" s="380"/>
      <c r="C3" s="378" t="s">
        <v>118</v>
      </c>
      <c r="D3" s="381">
        <v>23</v>
      </c>
      <c r="E3" s="790" t="s">
        <v>119</v>
      </c>
      <c r="F3" s="791"/>
      <c r="G3" s="713"/>
      <c r="H3" s="382"/>
      <c r="I3" s="382"/>
      <c r="J3" s="383"/>
      <c r="K3" s="532"/>
      <c r="L3" s="427"/>
    </row>
    <row r="4" spans="1:15" ht="27">
      <c r="A4" s="510"/>
      <c r="B4" s="384"/>
      <c r="C4" s="378" t="s">
        <v>120</v>
      </c>
      <c r="D4" s="379">
        <v>0.55000000000000004</v>
      </c>
      <c r="E4" s="702"/>
      <c r="F4" s="385"/>
      <c r="G4" s="713"/>
      <c r="H4" s="385"/>
      <c r="I4" s="386"/>
      <c r="J4" s="383"/>
      <c r="K4" s="533"/>
      <c r="L4" s="427"/>
    </row>
    <row r="5" spans="1:15" s="160" customFormat="1" ht="22.5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8"/>
      <c r="L5" s="180"/>
    </row>
    <row r="6" spans="1:15" ht="22.5">
      <c r="A6" s="781" t="s">
        <v>128</v>
      </c>
      <c r="B6" s="782"/>
      <c r="C6" s="783"/>
      <c r="D6" s="389"/>
      <c r="E6" s="389"/>
      <c r="F6" s="390"/>
      <c r="G6" s="714"/>
      <c r="H6" s="390"/>
      <c r="I6" s="390"/>
      <c r="J6" s="391"/>
      <c r="K6" s="534"/>
      <c r="L6" s="427"/>
    </row>
    <row r="7" spans="1:15" ht="23.25" thickBot="1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50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50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>
      <c r="A9" s="514" t="s">
        <v>132</v>
      </c>
      <c r="B9" s="400"/>
      <c r="C9" s="400"/>
      <c r="D9" s="393" t="s">
        <v>130</v>
      </c>
      <c r="E9" s="703">
        <v>282253.84999999998</v>
      </c>
      <c r="F9" s="661">
        <v>297005.71000000002</v>
      </c>
      <c r="G9" s="715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>
      <c r="A10" s="512" t="s">
        <v>133</v>
      </c>
      <c r="B10" s="392"/>
      <c r="C10" s="392"/>
      <c r="D10" s="393" t="s">
        <v>130</v>
      </c>
      <c r="E10" s="704">
        <v>105258.97</v>
      </c>
      <c r="F10" s="661">
        <v>107261.54</v>
      </c>
      <c r="G10" s="715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5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>
      <c r="A12" s="512" t="s">
        <v>135</v>
      </c>
      <c r="B12" s="392"/>
      <c r="C12" s="392"/>
      <c r="D12" s="393" t="s">
        <v>130</v>
      </c>
      <c r="E12" s="401">
        <v>40010</v>
      </c>
      <c r="F12" s="661">
        <v>40010</v>
      </c>
      <c r="G12" s="715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>
      <c r="A13" s="515" t="s">
        <v>136</v>
      </c>
      <c r="B13" s="403"/>
      <c r="C13" s="403"/>
      <c r="D13" s="393"/>
      <c r="E13" s="394"/>
      <c r="F13" s="395"/>
      <c r="G13" s="715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>
      <c r="A14" s="784" t="s">
        <v>137</v>
      </c>
      <c r="B14" s="785"/>
      <c r="C14" s="786"/>
      <c r="D14" s="390"/>
      <c r="E14" s="390"/>
      <c r="F14" s="647"/>
      <c r="G14" s="716"/>
      <c r="H14" s="647"/>
      <c r="I14" s="647"/>
      <c r="J14" s="648"/>
      <c r="K14" s="538"/>
      <c r="L14" s="427"/>
      <c r="N14" s="536"/>
      <c r="O14" s="171"/>
    </row>
    <row r="15" spans="1:15" ht="22.5">
      <c r="A15" s="516" t="s">
        <v>138</v>
      </c>
      <c r="B15" s="405"/>
      <c r="C15" s="405"/>
      <c r="D15" s="393" t="s">
        <v>139</v>
      </c>
      <c r="E15" s="406">
        <v>1906636.767</v>
      </c>
      <c r="F15" s="662">
        <v>1907555.325</v>
      </c>
      <c r="G15" s="717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>
      <c r="A16" s="517"/>
      <c r="B16" s="408"/>
      <c r="C16" s="408"/>
      <c r="D16" s="409"/>
      <c r="E16" s="406"/>
      <c r="F16" s="660"/>
      <c r="G16" s="715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>
      <c r="A17" s="784" t="s">
        <v>140</v>
      </c>
      <c r="B17" s="785"/>
      <c r="C17" s="786"/>
      <c r="D17" s="390"/>
      <c r="E17" s="390"/>
      <c r="F17" s="647"/>
      <c r="G17" s="716"/>
      <c r="H17" s="647"/>
      <c r="I17" s="647"/>
      <c r="J17" s="648"/>
      <c r="K17" s="537"/>
      <c r="L17" s="427"/>
      <c r="N17" s="536"/>
      <c r="O17" s="171"/>
    </row>
    <row r="18" spans="1:15" ht="22.5">
      <c r="A18" s="775" t="s">
        <v>141</v>
      </c>
      <c r="B18" s="776"/>
      <c r="C18" s="777"/>
      <c r="D18" s="393" t="s">
        <v>142</v>
      </c>
      <c r="E18" s="433">
        <v>9</v>
      </c>
      <c r="F18" s="663">
        <v>18</v>
      </c>
      <c r="G18" s="656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>
      <c r="A19" s="775" t="s">
        <v>69</v>
      </c>
      <c r="B19" s="776"/>
      <c r="C19" s="777"/>
      <c r="D19" s="393" t="s">
        <v>142</v>
      </c>
      <c r="E19" s="411">
        <v>153891</v>
      </c>
      <c r="F19" s="663">
        <v>153946</v>
      </c>
      <c r="G19" s="715">
        <f t="shared" ref="G19" si="2">F19-E19</f>
        <v>55</v>
      </c>
      <c r="H19" s="395">
        <f t="shared" ref="H19" si="3">G19</f>
        <v>55</v>
      </c>
      <c r="I19" s="661"/>
      <c r="J19" s="396">
        <f>H19/DAY(B2)</f>
        <v>55</v>
      </c>
      <c r="K19" s="537"/>
      <c r="L19" s="427"/>
      <c r="N19" s="536"/>
      <c r="O19" s="171"/>
    </row>
    <row r="20" spans="1:15" ht="22.5">
      <c r="A20" s="515" t="s">
        <v>143</v>
      </c>
      <c r="B20" s="403"/>
      <c r="C20" s="403"/>
      <c r="D20" s="412"/>
      <c r="E20" s="412"/>
      <c r="F20" s="664"/>
      <c r="G20" s="718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>
      <c r="A21" s="784" t="s">
        <v>144</v>
      </c>
      <c r="B21" s="785"/>
      <c r="C21" s="786"/>
      <c r="D21" s="390"/>
      <c r="E21" s="390"/>
      <c r="F21" s="647"/>
      <c r="G21" s="716"/>
      <c r="H21" s="647"/>
      <c r="I21" s="647"/>
      <c r="J21" s="648"/>
      <c r="K21" s="537"/>
      <c r="L21" s="427"/>
      <c r="N21" s="536"/>
      <c r="O21" s="171"/>
    </row>
    <row r="22" spans="1:15" ht="22.5">
      <c r="A22" s="516" t="s">
        <v>145</v>
      </c>
      <c r="B22" s="405"/>
      <c r="C22" s="405"/>
      <c r="D22" s="393" t="s">
        <v>146</v>
      </c>
      <c r="E22" s="411">
        <v>2970</v>
      </c>
      <c r="F22" s="663">
        <v>2970</v>
      </c>
      <c r="G22" s="656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>
      <c r="A23" s="516" t="s">
        <v>147</v>
      </c>
      <c r="B23" s="405"/>
      <c r="C23" s="405"/>
      <c r="D23" s="393" t="s">
        <v>146</v>
      </c>
      <c r="E23" s="411">
        <v>2000</v>
      </c>
      <c r="F23" s="663">
        <v>2000</v>
      </c>
      <c r="G23" s="656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>
      <c r="A24" s="518" t="s">
        <v>148</v>
      </c>
      <c r="B24" s="414"/>
      <c r="C24" s="414"/>
      <c r="D24" s="387" t="s">
        <v>146</v>
      </c>
      <c r="E24" s="705">
        <v>4970</v>
      </c>
      <c r="F24" s="665"/>
      <c r="G24" s="656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>
      <c r="A25" s="781" t="s">
        <v>149</v>
      </c>
      <c r="B25" s="782"/>
      <c r="C25" s="783"/>
      <c r="D25" s="389"/>
      <c r="E25" s="389"/>
      <c r="F25" s="647"/>
      <c r="G25" s="716"/>
      <c r="H25" s="647"/>
      <c r="I25" s="666"/>
      <c r="J25" s="648"/>
      <c r="K25" s="537"/>
      <c r="L25" s="427"/>
      <c r="N25" s="536"/>
      <c r="O25" s="171"/>
    </row>
    <row r="26" spans="1:15" ht="22.5">
      <c r="A26" s="519" t="s">
        <v>150</v>
      </c>
      <c r="B26" s="415"/>
      <c r="C26" s="416"/>
      <c r="D26" s="417" t="s">
        <v>151</v>
      </c>
      <c r="E26" s="706"/>
      <c r="F26" s="667"/>
      <c r="G26" s="719"/>
      <c r="H26" s="395"/>
      <c r="I26" s="418"/>
      <c r="J26" s="396"/>
      <c r="K26" s="538"/>
      <c r="L26" s="427"/>
      <c r="N26" s="536"/>
      <c r="O26" s="171"/>
    </row>
    <row r="27" spans="1:15" ht="22.5">
      <c r="A27" s="519" t="s">
        <v>5</v>
      </c>
      <c r="B27" s="415"/>
      <c r="C27" s="416"/>
      <c r="D27" s="419" t="s">
        <v>24</v>
      </c>
      <c r="E27" s="707">
        <f>G8</f>
        <v>17458.849999999977</v>
      </c>
      <c r="F27" s="668">
        <v>9</v>
      </c>
      <c r="G27" s="720">
        <f>E27*F27</f>
        <v>157129.64999999979</v>
      </c>
      <c r="H27" s="395">
        <f t="shared" ref="H27:H32" si="6">G27</f>
        <v>157129.64999999979</v>
      </c>
      <c r="I27" s="669"/>
      <c r="J27" s="396">
        <f>H27/DAY(B2)</f>
        <v>157129.64999999979</v>
      </c>
      <c r="K27" s="537"/>
      <c r="L27" s="427"/>
      <c r="N27" s="536"/>
      <c r="O27" s="171"/>
    </row>
    <row r="28" spans="1:15" ht="22.5">
      <c r="A28" s="519" t="s">
        <v>152</v>
      </c>
      <c r="B28" s="415"/>
      <c r="C28" s="416"/>
      <c r="D28" s="419" t="s">
        <v>153</v>
      </c>
      <c r="E28" s="707">
        <f>G15</f>
        <v>918.55799999996088</v>
      </c>
      <c r="F28" s="668">
        <v>52</v>
      </c>
      <c r="G28" s="720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>
      <c r="A29" s="519" t="s">
        <v>154</v>
      </c>
      <c r="B29" s="415"/>
      <c r="C29" s="416"/>
      <c r="D29" s="419" t="s">
        <v>155</v>
      </c>
      <c r="E29" s="707">
        <f>G24</f>
        <v>0</v>
      </c>
      <c r="F29" s="668">
        <v>69</v>
      </c>
      <c r="G29" s="720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>
      <c r="A30" s="519" t="s">
        <v>156</v>
      </c>
      <c r="B30" s="415"/>
      <c r="C30" s="416"/>
      <c r="D30" s="419" t="s">
        <v>157</v>
      </c>
      <c r="E30" s="707">
        <f>G19</f>
        <v>55</v>
      </c>
      <c r="F30" s="668">
        <v>146</v>
      </c>
      <c r="G30" s="720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>
      <c r="A31" s="519" t="s">
        <v>158</v>
      </c>
      <c r="B31" s="415"/>
      <c r="C31" s="416"/>
      <c r="D31" s="419" t="s">
        <v>142</v>
      </c>
      <c r="E31" s="707">
        <f>G18</f>
        <v>180</v>
      </c>
      <c r="F31" s="668">
        <v>80</v>
      </c>
      <c r="G31" s="720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>
      <c r="A32" s="520" t="s">
        <v>159</v>
      </c>
      <c r="B32" s="420"/>
      <c r="C32" s="421"/>
      <c r="D32" s="422"/>
      <c r="E32" s="422"/>
      <c r="F32" s="649"/>
      <c r="G32" s="721">
        <f>G27+G28+G29+G30+G31</f>
        <v>227324.66599999776</v>
      </c>
      <c r="H32" s="673">
        <f t="shared" si="6"/>
        <v>227324.66599999776</v>
      </c>
      <c r="I32" s="674"/>
      <c r="J32" s="675">
        <f>H32/DAY(B2)</f>
        <v>227324.66599999776</v>
      </c>
      <c r="K32" s="537"/>
      <c r="L32" s="427"/>
      <c r="N32" s="536"/>
      <c r="O32" s="171"/>
    </row>
    <row r="33" spans="1:15" ht="25.5" customHeight="1">
      <c r="A33" s="792" t="s">
        <v>331</v>
      </c>
      <c r="B33" s="793"/>
      <c r="C33" s="793"/>
      <c r="D33" s="539"/>
      <c r="E33" s="708"/>
      <c r="F33" s="670"/>
      <c r="G33" s="670"/>
      <c r="H33" s="670"/>
      <c r="I33" s="670"/>
      <c r="J33" s="671"/>
      <c r="K33" s="537"/>
      <c r="L33" s="427"/>
      <c r="N33" s="536"/>
      <c r="O33" s="171"/>
    </row>
    <row r="34" spans="1:15" ht="22.5">
      <c r="A34" s="521" t="s">
        <v>160</v>
      </c>
      <c r="B34" s="423"/>
      <c r="C34" s="423"/>
      <c r="D34" s="390"/>
      <c r="E34" s="389"/>
      <c r="F34" s="647"/>
      <c r="G34" s="647"/>
      <c r="H34" s="647"/>
      <c r="I34" s="647"/>
      <c r="J34" s="648"/>
      <c r="K34" s="537"/>
      <c r="L34" s="427"/>
      <c r="N34" s="536"/>
      <c r="O34" s="171"/>
    </row>
    <row r="35" spans="1:15" ht="22.5">
      <c r="A35" s="512" t="s">
        <v>161</v>
      </c>
      <c r="B35" s="392"/>
      <c r="C35" s="392"/>
      <c r="D35" s="393" t="s">
        <v>130</v>
      </c>
      <c r="E35" s="709">
        <v>32004.98</v>
      </c>
      <c r="F35" s="661">
        <v>33251</v>
      </c>
      <c r="G35" s="715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>
      <c r="A36" s="512" t="s">
        <v>162</v>
      </c>
      <c r="B36" s="392"/>
      <c r="C36" s="392"/>
      <c r="D36" s="393" t="s">
        <v>130</v>
      </c>
      <c r="E36" s="709">
        <v>43458.74</v>
      </c>
      <c r="F36" s="661">
        <v>44169.5</v>
      </c>
      <c r="G36" s="715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>
      <c r="A37" s="512" t="s">
        <v>163</v>
      </c>
      <c r="B37" s="392"/>
      <c r="C37" s="392"/>
      <c r="D37" s="393" t="s">
        <v>130</v>
      </c>
      <c r="E37" s="709">
        <v>35425.089999999997</v>
      </c>
      <c r="F37" s="661">
        <v>36979.199999999997</v>
      </c>
      <c r="G37" s="715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>
      <c r="A38" s="512" t="s">
        <v>164</v>
      </c>
      <c r="B38" s="392"/>
      <c r="C38" s="392"/>
      <c r="D38" s="393" t="s">
        <v>130</v>
      </c>
      <c r="E38" s="710">
        <v>38376.43</v>
      </c>
      <c r="F38" s="395">
        <v>39996.699999999997</v>
      </c>
      <c r="G38" s="715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>
      <c r="A39" s="512" t="s">
        <v>165</v>
      </c>
      <c r="B39" s="392"/>
      <c r="C39" s="392"/>
      <c r="D39" s="393" t="s">
        <v>130</v>
      </c>
      <c r="E39" s="709">
        <v>59173.29</v>
      </c>
      <c r="F39" s="661">
        <v>61782.879999999997</v>
      </c>
      <c r="G39" s="715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>
      <c r="A40" s="522" t="s">
        <v>166</v>
      </c>
      <c r="B40" s="424"/>
      <c r="C40" s="424"/>
      <c r="D40" s="393" t="s">
        <v>130</v>
      </c>
      <c r="E40" s="709">
        <v>21249.86</v>
      </c>
      <c r="F40" s="661">
        <v>21938.6</v>
      </c>
      <c r="G40" s="715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>
      <c r="A41" s="512" t="s">
        <v>167</v>
      </c>
      <c r="B41" s="392"/>
      <c r="C41" s="392"/>
      <c r="D41" s="393" t="s">
        <v>130</v>
      </c>
      <c r="E41" s="709">
        <v>0</v>
      </c>
      <c r="F41" s="661">
        <v>0</v>
      </c>
      <c r="G41" s="715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>
      <c r="A42" s="512" t="s">
        <v>168</v>
      </c>
      <c r="B42" s="392"/>
      <c r="C42" s="392"/>
      <c r="D42" s="393" t="s">
        <v>130</v>
      </c>
      <c r="E42" s="709">
        <v>100129.74</v>
      </c>
      <c r="F42" s="661">
        <v>104117.53</v>
      </c>
      <c r="G42" s="715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>
      <c r="A43" s="512" t="s">
        <v>169</v>
      </c>
      <c r="B43" s="392"/>
      <c r="C43" s="392"/>
      <c r="D43" s="393" t="s">
        <v>130</v>
      </c>
      <c r="E43" s="709">
        <v>114851.6</v>
      </c>
      <c r="F43" s="661">
        <v>116753.53</v>
      </c>
      <c r="G43" s="715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>
      <c r="A44" s="512" t="s">
        <v>170</v>
      </c>
      <c r="B44" s="392"/>
      <c r="C44" s="392"/>
      <c r="D44" s="393" t="s">
        <v>130</v>
      </c>
      <c r="E44" s="709">
        <v>0</v>
      </c>
      <c r="F44" s="661">
        <v>0</v>
      </c>
      <c r="G44" s="715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>
      <c r="A45" s="512" t="s">
        <v>171</v>
      </c>
      <c r="B45" s="392"/>
      <c r="C45" s="392"/>
      <c r="D45" s="393" t="s">
        <v>130</v>
      </c>
      <c r="E45" s="709">
        <v>0</v>
      </c>
      <c r="F45" s="661">
        <v>0</v>
      </c>
      <c r="G45" s="715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>
      <c r="A46" s="512" t="s">
        <v>172</v>
      </c>
      <c r="B46" s="392"/>
      <c r="C46" s="392"/>
      <c r="D46" s="393" t="s">
        <v>130</v>
      </c>
      <c r="E46" s="709">
        <v>0</v>
      </c>
      <c r="F46" s="661">
        <v>0</v>
      </c>
      <c r="G46" s="715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>
      <c r="A47" s="515" t="s">
        <v>173</v>
      </c>
      <c r="B47" s="403"/>
      <c r="C47" s="403"/>
      <c r="D47" s="388"/>
      <c r="E47" s="387"/>
      <c r="F47" s="395"/>
      <c r="G47" s="656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>
      <c r="A48" s="521" t="s">
        <v>174</v>
      </c>
      <c r="B48" s="423"/>
      <c r="C48" s="423"/>
      <c r="D48" s="390"/>
      <c r="E48" s="389"/>
      <c r="F48" s="647"/>
      <c r="G48" s="647"/>
      <c r="H48" s="647"/>
      <c r="I48" s="647"/>
      <c r="J48" s="648"/>
      <c r="K48" s="537"/>
      <c r="L48" s="427"/>
      <c r="N48" s="536"/>
      <c r="O48" s="171"/>
    </row>
    <row r="49" spans="1:15" ht="22.5">
      <c r="A49" s="512" t="s">
        <v>161</v>
      </c>
      <c r="B49" s="425"/>
      <c r="C49" s="425"/>
      <c r="D49" s="393" t="s">
        <v>130</v>
      </c>
      <c r="E49" s="709">
        <v>24996.19</v>
      </c>
      <c r="F49" s="661">
        <v>25935.27</v>
      </c>
      <c r="G49" s="715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>
      <c r="A50" s="512" t="s">
        <v>175</v>
      </c>
      <c r="B50" s="425"/>
      <c r="C50" s="425"/>
      <c r="D50" s="393" t="s">
        <v>130</v>
      </c>
      <c r="E50" s="709">
        <v>56386.63</v>
      </c>
      <c r="F50" s="661">
        <v>57325.55</v>
      </c>
      <c r="G50" s="715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>
      <c r="A51" s="512" t="s">
        <v>163</v>
      </c>
      <c r="B51" s="425"/>
      <c r="C51" s="425"/>
      <c r="D51" s="393" t="s">
        <v>130</v>
      </c>
      <c r="E51" s="709">
        <v>0</v>
      </c>
      <c r="F51" s="661">
        <v>0</v>
      </c>
      <c r="G51" s="715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>
      <c r="A52" s="512" t="s">
        <v>176</v>
      </c>
      <c r="B52" s="425"/>
      <c r="C52" s="425"/>
      <c r="D52" s="393" t="s">
        <v>130</v>
      </c>
      <c r="E52" s="709">
        <v>0</v>
      </c>
      <c r="F52" s="661">
        <v>0</v>
      </c>
      <c r="G52" s="715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>
      <c r="A53" s="512" t="s">
        <v>165</v>
      </c>
      <c r="B53" s="425"/>
      <c r="C53" s="425"/>
      <c r="D53" s="393" t="s">
        <v>130</v>
      </c>
      <c r="E53" s="709">
        <v>0</v>
      </c>
      <c r="F53" s="661">
        <v>0</v>
      </c>
      <c r="G53" s="715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>
      <c r="A54" s="512" t="s">
        <v>177</v>
      </c>
      <c r="B54" s="425"/>
      <c r="C54" s="425"/>
      <c r="D54" s="393" t="s">
        <v>130</v>
      </c>
      <c r="E54" s="709">
        <v>5147.42</v>
      </c>
      <c r="F54" s="661">
        <v>5147.42</v>
      </c>
      <c r="G54" s="715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>
      <c r="A55" s="512" t="s">
        <v>178</v>
      </c>
      <c r="B55" s="425"/>
      <c r="C55" s="425"/>
      <c r="D55" s="393" t="s">
        <v>130</v>
      </c>
      <c r="E55" s="709">
        <v>74366.11</v>
      </c>
      <c r="F55" s="661">
        <v>74366.11</v>
      </c>
      <c r="G55" s="715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>
      <c r="A56" s="512" t="s">
        <v>179</v>
      </c>
      <c r="B56" s="425"/>
      <c r="C56" s="425"/>
      <c r="D56" s="393" t="s">
        <v>180</v>
      </c>
      <c r="E56" s="709">
        <v>8610.5400000000009</v>
      </c>
      <c r="F56" s="661">
        <v>8610.5400000000009</v>
      </c>
      <c r="G56" s="715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>
      <c r="A57" s="512" t="s">
        <v>169</v>
      </c>
      <c r="B57" s="425"/>
      <c r="C57" s="425"/>
      <c r="D57" s="393" t="s">
        <v>130</v>
      </c>
      <c r="E57" s="709">
        <v>0</v>
      </c>
      <c r="F57" s="661">
        <v>0</v>
      </c>
      <c r="G57" s="715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>
      <c r="A58" s="512" t="s">
        <v>181</v>
      </c>
      <c r="B58" s="425"/>
      <c r="C58" s="425"/>
      <c r="D58" s="393" t="s">
        <v>130</v>
      </c>
      <c r="E58" s="709">
        <v>4796.21</v>
      </c>
      <c r="F58" s="661">
        <v>4983.34</v>
      </c>
      <c r="G58" s="715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>
      <c r="A59" s="515" t="s">
        <v>173</v>
      </c>
      <c r="B59" s="403"/>
      <c r="C59" s="403"/>
      <c r="D59" s="387"/>
      <c r="E59" s="387"/>
      <c r="F59" s="395"/>
      <c r="G59" s="656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>
      <c r="A60" s="512"/>
      <c r="B60" s="392"/>
      <c r="C60" s="392"/>
      <c r="D60" s="387" t="s">
        <v>182</v>
      </c>
      <c r="E60" s="387"/>
      <c r="F60" s="395"/>
      <c r="G60" s="656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>
      <c r="A61" s="794" t="s">
        <v>332</v>
      </c>
      <c r="B61" s="795"/>
      <c r="C61" s="796"/>
      <c r="D61" s="426"/>
      <c r="E61" s="426"/>
      <c r="F61" s="646"/>
      <c r="G61" s="722"/>
      <c r="H61" s="646"/>
      <c r="I61" s="646"/>
      <c r="J61" s="672"/>
      <c r="K61" s="542"/>
      <c r="L61" s="543"/>
      <c r="N61" s="536"/>
      <c r="O61" s="171"/>
    </row>
    <row r="62" spans="1:15" ht="22.5">
      <c r="A62" s="775" t="s">
        <v>198</v>
      </c>
      <c r="B62" s="776"/>
      <c r="C62" s="777"/>
      <c r="D62" s="393" t="s">
        <v>142</v>
      </c>
      <c r="E62" s="411">
        <v>269516</v>
      </c>
      <c r="F62" s="663">
        <v>269579</v>
      </c>
      <c r="G62" s="715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>
      <c r="A63" s="775" t="s">
        <v>199</v>
      </c>
      <c r="B63" s="776"/>
      <c r="C63" s="777"/>
      <c r="D63" s="393" t="s">
        <v>142</v>
      </c>
      <c r="E63" s="433">
        <v>215797</v>
      </c>
      <c r="F63" s="663">
        <v>215929</v>
      </c>
      <c r="G63" s="715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>
      <c r="A64" s="760" t="s">
        <v>200</v>
      </c>
      <c r="B64" s="761"/>
      <c r="C64" s="762"/>
      <c r="D64" s="393"/>
      <c r="E64" s="411"/>
      <c r="F64" s="663"/>
      <c r="G64" s="715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>
      <c r="A65" s="787" t="s">
        <v>201</v>
      </c>
      <c r="B65" s="788"/>
      <c r="C65" s="789"/>
      <c r="D65" s="393" t="s">
        <v>142</v>
      </c>
      <c r="E65" s="411">
        <v>434923</v>
      </c>
      <c r="F65" s="663">
        <v>434994</v>
      </c>
      <c r="G65" s="715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>
      <c r="A66" s="516" t="s">
        <v>202</v>
      </c>
      <c r="B66" s="405"/>
      <c r="C66" s="405"/>
      <c r="D66" s="393" t="s">
        <v>142</v>
      </c>
      <c r="E66" s="411">
        <v>107743</v>
      </c>
      <c r="F66" s="663">
        <v>107760</v>
      </c>
      <c r="G66" s="715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>
      <c r="A67" s="516" t="s">
        <v>203</v>
      </c>
      <c r="B67" s="405"/>
      <c r="C67" s="405"/>
      <c r="D67" s="393" t="s">
        <v>142</v>
      </c>
      <c r="E67" s="411">
        <v>104648</v>
      </c>
      <c r="F67" s="663">
        <v>104662</v>
      </c>
      <c r="G67" s="715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>
      <c r="A68" s="516" t="s">
        <v>204</v>
      </c>
      <c r="B68" s="405"/>
      <c r="C68" s="405"/>
      <c r="D68" s="393" t="s">
        <v>142</v>
      </c>
      <c r="E68" s="411">
        <v>157697</v>
      </c>
      <c r="F68" s="663">
        <v>157736</v>
      </c>
      <c r="G68" s="715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>
      <c r="A69" s="516" t="s">
        <v>205</v>
      </c>
      <c r="B69" s="405"/>
      <c r="C69" s="405"/>
      <c r="D69" s="393" t="s">
        <v>142</v>
      </c>
      <c r="E69" s="411">
        <v>10541</v>
      </c>
      <c r="F69" s="663">
        <v>10550</v>
      </c>
      <c r="G69" s="715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3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>
      <c r="A71" s="760" t="s">
        <v>208</v>
      </c>
      <c r="B71" s="761"/>
      <c r="C71" s="762"/>
      <c r="D71" s="409"/>
      <c r="E71" s="409"/>
      <c r="F71" s="409"/>
      <c r="G71" s="724">
        <f>SUM(G65:G70)</f>
        <v>158</v>
      </c>
      <c r="H71" s="395">
        <f t="shared" si="12"/>
        <v>158</v>
      </c>
      <c r="I71" s="652"/>
      <c r="J71" s="396">
        <f>H71/DAY(B2)</f>
        <v>158</v>
      </c>
      <c r="K71" s="542"/>
      <c r="L71" s="427"/>
      <c r="N71" s="536"/>
      <c r="O71" s="171"/>
    </row>
    <row r="72" spans="1:15" ht="22.5">
      <c r="A72" s="797"/>
      <c r="B72" s="774"/>
      <c r="C72" s="505"/>
      <c r="D72" s="427"/>
      <c r="E72" s="653"/>
      <c r="F72" s="653"/>
      <c r="G72" s="725"/>
      <c r="H72" s="428"/>
      <c r="I72" s="653"/>
      <c r="J72" s="654"/>
      <c r="N72" s="536"/>
      <c r="O72" s="171"/>
    </row>
    <row r="73" spans="1:15" ht="22.5">
      <c r="A73" s="794" t="s">
        <v>333</v>
      </c>
      <c r="B73" s="795"/>
      <c r="C73" s="796"/>
      <c r="D73" s="426"/>
      <c r="E73" s="426"/>
      <c r="F73" s="426"/>
      <c r="G73" s="726"/>
      <c r="H73" s="429"/>
      <c r="I73" s="429"/>
      <c r="J73" s="430"/>
      <c r="K73" s="542"/>
      <c r="L73" s="427"/>
      <c r="N73" s="536"/>
      <c r="O73" s="171"/>
    </row>
    <row r="74" spans="1:15" ht="22.5">
      <c r="A74" s="775" t="s">
        <v>220</v>
      </c>
      <c r="B74" s="776"/>
      <c r="C74" s="777"/>
      <c r="D74" s="393" t="s">
        <v>139</v>
      </c>
      <c r="E74" s="406">
        <v>901306.14899999998</v>
      </c>
      <c r="F74" s="406">
        <v>901620.68</v>
      </c>
      <c r="G74" s="723">
        <f t="shared" ref="G74:G78" si="14">F74-E74</f>
        <v>314.53100000007544</v>
      </c>
      <c r="H74" s="395">
        <f t="shared" ref="H74:H79" si="15">G74</f>
        <v>314.53100000007544</v>
      </c>
      <c r="I74" s="652"/>
      <c r="J74" s="396">
        <f>H74/DAY(B2)</f>
        <v>314.53100000007544</v>
      </c>
      <c r="K74" s="542"/>
      <c r="L74" s="427"/>
      <c r="N74" s="536"/>
      <c r="O74" s="171"/>
    </row>
    <row r="75" spans="1:15" ht="22.5">
      <c r="A75" s="775" t="s">
        <v>221</v>
      </c>
      <c r="B75" s="776"/>
      <c r="C75" s="777"/>
      <c r="D75" s="393" t="s">
        <v>139</v>
      </c>
      <c r="E75" s="406">
        <v>73586.8</v>
      </c>
      <c r="F75" s="406">
        <v>73586.8</v>
      </c>
      <c r="G75" s="723">
        <f t="shared" si="14"/>
        <v>0</v>
      </c>
      <c r="H75" s="395">
        <f t="shared" si="15"/>
        <v>0</v>
      </c>
      <c r="I75" s="652"/>
      <c r="J75" s="396">
        <f>H75/DAY(B2)</f>
        <v>0</v>
      </c>
      <c r="K75" s="542"/>
      <c r="L75" s="427"/>
      <c r="N75" s="536"/>
      <c r="O75" s="171"/>
    </row>
    <row r="76" spans="1:15" ht="22.5">
      <c r="A76" s="798" t="s">
        <v>222</v>
      </c>
      <c r="B76" s="799"/>
      <c r="C76" s="800"/>
      <c r="D76" s="393" t="s">
        <v>139</v>
      </c>
      <c r="E76" s="406">
        <v>169975</v>
      </c>
      <c r="F76" s="406">
        <v>170066.06</v>
      </c>
      <c r="G76" s="723">
        <f t="shared" si="14"/>
        <v>91.059999999997672</v>
      </c>
      <c r="H76" s="395">
        <f t="shared" si="15"/>
        <v>91.059999999997672</v>
      </c>
      <c r="I76" s="652"/>
      <c r="J76" s="396">
        <f>H76/DAY(B2)</f>
        <v>91.059999999997672</v>
      </c>
      <c r="K76" s="542"/>
      <c r="L76" s="427"/>
      <c r="N76" s="536"/>
      <c r="O76" s="171"/>
    </row>
    <row r="77" spans="1:15" ht="22.5">
      <c r="A77" s="798" t="s">
        <v>223</v>
      </c>
      <c r="B77" s="799"/>
      <c r="C77" s="800"/>
      <c r="D77" s="393" t="s">
        <v>139</v>
      </c>
      <c r="E77" s="507">
        <v>41302.199999999997</v>
      </c>
      <c r="F77" s="406">
        <v>41331.9</v>
      </c>
      <c r="G77" s="723">
        <f t="shared" si="14"/>
        <v>29.700000000004366</v>
      </c>
      <c r="H77" s="395">
        <f t="shared" si="15"/>
        <v>29.700000000004366</v>
      </c>
      <c r="I77" s="652"/>
      <c r="J77" s="396">
        <f>H77/DAY(B2)</f>
        <v>29.700000000004366</v>
      </c>
      <c r="K77" s="542"/>
      <c r="L77" s="427"/>
      <c r="N77" s="536"/>
      <c r="O77" s="171"/>
    </row>
    <row r="78" spans="1:15" ht="22.5">
      <c r="A78" s="798" t="s">
        <v>224</v>
      </c>
      <c r="B78" s="799"/>
      <c r="C78" s="800"/>
      <c r="D78" s="393" t="s">
        <v>139</v>
      </c>
      <c r="E78" s="507">
        <v>9516</v>
      </c>
      <c r="F78" s="406">
        <v>9516</v>
      </c>
      <c r="G78" s="723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>
      <c r="A79" s="798" t="s">
        <v>225</v>
      </c>
      <c r="B79" s="799"/>
      <c r="C79" s="800"/>
      <c r="D79" s="393"/>
      <c r="E79" s="406"/>
      <c r="F79" s="406"/>
      <c r="G79" s="723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>
      <c r="A80" s="760" t="s">
        <v>329</v>
      </c>
      <c r="B80" s="761"/>
      <c r="C80" s="762"/>
      <c r="D80" s="393"/>
      <c r="E80" s="401"/>
      <c r="F80" s="401"/>
      <c r="G80" s="723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>
      <c r="A81" s="801" t="s">
        <v>226</v>
      </c>
      <c r="B81" s="802"/>
      <c r="C81" s="803"/>
      <c r="D81" s="389"/>
      <c r="E81" s="389"/>
      <c r="F81" s="390"/>
      <c r="G81" s="727"/>
      <c r="H81" s="431"/>
      <c r="I81" s="431"/>
      <c r="J81" s="432"/>
      <c r="O81" s="171"/>
    </row>
    <row r="82" spans="1:15" ht="22.5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3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3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3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3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8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3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3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3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3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3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3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>
      <c r="A93" s="804" t="s">
        <v>239</v>
      </c>
      <c r="B93" s="805"/>
      <c r="C93" s="806"/>
      <c r="D93" s="390"/>
      <c r="E93" s="390"/>
      <c r="F93" s="390"/>
      <c r="G93" s="729"/>
      <c r="H93" s="404"/>
      <c r="I93" s="404"/>
      <c r="J93" s="435"/>
      <c r="K93" s="542"/>
      <c r="L93" s="427"/>
      <c r="O93" s="171"/>
    </row>
    <row r="94" spans="1:15" ht="22.5">
      <c r="A94" s="775" t="s">
        <v>240</v>
      </c>
      <c r="B94" s="776"/>
      <c r="C94" s="777"/>
      <c r="D94" s="393" t="s">
        <v>130</v>
      </c>
      <c r="E94" s="393"/>
      <c r="F94" s="393"/>
      <c r="G94" s="730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>
      <c r="A95" s="775" t="s">
        <v>241</v>
      </c>
      <c r="B95" s="776"/>
      <c r="C95" s="777"/>
      <c r="D95" s="393" t="s">
        <v>23</v>
      </c>
      <c r="E95" s="387"/>
      <c r="F95" s="393"/>
      <c r="G95" s="731">
        <f>G94/G7</f>
        <v>0.23672658251456524</v>
      </c>
      <c r="H95" s="395">
        <f t="shared" si="18"/>
        <v>0.23672658251456524</v>
      </c>
      <c r="I95" s="655"/>
      <c r="J95" s="396">
        <f>H95/DAY(B2)</f>
        <v>0.23672658251456524</v>
      </c>
      <c r="K95" s="542"/>
      <c r="L95" s="427"/>
      <c r="O95" s="171"/>
    </row>
    <row r="96" spans="1:15" ht="22.5">
      <c r="A96" s="775" t="s">
        <v>242</v>
      </c>
      <c r="B96" s="776"/>
      <c r="C96" s="777"/>
      <c r="D96" s="393" t="s">
        <v>130</v>
      </c>
      <c r="E96" s="394"/>
      <c r="F96" s="394"/>
      <c r="G96" s="730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>
      <c r="A97" s="775" t="s">
        <v>243</v>
      </c>
      <c r="B97" s="776"/>
      <c r="C97" s="777"/>
      <c r="D97" s="393" t="s">
        <v>23</v>
      </c>
      <c r="E97" s="394"/>
      <c r="F97" s="394"/>
      <c r="G97" s="731">
        <f>G96/G7</f>
        <v>0.23097846076142278</v>
      </c>
      <c r="H97" s="395">
        <f t="shared" si="18"/>
        <v>0.23097846076142278</v>
      </c>
      <c r="I97" s="655"/>
      <c r="J97" s="396">
        <f>H97/DAY(B2)</f>
        <v>0.23097846076142278</v>
      </c>
      <c r="K97" s="542"/>
      <c r="L97" s="427"/>
      <c r="O97" s="171"/>
    </row>
    <row r="98" spans="1:15" ht="22.5">
      <c r="A98" s="775" t="s">
        <v>244</v>
      </c>
      <c r="B98" s="776"/>
      <c r="C98" s="777"/>
      <c r="D98" s="393" t="s">
        <v>130</v>
      </c>
      <c r="E98" s="394"/>
      <c r="F98" s="394"/>
      <c r="G98" s="730">
        <f>G39+G53</f>
        <v>2609.5899999999965</v>
      </c>
      <c r="H98" s="395">
        <f t="shared" si="18"/>
        <v>2609.5899999999965</v>
      </c>
      <c r="I98" s="656"/>
      <c r="J98" s="396">
        <f>H98/DAY(B2)</f>
        <v>2609.5899999999965</v>
      </c>
      <c r="K98" s="542"/>
      <c r="L98" s="427"/>
      <c r="O98" s="171"/>
    </row>
    <row r="99" spans="1:15" ht="22.5">
      <c r="A99" s="775" t="s">
        <v>245</v>
      </c>
      <c r="B99" s="776"/>
      <c r="C99" s="777"/>
      <c r="D99" s="393" t="s">
        <v>23</v>
      </c>
      <c r="E99" s="394"/>
      <c r="F99" s="394"/>
      <c r="G99" s="731">
        <f>G98/G7</f>
        <v>0.15115115926826675</v>
      </c>
      <c r="H99" s="395">
        <f t="shared" si="18"/>
        <v>0.15115115926826675</v>
      </c>
      <c r="I99" s="656"/>
      <c r="J99" s="396">
        <f>H99/DAY(B2)</f>
        <v>0.15115115926826675</v>
      </c>
      <c r="O99" s="171"/>
    </row>
    <row r="100" spans="1:15" ht="22.5">
      <c r="A100" s="775" t="s">
        <v>246</v>
      </c>
      <c r="B100" s="776"/>
      <c r="C100" s="777"/>
      <c r="D100" s="393" t="s">
        <v>180</v>
      </c>
      <c r="E100" s="394"/>
      <c r="F100" s="394"/>
      <c r="G100" s="730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>
      <c r="A101" s="775" t="s">
        <v>247</v>
      </c>
      <c r="B101" s="776"/>
      <c r="C101" s="777"/>
      <c r="D101" s="393" t="s">
        <v>23</v>
      </c>
      <c r="E101" s="394"/>
      <c r="F101" s="394"/>
      <c r="G101" s="731">
        <f>G100/G7</f>
        <v>9.3848339711446779E-2</v>
      </c>
      <c r="H101" s="395">
        <f t="shared" si="18"/>
        <v>9.3848339711446779E-2</v>
      </c>
      <c r="I101" s="656"/>
      <c r="J101" s="396">
        <f>H101/DAY(B2)</f>
        <v>9.3848339711446779E-2</v>
      </c>
      <c r="O101" s="171"/>
    </row>
    <row r="102" spans="1:15" ht="22.5">
      <c r="A102" s="775" t="s">
        <v>248</v>
      </c>
      <c r="B102" s="776"/>
      <c r="C102" s="777"/>
      <c r="D102" s="393" t="s">
        <v>180</v>
      </c>
      <c r="E102" s="394"/>
      <c r="F102" s="394"/>
      <c r="G102" s="730">
        <f>G36+G50</f>
        <v>1649.6800000000076</v>
      </c>
      <c r="H102" s="395">
        <f t="shared" si="18"/>
        <v>1649.6800000000076</v>
      </c>
      <c r="I102" s="656"/>
      <c r="J102" s="396">
        <f>H102/DAY(B2)</f>
        <v>1649.6800000000076</v>
      </c>
      <c r="O102" s="171"/>
    </row>
    <row r="103" spans="1:15" ht="22.5">
      <c r="A103" s="775" t="s">
        <v>249</v>
      </c>
      <c r="B103" s="776"/>
      <c r="C103" s="777"/>
      <c r="D103" s="393" t="s">
        <v>23</v>
      </c>
      <c r="E103" s="394"/>
      <c r="F103" s="394"/>
      <c r="G103" s="731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>
      <c r="A104" s="775" t="s">
        <v>250</v>
      </c>
      <c r="B104" s="776"/>
      <c r="C104" s="777"/>
      <c r="D104" s="393" t="s">
        <v>180</v>
      </c>
      <c r="E104" s="394"/>
      <c r="F104" s="394"/>
      <c r="G104" s="730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>
      <c r="A105" s="811" t="s">
        <v>251</v>
      </c>
      <c r="B105" s="812"/>
      <c r="C105" s="813"/>
      <c r="D105" s="436" t="s">
        <v>23</v>
      </c>
      <c r="E105" s="437"/>
      <c r="F105" s="437"/>
      <c r="G105" s="732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>
      <c r="O106" s="171"/>
    </row>
    <row r="107" spans="1:15" ht="22.5"/>
    <row r="108" spans="1:15" ht="22.5">
      <c r="A108" s="814" t="s">
        <v>324</v>
      </c>
      <c r="B108" s="814"/>
      <c r="C108" s="814"/>
      <c r="D108" s="814"/>
      <c r="E108" s="814"/>
      <c r="F108" s="814"/>
      <c r="G108" s="814"/>
      <c r="H108" s="814"/>
      <c r="I108" s="814"/>
      <c r="J108" s="814"/>
    </row>
    <row r="109" spans="1:15" ht="22.5">
      <c r="A109" s="807"/>
      <c r="B109" s="807"/>
    </row>
    <row r="110" spans="1:15" ht="22.5">
      <c r="A110" s="815" t="s">
        <v>165</v>
      </c>
      <c r="B110" s="816"/>
      <c r="C110" s="816"/>
      <c r="D110" s="816"/>
      <c r="E110" s="816"/>
      <c r="F110" s="816"/>
      <c r="G110" s="816"/>
      <c r="H110" s="816"/>
      <c r="I110" s="816"/>
      <c r="J110" s="817"/>
    </row>
    <row r="111" spans="1:15" ht="22.5">
      <c r="A111" s="818"/>
      <c r="B111" s="819"/>
      <c r="C111" s="820"/>
      <c r="D111" s="434"/>
      <c r="E111" s="442"/>
      <c r="F111" s="442"/>
      <c r="G111" s="734"/>
      <c r="H111" s="439"/>
      <c r="I111" s="442"/>
      <c r="J111" s="439"/>
    </row>
    <row r="112" spans="1:15" ht="22.5">
      <c r="A112" s="772" t="s">
        <v>252</v>
      </c>
      <c r="B112" s="773"/>
      <c r="C112" s="774"/>
      <c r="D112" s="387" t="s">
        <v>183</v>
      </c>
      <c r="E112" s="440">
        <v>58054</v>
      </c>
      <c r="F112" s="440">
        <v>58132</v>
      </c>
      <c r="G112" s="723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>
      <c r="A113" s="772" t="s">
        <v>253</v>
      </c>
      <c r="B113" s="773"/>
      <c r="C113" s="774"/>
      <c r="D113" s="387" t="s">
        <v>183</v>
      </c>
      <c r="E113" s="440">
        <v>46400.89</v>
      </c>
      <c r="F113" s="440">
        <v>46884.44</v>
      </c>
      <c r="G113" s="723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>
      <c r="A114" s="772" t="s">
        <v>254</v>
      </c>
      <c r="B114" s="773"/>
      <c r="C114" s="774"/>
      <c r="D114" s="387" t="s">
        <v>183</v>
      </c>
      <c r="E114" s="440">
        <v>33160</v>
      </c>
      <c r="F114" s="440">
        <v>33421.300000000003</v>
      </c>
      <c r="G114" s="723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>
      <c r="A115" s="772" t="s">
        <v>255</v>
      </c>
      <c r="B115" s="773"/>
      <c r="C115" s="774"/>
      <c r="D115" s="387" t="s">
        <v>183</v>
      </c>
      <c r="E115" s="440">
        <v>9094.65</v>
      </c>
      <c r="F115" s="440">
        <v>9103.4500000000007</v>
      </c>
      <c r="G115" s="723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>
      <c r="A116" s="808" t="s">
        <v>96</v>
      </c>
      <c r="B116" s="809"/>
      <c r="C116" s="810"/>
      <c r="D116" s="387" t="s">
        <v>183</v>
      </c>
      <c r="E116" s="440">
        <v>0</v>
      </c>
      <c r="F116" s="440">
        <v>0</v>
      </c>
      <c r="G116" s="723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72"/>
      <c r="R116" s="774"/>
    </row>
    <row r="117" spans="1:18" ht="29.25" customHeight="1">
      <c r="A117" s="808" t="s">
        <v>184</v>
      </c>
      <c r="B117" s="809"/>
      <c r="C117" s="810"/>
      <c r="D117" s="387" t="s">
        <v>183</v>
      </c>
      <c r="E117" s="440">
        <v>3337.95</v>
      </c>
      <c r="F117" s="440">
        <v>3359.77</v>
      </c>
      <c r="G117" s="723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72"/>
      <c r="R117" s="774"/>
    </row>
    <row r="118" spans="1:18" ht="22.5">
      <c r="A118" s="828" t="s">
        <v>97</v>
      </c>
      <c r="B118" s="828"/>
      <c r="C118" s="828"/>
      <c r="D118" s="393" t="s">
        <v>183</v>
      </c>
      <c r="E118" s="440">
        <v>252452.31</v>
      </c>
      <c r="F118" s="440">
        <v>252762.81</v>
      </c>
      <c r="G118" s="723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72"/>
      <c r="R118" s="774"/>
    </row>
    <row r="119" spans="1:18" ht="22.5">
      <c r="A119" s="828" t="s">
        <v>98</v>
      </c>
      <c r="B119" s="828"/>
      <c r="C119" s="828"/>
      <c r="D119" s="393" t="s">
        <v>183</v>
      </c>
      <c r="E119" s="440">
        <v>258148.55</v>
      </c>
      <c r="F119" s="440">
        <v>258589.7</v>
      </c>
      <c r="G119" s="723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>
      <c r="A120" s="828" t="s">
        <v>99</v>
      </c>
      <c r="B120" s="828"/>
      <c r="C120" s="828"/>
      <c r="D120" s="393" t="s">
        <v>183</v>
      </c>
      <c r="E120" s="440">
        <v>42959.61</v>
      </c>
      <c r="F120" s="440">
        <v>43373.75</v>
      </c>
      <c r="G120" s="723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>
      <c r="A121" s="828" t="s">
        <v>100</v>
      </c>
      <c r="B121" s="828"/>
      <c r="C121" s="828"/>
      <c r="D121" s="393" t="s">
        <v>183</v>
      </c>
      <c r="E121" s="440">
        <v>398034.43</v>
      </c>
      <c r="F121" s="440">
        <v>398755.31</v>
      </c>
      <c r="G121" s="723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>
      <c r="A122" s="828" t="s">
        <v>101</v>
      </c>
      <c r="B122" s="828"/>
      <c r="C122" s="828"/>
      <c r="D122" s="393" t="s">
        <v>183</v>
      </c>
      <c r="E122" s="440">
        <v>126186.18</v>
      </c>
      <c r="F122" s="440">
        <v>126392.21</v>
      </c>
      <c r="G122" s="723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>
      <c r="A123" s="828" t="s">
        <v>102</v>
      </c>
      <c r="B123" s="828"/>
      <c r="C123" s="828"/>
      <c r="D123" s="393" t="s">
        <v>183</v>
      </c>
      <c r="E123" s="440">
        <v>154046.95000000001</v>
      </c>
      <c r="F123" s="440">
        <v>154308.20000000001</v>
      </c>
      <c r="G123" s="723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>
      <c r="A124" s="818"/>
      <c r="B124" s="819"/>
      <c r="C124" s="820"/>
      <c r="D124" s="434"/>
      <c r="E124" s="442"/>
      <c r="F124" s="442"/>
      <c r="G124" s="734"/>
      <c r="H124" s="439"/>
      <c r="I124" s="442"/>
      <c r="J124" s="439"/>
    </row>
    <row r="125" spans="1:18" ht="27">
      <c r="A125" s="760" t="s">
        <v>196</v>
      </c>
      <c r="B125" s="761"/>
      <c r="C125" s="762"/>
      <c r="D125" s="393"/>
      <c r="E125" s="711"/>
      <c r="F125" s="442"/>
      <c r="G125" s="723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>
      <c r="A126" s="830" t="s">
        <v>317</v>
      </c>
      <c r="B126" s="830"/>
      <c r="C126" s="830"/>
      <c r="D126" s="830"/>
      <c r="E126" s="830"/>
      <c r="F126" s="830"/>
      <c r="G126" s="830"/>
      <c r="H126" s="830"/>
      <c r="I126" s="830"/>
      <c r="J126" s="830"/>
    </row>
    <row r="127" spans="1:18" ht="27">
      <c r="A127" s="821"/>
      <c r="B127" s="821"/>
      <c r="C127" s="434"/>
      <c r="D127" s="393"/>
      <c r="E127" s="711"/>
      <c r="F127" s="442"/>
      <c r="G127" s="723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>
      <c r="A128" s="772" t="s">
        <v>318</v>
      </c>
      <c r="B128" s="773"/>
      <c r="C128" s="774"/>
      <c r="D128" s="393" t="s">
        <v>183</v>
      </c>
      <c r="E128" s="442">
        <v>47746</v>
      </c>
      <c r="F128" s="442">
        <v>48067</v>
      </c>
      <c r="G128" s="723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3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3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>
      <c r="A131" s="772" t="s">
        <v>321</v>
      </c>
      <c r="B131" s="773"/>
      <c r="C131" s="774"/>
      <c r="D131" s="393" t="s">
        <v>183</v>
      </c>
      <c r="E131" s="442">
        <v>15307.68</v>
      </c>
      <c r="F131" s="645">
        <v>15367.2</v>
      </c>
      <c r="G131" s="728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>
      <c r="A132" s="772" t="s">
        <v>322</v>
      </c>
      <c r="B132" s="773"/>
      <c r="C132" s="774"/>
      <c r="D132" s="393" t="s">
        <v>183</v>
      </c>
      <c r="E132" s="442">
        <v>51848.3</v>
      </c>
      <c r="F132" s="645">
        <v>52011.77</v>
      </c>
      <c r="G132" s="728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>
      <c r="A133" s="772" t="s">
        <v>342</v>
      </c>
      <c r="B133" s="773"/>
      <c r="C133" s="774"/>
      <c r="D133" s="393" t="s">
        <v>183</v>
      </c>
      <c r="E133" s="442">
        <v>105343.7</v>
      </c>
      <c r="F133" s="645">
        <v>105836.27</v>
      </c>
      <c r="G133" s="728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>
      <c r="A134" s="829" t="s">
        <v>340</v>
      </c>
      <c r="B134" s="826"/>
      <c r="C134" s="827"/>
      <c r="D134" s="393" t="s">
        <v>183</v>
      </c>
      <c r="E134" s="442">
        <v>8601.23</v>
      </c>
      <c r="F134" s="645">
        <v>8755.39</v>
      </c>
      <c r="G134" s="728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>
      <c r="A135" s="760" t="s">
        <v>196</v>
      </c>
      <c r="B135" s="761"/>
      <c r="C135" s="762"/>
      <c r="D135" s="393"/>
      <c r="E135" s="442"/>
      <c r="F135" s="442"/>
      <c r="G135" s="723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>
      <c r="A136" s="830" t="s">
        <v>325</v>
      </c>
      <c r="B136" s="830"/>
      <c r="C136" s="830"/>
      <c r="D136" s="830"/>
      <c r="E136" s="830"/>
      <c r="F136" s="830"/>
      <c r="G136" s="830"/>
      <c r="H136" s="830"/>
      <c r="I136" s="830"/>
      <c r="J136" s="830"/>
    </row>
    <row r="137" spans="1:15" ht="22.5">
      <c r="A137" s="165"/>
      <c r="B137" s="434"/>
      <c r="C137" s="434"/>
      <c r="D137" s="434"/>
      <c r="E137" s="442"/>
      <c r="F137" s="442"/>
      <c r="G137" s="734"/>
      <c r="H137" s="439"/>
      <c r="I137" s="442"/>
      <c r="J137" s="439"/>
    </row>
    <row r="138" spans="1:15" ht="22.5">
      <c r="A138" s="828" t="s">
        <v>185</v>
      </c>
      <c r="B138" s="828"/>
      <c r="C138" s="828"/>
      <c r="D138" s="393" t="s">
        <v>183</v>
      </c>
      <c r="E138" s="445">
        <v>866173</v>
      </c>
      <c r="F138" s="445">
        <v>866234</v>
      </c>
      <c r="G138" s="723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>
      <c r="A139" s="828" t="s">
        <v>186</v>
      </c>
      <c r="B139" s="828"/>
      <c r="C139" s="828"/>
      <c r="D139" s="393" t="s">
        <v>183</v>
      </c>
      <c r="E139" s="446">
        <v>886573</v>
      </c>
      <c r="F139" s="446">
        <v>886574</v>
      </c>
      <c r="G139" s="723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>
      <c r="A140" s="828" t="s">
        <v>187</v>
      </c>
      <c r="B140" s="828"/>
      <c r="C140" s="828"/>
      <c r="D140" s="393" t="s">
        <v>183</v>
      </c>
      <c r="E140" s="447">
        <v>88922</v>
      </c>
      <c r="F140" s="447">
        <v>88922</v>
      </c>
      <c r="G140" s="723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>
      <c r="A141" s="766" t="s">
        <v>188</v>
      </c>
      <c r="B141" s="766"/>
      <c r="C141" s="766"/>
      <c r="D141" s="448" t="s">
        <v>183</v>
      </c>
      <c r="E141" s="447">
        <v>54685.58</v>
      </c>
      <c r="F141" s="446">
        <v>54851.17</v>
      </c>
      <c r="G141" s="728">
        <f t="shared" si="24"/>
        <v>165.58999999999651</v>
      </c>
      <c r="H141" s="453">
        <f t="shared" si="25"/>
        <v>165.58999999999651</v>
      </c>
      <c r="I141" s="657"/>
      <c r="J141" s="525">
        <f>H141/DAY(B2)</f>
        <v>165.58999999999651</v>
      </c>
    </row>
    <row r="142" spans="1:15" ht="22.5">
      <c r="A142" s="766" t="s">
        <v>189</v>
      </c>
      <c r="B142" s="766"/>
      <c r="C142" s="766"/>
      <c r="D142" s="448" t="s">
        <v>183</v>
      </c>
      <c r="E142" s="446">
        <v>21284.1</v>
      </c>
      <c r="F142" s="446">
        <v>21357.57</v>
      </c>
      <c r="G142" s="728">
        <f t="shared" si="24"/>
        <v>73.470000000001164</v>
      </c>
      <c r="H142" s="453">
        <f t="shared" si="25"/>
        <v>73.470000000001164</v>
      </c>
      <c r="I142" s="658"/>
      <c r="J142" s="525">
        <f>H142/DAY(B2)</f>
        <v>73.470000000001164</v>
      </c>
    </row>
    <row r="143" spans="1:15" ht="22.5">
      <c r="A143" s="768" t="s">
        <v>91</v>
      </c>
      <c r="B143" s="768"/>
      <c r="C143" s="768"/>
      <c r="D143" s="448" t="s">
        <v>183</v>
      </c>
      <c r="E143" s="447">
        <v>3835.39</v>
      </c>
      <c r="F143" s="446">
        <v>3864.39</v>
      </c>
      <c r="G143" s="728">
        <f t="shared" si="24"/>
        <v>29</v>
      </c>
      <c r="H143" s="453">
        <f t="shared" si="25"/>
        <v>29</v>
      </c>
      <c r="I143" s="658"/>
      <c r="J143" s="525">
        <f>H143/DAY(B2)</f>
        <v>29</v>
      </c>
    </row>
    <row r="144" spans="1:15" ht="22.5">
      <c r="A144" s="766" t="s">
        <v>90</v>
      </c>
      <c r="B144" s="766"/>
      <c r="C144" s="766"/>
      <c r="D144" s="448" t="s">
        <v>183</v>
      </c>
      <c r="E144" s="447">
        <v>876487</v>
      </c>
      <c r="F144" s="446">
        <v>876683</v>
      </c>
      <c r="G144" s="728">
        <f t="shared" si="24"/>
        <v>196</v>
      </c>
      <c r="H144" s="453">
        <f t="shared" si="25"/>
        <v>196</v>
      </c>
      <c r="I144" s="658"/>
      <c r="J144" s="525">
        <f>H144/DAY(B2)</f>
        <v>196</v>
      </c>
    </row>
    <row r="145" spans="1:10" ht="22.5">
      <c r="A145" s="768" t="s">
        <v>190</v>
      </c>
      <c r="B145" s="768"/>
      <c r="C145" s="768"/>
      <c r="D145" s="448" t="s">
        <v>183</v>
      </c>
      <c r="E145" s="447">
        <v>4958.84</v>
      </c>
      <c r="F145" s="446">
        <v>4971.62</v>
      </c>
      <c r="G145" s="728">
        <f t="shared" si="24"/>
        <v>12.779999999999745</v>
      </c>
      <c r="H145" s="453">
        <f t="shared" si="25"/>
        <v>12.779999999999745</v>
      </c>
      <c r="I145" s="658"/>
      <c r="J145" s="525">
        <f>H145/DAY(B2)</f>
        <v>12.779999999999745</v>
      </c>
    </row>
    <row r="146" spans="1:10" ht="22.5">
      <c r="A146" s="769" t="s">
        <v>191</v>
      </c>
      <c r="B146" s="770"/>
      <c r="C146" s="771"/>
      <c r="D146" s="448" t="s">
        <v>183</v>
      </c>
      <c r="E146" s="446">
        <v>737333</v>
      </c>
      <c r="F146" s="446">
        <v>737727</v>
      </c>
      <c r="G146" s="728">
        <f t="shared" si="24"/>
        <v>394</v>
      </c>
      <c r="H146" s="453">
        <f t="shared" si="25"/>
        <v>394</v>
      </c>
      <c r="I146" s="658"/>
      <c r="J146" s="525">
        <f>H146/DAY(B2)</f>
        <v>394</v>
      </c>
    </row>
    <row r="147" spans="1:10" ht="22.5">
      <c r="A147" s="766" t="s">
        <v>192</v>
      </c>
      <c r="B147" s="766"/>
      <c r="C147" s="766"/>
      <c r="D147" s="448" t="s">
        <v>183</v>
      </c>
      <c r="E147" s="446">
        <v>626612.52</v>
      </c>
      <c r="F147" s="446">
        <v>626981.80000000005</v>
      </c>
      <c r="G147" s="728">
        <f t="shared" si="24"/>
        <v>369.28000000002794</v>
      </c>
      <c r="H147" s="453">
        <f t="shared" si="25"/>
        <v>369.28000000002794</v>
      </c>
      <c r="I147" s="658"/>
      <c r="J147" s="525">
        <f>H147/DAY(B2)</f>
        <v>369.28000000002794</v>
      </c>
    </row>
    <row r="148" spans="1:10" ht="22.5">
      <c r="A148" s="763" t="s">
        <v>193</v>
      </c>
      <c r="B148" s="764"/>
      <c r="C148" s="765"/>
      <c r="D148" s="507" t="s">
        <v>130</v>
      </c>
      <c r="E148" s="407">
        <v>689442.96</v>
      </c>
      <c r="F148" s="433">
        <v>689638</v>
      </c>
      <c r="G148" s="728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>
      <c r="A149" s="763" t="s">
        <v>336</v>
      </c>
      <c r="B149" s="764"/>
      <c r="C149" s="765"/>
      <c r="D149" s="526" t="s">
        <v>130</v>
      </c>
      <c r="E149" s="387">
        <v>24678.2</v>
      </c>
      <c r="F149" s="448">
        <v>25075.18</v>
      </c>
      <c r="G149" s="728">
        <f t="shared" si="24"/>
        <v>396.97999999999956</v>
      </c>
      <c r="H149" s="453">
        <f t="shared" si="25"/>
        <v>396.97999999999956</v>
      </c>
      <c r="I149" s="650"/>
      <c r="J149" s="525">
        <f>H149/DAY(B2)</f>
        <v>396.97999999999956</v>
      </c>
    </row>
    <row r="150" spans="1:10" ht="22.5">
      <c r="A150" s="763" t="s">
        <v>337</v>
      </c>
      <c r="B150" s="764"/>
      <c r="C150" s="765"/>
      <c r="D150" s="507" t="s">
        <v>130</v>
      </c>
      <c r="E150" s="448">
        <v>10850.83</v>
      </c>
      <c r="F150" s="448">
        <v>11065.7</v>
      </c>
      <c r="G150" s="728">
        <f t="shared" si="24"/>
        <v>214.8700000000008</v>
      </c>
      <c r="H150" s="453">
        <f t="shared" si="25"/>
        <v>214.8700000000008</v>
      </c>
      <c r="I150" s="650"/>
      <c r="J150" s="525">
        <f>H150/DAY(B2)</f>
        <v>214.8700000000008</v>
      </c>
    </row>
    <row r="151" spans="1:10" ht="22.5">
      <c r="A151" s="763" t="s">
        <v>338</v>
      </c>
      <c r="B151" s="764"/>
      <c r="C151" s="765"/>
      <c r="D151" s="527"/>
      <c r="E151" s="448">
        <v>85480</v>
      </c>
      <c r="F151" s="448">
        <v>85706</v>
      </c>
      <c r="G151" s="728">
        <f t="shared" ref="G151:G152" si="26">F151-E151</f>
        <v>226</v>
      </c>
      <c r="H151" s="453">
        <f t="shared" ref="H151:H153" si="27">G151</f>
        <v>226</v>
      </c>
      <c r="I151" s="650"/>
      <c r="J151" s="525">
        <f>H151/DAY(B2)</f>
        <v>226</v>
      </c>
    </row>
    <row r="152" spans="1:10" ht="22.5">
      <c r="A152" s="763" t="s">
        <v>339</v>
      </c>
      <c r="B152" s="764"/>
      <c r="C152" s="765"/>
      <c r="D152" s="527"/>
      <c r="E152" s="448">
        <v>1660</v>
      </c>
      <c r="F152" s="448">
        <v>1676.46</v>
      </c>
      <c r="G152" s="728">
        <f t="shared" si="26"/>
        <v>16.460000000000036</v>
      </c>
      <c r="H152" s="453">
        <f t="shared" si="27"/>
        <v>16.460000000000036</v>
      </c>
      <c r="I152" s="650"/>
      <c r="J152" s="525">
        <f>H152/DAY(B2)</f>
        <v>16.460000000000036</v>
      </c>
    </row>
    <row r="153" spans="1:10" ht="22.5">
      <c r="A153" s="760" t="s">
        <v>196</v>
      </c>
      <c r="B153" s="761"/>
      <c r="C153" s="762"/>
      <c r="D153" s="527"/>
      <c r="E153" s="449"/>
      <c r="F153" s="449"/>
      <c r="G153" s="735">
        <f>SUM(G138:G152)</f>
        <v>2351.470000000063</v>
      </c>
      <c r="H153" s="528">
        <f t="shared" si="27"/>
        <v>2351.470000000063</v>
      </c>
      <c r="I153" s="651">
        <f>G153-(G38+G52)</f>
        <v>731.20000000006621</v>
      </c>
      <c r="J153" s="529"/>
    </row>
    <row r="154" spans="1:10" ht="22.5">
      <c r="A154" s="767" t="s">
        <v>344</v>
      </c>
      <c r="B154" s="767"/>
      <c r="C154" s="767"/>
      <c r="D154" s="767"/>
      <c r="E154" s="767"/>
      <c r="F154" s="767"/>
      <c r="G154" s="767"/>
      <c r="H154" s="767"/>
      <c r="I154" s="767"/>
      <c r="J154" s="767"/>
    </row>
    <row r="155" spans="1:10" ht="27.75" customHeight="1">
      <c r="A155" s="766" t="s">
        <v>345</v>
      </c>
      <c r="B155" s="766"/>
      <c r="C155" s="766"/>
      <c r="D155" s="457"/>
      <c r="E155" s="712">
        <v>32385</v>
      </c>
      <c r="F155" s="645">
        <v>32945</v>
      </c>
      <c r="G155" s="728">
        <f t="shared" ref="G155:G158" si="28">F155-E155</f>
        <v>560</v>
      </c>
      <c r="H155" s="645"/>
      <c r="I155" s="645"/>
      <c r="J155" s="525">
        <f>H155/DAY(B2)</f>
        <v>0</v>
      </c>
    </row>
    <row r="156" spans="1:10" ht="25.5" customHeight="1">
      <c r="A156" s="766" t="s">
        <v>349</v>
      </c>
      <c r="B156" s="766"/>
      <c r="C156" s="766"/>
      <c r="D156" s="461"/>
      <c r="E156" s="442">
        <v>2736</v>
      </c>
      <c r="F156" s="645">
        <v>2788</v>
      </c>
      <c r="G156" s="728">
        <f t="shared" si="28"/>
        <v>52</v>
      </c>
      <c r="H156" s="460"/>
      <c r="I156" s="645"/>
      <c r="J156" s="525">
        <f>H156/DAY(B2)</f>
        <v>0</v>
      </c>
    </row>
    <row r="157" spans="1:10" ht="25.5" customHeight="1">
      <c r="A157" s="831" t="s">
        <v>364</v>
      </c>
      <c r="B157" s="832"/>
      <c r="C157" s="833"/>
      <c r="D157" s="401" t="s">
        <v>130</v>
      </c>
      <c r="E157" s="394">
        <v>4032</v>
      </c>
      <c r="F157" s="645">
        <v>4127.37</v>
      </c>
      <c r="G157" s="728">
        <f t="shared" si="28"/>
        <v>95.369999999999891</v>
      </c>
      <c r="H157" s="460"/>
      <c r="I157" s="645"/>
      <c r="J157" s="525"/>
    </row>
    <row r="158" spans="1:10" ht="25.5" customHeight="1">
      <c r="A158" s="831" t="s">
        <v>365</v>
      </c>
      <c r="B158" s="832"/>
      <c r="C158" s="833"/>
      <c r="D158" s="401" t="s">
        <v>130</v>
      </c>
      <c r="E158" s="442">
        <v>46.66</v>
      </c>
      <c r="F158" s="645">
        <v>46.66</v>
      </c>
      <c r="G158" s="728">
        <f t="shared" si="28"/>
        <v>0</v>
      </c>
      <c r="H158" s="460"/>
      <c r="I158" s="645"/>
      <c r="J158" s="525"/>
    </row>
    <row r="159" spans="1:10" ht="25.5" customHeight="1">
      <c r="A159" s="834"/>
      <c r="B159" s="835"/>
      <c r="C159" s="836"/>
      <c r="D159" s="461"/>
      <c r="E159" s="442"/>
      <c r="F159" s="645"/>
      <c r="G159" s="728"/>
      <c r="H159" s="460"/>
      <c r="I159" s="645"/>
      <c r="J159" s="525"/>
    </row>
    <row r="160" spans="1:10" ht="22.5">
      <c r="A160" s="830" t="s">
        <v>326</v>
      </c>
      <c r="B160" s="830"/>
      <c r="C160" s="830"/>
      <c r="D160" s="830"/>
      <c r="E160" s="830"/>
      <c r="F160" s="830"/>
      <c r="G160" s="830"/>
      <c r="H160" s="830"/>
      <c r="I160" s="830"/>
      <c r="J160" s="830"/>
    </row>
    <row r="161" spans="1:10" ht="22.5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6">
        <f t="shared" ref="G161:G168" si="29">F161-E161</f>
        <v>48.28000000002794</v>
      </c>
      <c r="H161" s="395">
        <f t="shared" ref="H161:H168" si="30">G161</f>
        <v>48.28000000002794</v>
      </c>
      <c r="I161" s="650"/>
      <c r="J161" s="454">
        <f>H161/DAY(B2)</f>
        <v>48.28000000002794</v>
      </c>
    </row>
    <row r="162" spans="1:10" ht="22.5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6">
        <f t="shared" si="29"/>
        <v>42</v>
      </c>
      <c r="H162" s="395">
        <f t="shared" si="30"/>
        <v>42</v>
      </c>
      <c r="I162" s="650"/>
      <c r="J162" s="454">
        <f>H162/DAY(B2)</f>
        <v>42</v>
      </c>
    </row>
    <row r="163" spans="1:10" ht="22.5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6">
        <f t="shared" si="29"/>
        <v>31.399999999994179</v>
      </c>
      <c r="H163" s="395">
        <f t="shared" si="30"/>
        <v>31.399999999994179</v>
      </c>
      <c r="I163" s="650"/>
      <c r="J163" s="454">
        <f>H163/DAY(B2)</f>
        <v>31.399999999994179</v>
      </c>
    </row>
    <row r="164" spans="1:10" ht="22.5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6">
        <f>F164-E164</f>
        <v>0.8000000000001819</v>
      </c>
      <c r="H164" s="395">
        <f t="shared" si="30"/>
        <v>0.8000000000001819</v>
      </c>
      <c r="I164" s="650"/>
      <c r="J164" s="454">
        <f>H164/DAY(B2)</f>
        <v>0.8000000000001819</v>
      </c>
    </row>
    <row r="165" spans="1:10" ht="22.5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6">
        <f t="shared" si="29"/>
        <v>8.8300000000017462</v>
      </c>
      <c r="H165" s="395">
        <f t="shared" si="30"/>
        <v>8.8300000000017462</v>
      </c>
      <c r="I165" s="650"/>
      <c r="J165" s="454">
        <f>H165/DAY(B2)</f>
        <v>8.8300000000017462</v>
      </c>
    </row>
    <row r="166" spans="1:10" ht="22.5">
      <c r="A166" s="821"/>
      <c r="B166" s="821"/>
      <c r="C166" s="434"/>
      <c r="D166" s="451" t="s">
        <v>180</v>
      </c>
      <c r="E166" s="442"/>
      <c r="F166" s="442"/>
      <c r="G166" s="736">
        <f t="shared" si="29"/>
        <v>0</v>
      </c>
      <c r="H166" s="395">
        <f t="shared" si="30"/>
        <v>0</v>
      </c>
      <c r="I166" s="442"/>
      <c r="J166" s="439"/>
    </row>
    <row r="167" spans="1:10" ht="22.5">
      <c r="A167" s="821"/>
      <c r="B167" s="821"/>
      <c r="C167" s="434"/>
      <c r="D167" s="451" t="s">
        <v>180</v>
      </c>
      <c r="E167" s="442"/>
      <c r="F167" s="442"/>
      <c r="G167" s="736">
        <f t="shared" si="29"/>
        <v>0</v>
      </c>
      <c r="H167" s="395">
        <f t="shared" si="30"/>
        <v>0</v>
      </c>
      <c r="I167" s="442"/>
      <c r="J167" s="439"/>
    </row>
    <row r="168" spans="1:10" ht="22.5">
      <c r="A168" s="821"/>
      <c r="B168" s="821"/>
      <c r="C168" s="434"/>
      <c r="D168" s="451" t="s">
        <v>180</v>
      </c>
      <c r="E168" s="442"/>
      <c r="F168" s="442"/>
      <c r="G168" s="736">
        <f t="shared" si="29"/>
        <v>0</v>
      </c>
      <c r="H168" s="395">
        <f t="shared" si="30"/>
        <v>0</v>
      </c>
      <c r="I168" s="442"/>
      <c r="J168" s="439"/>
    </row>
    <row r="169" spans="1:10" ht="22.5"/>
    <row r="170" spans="1:10" ht="22.5"/>
    <row r="171" spans="1:10" ht="22.5">
      <c r="A171" s="822" t="s">
        <v>330</v>
      </c>
      <c r="B171" s="823"/>
      <c r="C171" s="823"/>
      <c r="D171" s="823"/>
      <c r="E171" s="823"/>
      <c r="F171" s="823"/>
      <c r="G171" s="823"/>
      <c r="H171" s="823"/>
      <c r="I171" s="823"/>
      <c r="J171" s="824"/>
    </row>
    <row r="172" spans="1:10" ht="22.5">
      <c r="A172" s="841"/>
      <c r="B172" s="842"/>
      <c r="C172" s="455"/>
      <c r="D172" s="506"/>
      <c r="E172" s="442"/>
      <c r="F172" s="442"/>
      <c r="G172" s="734"/>
      <c r="H172" s="439"/>
      <c r="I172" s="442"/>
      <c r="J172" s="456">
        <f>H172/DAY(B2)</f>
        <v>0</v>
      </c>
    </row>
    <row r="173" spans="1:10" ht="22.5">
      <c r="A173" s="825" t="s">
        <v>209</v>
      </c>
      <c r="B173" s="827"/>
      <c r="C173" s="377"/>
      <c r="D173" s="506" t="s">
        <v>142</v>
      </c>
      <c r="E173" s="700">
        <v>8126</v>
      </c>
      <c r="F173" s="442">
        <v>8126</v>
      </c>
      <c r="G173" s="734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>
      <c r="A174" s="825" t="s">
        <v>75</v>
      </c>
      <c r="B174" s="827"/>
      <c r="C174" s="377"/>
      <c r="D174" s="506" t="s">
        <v>142</v>
      </c>
      <c r="E174" s="699">
        <v>38615</v>
      </c>
      <c r="F174" s="645">
        <v>38626</v>
      </c>
      <c r="G174" s="734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>
      <c r="A175" s="825" t="s">
        <v>76</v>
      </c>
      <c r="B175" s="826"/>
      <c r="C175" s="827"/>
      <c r="D175" s="506" t="s">
        <v>142</v>
      </c>
      <c r="E175" s="442">
        <v>21813</v>
      </c>
      <c r="F175" s="442">
        <v>21823</v>
      </c>
      <c r="G175" s="734">
        <f t="shared" si="32"/>
        <v>10</v>
      </c>
      <c r="H175" s="395">
        <f t="shared" si="31"/>
        <v>10</v>
      </c>
      <c r="I175" s="442"/>
      <c r="J175" s="456"/>
    </row>
    <row r="176" spans="1:10" ht="22.5">
      <c r="A176" s="837" t="s">
        <v>196</v>
      </c>
      <c r="B176" s="838"/>
      <c r="C176" s="377"/>
      <c r="D176" s="506"/>
      <c r="E176" s="442"/>
      <c r="F176" s="442"/>
      <c r="G176" s="734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>
      <c r="A177" s="825" t="s">
        <v>77</v>
      </c>
      <c r="B177" s="827"/>
      <c r="C177" s="377"/>
      <c r="D177" s="506" t="s">
        <v>142</v>
      </c>
      <c r="E177" s="442"/>
      <c r="F177" s="442"/>
      <c r="G177" s="734"/>
      <c r="H177" s="395">
        <f t="shared" si="31"/>
        <v>0</v>
      </c>
      <c r="I177" s="442"/>
      <c r="J177" s="456">
        <f>H177/DAY(B2)</f>
        <v>0</v>
      </c>
    </row>
    <row r="178" spans="1:10" ht="22.5">
      <c r="A178" s="825" t="s">
        <v>210</v>
      </c>
      <c r="B178" s="827"/>
      <c r="C178" s="377"/>
      <c r="D178" s="506" t="s">
        <v>142</v>
      </c>
      <c r="E178" s="442">
        <v>81315</v>
      </c>
      <c r="F178" s="442">
        <v>81358</v>
      </c>
      <c r="G178" s="734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>
      <c r="A179" s="825" t="s">
        <v>211</v>
      </c>
      <c r="B179" s="827"/>
      <c r="C179" s="377"/>
      <c r="D179" s="506" t="s">
        <v>142</v>
      </c>
      <c r="E179" s="699">
        <v>34803</v>
      </c>
      <c r="F179" s="442">
        <v>34832</v>
      </c>
      <c r="G179" s="734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>
      <c r="A180" s="825" t="s">
        <v>212</v>
      </c>
      <c r="B180" s="827"/>
      <c r="C180" s="377"/>
      <c r="D180" s="506" t="s">
        <v>142</v>
      </c>
      <c r="E180" s="699">
        <v>5702</v>
      </c>
      <c r="F180" s="442">
        <v>5705</v>
      </c>
      <c r="G180" s="734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>
      <c r="A181" s="837" t="s">
        <v>108</v>
      </c>
      <c r="B181" s="838"/>
      <c r="C181" s="377"/>
      <c r="D181" s="506"/>
      <c r="E181" s="699"/>
      <c r="F181" s="442"/>
      <c r="G181" s="734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>
      <c r="A182" s="825" t="s">
        <v>213</v>
      </c>
      <c r="B182" s="827"/>
      <c r="C182" s="377"/>
      <c r="D182" s="506"/>
      <c r="E182" s="442"/>
      <c r="F182" s="442"/>
      <c r="G182" s="734"/>
      <c r="H182" s="395">
        <f t="shared" si="31"/>
        <v>0</v>
      </c>
      <c r="I182" s="442"/>
      <c r="J182" s="456">
        <f>H182/DAY(B2)</f>
        <v>0</v>
      </c>
    </row>
    <row r="183" spans="1:10" ht="21.95" customHeight="1">
      <c r="A183" s="825" t="s">
        <v>214</v>
      </c>
      <c r="B183" s="827"/>
      <c r="C183" s="377"/>
      <c r="D183" s="506" t="s">
        <v>142</v>
      </c>
      <c r="E183" s="699">
        <v>15345</v>
      </c>
      <c r="F183" s="645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>
      <c r="A184" s="825" t="s">
        <v>215</v>
      </c>
      <c r="B184" s="827"/>
      <c r="C184" s="377"/>
      <c r="D184" s="506" t="s">
        <v>142</v>
      </c>
      <c r="E184" s="699">
        <v>10518</v>
      </c>
      <c r="F184" s="645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>
      <c r="A185" s="825" t="s">
        <v>216</v>
      </c>
      <c r="B185" s="827"/>
      <c r="C185" s="377"/>
      <c r="D185" s="506" t="s">
        <v>142</v>
      </c>
      <c r="E185" s="699"/>
      <c r="F185" s="645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>
      <c r="A186" s="837" t="s">
        <v>196</v>
      </c>
      <c r="B186" s="838"/>
      <c r="C186" s="377"/>
      <c r="D186" s="229"/>
      <c r="E186" s="699"/>
      <c r="F186" s="645"/>
      <c r="G186" s="584">
        <f>SUM(G183:G185)</f>
        <v>18</v>
      </c>
      <c r="H186" s="395">
        <f t="shared" si="31"/>
        <v>18</v>
      </c>
      <c r="I186" s="645"/>
      <c r="J186" s="458">
        <f>H186/DAY(B2)</f>
        <v>18</v>
      </c>
    </row>
    <row r="187" spans="1:10" ht="22.5">
      <c r="A187" s="825" t="s">
        <v>217</v>
      </c>
      <c r="B187" s="827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5"/>
      <c r="J187" s="458">
        <f>H187/DAY(B2)</f>
        <v>118</v>
      </c>
    </row>
    <row r="188" spans="1:10" ht="22.5">
      <c r="A188" s="825" t="s">
        <v>218</v>
      </c>
      <c r="B188" s="827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5"/>
      <c r="J188" s="654"/>
    </row>
    <row r="189" spans="1:10" ht="22.5">
      <c r="A189" s="825" t="s">
        <v>219</v>
      </c>
      <c r="B189" s="827"/>
      <c r="C189" s="377"/>
      <c r="D189" s="459" t="s">
        <v>142</v>
      </c>
      <c r="E189" s="699"/>
      <c r="F189" s="645"/>
      <c r="G189" s="584">
        <f>G181</f>
        <v>75</v>
      </c>
      <c r="H189" s="395">
        <f t="shared" si="31"/>
        <v>75</v>
      </c>
      <c r="I189" s="645"/>
      <c r="J189" s="454">
        <f>H189/DAY(B2)</f>
        <v>75</v>
      </c>
    </row>
    <row r="190" spans="1:10" ht="27">
      <c r="A190" s="839" t="s">
        <v>360</v>
      </c>
      <c r="B190" s="840"/>
      <c r="C190" s="595"/>
      <c r="D190" s="474"/>
      <c r="E190" s="659"/>
      <c r="F190" s="596">
        <v>52955</v>
      </c>
      <c r="G190" s="737">
        <f>F190-E190</f>
        <v>52955</v>
      </c>
      <c r="H190" s="476"/>
      <c r="I190" s="596"/>
      <c r="J190" s="476"/>
    </row>
    <row r="191" spans="1:10" ht="22.5">
      <c r="A191" s="825"/>
      <c r="B191" s="827"/>
    </row>
    <row r="192" spans="1:10" ht="22.5"/>
    <row r="193" ht="22.5"/>
    <row r="194" ht="22.5"/>
    <row r="195" ht="22.5"/>
    <row r="196" ht="22.5"/>
    <row r="197" ht="22.5"/>
    <row r="198" ht="22.5"/>
    <row r="199" ht="22.5"/>
    <row r="200" ht="22.5"/>
    <row r="201" ht="22.5"/>
    <row r="202" ht="22.5"/>
    <row r="203" ht="22.5"/>
    <row r="204" ht="22.5"/>
    <row r="205" ht="22.5"/>
    <row r="206" ht="22.5"/>
    <row r="207" ht="22.5"/>
    <row r="208" ht="22.5"/>
    <row r="209" ht="22.5"/>
    <row r="210" ht="22.5"/>
    <row r="211" ht="22.5"/>
    <row r="212" ht="22.5"/>
    <row r="213" ht="22.5"/>
    <row r="214" ht="22.5"/>
    <row r="215" ht="22.5"/>
    <row r="216" ht="22.5"/>
    <row r="217" ht="22.5"/>
    <row r="218" ht="22.5"/>
    <row r="219" ht="22.5"/>
    <row r="220" ht="22.5"/>
    <row r="221" ht="22.5"/>
    <row r="222" ht="22.5"/>
    <row r="223" ht="22.5"/>
    <row r="224" ht="22.5"/>
    <row r="225" ht="22.5"/>
    <row r="226" ht="22.5"/>
    <row r="227" ht="22.5"/>
    <row r="228" ht="22.5"/>
    <row r="229" ht="22.5"/>
    <row r="230" ht="22.5"/>
    <row r="231" ht="22.5"/>
    <row r="232" ht="22.5"/>
    <row r="233" ht="22.5"/>
    <row r="234" ht="22.5"/>
    <row r="235" ht="22.5"/>
    <row r="236" ht="22.5"/>
    <row r="237" ht="22.5"/>
    <row r="238" ht="22.5"/>
    <row r="239" ht="22.5"/>
    <row r="240" ht="22.5"/>
    <row r="241" ht="22.5"/>
    <row r="242" ht="22.5"/>
    <row r="243" ht="22.5"/>
    <row r="244" ht="22.5"/>
    <row r="245" ht="22.5"/>
    <row r="246" ht="22.5"/>
    <row r="247" ht="22.5"/>
    <row r="248" ht="22.5"/>
    <row r="249" ht="22.5"/>
    <row r="250" ht="22.5"/>
    <row r="251" ht="22.5"/>
    <row r="252" ht="22.5"/>
    <row r="253" ht="22.5"/>
    <row r="254" ht="22.5"/>
    <row r="255" ht="22.5"/>
    <row r="256" ht="22.5"/>
    <row r="257" ht="22.5"/>
    <row r="258" ht="22.5"/>
    <row r="259" ht="22.5"/>
    <row r="260" ht="22.5"/>
    <row r="261" ht="22.5"/>
    <row r="262" ht="22.5"/>
    <row r="263" ht="22.5"/>
    <row r="264" ht="22.5"/>
    <row r="265" ht="22.5"/>
    <row r="266" ht="22.5"/>
    <row r="267" ht="22.5"/>
    <row r="268" ht="22.5"/>
    <row r="269" ht="22.5"/>
    <row r="270" ht="22.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tabSelected="1" view="pageBreakPreview" zoomScale="55" zoomScaleSheetLayoutView="55" workbookViewId="0">
      <selection activeCell="F85" sqref="F85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>
      <c r="A18" s="846" t="s">
        <v>141</v>
      </c>
      <c r="B18" s="847"/>
      <c r="C18" s="848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>
      <c r="A19" s="846" t="s">
        <v>69</v>
      </c>
      <c r="B19" s="847"/>
      <c r="C19" s="848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'1'!F62</f>
        <v>269579</v>
      </c>
      <c r="F62" s="122">
        <v>269884</v>
      </c>
      <c r="G62" s="112">
        <f t="shared" ref="G62:G63" si="5">F62-E62</f>
        <v>305</v>
      </c>
      <c r="H62" s="99">
        <f>G62+'1'!H62</f>
        <v>368</v>
      </c>
      <c r="I62" s="118"/>
      <c r="J62" s="175">
        <f>H62/DAY(B2)</f>
        <v>184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'1'!F64</f>
        <v>0</v>
      </c>
      <c r="F64" s="122"/>
      <c r="G64" s="112">
        <f>G62+G63</f>
        <v>464</v>
      </c>
      <c r="H64" s="99">
        <f>G64+'1'!H64</f>
        <v>659</v>
      </c>
      <c r="I64" s="118"/>
      <c r="J64" s="175">
        <f>H64/DAY(B2)</f>
        <v>329.5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>
      <c r="A116" s="897" t="s">
        <v>96</v>
      </c>
      <c r="B116" s="898"/>
      <c r="C116" s="899"/>
      <c r="D116" s="67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>
      <c r="A133" s="879" t="s">
        <v>342</v>
      </c>
      <c r="B133" s="880"/>
      <c r="C133" s="881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>
      <c r="A134" s="879" t="s">
        <v>340</v>
      </c>
      <c r="B134" s="880"/>
      <c r="C134" s="881"/>
      <c r="D134" s="676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676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>
      <c r="A139" s="874" t="s">
        <v>186</v>
      </c>
      <c r="B139" s="874"/>
      <c r="C139" s="874"/>
      <c r="D139" s="676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>
      <c r="A140" s="874" t="s">
        <v>187</v>
      </c>
      <c r="B140" s="874"/>
      <c r="C140" s="874"/>
      <c r="D140" s="676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>
      <c r="A144" s="878" t="s">
        <v>90</v>
      </c>
      <c r="B144" s="878"/>
      <c r="C144" s="878"/>
      <c r="D144" s="676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>
      <c r="A146" s="875" t="s">
        <v>191</v>
      </c>
      <c r="B146" s="876"/>
      <c r="C146" s="877"/>
      <c r="D146" s="676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>
      <c r="A147" s="878" t="s">
        <v>192</v>
      </c>
      <c r="B147" s="878"/>
      <c r="C147" s="878"/>
      <c r="D147" s="676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>
      <c r="A148" s="870" t="s">
        <v>193</v>
      </c>
      <c r="B148" s="871"/>
      <c r="C148" s="872"/>
      <c r="D148" s="677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>
      <c r="A149" s="870" t="s">
        <v>336</v>
      </c>
      <c r="B149" s="871"/>
      <c r="C149" s="872"/>
      <c r="D149" s="678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>
      <c r="A151" s="870" t="s">
        <v>338</v>
      </c>
      <c r="B151" s="871"/>
      <c r="C151" s="872"/>
      <c r="D151" s="677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679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>
      <c r="A156" s="878" t="s">
        <v>347</v>
      </c>
      <c r="B156" s="878"/>
      <c r="C156" s="878"/>
      <c r="D156" s="679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>
      <c r="A157" s="870" t="s">
        <v>364</v>
      </c>
      <c r="B157" s="871"/>
      <c r="C157" s="872"/>
      <c r="D157" s="679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>
      <c r="A159" s="870"/>
      <c r="B159" s="871"/>
      <c r="C159" s="872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4" ht="29.2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>
      <c r="A166" s="910"/>
      <c r="B166" s="91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>
      <c r="A167" s="910"/>
      <c r="B167" s="91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>
      <c r="A168" s="910"/>
      <c r="B168" s="91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/>
    <row r="170" spans="1:14" ht="29.25"/>
    <row r="171" spans="1:14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4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68" t="s">
        <v>209</v>
      </c>
      <c r="B173" s="869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>
      <c r="A174" s="868" t="s">
        <v>75</v>
      </c>
      <c r="B174" s="869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>
      <c r="A175" s="868" t="s">
        <v>76</v>
      </c>
      <c r="B175" s="873"/>
      <c r="C175" s="869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>
      <c r="A176" s="907" t="s">
        <v>196</v>
      </c>
      <c r="B176" s="908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>
      <c r="A178" s="868" t="s">
        <v>210</v>
      </c>
      <c r="B178" s="869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>
      <c r="A181" s="912" t="s">
        <v>108</v>
      </c>
      <c r="B181" s="913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>
      <c r="A182" s="868" t="s">
        <v>213</v>
      </c>
      <c r="B182" s="869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68" t="s">
        <v>214</v>
      </c>
      <c r="B183" s="869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>
      <c r="A184" s="868" t="s">
        <v>215</v>
      </c>
      <c r="B184" s="869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68" t="s">
        <v>216</v>
      </c>
      <c r="B185" s="869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07" t="s">
        <v>196</v>
      </c>
      <c r="B186" s="908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338</v>
      </c>
      <c r="H187" s="99">
        <f>G187+'1'!H187</f>
        <v>456</v>
      </c>
      <c r="I187" s="158"/>
      <c r="J187" s="179">
        <f>H187/DAY(B2)</f>
        <v>228</v>
      </c>
    </row>
    <row r="188" spans="1:10" ht="24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270"/>
  <sheetViews>
    <sheetView view="pageBreakPreview" zoomScale="55" zoomScaleSheetLayoutView="55" workbookViewId="0">
      <selection activeCell="E27" sqref="E27:E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>
      <c r="A2" s="191" t="s">
        <v>350</v>
      </c>
      <c r="B2" s="375">
        <v>44564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153249</v>
      </c>
      <c r="G7" s="112">
        <f>F7-E7</f>
        <v>-533245</v>
      </c>
      <c r="H7" s="99">
        <f>G7+'2'!H7</f>
        <v>-497931.23</v>
      </c>
      <c r="I7" s="113">
        <f>'1'!I7</f>
        <v>12000</v>
      </c>
      <c r="J7" s="175">
        <f>H7/DAY(B2)</f>
        <v>-165977.07666666666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200756</v>
      </c>
      <c r="G8" s="115">
        <f>F8-E8</f>
        <v>-543589</v>
      </c>
      <c r="H8" s="99">
        <f>G8+'2'!H8</f>
        <v>-507792.15</v>
      </c>
      <c r="I8" s="116"/>
      <c r="J8" s="175">
        <f>H8/DAY(B2)</f>
        <v>-169264.05000000002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2296070.1</v>
      </c>
      <c r="G9" s="112">
        <f>F9-E9</f>
        <v>1985334.9100000001</v>
      </c>
      <c r="H9" s="99">
        <f>G9+'2'!H9</f>
        <v>2013816.2500000002</v>
      </c>
      <c r="I9" s="124">
        <f>I7-J7</f>
        <v>177977.07666666666</v>
      </c>
      <c r="J9" s="175">
        <f>H9/DAY(B2)</f>
        <v>671272.08333333337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560620.94999999995</v>
      </c>
      <c r="G10" s="112">
        <f t="shared" ref="G10:G12" si="0">F10-E10</f>
        <v>449532.75999999995</v>
      </c>
      <c r="H10" s="99">
        <f>G10+'2'!H10</f>
        <v>455361.98</v>
      </c>
      <c r="I10" s="282"/>
      <c r="J10" s="175">
        <f>H10/DAY(B2)</f>
        <v>151787.32666666666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37000</v>
      </c>
      <c r="G11" s="112">
        <f t="shared" si="0"/>
        <v>-170</v>
      </c>
      <c r="H11" s="99">
        <f>G11+'2'!H11</f>
        <v>-170</v>
      </c>
      <c r="I11" s="282"/>
      <c r="J11" s="175">
        <f>H11/DAY(B2)</f>
        <v>-56.666666666666664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2434697.67</v>
      </c>
      <c r="H13" s="99">
        <f>G13+'2'!H13</f>
        <v>2452253.7999999998</v>
      </c>
      <c r="I13" s="120">
        <f>G7-G13</f>
        <v>-2967942.67</v>
      </c>
      <c r="J13" s="175">
        <f>H13/DAY(B2)</f>
        <v>817417.93333333323</v>
      </c>
      <c r="K13" s="79"/>
      <c r="L13" s="66"/>
      <c r="N13" s="87"/>
      <c r="O13" s="71"/>
    </row>
    <row r="14" spans="1:16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1880833.4</v>
      </c>
      <c r="G15" s="112">
        <f>(F15-E15)</f>
        <v>-27705.070000000065</v>
      </c>
      <c r="H15" s="99">
        <f>G15+'2'!H15</f>
        <v>-25803.367000000086</v>
      </c>
      <c r="I15" s="113">
        <f>'1'!I15</f>
        <v>800</v>
      </c>
      <c r="J15" s="175">
        <f>H15/DAY(B2)</f>
        <v>-8601.1223333333619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9401.1223333333619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'2'!F18</f>
        <v>15</v>
      </c>
      <c r="F18" s="122">
        <v>30</v>
      </c>
      <c r="G18" s="119">
        <f>F18*10</f>
        <v>300</v>
      </c>
      <c r="H18" s="99">
        <f>G18+'2'!H18</f>
        <v>630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'2'!F19</f>
        <v>153979</v>
      </c>
      <c r="F19" s="122">
        <v>152391</v>
      </c>
      <c r="G19" s="112">
        <f t="shared" ref="G19" si="1">F19-E19</f>
        <v>-1588</v>
      </c>
      <c r="H19" s="99">
        <f>G19+'2'!H19</f>
        <v>-1500</v>
      </c>
      <c r="I19" s="335"/>
      <c r="J19" s="175">
        <f>H19/DAY(B2)</f>
        <v>-500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-1288</v>
      </c>
      <c r="H20" s="99">
        <f>G20+'2'!H20</f>
        <v>-870</v>
      </c>
      <c r="I20" s="336">
        <f>I18-J20</f>
        <v>355</v>
      </c>
      <c r="J20" s="175">
        <f>H20/DAY(B2)</f>
        <v>-290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-543589</v>
      </c>
      <c r="F27" s="136">
        <v>9</v>
      </c>
      <c r="G27" s="137">
        <f>E27*F27</f>
        <v>-4892301</v>
      </c>
      <c r="H27" s="99">
        <f>G27+'2'!H27</f>
        <v>-4570129.3500000006</v>
      </c>
      <c r="I27" s="138"/>
      <c r="J27" s="175">
        <f>H27/DAY(B2)</f>
        <v>-1523376.4500000002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-27705.070000000065</v>
      </c>
      <c r="F28" s="136">
        <v>52</v>
      </c>
      <c r="G28" s="137">
        <f>E28*F28</f>
        <v>-1440663.6400000034</v>
      </c>
      <c r="H28" s="99">
        <f>G28+'2'!H28</f>
        <v>-1341775.0840000045</v>
      </c>
      <c r="I28" s="140"/>
      <c r="J28" s="175">
        <f>H28/DAY(B2)</f>
        <v>-447258.36133333482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-1588</v>
      </c>
      <c r="F30" s="136">
        <v>146</v>
      </c>
      <c r="G30" s="137">
        <f>E30*F30</f>
        <v>-231848</v>
      </c>
      <c r="H30" s="99">
        <f>G30+'2'!H30</f>
        <v>-219000</v>
      </c>
      <c r="I30" s="140"/>
      <c r="J30" s="175">
        <f>H30/DAY(B2)</f>
        <v>-73000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50400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-6540812.6400000034</v>
      </c>
      <c r="H32" s="99">
        <f>G32+'2'!H32</f>
        <v>-6080504.434000005</v>
      </c>
      <c r="I32" s="144"/>
      <c r="J32" s="175">
        <f>H32/DAY(B2)</f>
        <v>-2026834.811333335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158786.95000000001</v>
      </c>
      <c r="G35" s="112">
        <f t="shared" ref="G35:G46" si="3">F35-E35</f>
        <v>124147.64000000001</v>
      </c>
      <c r="H35" s="99">
        <f>G35+'2'!H35</f>
        <v>126781.97000000002</v>
      </c>
      <c r="I35" s="95"/>
      <c r="J35" s="175">
        <f>H35/DAY(B2)</f>
        <v>42260.656666666669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23952.22</v>
      </c>
      <c r="G36" s="112">
        <f t="shared" si="3"/>
        <v>-21028.78</v>
      </c>
      <c r="H36" s="99">
        <f>G36+'2'!H36</f>
        <v>-19506.519999999997</v>
      </c>
      <c r="I36" s="95"/>
      <c r="J36" s="175">
        <f>H36/DAY(B2)</f>
        <v>-6502.1733333333323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199989.95</v>
      </c>
      <c r="G37" s="112">
        <f t="shared" si="3"/>
        <v>161463.65000000002</v>
      </c>
      <c r="H37" s="99">
        <f>G37+'2'!H37</f>
        <v>164564.86000000004</v>
      </c>
      <c r="I37" s="95"/>
      <c r="J37" s="175">
        <f>H37/DAY(B2)</f>
        <v>54854.953333333346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237187.13</v>
      </c>
      <c r="G38" s="112">
        <f t="shared" si="3"/>
        <v>195431.64</v>
      </c>
      <c r="H38" s="99">
        <f>G38+'2'!H38</f>
        <v>198810.7</v>
      </c>
      <c r="I38" s="95"/>
      <c r="J38" s="175">
        <f>H38/DAY(B2)</f>
        <v>66270.233333333337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419283.99</v>
      </c>
      <c r="G39" s="112">
        <f t="shared" si="3"/>
        <v>354872.89</v>
      </c>
      <c r="H39" s="99">
        <f>G39+'2'!H39</f>
        <v>360110.7</v>
      </c>
      <c r="I39" s="95"/>
      <c r="J39" s="175">
        <f>H39/DAY(B2)</f>
        <v>120036.90000000001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5609.98</v>
      </c>
      <c r="G40" s="112">
        <f t="shared" si="3"/>
        <v>5548.98</v>
      </c>
      <c r="H40" s="99">
        <f>G40+'2'!H40</f>
        <v>6237.7199999999975</v>
      </c>
      <c r="I40" s="95"/>
      <c r="J40" s="175">
        <f>H40/DAY(B2)</f>
        <v>2079.2399999999993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73808.600000000006</v>
      </c>
      <c r="G42" s="112">
        <f t="shared" si="3"/>
        <v>-32655.25</v>
      </c>
      <c r="H42" s="99">
        <f>G42+'2'!H42</f>
        <v>-26321.14</v>
      </c>
      <c r="I42" s="95"/>
      <c r="J42" s="175">
        <f>H42/DAY(B2)</f>
        <v>-8773.7133333333331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54679.07</v>
      </c>
      <c r="G43" s="112">
        <f t="shared" si="3"/>
        <v>-64071.62</v>
      </c>
      <c r="H43" s="99">
        <f>G43+'2'!H43</f>
        <v>-60172.530000000006</v>
      </c>
      <c r="I43" s="95"/>
      <c r="J43" s="175">
        <f>H43/DAY(B2)</f>
        <v>-20057.510000000002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723709.15</v>
      </c>
      <c r="H47" s="99">
        <f>G47+'2'!H47</f>
        <v>750505.76</v>
      </c>
      <c r="I47" s="95"/>
      <c r="J47" s="175">
        <f>H47/DAY(B2)</f>
        <v>250168.58666666667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277381</v>
      </c>
      <c r="G49" s="112">
        <f t="shared" ref="G49:G58" si="4">F49-E49</f>
        <v>250399</v>
      </c>
      <c r="H49" s="99">
        <f>G49+'2'!H49</f>
        <v>252384.81</v>
      </c>
      <c r="I49" s="95"/>
      <c r="J49" s="175">
        <f>H49/DAY(B2)</f>
        <v>84128.27</v>
      </c>
      <c r="K49" s="79"/>
      <c r="L49" s="66"/>
      <c r="N49" s="87">
        <f>G35+G49</f>
        <v>374546.64</v>
      </c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28002.21</v>
      </c>
      <c r="G50" s="112">
        <f t="shared" si="4"/>
        <v>-30310.870000000003</v>
      </c>
      <c r="H50" s="99">
        <f>G50+'2'!H50</f>
        <v>-28384.42</v>
      </c>
      <c r="I50" s="95"/>
      <c r="J50" s="175">
        <f>H50/DAY(B2)</f>
        <v>-9461.4733333333334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3197.08</v>
      </c>
      <c r="G54" s="112">
        <f t="shared" si="4"/>
        <v>-2106.6499999999996</v>
      </c>
      <c r="H54" s="99">
        <f>G54+'2'!H54</f>
        <v>-1950.3400000000001</v>
      </c>
      <c r="I54" s="95"/>
      <c r="J54" s="175">
        <f>H54/DAY(B2)</f>
        <v>-650.11333333333334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12137.46</v>
      </c>
      <c r="G55" s="112">
        <f t="shared" si="4"/>
        <v>-63351.939999999995</v>
      </c>
      <c r="H55" s="99">
        <f>G55+'2'!H55</f>
        <v>-62228.65</v>
      </c>
      <c r="I55" s="95"/>
      <c r="J55" s="175">
        <f>H55/DAY(B2)</f>
        <v>-20742.883333333335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92625.63</v>
      </c>
      <c r="G58" s="112">
        <f t="shared" si="4"/>
        <v>87443.840000000011</v>
      </c>
      <c r="H58" s="99">
        <f>G58+'2'!H58</f>
        <v>87829.420000000013</v>
      </c>
      <c r="I58" s="95"/>
      <c r="J58" s="175">
        <f>H58/DAY(B2)</f>
        <v>29276.473333333339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242073.38</v>
      </c>
      <c r="H59" s="99">
        <f>G59+'2'!H59</f>
        <v>247650.82</v>
      </c>
      <c r="I59" s="95">
        <f>G7-G60</f>
        <v>-1499027.53</v>
      </c>
      <c r="J59" s="175">
        <f>H59/DAY(B2)</f>
        <v>82550.273333333331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965782.53</v>
      </c>
      <c r="H60" s="99">
        <f>G60+'2'!H60</f>
        <v>998156.58000000007</v>
      </c>
      <c r="I60" s="95">
        <f>G13-G60</f>
        <v>1468915.14</v>
      </c>
      <c r="J60" s="175">
        <f>H60/DAY(B2)</f>
        <v>332718.86000000004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'2'!F62</f>
        <v>269884</v>
      </c>
      <c r="F62" s="164">
        <v>267243</v>
      </c>
      <c r="G62" s="112">
        <f t="shared" ref="G62:G63" si="5">F62-E62</f>
        <v>-2641</v>
      </c>
      <c r="H62" s="99">
        <f>G62+'2'!H62</f>
        <v>-2273</v>
      </c>
      <c r="I62" s="118"/>
      <c r="J62" s="175">
        <f>H62/DAY(B2)</f>
        <v>-757.66666666666663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'2'!F63</f>
        <v>216088</v>
      </c>
      <c r="F63" s="122">
        <v>212733</v>
      </c>
      <c r="G63" s="112">
        <f t="shared" si="5"/>
        <v>-3355</v>
      </c>
      <c r="H63" s="99">
        <f>G63+'2'!H63</f>
        <v>-3064</v>
      </c>
      <c r="I63" s="118"/>
      <c r="J63" s="175">
        <f>H63/DAY(B2)</f>
        <v>-1021.3333333333334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'2'!F64</f>
        <v>0</v>
      </c>
      <c r="F64" s="122"/>
      <c r="G64" s="112">
        <f>G62+G63</f>
        <v>-5996</v>
      </c>
      <c r="H64" s="99">
        <f>G64+'2'!H64</f>
        <v>-5337</v>
      </c>
      <c r="I64" s="118"/>
      <c r="J64" s="175">
        <f>H64/DAY(B2)</f>
        <v>-1779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'2'!F65</f>
        <v>435065</v>
      </c>
      <c r="F65" s="122">
        <v>432812</v>
      </c>
      <c r="G65" s="112">
        <f t="shared" ref="G65:G70" si="6">F65-E65</f>
        <v>-2253</v>
      </c>
      <c r="H65" s="99">
        <f>G65+'2'!H65</f>
        <v>-2111</v>
      </c>
      <c r="I65" s="118"/>
      <c r="J65" s="175">
        <f>H65/DAY(B2)</f>
        <v>-703.66666666666663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107287</v>
      </c>
      <c r="G66" s="112">
        <f t="shared" si="6"/>
        <v>-493</v>
      </c>
      <c r="H66" s="99">
        <f>G66+'2'!H66</f>
        <v>-456</v>
      </c>
      <c r="I66" s="118"/>
      <c r="J66" s="175">
        <f>H66/DAY(B2)</f>
        <v>-152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104027</v>
      </c>
      <c r="G67" s="112">
        <f t="shared" si="6"/>
        <v>-655</v>
      </c>
      <c r="H67" s="99">
        <f>G67+'2'!H67</f>
        <v>-621</v>
      </c>
      <c r="I67" s="118"/>
      <c r="J67" s="175">
        <f>H67/DAY(B2)</f>
        <v>-207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156653</v>
      </c>
      <c r="G68" s="112">
        <f t="shared" si="6"/>
        <v>-1113</v>
      </c>
      <c r="H68" s="99">
        <f>G68+'2'!H68</f>
        <v>-1044</v>
      </c>
      <c r="I68" s="118"/>
      <c r="J68" s="175">
        <f>H68/DAY(B2)</f>
        <v>-348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10272</v>
      </c>
      <c r="G69" s="112">
        <f t="shared" si="6"/>
        <v>-297</v>
      </c>
      <c r="H69" s="99">
        <f>G69+'2'!H69</f>
        <v>-269</v>
      </c>
      <c r="I69" s="118"/>
      <c r="J69" s="175">
        <f>H69/DAY(B2)</f>
        <v>-89.666666666666671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7894</v>
      </c>
      <c r="G70" s="112">
        <f t="shared" si="6"/>
        <v>-244</v>
      </c>
      <c r="H70" s="99">
        <f>G70+'2'!H70</f>
        <v>-226</v>
      </c>
      <c r="I70" s="118"/>
      <c r="J70" s="175">
        <f>H70/DAY(B2)</f>
        <v>-75.333333333333329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-5055</v>
      </c>
      <c r="H71" s="99">
        <f>G71+'2'!H71</f>
        <v>-4727</v>
      </c>
      <c r="I71" s="154"/>
      <c r="J71" s="175">
        <f>H71/DAY(B2)</f>
        <v>-1575.6666666666667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'2'!F74</f>
        <v>901931.71600000001</v>
      </c>
      <c r="F74" s="117">
        <v>892798.36</v>
      </c>
      <c r="G74" s="112">
        <f t="shared" ref="G74:G78" si="7">F74-E74</f>
        <v>-9133.3560000000289</v>
      </c>
      <c r="H74" s="99">
        <f>G74+'2'!H74</f>
        <v>-8507.7889999999898</v>
      </c>
      <c r="I74" s="154"/>
      <c r="J74" s="175">
        <f>H74/DAY(B2)</f>
        <v>-2835.9296666666633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'2'!F76</f>
        <v>170181.77</v>
      </c>
      <c r="F76" s="123">
        <v>167499</v>
      </c>
      <c r="G76" s="112">
        <f t="shared" si="7"/>
        <v>-2682.7699999999895</v>
      </c>
      <c r="H76" s="99">
        <f>G76+'2'!H76</f>
        <v>-2476</v>
      </c>
      <c r="I76" s="154"/>
      <c r="J76" s="175">
        <f>H76/DAY(B2)</f>
        <v>-825.33333333333337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'2'!F77</f>
        <v>41381.1</v>
      </c>
      <c r="F77" s="123">
        <v>40418.1</v>
      </c>
      <c r="G77" s="112">
        <f t="shared" si="7"/>
        <v>-963</v>
      </c>
      <c r="H77" s="99">
        <f>G77+'2'!H77</f>
        <v>-884.09999999999854</v>
      </c>
      <c r="I77" s="154"/>
      <c r="J77" s="175">
        <f>H77/DAY(B2)</f>
        <v>-294.69999999999953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'2'!F78</f>
        <v>9517.7000000000007</v>
      </c>
      <c r="F78" s="123">
        <v>9489.2999999999993</v>
      </c>
      <c r="G78" s="112">
        <f t="shared" si="7"/>
        <v>-28.400000000001455</v>
      </c>
      <c r="H78" s="99">
        <f>G78+'2'!H78</f>
        <v>-26.700000000000728</v>
      </c>
      <c r="I78" s="118"/>
      <c r="J78" s="175">
        <f>H78/DAY(B2)</f>
        <v>-8.9000000000002419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'2'!F79</f>
        <v>0</v>
      </c>
      <c r="F79" s="117"/>
      <c r="G79" s="112">
        <f>G15-SUM(G74:G78)</f>
        <v>-14897.544000000045</v>
      </c>
      <c r="H79" s="99">
        <f>G79+'2'!H79</f>
        <v>-13908.778000000097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-27705.070000000065</v>
      </c>
      <c r="H80" s="99">
        <f>G80+'2'!H80</f>
        <v>-26721.925000000047</v>
      </c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2096.56</v>
      </c>
      <c r="G85" s="112">
        <f t="shared" si="8"/>
        <v>-205.44000000000005</v>
      </c>
      <c r="H85" s="99">
        <f>G85+'2'!H85</f>
        <v>-165.44000000000005</v>
      </c>
      <c r="I85" s="118">
        <f>G82+G83+G84+G85</f>
        <v>-205.44000000000005</v>
      </c>
      <c r="J85" s="175">
        <f>H85/DAY(B2)</f>
        <v>-55.146666666666682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42935.15</v>
      </c>
      <c r="G86" s="112">
        <f t="shared" si="8"/>
        <v>-514.84999999999854</v>
      </c>
      <c r="H86" s="99">
        <f>G86+'2'!H86</f>
        <v>-506.84999999999854</v>
      </c>
      <c r="I86" s="118"/>
      <c r="J86" s="175">
        <f>H86/DAY(B2)</f>
        <v>-168.94999999999951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24056.07</v>
      </c>
      <c r="G88" s="112">
        <f t="shared" si="8"/>
        <v>-7.3600000000005821</v>
      </c>
      <c r="H88" s="99">
        <f>G88+'2'!H88</f>
        <v>-7.3600000000005821</v>
      </c>
      <c r="I88" s="118">
        <f>G86+G87+G88</f>
        <v>-522.20999999999913</v>
      </c>
      <c r="J88" s="175">
        <f>H88/DAY(B2)</f>
        <v>-2.4533333333335272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25667.56</v>
      </c>
      <c r="G89" s="112">
        <f t="shared" si="8"/>
        <v>-242.43999999999869</v>
      </c>
      <c r="H89" s="99">
        <f>G89+'2'!H89</f>
        <v>-223.55999999999767</v>
      </c>
      <c r="I89" s="118"/>
      <c r="J89" s="175">
        <f>H89/DAY(B2)</f>
        <v>-74.519999999999229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71052</v>
      </c>
      <c r="G90" s="112">
        <f t="shared" si="8"/>
        <v>-113.36999999999534</v>
      </c>
      <c r="H90" s="99">
        <f>G90+'2'!H90</f>
        <v>-111.32000000000698</v>
      </c>
      <c r="I90" s="118">
        <f>G89+G90</f>
        <v>-355.80999999999403</v>
      </c>
      <c r="J90" s="175">
        <f>H90/DAY(B2)</f>
        <v>-37.106666666668993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122">
        <v>3226.32</v>
      </c>
      <c r="G91" s="112">
        <f t="shared" si="8"/>
        <v>-48</v>
      </c>
      <c r="H91" s="99">
        <f>G91+'2'!H91</f>
        <v>-24.769999999999982</v>
      </c>
      <c r="I91" s="165"/>
      <c r="J91" s="175">
        <f>H91/DAY(B2)</f>
        <v>-8.2566666666666606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5465.21</v>
      </c>
      <c r="G92" s="112">
        <f t="shared" si="8"/>
        <v>-275.85999999999967</v>
      </c>
      <c r="H92" s="99">
        <f>G92+'2'!H92</f>
        <v>-275.85999999999967</v>
      </c>
      <c r="I92" s="165"/>
      <c r="J92" s="175">
        <f>H92/DAY(B2)</f>
        <v>-91.953333333333219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310475.02</v>
      </c>
      <c r="H94" s="99">
        <f>G94+'2'!H94</f>
        <v>318994.25</v>
      </c>
      <c r="I94" s="118"/>
      <c r="J94" s="175">
        <f>H94/DAY(B2)</f>
        <v>106331.41666666667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-0.58223709551894531</v>
      </c>
      <c r="H95" s="99">
        <f>G95+'2'!H95</f>
        <v>-9.9945661766084271E-2</v>
      </c>
      <c r="I95" s="167"/>
      <c r="J95" s="175">
        <f>H95/DAY(B2)</f>
        <v>-3.3315220588694759E-2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-96007.19</v>
      </c>
      <c r="H96" s="99">
        <f>G96+'2'!H96</f>
        <v>-88549.790000000008</v>
      </c>
      <c r="I96" s="118"/>
      <c r="J96" s="175">
        <f>H96/DAY(B2)</f>
        <v>-29516.596666666668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0.18004330092171517</v>
      </c>
      <c r="H97" s="99">
        <f>G97+'2'!H97</f>
        <v>0.60325457236517022</v>
      </c>
      <c r="I97" s="167"/>
      <c r="J97" s="175">
        <f>H97/DAY(B2)</f>
        <v>0.20108485745505675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354872.89</v>
      </c>
      <c r="H98" s="99">
        <f>G98+'2'!H98</f>
        <v>360110.7</v>
      </c>
      <c r="I98" s="168"/>
      <c r="J98" s="175">
        <f>H98/DAY(B2)</f>
        <v>120036.90000000001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-0.66549689167268333</v>
      </c>
      <c r="H99" s="99">
        <f>G99+'2'!H99</f>
        <v>-0.36872990881308182</v>
      </c>
      <c r="I99" s="168"/>
      <c r="J99" s="175">
        <f>H99/DAY(B2)</f>
        <v>-0.12290996960436061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195431.64</v>
      </c>
      <c r="H100" s="99">
        <f>G100+'2'!H100</f>
        <v>198810.7</v>
      </c>
      <c r="I100" s="118"/>
      <c r="J100" s="175">
        <f>H100/DAY(B2)</f>
        <v>66270.233333333337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-0.36649502573863801</v>
      </c>
      <c r="H101" s="99">
        <f>G101+'2'!H101</f>
        <v>-0.17520139819961073</v>
      </c>
      <c r="I101" s="168"/>
      <c r="J101" s="175">
        <f>H101/DAY(B2)</f>
        <v>-5.8400466066536906E-2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-51339.65</v>
      </c>
      <c r="H102" s="99">
        <f>G102+'2'!H102</f>
        <v>-47890.939999999995</v>
      </c>
      <c r="I102" s="168"/>
      <c r="J102" s="175">
        <f>H102/DAY(B2)</f>
        <v>-15963.646666666666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9.6277789758928825E-2</v>
      </c>
      <c r="H103" s="99">
        <f>G103+'2'!H103</f>
        <v>0.29150437266787976</v>
      </c>
      <c r="I103" s="118"/>
      <c r="J103" s="175">
        <f>H103/DAY(B2)</f>
        <v>9.7168124222626592E-2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161463.65000000002</v>
      </c>
      <c r="H104" s="99">
        <f>G104+'2'!H104</f>
        <v>164564.86000000004</v>
      </c>
      <c r="I104" s="118"/>
      <c r="J104" s="175">
        <f>H104/DAY(B2)</f>
        <v>54854.953333333346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-0.3027944940880834</v>
      </c>
      <c r="H105" s="99">
        <f>G105+'2'!H105</f>
        <v>-0.12706157534261636</v>
      </c>
      <c r="I105" s="187"/>
      <c r="J105" s="188">
        <f>H105/DAY(B2)</f>
        <v>-4.2353858447538785E-2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'2'!F112</f>
        <v>58208.63</v>
      </c>
      <c r="F112" s="237">
        <v>55886.89</v>
      </c>
      <c r="G112" s="112">
        <f t="shared" ref="G112:G123" si="9">F112-E112</f>
        <v>-2321.739999999998</v>
      </c>
      <c r="H112" s="99">
        <f>G112+'2'!H112</f>
        <v>-2167.1100000000006</v>
      </c>
      <c r="I112" s="165"/>
      <c r="J112" s="328">
        <f>H112/DAY(B2)</f>
        <v>-722.37000000000023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'2'!F113</f>
        <v>47363.9</v>
      </c>
      <c r="F113" s="237">
        <v>33563</v>
      </c>
      <c r="G113" s="112">
        <f t="shared" si="9"/>
        <v>-13800.900000000001</v>
      </c>
      <c r="H113" s="99">
        <f>G113+'2'!H113</f>
        <v>-12837.89</v>
      </c>
      <c r="I113" s="165"/>
      <c r="J113" s="328">
        <f>H113/DAY(B2)</f>
        <v>-4279.2966666666662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'2'!F114</f>
        <v>33745.300000000003</v>
      </c>
      <c r="F114" s="237">
        <v>25683.7</v>
      </c>
      <c r="G114" s="112">
        <f t="shared" si="9"/>
        <v>-8061.6000000000022</v>
      </c>
      <c r="H114" s="99">
        <f>G114+'2'!H114</f>
        <v>-7476.2999999999993</v>
      </c>
      <c r="I114" s="165"/>
      <c r="J114" s="328">
        <f>H114/DAY(B2)</f>
        <v>-2492.1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'2'!F115</f>
        <v>9114.76</v>
      </c>
      <c r="F115" s="237">
        <v>8813.23</v>
      </c>
      <c r="G115" s="112">
        <f t="shared" si="9"/>
        <v>-301.53000000000065</v>
      </c>
      <c r="H115" s="99">
        <f>G115+'2'!H115</f>
        <v>-281.42000000000007</v>
      </c>
      <c r="I115" s="165"/>
      <c r="J115" s="328">
        <f>H115/DAY(B2)</f>
        <v>-93.806666666666686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'2'!F117</f>
        <v>3395.23</v>
      </c>
      <c r="F117" s="237">
        <v>2652.96</v>
      </c>
      <c r="G117" s="112">
        <f t="shared" si="9"/>
        <v>-742.27</v>
      </c>
      <c r="H117" s="99">
        <f>G117+'2'!H117</f>
        <v>-684.98999999999978</v>
      </c>
      <c r="I117" s="165"/>
      <c r="J117" s="328">
        <f>H117/DAY(B2)</f>
        <v>-228.32999999999993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'2'!F118</f>
        <v>253080.85</v>
      </c>
      <c r="F118" s="237">
        <v>242766.49</v>
      </c>
      <c r="G118" s="112">
        <f t="shared" si="9"/>
        <v>-10314.360000000015</v>
      </c>
      <c r="H118" s="99">
        <f>G118+'2'!H118</f>
        <v>-9685.820000000007</v>
      </c>
      <c r="I118" s="165"/>
      <c r="J118" s="328">
        <f>H118/DAY(B2)</f>
        <v>-3228.6066666666688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'2'!F119</f>
        <v>259012.89</v>
      </c>
      <c r="F119" s="237">
        <v>246430.55</v>
      </c>
      <c r="G119" s="112">
        <f t="shared" si="9"/>
        <v>-12582.340000000026</v>
      </c>
      <c r="H119" s="99">
        <f>G119+'2'!H119</f>
        <v>-11718</v>
      </c>
      <c r="I119" s="165"/>
      <c r="J119" s="328">
        <f>H119/DAY(B2)</f>
        <v>-3906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'2'!F120</f>
        <v>43790.96</v>
      </c>
      <c r="F120" s="237">
        <v>31362.45</v>
      </c>
      <c r="G120" s="112">
        <f t="shared" si="9"/>
        <v>-12428.509999999998</v>
      </c>
      <c r="H120" s="99">
        <f>G120+'2'!H120</f>
        <v>-11597.16</v>
      </c>
      <c r="I120" s="165"/>
      <c r="J120" s="328">
        <f>H120/DAY(B2)</f>
        <v>-3865.72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'2'!F121</f>
        <v>399468.55</v>
      </c>
      <c r="F121" s="237">
        <v>378842.15</v>
      </c>
      <c r="G121" s="112">
        <f t="shared" si="9"/>
        <v>-20626.399999999965</v>
      </c>
      <c r="H121" s="99">
        <f>G121+'2'!H121</f>
        <v>-19192.27999999997</v>
      </c>
      <c r="I121" s="165"/>
      <c r="J121" s="328">
        <f>H121/DAY(B2)</f>
        <v>-6397.4266666666563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'2'!F122</f>
        <v>126606.82</v>
      </c>
      <c r="F122" s="237">
        <v>120716.54</v>
      </c>
      <c r="G122" s="112">
        <f t="shared" si="9"/>
        <v>-5890.2800000000134</v>
      </c>
      <c r="H122" s="99">
        <f>G122+'2'!H122</f>
        <v>-5469.6399999999994</v>
      </c>
      <c r="I122" s="165"/>
      <c r="J122" s="328">
        <f>H122/DAY(B2)</f>
        <v>-1823.2133333333331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'2'!F123</f>
        <v>154565.59</v>
      </c>
      <c r="F123" s="237">
        <v>146156.89000000001</v>
      </c>
      <c r="G123" s="112">
        <f t="shared" si="9"/>
        <v>-8408.6999999999825</v>
      </c>
      <c r="H123" s="99">
        <f>G123+'2'!H123</f>
        <v>-7890.0599999999977</v>
      </c>
      <c r="I123" s="165"/>
      <c r="J123" s="328">
        <f>H123/DAY(B2)</f>
        <v>-2630.0199999999991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9.25">
      <c r="A125" s="843" t="s">
        <v>196</v>
      </c>
      <c r="B125" s="844"/>
      <c r="C125" s="845"/>
      <c r="D125" s="307"/>
      <c r="E125" s="308"/>
      <c r="F125" s="308"/>
      <c r="G125" s="309">
        <f>SUM(G112:G124)</f>
        <v>-95478.63</v>
      </c>
      <c r="H125" s="156"/>
      <c r="I125" s="327">
        <f>G125-(G39+G53)</f>
        <v>-450351.52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'2'!F128</f>
        <v>48382.55</v>
      </c>
      <c r="F128" s="165">
        <v>39060.46</v>
      </c>
      <c r="G128" s="112">
        <f t="shared" ref="G128:G134" si="10">F128-E128</f>
        <v>-9322.0900000000038</v>
      </c>
      <c r="H128" s="99">
        <f>G128+'2'!H128</f>
        <v>-8685.5400000000009</v>
      </c>
      <c r="I128" s="165"/>
      <c r="J128" s="328">
        <f>H128/DAY(B2)</f>
        <v>-2895.1800000000003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20938.84</v>
      </c>
      <c r="G129" s="112">
        <f t="shared" si="10"/>
        <v>-6389.2599999999984</v>
      </c>
      <c r="H129" s="99">
        <f>G129+'2'!H129</f>
        <v>-5972.0299999999988</v>
      </c>
      <c r="I129" s="165"/>
      <c r="J129" s="328">
        <f>H129/DAY(B2)</f>
        <v>-1990.6766666666663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20550.099999999999</v>
      </c>
      <c r="G130" s="112">
        <f t="shared" si="10"/>
        <v>-16197.800000000003</v>
      </c>
      <c r="H130" s="99">
        <f>G130+'2'!H130</f>
        <v>-15143.900000000001</v>
      </c>
      <c r="I130" s="165"/>
      <c r="J130" s="328">
        <f>H130/DAY(B2)</f>
        <v>-5047.9666666666672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'2'!F131</f>
        <v>15427.4</v>
      </c>
      <c r="F131" s="165">
        <v>13412</v>
      </c>
      <c r="G131" s="112">
        <f t="shared" si="10"/>
        <v>-2015.3999999999996</v>
      </c>
      <c r="H131" s="99">
        <f>G131+'2'!H131</f>
        <v>-1895.6800000000003</v>
      </c>
      <c r="I131" s="165"/>
      <c r="J131" s="328">
        <f>H131/DAY(B2)</f>
        <v>-631.89333333333343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'2'!F132</f>
        <v>52212.32</v>
      </c>
      <c r="F132" s="165">
        <v>42365.21</v>
      </c>
      <c r="G132" s="112">
        <f t="shared" si="10"/>
        <v>-9847.11</v>
      </c>
      <c r="H132" s="99">
        <f>G132+'2'!H132</f>
        <v>-9483.0900000000038</v>
      </c>
      <c r="I132" s="165"/>
      <c r="J132" s="328">
        <f>H132/DAY(B2)</f>
        <v>-3161.0300000000011</v>
      </c>
    </row>
    <row r="133" spans="1:15" ht="27.75">
      <c r="A133" s="879" t="s">
        <v>342</v>
      </c>
      <c r="B133" s="880"/>
      <c r="C133" s="881"/>
      <c r="D133" s="151" t="s">
        <v>183</v>
      </c>
      <c r="E133" s="95">
        <f>'2'!F133</f>
        <v>106404.31</v>
      </c>
      <c r="F133" s="165">
        <v>90206.44</v>
      </c>
      <c r="G133" s="112">
        <f t="shared" si="10"/>
        <v>-16197.869999999995</v>
      </c>
      <c r="H133" s="99">
        <f>G133+'2'!H133</f>
        <v>-15137.259999999995</v>
      </c>
      <c r="I133" s="165"/>
      <c r="J133" s="328">
        <f>H133/DAY(B2)</f>
        <v>-5045.7533333333313</v>
      </c>
    </row>
    <row r="134" spans="1:15" ht="27.75">
      <c r="A134" s="921" t="s">
        <v>340</v>
      </c>
      <c r="B134" s="922"/>
      <c r="C134" s="917"/>
      <c r="D134" s="151" t="s">
        <v>183</v>
      </c>
      <c r="E134" s="95">
        <f>'2'!F134</f>
        <v>8906.8799999999992</v>
      </c>
      <c r="F134" s="165">
        <v>670802</v>
      </c>
      <c r="G134" s="112">
        <f t="shared" si="10"/>
        <v>661895.12</v>
      </c>
      <c r="H134" s="99">
        <f>G134+'2'!H134</f>
        <v>662200.77</v>
      </c>
      <c r="I134" s="165"/>
      <c r="J134" s="328">
        <f>H134/DAY(B2)</f>
        <v>220733.59</v>
      </c>
    </row>
    <row r="135" spans="1:15" ht="29.25">
      <c r="A135" s="843" t="s">
        <v>196</v>
      </c>
      <c r="B135" s="844"/>
      <c r="C135" s="845"/>
      <c r="D135" s="151"/>
      <c r="E135" s="95"/>
      <c r="F135" s="165"/>
      <c r="G135" s="112">
        <f>SUM(G128:G134)</f>
        <v>601925.59</v>
      </c>
      <c r="H135" s="99">
        <f>G135+'2'!H135</f>
        <v>605883.27</v>
      </c>
      <c r="I135" s="327">
        <f>G135-(G35+G49)</f>
        <v>227378.94999999995</v>
      </c>
      <c r="J135" s="328">
        <f>H135/DAY(B2)</f>
        <v>201961.09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'2'!F138</f>
        <v>866293</v>
      </c>
      <c r="F138" s="147">
        <v>864407</v>
      </c>
      <c r="G138" s="112">
        <f t="shared" ref="G138:G152" si="11">F138-E138</f>
        <v>-1886</v>
      </c>
      <c r="H138" s="99">
        <f>G138+'2'!H138</f>
        <v>-1766</v>
      </c>
      <c r="I138" s="118"/>
      <c r="J138" s="328">
        <f>H138/DAY(B2)</f>
        <v>-588.66666666666663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'2'!F139</f>
        <v>886576</v>
      </c>
      <c r="F139" s="148">
        <v>886547</v>
      </c>
      <c r="G139" s="112">
        <f t="shared" si="11"/>
        <v>-29</v>
      </c>
      <c r="H139" s="99">
        <f>G139+'2'!H139</f>
        <v>-26</v>
      </c>
      <c r="I139" s="118"/>
      <c r="J139" s="328">
        <f>H139/DAY(B2)</f>
        <v>-8.6666666666666661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'2'!F140</f>
        <v>88932.6</v>
      </c>
      <c r="F140" s="149">
        <v>88895.9</v>
      </c>
      <c r="G140" s="112">
        <f t="shared" si="11"/>
        <v>-36.700000000011642</v>
      </c>
      <c r="H140" s="99">
        <f>G140+'2'!H140</f>
        <v>-26.100000000005821</v>
      </c>
      <c r="I140" s="118"/>
      <c r="J140" s="328">
        <f>H140/DAY(B2)</f>
        <v>-8.7000000000019408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'2'!F141</f>
        <v>55027.8</v>
      </c>
      <c r="F141" s="149">
        <v>49854.8</v>
      </c>
      <c r="G141" s="112">
        <f t="shared" si="11"/>
        <v>-5173</v>
      </c>
      <c r="H141" s="99">
        <f>G141+'2'!H141</f>
        <v>-4830.7799999999988</v>
      </c>
      <c r="I141" s="118"/>
      <c r="J141" s="328">
        <f>H141/DAY(B2)</f>
        <v>-1610.2599999999995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'2'!F142</f>
        <v>21429.24</v>
      </c>
      <c r="F142" s="148">
        <v>19223.8</v>
      </c>
      <c r="G142" s="112">
        <f t="shared" si="11"/>
        <v>-2205.4400000000023</v>
      </c>
      <c r="H142" s="99">
        <f>G142+'2'!H142</f>
        <v>-2060.2999999999993</v>
      </c>
      <c r="I142" s="140"/>
      <c r="J142" s="328">
        <f>H142/DAY(B2)</f>
        <v>-686.76666666666642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'2'!F143</f>
        <v>3889.08</v>
      </c>
      <c r="F143" s="149">
        <v>3121.69</v>
      </c>
      <c r="G143" s="112">
        <f t="shared" si="11"/>
        <v>-767.38999999999987</v>
      </c>
      <c r="H143" s="99">
        <f>G143+'2'!H143</f>
        <v>-713.69999999999982</v>
      </c>
      <c r="I143" s="140"/>
      <c r="J143" s="328">
        <f>H143/DAY(B2)</f>
        <v>-237.89999999999995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'2'!F144</f>
        <v>876893</v>
      </c>
      <c r="F144" s="149">
        <v>870344</v>
      </c>
      <c r="G144" s="112">
        <f t="shared" si="11"/>
        <v>-6549</v>
      </c>
      <c r="H144" s="99">
        <f>G144+'2'!H144</f>
        <v>-6143</v>
      </c>
      <c r="I144" s="140"/>
      <c r="J144" s="328">
        <f>H144/DAY(B2)</f>
        <v>-2047.6666666666667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'2'!F145</f>
        <v>4985.33</v>
      </c>
      <c r="F145" s="149">
        <v>4606.96</v>
      </c>
      <c r="G145" s="112">
        <f t="shared" si="11"/>
        <v>-378.36999999999989</v>
      </c>
      <c r="H145" s="99">
        <f>G145+'2'!H145</f>
        <v>-351.88000000000011</v>
      </c>
      <c r="I145" s="140"/>
      <c r="J145" s="328">
        <f>H145/DAY(B2)</f>
        <v>-117.29333333333336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'2'!F146</f>
        <v>738119</v>
      </c>
      <c r="F146" s="147">
        <v>726266</v>
      </c>
      <c r="G146" s="112">
        <f t="shared" si="11"/>
        <v>-11853</v>
      </c>
      <c r="H146" s="99">
        <f>G146+'2'!H146</f>
        <v>-11067</v>
      </c>
      <c r="I146" s="140"/>
      <c r="J146" s="328">
        <f>H146/DAY(B2)</f>
        <v>-3689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'2'!F147</f>
        <v>627378.12</v>
      </c>
      <c r="F147" s="148">
        <v>616563.80000000005</v>
      </c>
      <c r="G147" s="112">
        <f t="shared" si="11"/>
        <v>-10814.319999999949</v>
      </c>
      <c r="H147" s="99">
        <f>G147+'2'!H147</f>
        <v>-10048.719999999972</v>
      </c>
      <c r="I147" s="140"/>
      <c r="J147" s="328">
        <f>H147/DAY(B2)</f>
        <v>-3349.5733333333242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'2'!F148</f>
        <v>689904.24</v>
      </c>
      <c r="F148" s="150">
        <v>683915.52</v>
      </c>
      <c r="G148" s="112">
        <f t="shared" si="11"/>
        <v>-5988.7199999999721</v>
      </c>
      <c r="H148" s="99">
        <f>G148+'2'!H148</f>
        <v>-5527.4399999999441</v>
      </c>
      <c r="I148" s="124"/>
      <c r="J148" s="328">
        <f>H148/DAY(B2)</f>
        <v>-1842.4799999999814</v>
      </c>
    </row>
    <row r="149" spans="1:10" ht="27.75">
      <c r="A149" s="923" t="s">
        <v>336</v>
      </c>
      <c r="B149" s="924"/>
      <c r="C149" s="925"/>
      <c r="D149" s="227" t="s">
        <v>130</v>
      </c>
      <c r="E149" s="95">
        <f>'2'!F149</f>
        <v>25534.7</v>
      </c>
      <c r="F149" s="146">
        <v>11666.01</v>
      </c>
      <c r="G149" s="112">
        <f t="shared" si="11"/>
        <v>-13868.69</v>
      </c>
      <c r="H149" s="99">
        <f>G149+'2'!H149</f>
        <v>-13012.19</v>
      </c>
      <c r="I149" s="119"/>
      <c r="J149" s="328">
        <f>H149/DAY(B2)</f>
        <v>-4337.3966666666665</v>
      </c>
    </row>
    <row r="150" spans="1:10" ht="27.75">
      <c r="A150" s="923" t="s">
        <v>337</v>
      </c>
      <c r="B150" s="924"/>
      <c r="C150" s="925"/>
      <c r="D150" s="117" t="s">
        <v>130</v>
      </c>
      <c r="E150" s="95">
        <f>'2'!F150</f>
        <v>11279.22</v>
      </c>
      <c r="F150" s="233">
        <v>4698.6000000000004</v>
      </c>
      <c r="G150" s="112">
        <f t="shared" si="11"/>
        <v>-6580.619999999999</v>
      </c>
      <c r="H150" s="99">
        <f>G150+'2'!H150</f>
        <v>-6152.23</v>
      </c>
      <c r="I150" s="119"/>
      <c r="J150" s="328">
        <f>H150/DAY(B2)</f>
        <v>-2050.7433333333333</v>
      </c>
    </row>
    <row r="151" spans="1:10" ht="29.25" customHeight="1">
      <c r="A151" s="923" t="s">
        <v>338</v>
      </c>
      <c r="B151" s="924"/>
      <c r="C151" s="925"/>
      <c r="D151" s="117" t="s">
        <v>130</v>
      </c>
      <c r="E151" s="95">
        <f>'2'!F151</f>
        <v>86023</v>
      </c>
      <c r="F151" s="233">
        <v>78989</v>
      </c>
      <c r="G151" s="112">
        <f t="shared" si="11"/>
        <v>-7034</v>
      </c>
      <c r="H151" s="99">
        <f>G151+'2'!H151</f>
        <v>-6491</v>
      </c>
      <c r="I151" s="119"/>
      <c r="J151" s="328">
        <f>H151/DAY(B2)</f>
        <v>-2163.6666666666665</v>
      </c>
    </row>
    <row r="152" spans="1:10" ht="29.25" customHeight="1">
      <c r="A152" s="923" t="s">
        <v>339</v>
      </c>
      <c r="B152" s="924"/>
      <c r="C152" s="925"/>
      <c r="D152" s="117" t="s">
        <v>130</v>
      </c>
      <c r="E152" s="95">
        <f>'2'!F152</f>
        <v>1706.35</v>
      </c>
      <c r="F152" s="233">
        <v>1213.8</v>
      </c>
      <c r="G152" s="112">
        <f t="shared" si="11"/>
        <v>-492.54999999999995</v>
      </c>
      <c r="H152" s="99">
        <f>G152+'2'!H152</f>
        <v>-446.20000000000005</v>
      </c>
      <c r="I152" s="119"/>
      <c r="J152" s="328">
        <f>H152/DAY(B2)</f>
        <v>-148.73333333333335</v>
      </c>
    </row>
    <row r="153" spans="1:10" ht="29.25" customHeight="1">
      <c r="A153" s="843" t="s">
        <v>196</v>
      </c>
      <c r="B153" s="844"/>
      <c r="C153" s="845"/>
      <c r="D153" s="367"/>
      <c r="E153" s="368"/>
      <c r="F153" s="369"/>
      <c r="G153" s="370">
        <f>SUM(G138:G152)</f>
        <v>-73656.79999999993</v>
      </c>
      <c r="H153" s="371"/>
      <c r="I153" s="119">
        <f>G153-(G38+G52)</f>
        <v>-269088.43999999994</v>
      </c>
      <c r="J153" s="372"/>
    </row>
    <row r="154" spans="1:10" ht="29.2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9.25" customHeight="1">
      <c r="A155" s="878" t="s">
        <v>345</v>
      </c>
      <c r="B155" s="878"/>
      <c r="C155" s="878"/>
      <c r="D155" s="117" t="s">
        <v>130</v>
      </c>
      <c r="E155" s="95">
        <f>'2'!F155</f>
        <v>33621.9</v>
      </c>
      <c r="F155" s="471">
        <v>14751.96</v>
      </c>
      <c r="G155" s="112">
        <f t="shared" ref="G155:G158" si="12">F155-E155</f>
        <v>-18869.940000000002</v>
      </c>
      <c r="H155" s="99">
        <f>G155+'2'!H155</f>
        <v>-18193.04</v>
      </c>
      <c r="I155" s="364"/>
      <c r="J155" s="328">
        <f>H155/DAY(B2)</f>
        <v>-6064.3466666666673</v>
      </c>
    </row>
    <row r="156" spans="1:10" ht="29.25" customHeight="1">
      <c r="A156" s="926" t="s">
        <v>346</v>
      </c>
      <c r="B156" s="926"/>
      <c r="C156" s="926"/>
      <c r="D156" s="117" t="s">
        <v>130</v>
      </c>
      <c r="E156" s="95">
        <f>'2'!F156</f>
        <v>2839.76</v>
      </c>
      <c r="F156" s="471">
        <v>1197.82</v>
      </c>
      <c r="G156" s="112">
        <f t="shared" si="12"/>
        <v>-1641.9400000000003</v>
      </c>
      <c r="H156" s="99">
        <f>G156+'2'!H156</f>
        <v>-1590.18</v>
      </c>
      <c r="I156" s="165"/>
      <c r="J156" s="328">
        <f>H156/DAY(B2)</f>
        <v>-530.06000000000006</v>
      </c>
    </row>
    <row r="157" spans="1:10" ht="29.25" customHeight="1">
      <c r="A157" s="870" t="s">
        <v>364</v>
      </c>
      <c r="B157" s="871"/>
      <c r="C157" s="872"/>
      <c r="D157" s="117" t="s">
        <v>130</v>
      </c>
      <c r="E157" s="95">
        <f>'2'!F157</f>
        <v>4207</v>
      </c>
      <c r="F157" s="471">
        <v>1435.6</v>
      </c>
      <c r="G157" s="112">
        <f t="shared" si="12"/>
        <v>-2771.4</v>
      </c>
      <c r="H157" s="99"/>
      <c r="I157" s="165"/>
      <c r="J157" s="328"/>
    </row>
    <row r="158" spans="1:10" ht="29.25" customHeight="1">
      <c r="A158" s="870" t="s">
        <v>365</v>
      </c>
      <c r="B158" s="871"/>
      <c r="C158" s="872"/>
      <c r="D158" s="117" t="s">
        <v>130</v>
      </c>
      <c r="E158" s="95">
        <f>'2'!F158</f>
        <v>60</v>
      </c>
      <c r="F158" s="471">
        <v>7.9</v>
      </c>
      <c r="G158" s="112">
        <f t="shared" si="12"/>
        <v>-52.1</v>
      </c>
      <c r="H158" s="99"/>
      <c r="I158" s="165"/>
      <c r="J158" s="328"/>
    </row>
    <row r="159" spans="1:10" ht="29.25" customHeight="1">
      <c r="A159" s="923"/>
      <c r="B159" s="924"/>
      <c r="C159" s="925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471153.56</v>
      </c>
      <c r="G161" s="238">
        <f t="shared" ref="G161:G165" si="13">F161-E161</f>
        <v>-1001.1199999999953</v>
      </c>
      <c r="H161" s="99">
        <f>G161+'2'!H161</f>
        <v>-900</v>
      </c>
      <c r="I161" s="236"/>
      <c r="J161" s="239">
        <f>H161/DAY(B2)</f>
        <v>-300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87635.6</v>
      </c>
      <c r="G162" s="238">
        <f t="shared" si="13"/>
        <v>-960.89999999999418</v>
      </c>
      <c r="H162" s="99">
        <f>G162+'2'!H162</f>
        <v>-880.79999999998836</v>
      </c>
      <c r="I162" s="236"/>
      <c r="J162" s="239">
        <f>H162/DAY(B2)</f>
        <v>-293.5999999999961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77946.5</v>
      </c>
      <c r="G163" s="238">
        <f t="shared" si="13"/>
        <v>-1338.8000000000029</v>
      </c>
      <c r="H163" s="99">
        <f>G163+'2'!H163</f>
        <v>-1273.6000000000058</v>
      </c>
      <c r="I163" s="236"/>
      <c r="J163" s="239">
        <f>H163/DAY(B2)</f>
        <v>-424.53333333333529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4245.8999999999996</v>
      </c>
      <c r="G164" s="238">
        <f t="shared" si="13"/>
        <v>-77.400000000000546</v>
      </c>
      <c r="H164" s="99">
        <f>G164+'2'!H164</f>
        <v>-74.100000000000364</v>
      </c>
      <c r="I164" s="236"/>
      <c r="J164" s="239">
        <f>H164/DAY(B2)</f>
        <v>-24.70000000000012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29660.5</v>
      </c>
      <c r="G165" s="238">
        <f t="shared" si="13"/>
        <v>-214.77000000000044</v>
      </c>
      <c r="H165" s="99">
        <f>G165+'2'!H165</f>
        <v>-196.75</v>
      </c>
      <c r="I165" s="236"/>
      <c r="J165" s="239">
        <f>H165/DAY(B2)</f>
        <v>-65.583333333333329</v>
      </c>
    </row>
    <row r="166" spans="1:10" ht="29.25">
      <c r="A166" s="910"/>
      <c r="B166" s="910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>
      <c r="A167" s="910"/>
      <c r="B167" s="91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>
      <c r="A168" s="910"/>
      <c r="B168" s="91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'2'!F174</f>
        <v>38637</v>
      </c>
      <c r="F174" s="157">
        <v>38308</v>
      </c>
      <c r="G174" s="155">
        <f t="shared" ref="G174:G175" si="14">F174-E174</f>
        <v>-329</v>
      </c>
      <c r="H174" s="99">
        <f>G174+'2'!H174</f>
        <v>-307</v>
      </c>
      <c r="I174" s="155"/>
      <c r="J174" s="178">
        <f>H174/DAY(B2)</f>
        <v>-102.33333333333333</v>
      </c>
    </row>
    <row r="175" spans="1:10" ht="21.75" customHeight="1">
      <c r="A175" s="868" t="s">
        <v>76</v>
      </c>
      <c r="B175" s="873"/>
      <c r="C175" s="869"/>
      <c r="D175" s="228" t="s">
        <v>142</v>
      </c>
      <c r="E175" s="95">
        <f>'2'!F175</f>
        <v>21832</v>
      </c>
      <c r="F175" s="155">
        <v>21539</v>
      </c>
      <c r="G175" s="155">
        <f t="shared" si="14"/>
        <v>-293</v>
      </c>
      <c r="H175" s="99">
        <f>G175+'2'!H175</f>
        <v>-274</v>
      </c>
      <c r="I175" s="155"/>
      <c r="J175" s="178">
        <f>H175/DAY(B2)</f>
        <v>-91.333333333333329</v>
      </c>
    </row>
    <row r="176" spans="1:10" ht="21.75" customHeight="1">
      <c r="A176" s="843" t="s">
        <v>196</v>
      </c>
      <c r="B176" s="844"/>
      <c r="C176" s="845"/>
      <c r="D176" s="228"/>
      <c r="E176" s="95"/>
      <c r="F176" s="155"/>
      <c r="G176" s="155">
        <f>SUM(G173:G175)</f>
        <v>-622</v>
      </c>
      <c r="H176" s="99">
        <f>G176+'2'!H176</f>
        <v>-581</v>
      </c>
      <c r="I176" s="155"/>
      <c r="J176" s="178">
        <f>H176/DAY(B2)</f>
        <v>-193.66666666666666</v>
      </c>
    </row>
    <row r="177" spans="1:10" ht="21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68" t="s">
        <v>210</v>
      </c>
      <c r="B178" s="869"/>
      <c r="C178" s="333"/>
      <c r="D178" s="228" t="s">
        <v>142</v>
      </c>
      <c r="E178" s="95">
        <f>'2'!F178</f>
        <v>81448</v>
      </c>
      <c r="F178" s="155">
        <v>79798</v>
      </c>
      <c r="G178" s="155">
        <f>F178-E178</f>
        <v>-1650</v>
      </c>
      <c r="H178" s="99">
        <f>G178+'2'!H178</f>
        <v>-1517</v>
      </c>
      <c r="I178" s="155"/>
      <c r="J178" s="178">
        <f>H178/DAY(B2)</f>
        <v>-505.66666666666669</v>
      </c>
    </row>
    <row r="179" spans="1:10" ht="24" customHeight="1">
      <c r="A179" s="868" t="s">
        <v>211</v>
      </c>
      <c r="B179" s="869"/>
      <c r="C179" s="333"/>
      <c r="D179" s="228" t="s">
        <v>142</v>
      </c>
      <c r="E179" s="95">
        <f>'2'!F179</f>
        <v>34869</v>
      </c>
      <c r="F179" s="155">
        <v>33973</v>
      </c>
      <c r="G179" s="155">
        <f t="shared" ref="G179:G180" si="15">F179-E179</f>
        <v>-896</v>
      </c>
      <c r="H179" s="99">
        <f>G179+'2'!H179</f>
        <v>-830</v>
      </c>
      <c r="I179" s="155"/>
      <c r="J179" s="178">
        <f>H179/DAY(B2)</f>
        <v>-276.66666666666669</v>
      </c>
    </row>
    <row r="180" spans="1:10" ht="22.5" customHeight="1">
      <c r="A180" s="868" t="s">
        <v>212</v>
      </c>
      <c r="B180" s="869"/>
      <c r="C180" s="333"/>
      <c r="D180" s="228" t="s">
        <v>142</v>
      </c>
      <c r="E180" s="95">
        <f>'2'!F180</f>
        <v>5710</v>
      </c>
      <c r="F180" s="155">
        <v>5488</v>
      </c>
      <c r="G180" s="155">
        <f t="shared" si="15"/>
        <v>-222</v>
      </c>
      <c r="H180" s="99">
        <f>G180+'2'!H180</f>
        <v>-214</v>
      </c>
      <c r="I180" s="155"/>
      <c r="J180" s="178">
        <f>H180/DAY(B2)</f>
        <v>-71.333333333333329</v>
      </c>
    </row>
    <row r="181" spans="1:10" ht="29.25">
      <c r="A181" s="843" t="s">
        <v>196</v>
      </c>
      <c r="B181" s="844"/>
      <c r="C181" s="845"/>
      <c r="D181" s="228"/>
      <c r="E181" s="95"/>
      <c r="F181" s="155"/>
      <c r="G181" s="155">
        <f>SUM(G178:G180)</f>
        <v>-2768</v>
      </c>
      <c r="H181" s="99">
        <f>G181+'2'!H181</f>
        <v>-2561</v>
      </c>
      <c r="I181" s="155"/>
      <c r="J181" s="178">
        <f>H181/DAY(B2)</f>
        <v>-853.66666666666663</v>
      </c>
    </row>
    <row r="182" spans="1:10" ht="27" customHeight="1">
      <c r="A182" s="868" t="s">
        <v>213</v>
      </c>
      <c r="B182" s="869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68" t="s">
        <v>214</v>
      </c>
      <c r="B183" s="869"/>
      <c r="C183" s="334"/>
      <c r="D183" s="228" t="s">
        <v>142</v>
      </c>
      <c r="E183" s="95">
        <f>'2'!F183</f>
        <v>15378</v>
      </c>
      <c r="F183" s="157">
        <v>15014</v>
      </c>
      <c r="G183" s="157">
        <f>F183-E183</f>
        <v>-364</v>
      </c>
      <c r="H183" s="99">
        <f>G183+'2'!H183</f>
        <v>-331</v>
      </c>
      <c r="I183" s="155"/>
      <c r="J183" s="178">
        <f>H183/DAY(B2)</f>
        <v>-110.33333333333333</v>
      </c>
    </row>
    <row r="184" spans="1:10" ht="25.5" customHeight="1">
      <c r="A184" s="868" t="s">
        <v>215</v>
      </c>
      <c r="B184" s="869"/>
      <c r="C184" s="334"/>
      <c r="D184" s="228" t="s">
        <v>142</v>
      </c>
      <c r="E184" s="95">
        <f>'2'!F184</f>
        <v>10532</v>
      </c>
      <c r="F184" s="157">
        <v>10326</v>
      </c>
      <c r="G184" s="157">
        <f t="shared" ref="G184:G185" si="16">F184-E184</f>
        <v>-206</v>
      </c>
      <c r="H184" s="99">
        <f>G184+'2'!H184</f>
        <v>-192</v>
      </c>
      <c r="I184" s="155"/>
      <c r="J184" s="178">
        <f>H184/DAY(B2)</f>
        <v>-64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>
      <c r="A186" s="843" t="s">
        <v>196</v>
      </c>
      <c r="B186" s="844"/>
      <c r="C186" s="845"/>
      <c r="D186" s="229"/>
      <c r="E186" s="95"/>
      <c r="F186" s="157"/>
      <c r="G186" s="157">
        <f>SUM(G183:G185)</f>
        <v>-570</v>
      </c>
      <c r="H186" s="99">
        <f>G186+'2'!H186</f>
        <v>-523</v>
      </c>
      <c r="I186" s="157"/>
      <c r="J186" s="178">
        <f>H186/DAY(B2)</f>
        <v>-174.33333333333334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-4229</v>
      </c>
      <c r="H187" s="99">
        <f>G187+'2'!H187</f>
        <v>-3773</v>
      </c>
      <c r="I187" s="158"/>
      <c r="J187" s="179">
        <f>H187/DAY(B2)</f>
        <v>-1257.6666666666667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-3942</v>
      </c>
      <c r="H188" s="99">
        <f>G188+'2'!H188</f>
        <v>-3683</v>
      </c>
      <c r="I188" s="158"/>
      <c r="J188" s="179">
        <f>H188/DAY(B2)</f>
        <v>-1227.6666666666667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-2768</v>
      </c>
      <c r="H189" s="99">
        <f>G189+'2'!H189</f>
        <v>-2561</v>
      </c>
      <c r="I189" s="158"/>
      <c r="J189" s="179">
        <f>H189/DAY(B2)</f>
        <v>-853.66666666666663</v>
      </c>
    </row>
    <row r="190" spans="1:10" ht="27.75">
      <c r="A190" s="916"/>
      <c r="B190" s="91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29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8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356</v>
      </c>
      <c r="B2" s="262">
        <v>44565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-478148.14</v>
      </c>
      <c r="I7" s="113">
        <f>'1'!I7</f>
        <v>12000</v>
      </c>
      <c r="J7" s="175">
        <f>H7/DAY(B2)</f>
        <v>-119537.035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-487573.2</v>
      </c>
      <c r="I8" s="116"/>
      <c r="J8" s="175">
        <f>H8/DAY(B2)</f>
        <v>-121893.3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2026260.6500000001</v>
      </c>
      <c r="I9" s="124">
        <f>I7-J7</f>
        <v>131537.035</v>
      </c>
      <c r="J9" s="175">
        <f>H9/DAY(B2)</f>
        <v>506565.16250000003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462164.30000000005</v>
      </c>
      <c r="I10" s="282"/>
      <c r="J10" s="175">
        <f>H10/DAY(B2)</f>
        <v>115541.07500000001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-170</v>
      </c>
      <c r="I11" s="282"/>
      <c r="J11" s="175">
        <f>H11/DAY(B2)</f>
        <v>-42.5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2471500.5199999996</v>
      </c>
      <c r="I13" s="120">
        <f>G7-G13</f>
        <v>536.37000000002445</v>
      </c>
      <c r="J13" s="175">
        <f>H13/DAY(B2)</f>
        <v>617875.12999999989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-24768.117000000086</v>
      </c>
      <c r="I15" s="113">
        <f>'1'!I15</f>
        <v>800</v>
      </c>
      <c r="J15" s="175">
        <f>H15/DAY(B2)</f>
        <v>-6192.0292500000214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6992.0292500000214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800</v>
      </c>
      <c r="I18" s="113">
        <f>'1'!I18</f>
        <v>65</v>
      </c>
      <c r="J18" s="175">
        <f>H18/DAY(B2)</f>
        <v>200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-1451</v>
      </c>
      <c r="I19" s="335"/>
      <c r="J19" s="175">
        <f>H19/DAY(B2)</f>
        <v>-362.75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-651</v>
      </c>
      <c r="I20" s="336">
        <f>I18-J20</f>
        <v>227.75</v>
      </c>
      <c r="J20" s="175">
        <f>H20/DAY(B2)</f>
        <v>-162.75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-4388158.8000000007</v>
      </c>
      <c r="I27" s="138"/>
      <c r="J27" s="175">
        <f>H27/DAY(B2)</f>
        <v>-1097039.7000000002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-1287942.0840000045</v>
      </c>
      <c r="I28" s="140"/>
      <c r="J28" s="175">
        <f>H28/DAY(B2)</f>
        <v>-321985.52100000111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-211846</v>
      </c>
      <c r="I30" s="140"/>
      <c r="J30" s="175">
        <f>H30/DAY(B2)</f>
        <v>-52961.5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64000</v>
      </c>
      <c r="I31" s="140"/>
      <c r="J31" s="175">
        <f>H31/DAY(B2)</f>
        <v>16000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-5823946.8840000052</v>
      </c>
      <c r="I32" s="144"/>
      <c r="J32" s="175">
        <f>H32/DAY(B2)</f>
        <v>-1455986.7210000013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128669.8</v>
      </c>
      <c r="I35" s="95"/>
      <c r="J35" s="175">
        <f>H35/DAY(B2)</f>
        <v>32167.45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-18779.489999999998</v>
      </c>
      <c r="I36" s="95"/>
      <c r="J36" s="175">
        <f>H36/DAY(B2)</f>
        <v>-4694.8724999999995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166091.74000000002</v>
      </c>
      <c r="I37" s="95"/>
      <c r="J37" s="175">
        <f>H37/DAY(B2)</f>
        <v>41522.935000000005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200563.06</v>
      </c>
      <c r="I38" s="95"/>
      <c r="J38" s="175">
        <f>H38/DAY(B2)</f>
        <v>50140.764999999999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362851.22000000003</v>
      </c>
      <c r="I39" s="95"/>
      <c r="J39" s="175">
        <f>H39/DAY(B2)</f>
        <v>90712.805000000008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6237.7199999999975</v>
      </c>
      <c r="I40" s="95"/>
      <c r="J40" s="175">
        <f>H40/DAY(B2)</f>
        <v>1559.4299999999994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-26321.14</v>
      </c>
      <c r="I42" s="95"/>
      <c r="J42" s="175">
        <f>H42/DAY(B2)</f>
        <v>-6580.2849999999999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-57727.880000000005</v>
      </c>
      <c r="I43" s="95"/>
      <c r="J43" s="175">
        <f>H43/DAY(B2)</f>
        <v>-14431.970000000001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761585.03</v>
      </c>
      <c r="I47" s="95"/>
      <c r="J47" s="175">
        <f>H47/DAY(B2)</f>
        <v>190396.25750000001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49">
        <v>278816.03000000003</v>
      </c>
      <c r="G49" s="112">
        <f t="shared" ref="G49:G58" si="4">F49-E49</f>
        <v>1435.0300000000279</v>
      </c>
      <c r="H49" s="99">
        <f>G49+'3'!H49</f>
        <v>253819.84000000003</v>
      </c>
      <c r="I49" s="95"/>
      <c r="J49" s="175">
        <f>H49/DAY(B2)</f>
        <v>63454.960000000006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-27348.01</v>
      </c>
      <c r="I50" s="95"/>
      <c r="J50" s="175">
        <f>H50/DAY(B2)</f>
        <v>-6837.0024999999996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-1752.2600000000002</v>
      </c>
      <c r="I54" s="95"/>
      <c r="J54" s="175">
        <f>H54/DAY(B2)</f>
        <v>-438.06500000000005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-59081.86</v>
      </c>
      <c r="I55" s="95"/>
      <c r="J55" s="175">
        <f>H55/DAY(B2)</f>
        <v>-14770.465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88003.080000000016</v>
      </c>
      <c r="I58" s="95"/>
      <c r="J58" s="175">
        <f>H58/DAY(B2)</f>
        <v>22000.770000000004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253640.79000000004</v>
      </c>
      <c r="I59" s="95">
        <f>G7-G60</f>
        <v>2713.8499999999985</v>
      </c>
      <c r="J59" s="175">
        <f>H59/DAY(B2)</f>
        <v>63410.197500000009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1015225.8200000001</v>
      </c>
      <c r="I60" s="95">
        <f>G13-G60</f>
        <v>2177.4799999999741</v>
      </c>
      <c r="J60" s="175">
        <f>H60/DAY(B2)</f>
        <v>253806.45500000002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-2173</v>
      </c>
      <c r="I62" s="118"/>
      <c r="J62" s="175">
        <f>H62/DAY(B2)</f>
        <v>-543.25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-2912</v>
      </c>
      <c r="I63" s="118"/>
      <c r="J63" s="175">
        <f>H63/DAY(B2)</f>
        <v>-728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122"/>
      <c r="F64" s="122"/>
      <c r="G64" s="112">
        <f>G62+G63</f>
        <v>252</v>
      </c>
      <c r="H64" s="99">
        <f>G64+'3'!H64</f>
        <v>-5085</v>
      </c>
      <c r="I64" s="118"/>
      <c r="J64" s="175">
        <f>H64/DAY(B2)</f>
        <v>-1271.25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-2030</v>
      </c>
      <c r="I65" s="118"/>
      <c r="J65" s="175">
        <f>H65/DAY(B2)</f>
        <v>-507.5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-435</v>
      </c>
      <c r="I66" s="118"/>
      <c r="J66" s="175">
        <f>H66/DAY(B2)</f>
        <v>-108.75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-594</v>
      </c>
      <c r="I67" s="118"/>
      <c r="J67" s="175">
        <f>H67/DAY(B2)</f>
        <v>-148.5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-1017</v>
      </c>
      <c r="I68" s="118"/>
      <c r="J68" s="175">
        <f>H68/DAY(B2)</f>
        <v>-254.25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-262</v>
      </c>
      <c r="I69" s="118"/>
      <c r="J69" s="175">
        <f>H69/DAY(B2)</f>
        <v>-65.5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-220</v>
      </c>
      <c r="I70" s="118"/>
      <c r="J70" s="175">
        <f>H70/DAY(B2)</f>
        <v>-55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169</v>
      </c>
      <c r="H71" s="99">
        <f>G71+'3'!H71</f>
        <v>-4558</v>
      </c>
      <c r="I71" s="154"/>
      <c r="J71" s="175">
        <f>H71/DAY(B2)</f>
        <v>-1139.5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-8189.9189999999944</v>
      </c>
      <c r="I74" s="154"/>
      <c r="J74" s="175">
        <f>H74/DAY(B2)</f>
        <v>-2047.4797499999986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-2381.679999999993</v>
      </c>
      <c r="I76" s="154"/>
      <c r="J76" s="175">
        <f>H76/DAY(B2)</f>
        <v>-595.41999999999825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-861.19999999999709</v>
      </c>
      <c r="I77" s="154"/>
      <c r="J77" s="175">
        <f>H77/DAY(B2)</f>
        <v>-215.29999999999927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-26</v>
      </c>
      <c r="I78" s="118"/>
      <c r="J78" s="175">
        <f>H78/DAY(B2)</f>
        <v>-6.5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-13309.318000000101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1035.25</v>
      </c>
      <c r="H80" s="99">
        <f>G80+'3'!H80</f>
        <v>-25686.675000000047</v>
      </c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-165.44000000000005</v>
      </c>
      <c r="I85" s="118">
        <f>G82+G83+G84+G85</f>
        <v>0.26000000000203727</v>
      </c>
      <c r="J85" s="175">
        <f>H85/DAY(B2)</f>
        <v>-41.360000000000014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-482.43000000000029</v>
      </c>
      <c r="I86" s="118"/>
      <c r="J86" s="175">
        <f>H86/DAY(B2)</f>
        <v>-120.60750000000007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5.0000000002910383E-2</v>
      </c>
      <c r="I87" s="118"/>
      <c r="J87" s="175">
        <f>H87/DAY(B2)</f>
        <v>1.2500000000727596E-2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-5.3699999999989814</v>
      </c>
      <c r="I88" s="118">
        <f>G86+G87+G88</f>
        <v>26.409999999999854</v>
      </c>
      <c r="J88" s="175">
        <f>H88/DAY(B2)</f>
        <v>-1.3424999999997453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-214.84000000000015</v>
      </c>
      <c r="I89" s="118"/>
      <c r="J89" s="175">
        <f>H89/DAY(B2)</f>
        <v>-53.710000000000036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-107.18000000000757</v>
      </c>
      <c r="I90" s="118">
        <f>G89+G90</f>
        <v>12.859999999996944</v>
      </c>
      <c r="J90" s="175">
        <f>H90/DAY(B2)</f>
        <v>-26.795000000001892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-24.769999999999982</v>
      </c>
      <c r="I91" s="165"/>
      <c r="J91" s="175">
        <f>H91/DAY(B2)</f>
        <v>-6.1924999999999955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-264.76999999999953</v>
      </c>
      <c r="I92" s="165"/>
      <c r="J92" s="175">
        <f>H92/DAY(B2)</f>
        <v>-66.192499999999882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324761.76</v>
      </c>
      <c r="I94" s="118"/>
      <c r="J94" s="175">
        <f>H94/DAY(B2)</f>
        <v>81190.44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0.2915373685303973</v>
      </c>
      <c r="H95" s="99">
        <f>G95+'3'!H95</f>
        <v>0.19159170676431303</v>
      </c>
      <c r="I95" s="167"/>
      <c r="J95" s="175">
        <f>H95/DAY(B2)</f>
        <v>4.7897926691078258E-2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-85403</v>
      </c>
      <c r="I96" s="118"/>
      <c r="J96" s="175">
        <f>H96/DAY(B2)</f>
        <v>-21350.75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0.15906463550436264</v>
      </c>
      <c r="H97" s="99">
        <f>G97+'3'!H97</f>
        <v>0.76231920786953289</v>
      </c>
      <c r="I97" s="167"/>
      <c r="J97" s="175">
        <f>H97/DAY(B2)</f>
        <v>0.19057980196738322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2740.5200000000186</v>
      </c>
      <c r="H98" s="99">
        <f>G98+'3'!H98</f>
        <v>362851.22000000003</v>
      </c>
      <c r="I98" s="168"/>
      <c r="J98" s="175">
        <f>H98/DAY(B2)</f>
        <v>90712.805000000008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0.13852840986923778</v>
      </c>
      <c r="H99" s="99">
        <f>G99+'3'!H99</f>
        <v>-0.23020149894384404</v>
      </c>
      <c r="I99" s="168"/>
      <c r="J99" s="175">
        <f>H99/DAY(B2)</f>
        <v>-5.7550374735961009E-2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200563.06</v>
      </c>
      <c r="I100" s="118"/>
      <c r="J100" s="175">
        <f>H100/DAY(B2)</f>
        <v>50140.764999999999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-8.6622718124860706E-2</v>
      </c>
      <c r="I101" s="168"/>
      <c r="J101" s="175">
        <f>H101/DAY(B2)</f>
        <v>-2.1655679531215177E-2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-46127.5</v>
      </c>
      <c r="I102" s="168"/>
      <c r="J102" s="175">
        <f>H102/DAY(B2)</f>
        <v>-11531.875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0.38064312702829561</v>
      </c>
      <c r="I103" s="118"/>
      <c r="J103" s="175">
        <f>H103/DAY(B2)</f>
        <v>9.5160781757073903E-2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166091.74000000002</v>
      </c>
      <c r="I104" s="118"/>
      <c r="J104" s="175">
        <f>H104/DAY(B2)</f>
        <v>41522.935000000005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-4.9880508077594782E-2</v>
      </c>
      <c r="I105" s="187"/>
      <c r="J105" s="188">
        <f>H105/DAY(B2)</f>
        <v>-1.2470127019398695E-2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-2093.7799999999988</v>
      </c>
      <c r="I112" s="165"/>
      <c r="J112" s="328">
        <f>H112/DAY(B2)</f>
        <v>-523.44499999999971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-12382.029999999999</v>
      </c>
      <c r="I113" s="165"/>
      <c r="J113" s="328">
        <f>H113/DAY(B2)</f>
        <v>-3095.5074999999997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-7209.7900000000009</v>
      </c>
      <c r="I114" s="165"/>
      <c r="J114" s="328">
        <f>H114/DAY(B2)</f>
        <v>-1802.4475000000002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-272.11999999999898</v>
      </c>
      <c r="I115" s="165"/>
      <c r="J115" s="328">
        <f>H115/DAY(B2)</f>
        <v>-68.029999999999745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-653.52</v>
      </c>
      <c r="I117" s="165"/>
      <c r="J117" s="328">
        <f>H117/DAY(B2)</f>
        <v>-163.38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-9301.7600000000093</v>
      </c>
      <c r="I118" s="165"/>
      <c r="J118" s="328">
        <f>H118/DAY(B2)</f>
        <v>-2325.4400000000023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-11279.239999999991</v>
      </c>
      <c r="I119" s="165"/>
      <c r="J119" s="328">
        <f>H119/DAY(B2)</f>
        <v>-2819.8099999999977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-11184.16</v>
      </c>
      <c r="I120" s="165"/>
      <c r="J120" s="328">
        <f>H120/DAY(B2)</f>
        <v>-2796.04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-18407.839999999967</v>
      </c>
      <c r="I121" s="165"/>
      <c r="J121" s="328">
        <f>H121/DAY(B2)</f>
        <v>-4601.9599999999919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-5224.0799999999872</v>
      </c>
      <c r="I122" s="165"/>
      <c r="J122" s="328">
        <f>H122/DAY(B2)</f>
        <v>-1306.0199999999968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-7568.2799999999988</v>
      </c>
      <c r="I123" s="165"/>
      <c r="J123" s="328">
        <f>H123/DAY(B2)</f>
        <v>-1892.0699999999997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>
      <c r="A125" s="586" t="s">
        <v>196</v>
      </c>
      <c r="B125" s="587"/>
      <c r="C125" s="588"/>
      <c r="D125" s="307"/>
      <c r="E125" s="308"/>
      <c r="F125" s="308"/>
      <c r="G125" s="309">
        <f>SUM(G112:G124)</f>
        <v>3424.070000000022</v>
      </c>
      <c r="H125" s="156"/>
      <c r="I125" s="327">
        <f>G125-(G39+G53)</f>
        <v>683.55000000000337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-8357.5800000000017</v>
      </c>
      <c r="I128" s="165"/>
      <c r="J128" s="328">
        <f>H128/DAY(B2)</f>
        <v>-2089.3950000000004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-5709.5</v>
      </c>
      <c r="I129" s="165"/>
      <c r="J129" s="328">
        <f>H129/DAY(B2)</f>
        <v>-1427.375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-14491.830000000002</v>
      </c>
      <c r="I130" s="165"/>
      <c r="J130" s="328">
        <f>H130/DAY(B2)</f>
        <v>-3622.9575000000004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-1823.1599999999999</v>
      </c>
      <c r="I131" s="165"/>
      <c r="J131" s="328">
        <f>H131/DAY(B2)</f>
        <v>-455.78999999999996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-9032.61</v>
      </c>
      <c r="I132" s="165"/>
      <c r="J132" s="328">
        <f>H132/DAY(B2)</f>
        <v>-2258.1525000000001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-14297.080000000002</v>
      </c>
      <c r="I133" s="165"/>
      <c r="J133" s="328">
        <f>H133/DAY(B2)</f>
        <v>-3574.2700000000004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662835.77</v>
      </c>
      <c r="I134" s="165"/>
      <c r="J134" s="328">
        <f>H134/DAY(B2)</f>
        <v>165708.9425</v>
      </c>
    </row>
    <row r="135" spans="1:15" ht="29.25">
      <c r="A135" s="843" t="s">
        <v>196</v>
      </c>
      <c r="B135" s="844"/>
      <c r="C135" s="845"/>
      <c r="D135" s="151"/>
      <c r="E135" s="95"/>
      <c r="F135" s="165"/>
      <c r="G135" s="112">
        <f>SUM(G128:G134)</f>
        <v>3240.7399999999943</v>
      </c>
      <c r="H135" s="99">
        <f>G135+'3'!H135</f>
        <v>609124.01</v>
      </c>
      <c r="I135" s="327">
        <f>G135-(G35+G49)</f>
        <v>-82.120000000020809</v>
      </c>
      <c r="J135" s="328">
        <f>H135/DAY(B2)</f>
        <v>152281.0025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-1696</v>
      </c>
      <c r="I138" s="118"/>
      <c r="J138" s="328">
        <f>H138/DAY(B2)</f>
        <v>-424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-26</v>
      </c>
      <c r="I139" s="118"/>
      <c r="J139" s="328">
        <f>H139/DAY(B2)</f>
        <v>-6.5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-23.69999999999709</v>
      </c>
      <c r="I140" s="118"/>
      <c r="J140" s="328">
        <f>H140/DAY(B2)</f>
        <v>-5.9249999999992724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-4650.5400000000009</v>
      </c>
      <c r="I141" s="118"/>
      <c r="J141" s="328">
        <f>H141/DAY(B2)</f>
        <v>-1162.6350000000002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-1992.3499999999985</v>
      </c>
      <c r="I142" s="140"/>
      <c r="J142" s="328">
        <f>H142/DAY(B2)</f>
        <v>-498.08749999999964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-683.02999999999975</v>
      </c>
      <c r="I143" s="140"/>
      <c r="J143" s="328">
        <f>H143/DAY(B2)</f>
        <v>-170.75749999999994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-5918</v>
      </c>
      <c r="I144" s="140"/>
      <c r="J144" s="328">
        <f>H144/DAY(B2)</f>
        <v>-1479.5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-334.61000000000058</v>
      </c>
      <c r="I145" s="140"/>
      <c r="J145" s="328">
        <f>H145/DAY(B2)</f>
        <v>-83.652500000000146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-10605</v>
      </c>
      <c r="I146" s="140"/>
      <c r="J146" s="328">
        <f>H146/DAY(B2)</f>
        <v>-2651.25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-9652.6800000000512</v>
      </c>
      <c r="I147" s="140"/>
      <c r="J147" s="328">
        <f>H147/DAY(B2)</f>
        <v>-2413.1700000000128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-5272.1599999999162</v>
      </c>
      <c r="I148" s="124"/>
      <c r="J148" s="328">
        <f>H148/DAY(B2)</f>
        <v>-1318.039999999979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-12498.240000000002</v>
      </c>
      <c r="I149" s="119"/>
      <c r="J149" s="328">
        <f>H149/DAY(B2)</f>
        <v>-3124.5600000000004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-5925.05</v>
      </c>
      <c r="I150" s="119"/>
      <c r="J150" s="328">
        <f>H150/DAY(B2)</f>
        <v>-1481.2625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-6223</v>
      </c>
      <c r="I151" s="119"/>
      <c r="J151" s="328">
        <f>H151/DAY(B2)</f>
        <v>-1555.75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-435.96000000000004</v>
      </c>
      <c r="I152" s="119"/>
      <c r="J152" s="328">
        <f>H152/DAY(B2)</f>
        <v>-108.99000000000001</v>
      </c>
    </row>
    <row r="153" spans="1:10" ht="29.25">
      <c r="A153" s="843" t="s">
        <v>196</v>
      </c>
      <c r="B153" s="844"/>
      <c r="C153" s="845"/>
      <c r="D153" s="358"/>
      <c r="E153" s="360"/>
      <c r="F153" s="361"/>
      <c r="G153" s="362">
        <f>SUM(G138:G152)</f>
        <v>2726.2199999999539</v>
      </c>
      <c r="H153" s="363"/>
      <c r="I153" s="119">
        <f>G153-(G38+G52)</f>
        <v>973.85999999996784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'3'!F155</f>
        <v>14751.96</v>
      </c>
      <c r="F155" s="374">
        <v>15390.56</v>
      </c>
      <c r="G155" s="112">
        <f t="shared" ref="G155:G158" si="12">F155-E155</f>
        <v>638.60000000000036</v>
      </c>
      <c r="H155" s="99">
        <f>G155+'3'!H155</f>
        <v>-17554.440000000002</v>
      </c>
      <c r="I155" s="364"/>
      <c r="J155" s="328">
        <f>H155/DAY(B2)</f>
        <v>-4388.6100000000006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-1532.13</v>
      </c>
      <c r="I156" s="165"/>
      <c r="J156" s="328">
        <f>H156/DAY(B2)</f>
        <v>-383.03250000000003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28">
        <f>H157/DAY(B2)</f>
        <v>15.65500000000003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28">
        <f>H158/DAY(B2)</f>
        <v>0.15749999999999975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-900</v>
      </c>
      <c r="I161" s="236"/>
      <c r="J161" s="239">
        <f>H161/DAY(B2)</f>
        <v>-225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-855.19999999999709</v>
      </c>
      <c r="I162" s="236"/>
      <c r="J162" s="239">
        <f>H162/DAY(B2)</f>
        <v>-213.79999999999927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-1225</v>
      </c>
      <c r="I163" s="236"/>
      <c r="J163" s="239">
        <f>H163/DAY(B2)</f>
        <v>-306.25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-72.699999999999818</v>
      </c>
      <c r="I164" s="236"/>
      <c r="J164" s="239">
        <f>H164/DAY(B2)</f>
        <v>-18.174999999999955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-187.22000000000116</v>
      </c>
      <c r="I165" s="236"/>
      <c r="J165" s="239">
        <f>H165/DAY(B2)</f>
        <v>-46.805000000000291</v>
      </c>
    </row>
    <row r="166" spans="1:10" ht="29.25">
      <c r="A166" s="910"/>
      <c r="B166" s="91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>
      <c r="A167" s="910"/>
      <c r="B167" s="91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>
      <c r="A168" s="910"/>
      <c r="B168" s="91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-293</v>
      </c>
      <c r="I174" s="155"/>
      <c r="J174" s="178">
        <f>H174/DAY(B2)</f>
        <v>-73.25</v>
      </c>
    </row>
    <row r="175" spans="1:10" ht="25.5" customHeight="1">
      <c r="A175" s="868" t="s">
        <v>76</v>
      </c>
      <c r="B175" s="873"/>
      <c r="C175" s="869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-257</v>
      </c>
      <c r="I175" s="155"/>
      <c r="J175" s="178">
        <f>H175/DAY(B2)</f>
        <v>-64.25</v>
      </c>
    </row>
    <row r="176" spans="1:10" ht="24.75" customHeight="1">
      <c r="A176" s="843" t="s">
        <v>196</v>
      </c>
      <c r="B176" s="844"/>
      <c r="C176" s="845"/>
      <c r="D176" s="228"/>
      <c r="E176" s="95"/>
      <c r="F176" s="155"/>
      <c r="G176" s="155">
        <f>SUM(G173:G175)</f>
        <v>31</v>
      </c>
      <c r="H176" s="99">
        <f>G176+'3'!H176</f>
        <v>-550</v>
      </c>
      <c r="I176" s="155"/>
      <c r="J176" s="178">
        <f>H176/DAY(B2)</f>
        <v>-137.5</v>
      </c>
    </row>
    <row r="177" spans="1:10" ht="28.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68" t="s">
        <v>210</v>
      </c>
      <c r="B178" s="869"/>
      <c r="C178" s="333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-1438</v>
      </c>
      <c r="I178" s="155"/>
      <c r="J178" s="178">
        <f>H178/DAY(B2)</f>
        <v>-359.5</v>
      </c>
    </row>
    <row r="179" spans="1:10" ht="24" customHeight="1">
      <c r="A179" s="868" t="s">
        <v>211</v>
      </c>
      <c r="B179" s="869"/>
      <c r="C179" s="333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-795</v>
      </c>
      <c r="I179" s="155"/>
      <c r="J179" s="178">
        <f>H179/DAY(B2)</f>
        <v>-198.75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-198</v>
      </c>
      <c r="I180" s="155"/>
      <c r="J180" s="178">
        <f>H180/DAY(B2)</f>
        <v>-49.5</v>
      </c>
    </row>
    <row r="181" spans="1:10" ht="21.95" customHeight="1">
      <c r="A181" s="843" t="s">
        <v>196</v>
      </c>
      <c r="B181" s="844"/>
      <c r="C181" s="845"/>
      <c r="D181" s="228"/>
      <c r="E181" s="95"/>
      <c r="F181" s="155"/>
      <c r="G181" s="155">
        <f>SUM(G178:G180)</f>
        <v>130</v>
      </c>
      <c r="H181" s="99">
        <f>G181+'3'!H181</f>
        <v>-2431</v>
      </c>
      <c r="I181" s="155"/>
      <c r="J181" s="178">
        <f>H181/DAY(B2)</f>
        <v>-607.75</v>
      </c>
    </row>
    <row r="182" spans="1:10" ht="21.95" customHeight="1">
      <c r="A182" s="868" t="s">
        <v>213</v>
      </c>
      <c r="B182" s="869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-321</v>
      </c>
      <c r="I183" s="155"/>
      <c r="J183" s="178">
        <f>H183/DAY(B2)</f>
        <v>-80.25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-186</v>
      </c>
      <c r="I184" s="155"/>
      <c r="J184" s="178">
        <f>H184/DAY(B2)</f>
        <v>-46.5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>
      <c r="A186" s="843" t="s">
        <v>196</v>
      </c>
      <c r="B186" s="844"/>
      <c r="C186" s="845"/>
      <c r="D186" s="229"/>
      <c r="E186" s="95"/>
      <c r="F186" s="157"/>
      <c r="G186" s="157">
        <f>SUM(G183:G185)</f>
        <v>16</v>
      </c>
      <c r="H186" s="99">
        <f>G186+'3'!H186</f>
        <v>-507</v>
      </c>
      <c r="I186" s="157"/>
      <c r="J186" s="178">
        <f>H186/DAY(B2)</f>
        <v>-126.75</v>
      </c>
    </row>
    <row r="187" spans="1:10" ht="25.5" customHeight="1">
      <c r="A187" s="916" t="s">
        <v>217</v>
      </c>
      <c r="B187" s="917"/>
      <c r="C187" s="333"/>
      <c r="D187" s="230" t="s">
        <v>142</v>
      </c>
      <c r="E187" s="95"/>
      <c r="F187" s="99"/>
      <c r="G187" s="460">
        <f>G62+G19</f>
        <v>149</v>
      </c>
      <c r="H187" s="99">
        <f>G187+'3'!H187</f>
        <v>-3624</v>
      </c>
      <c r="I187" s="158"/>
      <c r="J187" s="179">
        <f>H187/DAY(B2)</f>
        <v>-906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142</v>
      </c>
      <c r="H188" s="99">
        <f>G188+'3'!H188</f>
        <v>-3541</v>
      </c>
      <c r="I188" s="158"/>
      <c r="J188" s="179">
        <f>H188/DAY(B2)</f>
        <v>-885.25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130</v>
      </c>
      <c r="H189" s="99">
        <f>G189+'3'!H189</f>
        <v>-2431</v>
      </c>
      <c r="I189" s="158"/>
      <c r="J189" s="179">
        <f>H189/DAY(B2)</f>
        <v>-607.75</v>
      </c>
    </row>
    <row r="190" spans="1:10" ht="27.75">
      <c r="A190" s="916"/>
      <c r="B190" s="917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3" zoomScaleNormal="48" zoomScaleSheetLayoutView="53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350</v>
      </c>
      <c r="B2" s="262">
        <v>44566</v>
      </c>
      <c r="C2" s="34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-458248.23</v>
      </c>
      <c r="I7" s="113">
        <f>'1'!I7</f>
        <v>12000</v>
      </c>
      <c r="J7" s="175">
        <f>H7/DAY(B2)</f>
        <v>-91649.645999999993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-467238.15</v>
      </c>
      <c r="I8" s="116"/>
      <c r="J8" s="175">
        <f>H8/DAY(B2)</f>
        <v>-93447.63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2038538.6500000001</v>
      </c>
      <c r="I9" s="124">
        <f>I7-J7</f>
        <v>103649.64599999999</v>
      </c>
      <c r="J9" s="175">
        <f>H9/DAY(B2)</f>
        <v>407707.73000000004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469261.5</v>
      </c>
      <c r="I10" s="282"/>
      <c r="J10" s="175">
        <f>H10/DAY(B2)</f>
        <v>93852.3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-170</v>
      </c>
      <c r="I11" s="282"/>
      <c r="J11" s="175">
        <f>H11/DAY(B2)</f>
        <v>-34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2490875.7199999997</v>
      </c>
      <c r="I13" s="120">
        <f>G7-G13</f>
        <v>524.71000000005006</v>
      </c>
      <c r="J13" s="175">
        <f>H13/DAY(B2)</f>
        <v>498175.14399999997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-23766.067000000039</v>
      </c>
      <c r="I15" s="113">
        <f>'1'!I15</f>
        <v>800</v>
      </c>
      <c r="J15" s="175">
        <f>H15/DAY(B2)</f>
        <v>-4753.2134000000078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5553.2134000000078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920</v>
      </c>
      <c r="I18" s="113">
        <f>'1'!I18</f>
        <v>65</v>
      </c>
      <c r="J18" s="175">
        <f>H18/DAY(B2)</f>
        <v>184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-1400</v>
      </c>
      <c r="I19" s="335"/>
      <c r="J19" s="175">
        <f>H19/DAY(B2)</f>
        <v>-280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-480</v>
      </c>
      <c r="I20" s="336">
        <f>I18-J20</f>
        <v>161</v>
      </c>
      <c r="J20" s="175">
        <f>H20/DAY(B2)</f>
        <v>-96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-4205143.3500000006</v>
      </c>
      <c r="I27" s="138"/>
      <c r="J27" s="175">
        <f>H27/DAY(B2)</f>
        <v>-841028.67000000016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-1235835.484000002</v>
      </c>
      <c r="I28" s="140"/>
      <c r="J28" s="175">
        <f>H28/DAY(B2)</f>
        <v>-247167.09680000041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-204400</v>
      </c>
      <c r="I30" s="140"/>
      <c r="J30" s="175">
        <f>H30/DAY(B2)</f>
        <v>-40880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73600</v>
      </c>
      <c r="I31" s="140"/>
      <c r="J31" s="175">
        <f>H31/DAY(B2)</f>
        <v>14720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-5571778.8340000026</v>
      </c>
      <c r="I32" s="144"/>
      <c r="J32" s="175">
        <f>H32/DAY(B2)</f>
        <v>-1114355.7668000006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130548.65000000001</v>
      </c>
      <c r="I35" s="95"/>
      <c r="J35" s="175">
        <f>H35/DAY(B2)</f>
        <v>26109.730000000003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-17976.949999999997</v>
      </c>
      <c r="I36" s="95"/>
      <c r="J36" s="175">
        <f>H36/DAY(B2)</f>
        <v>-3595.3899999999994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167604.80000000005</v>
      </c>
      <c r="I37" s="95"/>
      <c r="J37" s="175">
        <f>H37/DAY(B2)</f>
        <v>33520.960000000006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202235.46000000002</v>
      </c>
      <c r="I38" s="95"/>
      <c r="J38" s="175">
        <f>H38/DAY(B2)</f>
        <v>40447.092000000004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365520.30000000005</v>
      </c>
      <c r="I39" s="95"/>
      <c r="J39" s="175">
        <f>H39/DAY(B2)</f>
        <v>73104.060000000012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6655.4799999999977</v>
      </c>
      <c r="I40" s="95"/>
      <c r="J40" s="175">
        <f>H40/DAY(B2)</f>
        <v>1331.0959999999995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-26321.14</v>
      </c>
      <c r="I42" s="95"/>
      <c r="J42" s="175">
        <f>H42/DAY(B2)</f>
        <v>-5264.2280000000001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-55320.41</v>
      </c>
      <c r="I43" s="95"/>
      <c r="J43" s="175">
        <f>H43/DAY(B2)</f>
        <v>-11064.082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772946.19000000006</v>
      </c>
      <c r="I47" s="95"/>
      <c r="J47" s="175">
        <f>H47/DAY(B2)</f>
        <v>154589.23800000001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255428.7</v>
      </c>
      <c r="I49" s="95"/>
      <c r="J49" s="175">
        <f>H49/DAY(B2)</f>
        <v>51085.740000000005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-26358.37</v>
      </c>
      <c r="I50" s="95"/>
      <c r="J50" s="175">
        <f>H50/DAY(B2)</f>
        <v>-5271.674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-1290.6500000000001</v>
      </c>
      <c r="I54" s="95"/>
      <c r="J54" s="175">
        <f>H54/DAY(B2)</f>
        <v>-258.13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-55767.19</v>
      </c>
      <c r="I55" s="95"/>
      <c r="J55" s="175">
        <f>H55/DAY(B2)</f>
        <v>-11153.438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88079.890000000014</v>
      </c>
      <c r="I58" s="95"/>
      <c r="J58" s="175">
        <f>H58/DAY(B2)</f>
        <v>17615.978000000003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260092.38000000003</v>
      </c>
      <c r="I59" s="95">
        <f>G7-G60</f>
        <v>2087.1599999999453</v>
      </c>
      <c r="J59" s="175">
        <f>H59/DAY(B2)</f>
        <v>52018.47600000001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1033038.5700000001</v>
      </c>
      <c r="I60" s="95">
        <f>G13-G60</f>
        <v>1562.4499999998952</v>
      </c>
      <c r="J60" s="175">
        <f>H60/DAY(B2)</f>
        <v>206607.71400000001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-2087</v>
      </c>
      <c r="I62" s="118"/>
      <c r="J62" s="175">
        <f>H62/DAY(B2)</f>
        <v>-417.4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-2793</v>
      </c>
      <c r="I63" s="118"/>
      <c r="J63" s="175">
        <f>H63/DAY(B2)</f>
        <v>-558.6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'4'!F64</f>
        <v>0</v>
      </c>
      <c r="F64" s="122"/>
      <c r="G64" s="112">
        <f>G62+G63</f>
        <v>205</v>
      </c>
      <c r="H64" s="99">
        <f>G64+'4'!H64</f>
        <v>-4880</v>
      </c>
      <c r="I64" s="118"/>
      <c r="J64" s="175">
        <f>H64/DAY(B2)</f>
        <v>-976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-1956</v>
      </c>
      <c r="I65" s="118"/>
      <c r="J65" s="175">
        <f>H65/DAY(B2)</f>
        <v>-391.2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-416</v>
      </c>
      <c r="I66" s="118"/>
      <c r="J66" s="175">
        <f>H66/DAY(B2)</f>
        <v>-83.2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-572</v>
      </c>
      <c r="I67" s="118"/>
      <c r="J67" s="175">
        <f>H67/DAY(B2)</f>
        <v>-114.4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-990</v>
      </c>
      <c r="I68" s="118"/>
      <c r="J68" s="175">
        <f>H68/DAY(B2)</f>
        <v>-198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-251</v>
      </c>
      <c r="I69" s="118"/>
      <c r="J69" s="175">
        <f>H69/DAY(B2)</f>
        <v>-50.2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-214</v>
      </c>
      <c r="I70" s="118"/>
      <c r="J70" s="175">
        <f>H70/DAY(B2)</f>
        <v>-42.8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159</v>
      </c>
      <c r="H71" s="99">
        <f>G71+'4'!H71</f>
        <v>-4399</v>
      </c>
      <c r="I71" s="154"/>
      <c r="J71" s="175">
        <f>H71/DAY(B2)</f>
        <v>-879.8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-7907.6589999999851</v>
      </c>
      <c r="I74" s="154"/>
      <c r="J74" s="175">
        <f>H74/DAY(B2)</f>
        <v>-1581.531799999997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-2286</v>
      </c>
      <c r="I76" s="154"/>
      <c r="J76" s="175">
        <f>H76/DAY(B2)</f>
        <v>-457.2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-808.89999999999418</v>
      </c>
      <c r="I77" s="154"/>
      <c r="J77" s="175">
        <f>H77/DAY(B2)</f>
        <v>-161.77999999999884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-25</v>
      </c>
      <c r="I78" s="118"/>
      <c r="J78" s="175">
        <f>H78/DAY(B2)</f>
        <v>-5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117"/>
      <c r="F79" s="117"/>
      <c r="G79" s="112">
        <f>G15-SUM(G74:G78)</f>
        <v>570.81000000004133</v>
      </c>
      <c r="H79" s="99">
        <f>G79+'4'!H79</f>
        <v>-12738.50800000006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-165.44000000000005</v>
      </c>
      <c r="I85" s="118">
        <f>G82+G83+G84+G85</f>
        <v>-0.26000000000203727</v>
      </c>
      <c r="J85" s="175">
        <f>H85/DAY(B2)</f>
        <v>-33.088000000000008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-458.68000000000029</v>
      </c>
      <c r="I86" s="118"/>
      <c r="J86" s="175">
        <f>H86/DAY(B2)</f>
        <v>-91.736000000000061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5.0000000002910383E-2</v>
      </c>
      <c r="I87" s="118"/>
      <c r="J87" s="175">
        <f>H87/DAY(B2)</f>
        <v>1.0000000000582076E-2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-5.3699999999989814</v>
      </c>
      <c r="I88" s="118">
        <f>G86+G87+G88</f>
        <v>23.75</v>
      </c>
      <c r="J88" s="175">
        <f>H88/DAY(B2)</f>
        <v>-1.0739999999997962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-205.21999999999753</v>
      </c>
      <c r="I89" s="118"/>
      <c r="J89" s="175">
        <f>H89/DAY(B2)</f>
        <v>-41.043999999999507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-103.14000000001397</v>
      </c>
      <c r="I90" s="118">
        <f>G89+G90</f>
        <v>13.659999999996217</v>
      </c>
      <c r="J90" s="175">
        <f>H90/DAY(B2)</f>
        <v>-20.628000000002793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-24.769999999999982</v>
      </c>
      <c r="I91" s="165"/>
      <c r="J91" s="175">
        <f>H91/DAY(B2)</f>
        <v>-4.9539999999999962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-254.90999999999985</v>
      </c>
      <c r="I92" s="165"/>
      <c r="J92" s="175">
        <f>H92/DAY(B2)</f>
        <v>-50.981999999999971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330656.94</v>
      </c>
      <c r="I94" s="118"/>
      <c r="J94" s="175">
        <f>H94/DAY(B2)</f>
        <v>66131.388000000006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0.2962415407908876</v>
      </c>
      <c r="H95" s="99">
        <f>G95+'4'!H95</f>
        <v>0.48783324755520063</v>
      </c>
      <c r="I95" s="167"/>
      <c r="J95" s="175">
        <f>H95/DAY(B2)</f>
        <v>9.7566649511040132E-2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-82088.33</v>
      </c>
      <c r="I96" s="118"/>
      <c r="J96" s="175">
        <f>H96/DAY(B2)</f>
        <v>-16417.666000000001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0.16656708497676612</v>
      </c>
      <c r="H97" s="99">
        <f>G97+'4'!H97</f>
        <v>0.92888629284629898</v>
      </c>
      <c r="I97" s="167"/>
      <c r="J97" s="175">
        <f>H97/DAY(B2)</f>
        <v>0.18577725856925981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2669.0800000000163</v>
      </c>
      <c r="H98" s="99">
        <f>G98+'4'!H98</f>
        <v>365520.30000000005</v>
      </c>
      <c r="I98" s="168"/>
      <c r="J98" s="175">
        <f>H98/DAY(B2)</f>
        <v>73104.060000000012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0.13412522971209498</v>
      </c>
      <c r="H99" s="99">
        <f>G99+'4'!H99</f>
        <v>-9.6076269231749056E-2</v>
      </c>
      <c r="I99" s="168"/>
      <c r="J99" s="175">
        <f>H99/DAY(B2)</f>
        <v>-1.9215253846349811E-2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202235.46000000002</v>
      </c>
      <c r="I100" s="118"/>
      <c r="J100" s="175">
        <f>H100/DAY(B2)</f>
        <v>40447.092000000004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-2.5821370368043772E-3</v>
      </c>
      <c r="I101" s="168"/>
      <c r="J101" s="175">
        <f>H101/DAY(B2)</f>
        <v>-5.1642740736087547E-4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-44335.32</v>
      </c>
      <c r="I102" s="168"/>
      <c r="J102" s="175">
        <f>H102/DAY(B2)</f>
        <v>-8867.0640000000003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0.4707028308159007</v>
      </c>
      <c r="I103" s="118"/>
      <c r="J103" s="175">
        <f>H103/DAY(B2)</f>
        <v>9.4140566163180145E-2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167604.80000000005</v>
      </c>
      <c r="I104" s="118"/>
      <c r="J104" s="175">
        <f>H104/DAY(B2)</f>
        <v>33520.960000000006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2.6153001621696648E-2</v>
      </c>
      <c r="I105" s="187"/>
      <c r="J105" s="188">
        <f>H105/DAY(B2)</f>
        <v>5.2306003243393299E-3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-2015.5999999999985</v>
      </c>
      <c r="I112" s="165"/>
      <c r="J112" s="328">
        <f>H112/DAY(B2)</f>
        <v>-403.11999999999972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-11940.690000000002</v>
      </c>
      <c r="I113" s="165"/>
      <c r="J113" s="328">
        <f>H113/DAY(B2)</f>
        <v>-2388.1380000000004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-6947.7999999999993</v>
      </c>
      <c r="I114" s="165"/>
      <c r="J114" s="328">
        <f>H114/DAY(B2)</f>
        <v>-1389.56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-256.85000000000036</v>
      </c>
      <c r="I115" s="165"/>
      <c r="J115" s="328">
        <f>H115/DAY(B2)</f>
        <v>-51.370000000000076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28">
        <f>H116/DAY(B2)</f>
        <v>0</v>
      </c>
      <c r="Q116" s="932"/>
      <c r="R116" s="932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-619.15999999999985</v>
      </c>
      <c r="I117" s="165"/>
      <c r="J117" s="328">
        <f>H117/DAY(B2)</f>
        <v>-123.83199999999997</v>
      </c>
      <c r="Q117" s="932"/>
      <c r="R117" s="932"/>
    </row>
    <row r="118" spans="1:18" ht="27.75">
      <c r="A118" s="874" t="s">
        <v>97</v>
      </c>
      <c r="B118" s="874"/>
      <c r="C118" s="874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-8922.7799999999988</v>
      </c>
      <c r="I118" s="165"/>
      <c r="J118" s="328">
        <f>H118/DAY(B2)</f>
        <v>-1784.5559999999998</v>
      </c>
      <c r="Q118" s="932"/>
      <c r="R118" s="932"/>
    </row>
    <row r="119" spans="1:18" ht="27.75">
      <c r="A119" s="874" t="s">
        <v>98</v>
      </c>
      <c r="B119" s="874"/>
      <c r="C119" s="874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-10857.619999999995</v>
      </c>
      <c r="I119" s="165"/>
      <c r="J119" s="328">
        <f>H119/DAY(B2)</f>
        <v>-2171.523999999999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'4'!F120</f>
        <v>31775.45</v>
      </c>
      <c r="F120" s="597">
        <v>32187</v>
      </c>
      <c r="G120" s="112">
        <f t="shared" si="9"/>
        <v>411.54999999999927</v>
      </c>
      <c r="H120" s="99">
        <f>G120+'4'!H120</f>
        <v>-10772.61</v>
      </c>
      <c r="I120" s="165"/>
      <c r="J120" s="328">
        <f>H120/DAY(B2)</f>
        <v>-2154.5219999999999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-17681.429999999993</v>
      </c>
      <c r="I121" s="165"/>
      <c r="J121" s="328">
        <f>H121/DAY(B2)</f>
        <v>-3536.2859999999987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-4982.7999999999884</v>
      </c>
      <c r="I122" s="165"/>
      <c r="J122" s="328">
        <f>H122/DAY(B2)</f>
        <v>-996.55999999999767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-7254.2000000000116</v>
      </c>
      <c r="I123" s="165"/>
      <c r="J123" s="328">
        <f>H123/DAY(B2)</f>
        <v>-1450.8400000000024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30" t="s">
        <v>196</v>
      </c>
      <c r="B125" s="930"/>
      <c r="C125" s="245"/>
      <c r="D125" s="307"/>
      <c r="E125" s="308"/>
      <c r="F125" s="308"/>
      <c r="G125" s="309">
        <f>SUM(G112:G124)</f>
        <v>3325.0599999999627</v>
      </c>
      <c r="H125" s="156"/>
      <c r="I125" s="327">
        <f>G125-(G39+G53)</f>
        <v>655.97999999994636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'4'!F128</f>
        <v>39388.42</v>
      </c>
      <c r="F128" s="470">
        <v>39721.089999999997</v>
      </c>
      <c r="G128" s="112">
        <f t="shared" ref="G128:G134" si="10">F128-E128</f>
        <v>332.66999999999825</v>
      </c>
      <c r="H128" s="99">
        <f>G128+'4'!H128</f>
        <v>-8024.9100000000035</v>
      </c>
      <c r="I128" s="165"/>
      <c r="J128" s="328">
        <f>H128/DAY(B2)</f>
        <v>-1604.9820000000007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'4'!F129</f>
        <v>21201.37</v>
      </c>
      <c r="F129" s="470">
        <v>21399.47</v>
      </c>
      <c r="G129" s="112">
        <f t="shared" si="10"/>
        <v>198.10000000000218</v>
      </c>
      <c r="H129" s="99">
        <f>G129+'4'!H129</f>
        <v>-5511.3999999999978</v>
      </c>
      <c r="I129" s="165"/>
      <c r="J129" s="328">
        <f>H129/DAY(B2)</f>
        <v>-1102.2799999999995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'4'!F130</f>
        <v>21202.17</v>
      </c>
      <c r="F130" s="470">
        <v>21852.17</v>
      </c>
      <c r="G130" s="112">
        <f t="shared" si="10"/>
        <v>650</v>
      </c>
      <c r="H130" s="99">
        <f>G130+'4'!H130</f>
        <v>-13841.830000000002</v>
      </c>
      <c r="I130" s="165"/>
      <c r="J130" s="328">
        <f>H130/DAY(B2)</f>
        <v>-2768.3660000000004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'4'!F131</f>
        <v>13484.52</v>
      </c>
      <c r="F131" s="470">
        <v>13561.44</v>
      </c>
      <c r="G131" s="112">
        <f t="shared" si="10"/>
        <v>76.920000000000073</v>
      </c>
      <c r="H131" s="99">
        <f>G131+'4'!H131</f>
        <v>-1746.2399999999998</v>
      </c>
      <c r="I131" s="165"/>
      <c r="J131" s="328">
        <f>H131/DAY(B2)</f>
        <v>-349.24799999999993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'4'!F132</f>
        <v>42815.69</v>
      </c>
      <c r="F132" s="470">
        <v>43251.08</v>
      </c>
      <c r="G132" s="112">
        <f t="shared" si="10"/>
        <v>435.38999999999942</v>
      </c>
      <c r="H132" s="99">
        <f>G132+'4'!H132</f>
        <v>-8597.2200000000012</v>
      </c>
      <c r="I132" s="165"/>
      <c r="J132" s="328">
        <f>H132/DAY(B2)</f>
        <v>-1719.4440000000002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'4'!F133</f>
        <v>91046.62</v>
      </c>
      <c r="F133" s="470">
        <v>91892.87</v>
      </c>
      <c r="G133" s="112">
        <f t="shared" si="10"/>
        <v>846.25</v>
      </c>
      <c r="H133" s="99">
        <f>G133+'4'!H133</f>
        <v>-13450.830000000002</v>
      </c>
      <c r="I133" s="165"/>
      <c r="J133" s="328">
        <f>H133/DAY(B2)</f>
        <v>-2690.1660000000002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'4'!F134</f>
        <v>671437</v>
      </c>
      <c r="F134" s="470">
        <v>672078</v>
      </c>
      <c r="G134" s="112">
        <f t="shared" si="10"/>
        <v>641</v>
      </c>
      <c r="H134" s="99">
        <f>G134+'4'!H134</f>
        <v>663476.77</v>
      </c>
      <c r="I134" s="165"/>
      <c r="J134" s="328">
        <f>H134/DAY(B2)</f>
        <v>132695.35399999999</v>
      </c>
    </row>
    <row r="135" spans="1:15" ht="27.75">
      <c r="A135" s="930" t="s">
        <v>196</v>
      </c>
      <c r="B135" s="930"/>
      <c r="C135" s="331"/>
      <c r="D135" s="151"/>
      <c r="E135" s="95"/>
      <c r="F135" s="165"/>
      <c r="G135" s="112">
        <f>SUM(G128:G134)</f>
        <v>3180.33</v>
      </c>
      <c r="H135" s="99">
        <f>G135+'4'!H135</f>
        <v>612304.34</v>
      </c>
      <c r="I135" s="327">
        <f>G135-(G35+G49)</f>
        <v>-307.37999999999192</v>
      </c>
      <c r="J135" s="328">
        <f>H135/DAY(B2)</f>
        <v>122460.86799999999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-1637</v>
      </c>
      <c r="I138" s="118"/>
      <c r="J138" s="328">
        <f>H138/DAY(B2)</f>
        <v>-327.39999999999998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-26</v>
      </c>
      <c r="I139" s="118"/>
      <c r="J139" s="328">
        <f>H139/DAY(B2)</f>
        <v>-5.2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-23.69999999999709</v>
      </c>
      <c r="I140" s="118"/>
      <c r="J140" s="328">
        <f>H140/DAY(B2)</f>
        <v>-4.7399999999994176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-4479.4800000000032</v>
      </c>
      <c r="I141" s="118"/>
      <c r="J141" s="328">
        <f>H141/DAY(B2)</f>
        <v>-895.89600000000064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-1915.3499999999985</v>
      </c>
      <c r="I142" s="140"/>
      <c r="J142" s="328">
        <f>H142/DAY(B2)</f>
        <v>-383.06999999999971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-662.69</v>
      </c>
      <c r="I143" s="140"/>
      <c r="J143" s="328">
        <f>H143/DAY(B2)</f>
        <v>-132.53800000000001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-5693</v>
      </c>
      <c r="I144" s="140"/>
      <c r="J144" s="328">
        <f>H144/DAY(B2)</f>
        <v>-1138.5999999999999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-317.84000000000015</v>
      </c>
      <c r="I145" s="140"/>
      <c r="J145" s="328">
        <f>H145/DAY(B2)</f>
        <v>-63.568000000000026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-10155</v>
      </c>
      <c r="I146" s="140"/>
      <c r="J146" s="328">
        <f>H146/DAY(B2)</f>
        <v>-2031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-9271.5200000000186</v>
      </c>
      <c r="I147" s="140"/>
      <c r="J147" s="328">
        <f>H147/DAY(B2)</f>
        <v>-1854.3040000000037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-5040.9599999999627</v>
      </c>
      <c r="I148" s="124"/>
      <c r="J148" s="328">
        <f>H148/DAY(B2)</f>
        <v>-1008.1919999999925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-12017.060000000001</v>
      </c>
      <c r="I149" s="119"/>
      <c r="J149" s="328">
        <f>H149/DAY(B2)</f>
        <v>-2403.4120000000003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-5707.29</v>
      </c>
      <c r="I150" s="119"/>
      <c r="J150" s="328">
        <f>H150/DAY(B2)</f>
        <v>-1141.4580000000001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-5977</v>
      </c>
      <c r="I151" s="119"/>
      <c r="J151" s="328">
        <f>H151/DAY(B2)</f>
        <v>-1195.4000000000001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-421.44000000000005</v>
      </c>
      <c r="I152" s="119"/>
      <c r="J152" s="328">
        <f>H152/DAY(B2)</f>
        <v>-84.288000000000011</v>
      </c>
    </row>
    <row r="153" spans="1:10" ht="27.75">
      <c r="A153" s="930" t="s">
        <v>196</v>
      </c>
      <c r="B153" s="930"/>
      <c r="C153" s="365"/>
      <c r="D153" s="358"/>
      <c r="E153" s="360"/>
      <c r="F153" s="361"/>
      <c r="G153" s="362">
        <f>SUM(G138:G152)</f>
        <v>2590.9899999999843</v>
      </c>
      <c r="H153" s="363"/>
      <c r="I153" s="119">
        <f>G153-(G38+G52)</f>
        <v>918.58999999996104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'4'!F155</f>
        <v>15390.56</v>
      </c>
      <c r="F155" s="471">
        <v>16004.02</v>
      </c>
      <c r="G155" s="112">
        <f t="shared" ref="G155:G158" si="12">F155-E155</f>
        <v>613.46000000000095</v>
      </c>
      <c r="H155" s="99">
        <f>G155+'4'!H155</f>
        <v>-16940.980000000003</v>
      </c>
      <c r="I155" s="364"/>
      <c r="J155" s="328">
        <f>H155/DAY(B2)</f>
        <v>-3388.1960000000008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-1479.29</v>
      </c>
      <c r="I156" s="165"/>
      <c r="J156" s="328">
        <f>H156/DAY(B2)</f>
        <v>-295.858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28">
        <f>H157/DAY(B2)</f>
        <v>24.880000000000017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28">
        <f>H158/DAY(B2)</f>
        <v>1.2879999999999998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-900</v>
      </c>
      <c r="I161" s="236"/>
      <c r="J161" s="239">
        <f>H161/DAY(B2)</f>
        <v>-180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-829.39999999999418</v>
      </c>
      <c r="I162" s="236"/>
      <c r="J162" s="239">
        <f>H162/DAY(B2)</f>
        <v>-165.87999999999883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-1171.9000000000087</v>
      </c>
      <c r="I163" s="236"/>
      <c r="J163" s="239">
        <f>H163/DAY(B2)</f>
        <v>-234.38000000000176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-71.399999999999636</v>
      </c>
      <c r="I164" s="236"/>
      <c r="J164" s="239">
        <f>H164/DAY(B2)</f>
        <v>-14.279999999999927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-177.95000000000073</v>
      </c>
      <c r="I165" s="236"/>
      <c r="J165" s="239">
        <f>H165/DAY(B2)</f>
        <v>-35.590000000000146</v>
      </c>
    </row>
    <row r="166" spans="1:10" ht="29.25">
      <c r="A166" s="910"/>
      <c r="B166" s="91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>
      <c r="A167" s="910"/>
      <c r="B167" s="91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>
      <c r="A168" s="910"/>
      <c r="B168" s="91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36"/>
      <c r="B172" s="936"/>
      <c r="C172" s="472"/>
      <c r="D172" s="155"/>
      <c r="E172" s="155"/>
      <c r="F172" s="155"/>
      <c r="G172" s="155"/>
      <c r="H172" s="156"/>
      <c r="I172" s="155"/>
      <c r="J172" s="156"/>
    </row>
    <row r="173" spans="1:10" ht="27.75">
      <c r="A173" s="931" t="s">
        <v>209</v>
      </c>
      <c r="B173" s="931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>
      <c r="A174" s="931" t="s">
        <v>75</v>
      </c>
      <c r="B174" s="931"/>
      <c r="C174" s="333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-279</v>
      </c>
      <c r="I174" s="155"/>
      <c r="J174" s="156">
        <f>H174/DAY(B2)</f>
        <v>-55.8</v>
      </c>
    </row>
    <row r="175" spans="1:10" ht="27.75">
      <c r="A175" s="931" t="s">
        <v>76</v>
      </c>
      <c r="B175" s="931"/>
      <c r="C175" s="931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-246</v>
      </c>
      <c r="I175" s="155"/>
      <c r="J175" s="156">
        <f>H175/DAY(B2)</f>
        <v>-49.2</v>
      </c>
    </row>
    <row r="176" spans="1:10" ht="27.75">
      <c r="A176" s="930" t="s">
        <v>196</v>
      </c>
      <c r="B176" s="930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-525</v>
      </c>
      <c r="I176" s="155"/>
      <c r="J176" s="156">
        <f>H176/DAY(B2)</f>
        <v>-105</v>
      </c>
    </row>
    <row r="177" spans="1:10" ht="27.75">
      <c r="A177" s="931" t="s">
        <v>77</v>
      </c>
      <c r="B177" s="931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>
      <c r="A178" s="931" t="s">
        <v>210</v>
      </c>
      <c r="B178" s="931"/>
      <c r="C178" s="333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-1341</v>
      </c>
      <c r="I178" s="155"/>
      <c r="J178" s="156">
        <f>H178/DAY(B2)</f>
        <v>-268.2</v>
      </c>
    </row>
    <row r="179" spans="1:10" ht="27.75">
      <c r="A179" s="931" t="s">
        <v>211</v>
      </c>
      <c r="B179" s="931"/>
      <c r="C179" s="333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-779</v>
      </c>
      <c r="I179" s="155"/>
      <c r="J179" s="156">
        <f>H179/DAY(B2)</f>
        <v>-155.80000000000001</v>
      </c>
    </row>
    <row r="180" spans="1:10" ht="27.75">
      <c r="A180" s="931" t="s">
        <v>212</v>
      </c>
      <c r="B180" s="931"/>
      <c r="C180" s="333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-197</v>
      </c>
      <c r="I180" s="155"/>
      <c r="J180" s="156">
        <f>H180/DAY(B2)</f>
        <v>-39.4</v>
      </c>
    </row>
    <row r="181" spans="1:10" ht="27.75">
      <c r="A181" s="935" t="s">
        <v>108</v>
      </c>
      <c r="B181" s="935"/>
      <c r="C181" s="333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-2317</v>
      </c>
      <c r="I181" s="155"/>
      <c r="J181" s="156">
        <f>H181/DAY(B2)</f>
        <v>-463.4</v>
      </c>
    </row>
    <row r="182" spans="1:10" ht="27.75">
      <c r="A182" s="931" t="s">
        <v>213</v>
      </c>
      <c r="B182" s="931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>
      <c r="A183" s="931" t="s">
        <v>214</v>
      </c>
      <c r="B183" s="931"/>
      <c r="C183" s="334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-308</v>
      </c>
      <c r="I183" s="155"/>
      <c r="J183" s="156">
        <f>H183/DAY(B2)</f>
        <v>-61.6</v>
      </c>
    </row>
    <row r="184" spans="1:10" ht="27.75">
      <c r="A184" s="931" t="s">
        <v>215</v>
      </c>
      <c r="B184" s="931"/>
      <c r="C184" s="334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-180</v>
      </c>
      <c r="I184" s="155"/>
      <c r="J184" s="156">
        <f>H184/DAY(B2)</f>
        <v>-36</v>
      </c>
    </row>
    <row r="185" spans="1:10" ht="29.25" customHeight="1">
      <c r="A185" s="931" t="s">
        <v>216</v>
      </c>
      <c r="B185" s="931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>
      <c r="A186" s="930" t="s">
        <v>196</v>
      </c>
      <c r="B186" s="930"/>
      <c r="C186" s="334"/>
      <c r="D186" s="461"/>
      <c r="E186" s="95"/>
      <c r="F186" s="157"/>
      <c r="G186" s="157">
        <f>SUM(G183:G185)</f>
        <v>19</v>
      </c>
      <c r="H186" s="99">
        <f>G186+'4'!H186</f>
        <v>-488</v>
      </c>
      <c r="I186" s="157"/>
      <c r="J186" s="156">
        <f>H186/DAY(B2)</f>
        <v>-97.6</v>
      </c>
    </row>
    <row r="187" spans="1:10" ht="27.75">
      <c r="A187" s="934" t="s">
        <v>217</v>
      </c>
      <c r="B187" s="934"/>
      <c r="C187" s="333"/>
      <c r="D187" s="157" t="s">
        <v>142</v>
      </c>
      <c r="E187" s="95"/>
      <c r="F187" s="159"/>
      <c r="G187" s="460">
        <f>G62+G19</f>
        <v>137</v>
      </c>
      <c r="H187" s="99">
        <f>G187+'4'!H187</f>
        <v>-3487</v>
      </c>
      <c r="I187" s="158"/>
      <c r="J187" s="159">
        <f>H187/DAY(B2)</f>
        <v>-697.4</v>
      </c>
    </row>
    <row r="188" spans="1:10" ht="27.75">
      <c r="A188" s="934" t="s">
        <v>218</v>
      </c>
      <c r="B188" s="934"/>
      <c r="C188" s="333"/>
      <c r="D188" s="157" t="s">
        <v>142</v>
      </c>
      <c r="E188" s="95"/>
      <c r="F188" s="159"/>
      <c r="G188" s="460">
        <f>G65+G66+G67+G69+G70</f>
        <v>132</v>
      </c>
      <c r="H188" s="99">
        <f>G188+'4'!H188</f>
        <v>-3409</v>
      </c>
      <c r="I188" s="158"/>
      <c r="J188" s="159">
        <f>H188/DAY(B2)</f>
        <v>-681.8</v>
      </c>
    </row>
    <row r="189" spans="1:10" ht="27.75">
      <c r="A189" s="934" t="s">
        <v>219</v>
      </c>
      <c r="B189" s="934"/>
      <c r="C189" s="333"/>
      <c r="D189" s="157" t="s">
        <v>142</v>
      </c>
      <c r="E189" s="95"/>
      <c r="F189" s="157"/>
      <c r="G189" s="457">
        <f>G181</f>
        <v>114</v>
      </c>
      <c r="H189" s="99">
        <f>G189+'4'!H189</f>
        <v>-2317</v>
      </c>
      <c r="I189" s="158"/>
      <c r="J189" s="159">
        <f>H189/DAY(B2)</f>
        <v>-463.4</v>
      </c>
    </row>
    <row r="190" spans="1:10" ht="27.75">
      <c r="A190" s="933"/>
      <c r="B190" s="933"/>
      <c r="C190" s="473"/>
      <c r="D190" s="474"/>
      <c r="E190" s="475"/>
      <c r="F190" s="474"/>
      <c r="G190" s="474"/>
      <c r="H190" s="476"/>
      <c r="I190" s="474"/>
      <c r="J190" s="477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18" sqref="F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363</v>
      </c>
      <c r="B2" s="262">
        <v>44567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-437976.23</v>
      </c>
      <c r="I7" s="113">
        <f>'1'!I7</f>
        <v>12000</v>
      </c>
      <c r="J7" s="175">
        <f>H7/DAY(B2)</f>
        <v>-72996.03833333333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-446530.15</v>
      </c>
      <c r="I8" s="116"/>
      <c r="J8" s="175">
        <f>H8/DAY(B2)</f>
        <v>-74421.691666666666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2051085.1500000001</v>
      </c>
      <c r="I9" s="124">
        <f>I7-J7</f>
        <v>84996.03833333333</v>
      </c>
      <c r="J9" s="175">
        <f>H9/DAY(B2)</f>
        <v>341847.52500000002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476421.03</v>
      </c>
      <c r="I10" s="282"/>
      <c r="J10" s="175">
        <f>H10/DAY(B2)</f>
        <v>79403.505000000005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-170</v>
      </c>
      <c r="I11" s="282"/>
      <c r="J11" s="175">
        <f>H11/DAY(B2)</f>
        <v>-28.333333333333332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2510581.75</v>
      </c>
      <c r="I13" s="120">
        <f>G7-G13</f>
        <v>565.96999999997206</v>
      </c>
      <c r="J13" s="175">
        <f>H13/DAY(B2)</f>
        <v>418430.29166666669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-22832.766999999993</v>
      </c>
      <c r="I15" s="113">
        <f>'1'!I15</f>
        <v>800</v>
      </c>
      <c r="J15" s="175">
        <f>H15/DAY(B2)</f>
        <v>-3805.4611666666656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4605.461166666666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'5'!F18</f>
        <v>12</v>
      </c>
      <c r="F18" s="122">
        <v>12</v>
      </c>
      <c r="G18" s="119">
        <f>F18*10</f>
        <v>120</v>
      </c>
      <c r="H18" s="99">
        <f>G18+'5'!H18</f>
        <v>1040</v>
      </c>
      <c r="I18" s="113">
        <f>'1'!I18</f>
        <v>65</v>
      </c>
      <c r="J18" s="175">
        <f>H18/DAY(B2)</f>
        <v>173.33333333333334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-1356</v>
      </c>
      <c r="I19" s="335"/>
      <c r="J19" s="175">
        <f>H19/DAY(B2)</f>
        <v>-226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164</v>
      </c>
      <c r="H20" s="99">
        <f>G20+'5'!H20</f>
        <v>-316</v>
      </c>
      <c r="I20" s="336">
        <f>I18-J20</f>
        <v>117.66666666666666</v>
      </c>
      <c r="J20" s="175">
        <f>H20/DAY(B2)</f>
        <v>-52.666666666666664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-4018771.3500000006</v>
      </c>
      <c r="I27" s="138"/>
      <c r="J27" s="175">
        <f>H27/DAY(B2)</f>
        <v>-669795.22500000009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-1187303.8839999996</v>
      </c>
      <c r="I28" s="140"/>
      <c r="J28" s="175">
        <f>H28/DAY(B2)</f>
        <v>-197883.98066666661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-197976</v>
      </c>
      <c r="I30" s="140"/>
      <c r="J30" s="175">
        <f>H30/DAY(B2)</f>
        <v>-32996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G31+'5'!H31</f>
        <v>83200</v>
      </c>
      <c r="I31" s="140"/>
      <c r="J31" s="175">
        <f>H31/DAY(B2)</f>
        <v>13866.666666666666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250927.60000000242</v>
      </c>
      <c r="H32" s="99">
        <f>G32+'5'!H32</f>
        <v>-5320851.2340000002</v>
      </c>
      <c r="I32" s="144"/>
      <c r="J32" s="175">
        <f>H32/DAY(B2)</f>
        <v>-886808.53899999999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132353.02000000002</v>
      </c>
      <c r="I35" s="95"/>
      <c r="J35" s="175">
        <f>H35/DAY(B2)</f>
        <v>22058.83666666667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-16927.739999999998</v>
      </c>
      <c r="I36" s="95"/>
      <c r="J36" s="175">
        <f>H36/DAY(B2)</f>
        <v>-2821.2899999999995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169121.91000000003</v>
      </c>
      <c r="I37" s="95"/>
      <c r="J37" s="175">
        <f>H37/DAY(B2)</f>
        <v>28186.985000000004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203922.57</v>
      </c>
      <c r="I38" s="95"/>
      <c r="J38" s="175">
        <f>H38/DAY(B2)</f>
        <v>33987.095000000001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368227.71</v>
      </c>
      <c r="I39" s="95"/>
      <c r="J39" s="175">
        <f>H39/DAY(B2)</f>
        <v>61371.285000000003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7320.739999999998</v>
      </c>
      <c r="I40" s="95"/>
      <c r="J40" s="175">
        <f>H40/DAY(B2)</f>
        <v>1220.123333333333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-26321.14</v>
      </c>
      <c r="I42" s="95"/>
      <c r="J42" s="175">
        <f>H42/DAY(B2)</f>
        <v>-4386.8566666666666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-52885.600000000006</v>
      </c>
      <c r="I43" s="95"/>
      <c r="J43" s="175">
        <f>H43/DAY(B2)</f>
        <v>-8814.2666666666682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784811.47</v>
      </c>
      <c r="I47" s="95"/>
      <c r="J47" s="175">
        <f>H47/DAY(B2)</f>
        <v>130801.91166666667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257105.81</v>
      </c>
      <c r="I49" s="95"/>
      <c r="J49" s="175">
        <f>H49/DAY(B2)</f>
        <v>42850.968333333331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-25327.629999999997</v>
      </c>
      <c r="I50" s="95"/>
      <c r="J50" s="175">
        <f>H50/DAY(B2)</f>
        <v>-4221.2716666666665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-819.34000000000015</v>
      </c>
      <c r="I54" s="95"/>
      <c r="J54" s="175">
        <f>H54/DAY(B2)</f>
        <v>-136.5566666666667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-52456.11</v>
      </c>
      <c r="I55" s="95"/>
      <c r="J55" s="175">
        <f>H55/DAY(B2)</f>
        <v>-8742.6849999999995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88283.420000000013</v>
      </c>
      <c r="I58" s="95"/>
      <c r="J58" s="175">
        <f>H58/DAY(B2)</f>
        <v>14713.903333333335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266786.15000000002</v>
      </c>
      <c r="I59" s="95">
        <f>G7-G60</f>
        <v>1712.9500000000735</v>
      </c>
      <c r="J59" s="175">
        <f>H59/DAY(B2)</f>
        <v>44464.358333333337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1051597.6199999999</v>
      </c>
      <c r="I60" s="95">
        <f>G13-G60</f>
        <v>1146.9800000001014</v>
      </c>
      <c r="J60" s="175">
        <f>H60/DAY(B2)</f>
        <v>175266.27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-2006</v>
      </c>
      <c r="I62" s="118"/>
      <c r="J62" s="175">
        <f>H62/DAY(B2)</f>
        <v>-334.33333333333331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-2674</v>
      </c>
      <c r="I63" s="118"/>
      <c r="J63" s="175">
        <f>H63/DAY(B2)</f>
        <v>-445.66666666666669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'5'!F64</f>
        <v>0</v>
      </c>
      <c r="F64" s="122"/>
      <c r="G64" s="112">
        <f>G62+G63</f>
        <v>200</v>
      </c>
      <c r="H64" s="99">
        <f>G64+'5'!H64</f>
        <v>-4680</v>
      </c>
      <c r="I64" s="118"/>
      <c r="J64" s="175">
        <f>H64/DAY(B2)</f>
        <v>-780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-1887</v>
      </c>
      <c r="I65" s="118"/>
      <c r="J65" s="175">
        <f>H65/DAY(B2)</f>
        <v>-314.5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-401</v>
      </c>
      <c r="I66" s="118"/>
      <c r="J66" s="175">
        <f>H66/DAY(B2)</f>
        <v>-66.833333333333329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-551</v>
      </c>
      <c r="I67" s="118"/>
      <c r="J67" s="175">
        <f>H67/DAY(B2)</f>
        <v>-91.833333333333329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-943</v>
      </c>
      <c r="I68" s="118"/>
      <c r="J68" s="175">
        <f>H68/DAY(B2)</f>
        <v>-157.16666666666666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-243</v>
      </c>
      <c r="I69" s="118"/>
      <c r="J69" s="175">
        <f>H69/DAY(B2)</f>
        <v>-40.5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-208</v>
      </c>
      <c r="I70" s="118"/>
      <c r="J70" s="175">
        <f>H70/DAY(B2)</f>
        <v>-34.666666666666664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166</v>
      </c>
      <c r="H71" s="99">
        <f>G71+'5'!H71</f>
        <v>-4233</v>
      </c>
      <c r="I71" s="154"/>
      <c r="J71" s="175">
        <f>H71/DAY(B2)</f>
        <v>-705.5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-7603.1489999999758</v>
      </c>
      <c r="I74" s="154"/>
      <c r="J74" s="175">
        <f>H74/DAY(B2)</f>
        <v>-1267.191499999996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-2206</v>
      </c>
      <c r="I76" s="154"/>
      <c r="J76" s="175">
        <f>H76/DAY(B2)</f>
        <v>-367.66666666666669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-771.19999999999709</v>
      </c>
      <c r="I77" s="154"/>
      <c r="J77" s="175">
        <f>H77/DAY(B2)</f>
        <v>-128.53333333333285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-24</v>
      </c>
      <c r="I78" s="118"/>
      <c r="J78" s="175">
        <f>H78/DAY(B2)</f>
        <v>-4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117"/>
      <c r="F79" s="117"/>
      <c r="G79" s="112">
        <f>G15-SUM(G74:G78)</f>
        <v>510.09000000004016</v>
      </c>
      <c r="H79" s="99">
        <f>G79+'5'!H79</f>
        <v>-12228.41800000002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-165.44000000000005</v>
      </c>
      <c r="I85" s="118">
        <f>G82+G83+G84+G85</f>
        <v>0</v>
      </c>
      <c r="J85" s="175">
        <f>H85/DAY(B2)</f>
        <v>-27.573333333333341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-434.5199999999968</v>
      </c>
      <c r="I86" s="118"/>
      <c r="J86" s="175">
        <f>H86/DAY(B2)</f>
        <v>-72.419999999999462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5.0000000002910383E-2</v>
      </c>
      <c r="I87" s="118"/>
      <c r="J87" s="175">
        <f>H87/DAY(B2)</f>
        <v>8.3333333338183966E-3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-5.430000000000291</v>
      </c>
      <c r="I88" s="118">
        <f>G86+G87+G88</f>
        <v>24.100000000002183</v>
      </c>
      <c r="J88" s="175">
        <f>H88/DAY(B2)</f>
        <v>-0.90500000000004854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-196.11999999999898</v>
      </c>
      <c r="I89" s="118"/>
      <c r="J89" s="175">
        <f>H89/DAY(B2)</f>
        <v>-32.686666666666497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-100.32000000000698</v>
      </c>
      <c r="I90" s="118">
        <f>G89+G90</f>
        <v>11.92000000000553</v>
      </c>
      <c r="J90" s="175">
        <f>H90/DAY(B2)</f>
        <v>-16.720000000001164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-24.769999999999982</v>
      </c>
      <c r="I91" s="165"/>
      <c r="J91" s="175">
        <f>H91/DAY(B2)</f>
        <v>-4.1283333333333303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-244.25999999999931</v>
      </c>
      <c r="I92" s="165"/>
      <c r="J92" s="175">
        <f>H92/DAY(B2)</f>
        <v>-40.709999999999887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336573.23</v>
      </c>
      <c r="I94" s="118"/>
      <c r="J94" s="175">
        <f>H94/DAY(B2)</f>
        <v>56095.53833333333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0.29184540252565011</v>
      </c>
      <c r="H95" s="99">
        <f>G95+'5'!H95</f>
        <v>0.7796786500808508</v>
      </c>
      <c r="I95" s="167"/>
      <c r="J95" s="175">
        <f>H95/DAY(B2)</f>
        <v>0.1299464416801418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-78777.25</v>
      </c>
      <c r="I96" s="118"/>
      <c r="J96" s="175">
        <f>H96/DAY(B2)</f>
        <v>-13129.541666666666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0.16333267561168122</v>
      </c>
      <c r="H97" s="99">
        <f>G97+'5'!H97</f>
        <v>1.0922189684579802</v>
      </c>
      <c r="I97" s="167"/>
      <c r="J97" s="175">
        <f>H97/DAY(B2)</f>
        <v>0.18203649474299669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2707.4099999999744</v>
      </c>
      <c r="H98" s="99">
        <f>G98+'5'!H98</f>
        <v>368227.71</v>
      </c>
      <c r="I98" s="168"/>
      <c r="J98" s="175">
        <f>H98/DAY(B2)</f>
        <v>61371.285000000003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0.13355416337805714</v>
      </c>
      <c r="H99" s="99">
        <f>G99+'5'!H99</f>
        <v>3.7477894146308088E-2</v>
      </c>
      <c r="I99" s="168"/>
      <c r="J99" s="175">
        <f>H99/DAY(B2)</f>
        <v>6.2463156910513478E-3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203922.57</v>
      </c>
      <c r="I100" s="118"/>
      <c r="J100" s="175">
        <f>H100/DAY(B2)</f>
        <v>33987.095000000001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8.0641521211024456E-2</v>
      </c>
      <c r="I101" s="168"/>
      <c r="J101" s="175">
        <f>H101/DAY(B2)</f>
        <v>1.3440253535170742E-2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-42255.369999999995</v>
      </c>
      <c r="I102" s="168"/>
      <c r="J102" s="175">
        <f>H102/DAY(B2)</f>
        <v>-7042.5616666666656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0.57330494210240435</v>
      </c>
      <c r="I103" s="118"/>
      <c r="J103" s="175">
        <f>H103/DAY(B2)</f>
        <v>9.5550823683734062E-2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169121.91000000003</v>
      </c>
      <c r="I104" s="118"/>
      <c r="J104" s="175">
        <f>H104/DAY(B2)</f>
        <v>28186.985000000004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0.10099070880401639</v>
      </c>
      <c r="I105" s="187"/>
      <c r="J105" s="188">
        <f>H105/DAY(B2)</f>
        <v>1.6831784800669398E-2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-1938</v>
      </c>
      <c r="I112" s="165"/>
      <c r="J112" s="328">
        <f>H112/DAY(B2)</f>
        <v>-323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-11498.89</v>
      </c>
      <c r="I113" s="165"/>
      <c r="J113" s="328">
        <f>H113/DAY(B2)</f>
        <v>-1916.4816666666666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-6685</v>
      </c>
      <c r="I114" s="165"/>
      <c r="J114" s="328">
        <f>H114/DAY(B2)</f>
        <v>-1114.1666666666667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-244.64999999999964</v>
      </c>
      <c r="I115" s="165"/>
      <c r="J115" s="328">
        <f>H115/DAY(B2)</f>
        <v>-40.774999999999942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-588.94999999999982</v>
      </c>
      <c r="I117" s="165"/>
      <c r="J117" s="328">
        <f>H117/DAY(B2)</f>
        <v>-98.158333333333303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-8566.3099999999977</v>
      </c>
      <c r="I118" s="165"/>
      <c r="J118" s="328">
        <f>H118/DAY(B2)</f>
        <v>-1427.718333333333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-10432.549999999988</v>
      </c>
      <c r="I119" s="165"/>
      <c r="J119" s="328">
        <f>H119/DAY(B2)</f>
        <v>-1738.7583333333314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-10356.61</v>
      </c>
      <c r="I120" s="165"/>
      <c r="J120" s="328">
        <f>H120/DAY(B2)</f>
        <v>-1726.1016666666667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-16936.429999999993</v>
      </c>
      <c r="I121" s="165"/>
      <c r="J121" s="328">
        <f>H121/DAY(B2)</f>
        <v>-2822.7383333333323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-4744.179999999993</v>
      </c>
      <c r="I122" s="165"/>
      <c r="J122" s="328">
        <f>H122/DAY(B2)</f>
        <v>-790.69666666666546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-6946.9500000000116</v>
      </c>
      <c r="I123" s="165"/>
      <c r="J123" s="328">
        <f>H123/DAY(B2)</f>
        <v>-1157.8250000000019</v>
      </c>
    </row>
    <row r="124" spans="1:18" ht="29.25" customHeight="1">
      <c r="A124" s="904"/>
      <c r="B124" s="905"/>
      <c r="C124" s="906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3313.020000000005</v>
      </c>
      <c r="H125" s="156"/>
      <c r="I125" s="327">
        <f>G125-(G39+G53)</f>
        <v>605.6100000000306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-7718</v>
      </c>
      <c r="I128" s="165"/>
      <c r="J128" s="328">
        <f>H128/DAY(B2)</f>
        <v>-1286.3333333333333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-5300.869999999999</v>
      </c>
      <c r="I129" s="165"/>
      <c r="J129" s="328">
        <f>H129/DAY(B2)</f>
        <v>-883.47833333333313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-13218</v>
      </c>
      <c r="I130" s="165"/>
      <c r="J130" s="328">
        <f>H130/DAY(B2)</f>
        <v>-2203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-1679.6800000000003</v>
      </c>
      <c r="I131" s="165"/>
      <c r="J131" s="328">
        <f>H131/DAY(B2)</f>
        <v>-279.94666666666672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-8134.3000000000029</v>
      </c>
      <c r="I132" s="165"/>
      <c r="J132" s="328">
        <f>H132/DAY(B2)</f>
        <v>-1355.7166666666672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-12637.699999999997</v>
      </c>
      <c r="I133" s="165"/>
      <c r="J133" s="328">
        <f>H133/DAY(B2)</f>
        <v>-2106.2833333333328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664120.77</v>
      </c>
      <c r="I134" s="165"/>
      <c r="J134" s="328">
        <f>H134/DAY(B2)</f>
        <v>110686.795</v>
      </c>
    </row>
    <row r="135" spans="1:15" ht="27.75">
      <c r="A135" s="907" t="s">
        <v>196</v>
      </c>
      <c r="B135" s="908"/>
      <c r="C135" s="331"/>
      <c r="D135" s="151"/>
      <c r="E135" s="95"/>
      <c r="F135" s="112"/>
      <c r="G135" s="112">
        <f>SUM(G128:G134)</f>
        <v>3127.8800000000065</v>
      </c>
      <c r="H135" s="99">
        <f>G135+'5'!H135</f>
        <v>615432.22</v>
      </c>
      <c r="I135" s="327">
        <f>G135-(G35+G49)</f>
        <v>-353.5999999999749</v>
      </c>
      <c r="J135" s="328">
        <f>H135/DAY(B2)</f>
        <v>102572.03666666667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-1574</v>
      </c>
      <c r="I138" s="118"/>
      <c r="J138" s="328">
        <f>H138/DAY(B2)</f>
        <v>-262.33333333333331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-24</v>
      </c>
      <c r="I139" s="118"/>
      <c r="J139" s="328">
        <f>H139/DAY(B2)</f>
        <v>-4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-23.69999999999709</v>
      </c>
      <c r="I140" s="118"/>
      <c r="J140" s="328">
        <f>H140/DAY(B2)</f>
        <v>-3.9499999999995148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-4315.5800000000017</v>
      </c>
      <c r="I141" s="118"/>
      <c r="J141" s="328">
        <f>H141/DAY(B2)</f>
        <v>-719.26333333333366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-1847.0999999999985</v>
      </c>
      <c r="I142" s="140"/>
      <c r="J142" s="328">
        <f>H142/DAY(B2)</f>
        <v>-307.84999999999974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-640.38999999999987</v>
      </c>
      <c r="I143" s="140"/>
      <c r="J143" s="328">
        <f>H143/DAY(B2)</f>
        <v>-106.73166666666664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-5473</v>
      </c>
      <c r="I144" s="140"/>
      <c r="J144" s="328">
        <f>H144/DAY(B2)</f>
        <v>-912.16666666666663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-299.84000000000015</v>
      </c>
      <c r="I145" s="140"/>
      <c r="J145" s="328">
        <f>H145/DAY(B2)</f>
        <v>-49.973333333333358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-9717</v>
      </c>
      <c r="I146" s="140"/>
      <c r="J146" s="328">
        <f>H146/DAY(B2)</f>
        <v>-1619.5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-8894.5200000000186</v>
      </c>
      <c r="I147" s="140"/>
      <c r="J147" s="328">
        <f>H147/DAY(B2)</f>
        <v>-1482.420000000003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-4752.9599999999627</v>
      </c>
      <c r="I148" s="124"/>
      <c r="J148" s="328">
        <f>H148/DAY(B2)</f>
        <v>-792.15999999999383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-11531.2</v>
      </c>
      <c r="I149" s="119"/>
      <c r="J149" s="328">
        <f>H149/DAY(B2)</f>
        <v>-1921.8666666666668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-5491.83</v>
      </c>
      <c r="I150" s="119"/>
      <c r="J150" s="328">
        <f>H150/DAY(B2)</f>
        <v>-915.30499999999995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-5734</v>
      </c>
      <c r="I151" s="119"/>
      <c r="J151" s="328">
        <f>H151/DAY(B2)</f>
        <v>-955.66666666666663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-407</v>
      </c>
      <c r="I152" s="119"/>
      <c r="J152" s="328">
        <f>H152/DAY(B2)</f>
        <v>-67.833333333333329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2619.2100000000023</v>
      </c>
      <c r="H153" s="363"/>
      <c r="I153" s="119">
        <f>G153-(G38+G52)</f>
        <v>932.10000000001628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'5'!F155</f>
        <v>16004.02</v>
      </c>
      <c r="F155" s="374">
        <v>16648</v>
      </c>
      <c r="G155" s="112">
        <f t="shared" ref="G155:G156" si="12">F155-E155</f>
        <v>643.97999999999956</v>
      </c>
      <c r="H155" s="99">
        <f>G155+'5'!H155</f>
        <v>-16297.000000000004</v>
      </c>
      <c r="I155" s="364"/>
      <c r="J155" s="328">
        <f>H155/DAY(B2)</f>
        <v>-2716.1666666666674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-1425</v>
      </c>
      <c r="I156" s="165"/>
      <c r="J156" s="328">
        <f>H156/DAY(B2)</f>
        <v>-237.5</v>
      </c>
    </row>
    <row r="157" spans="1:10" ht="27.75">
      <c r="A157" s="870" t="s">
        <v>364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-900</v>
      </c>
      <c r="I161" s="236"/>
      <c r="J161" s="239">
        <f>H161/DAY(B2)</f>
        <v>-150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-798.39999999999418</v>
      </c>
      <c r="I162" s="236"/>
      <c r="J162" s="239">
        <f>H162/DAY(B2)</f>
        <v>-133.0666666666657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-1136.1000000000058</v>
      </c>
      <c r="I163" s="236"/>
      <c r="J163" s="239">
        <f>H163/DAY(B2)</f>
        <v>-189.35000000000096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-70</v>
      </c>
      <c r="I164" s="236"/>
      <c r="J164" s="239">
        <f>H164/DAY(B2)</f>
        <v>-11.666666666666666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-172.25</v>
      </c>
      <c r="I165" s="236"/>
      <c r="J165" s="239">
        <f>H165/DAY(B2)</f>
        <v>-28.708333333333332</v>
      </c>
    </row>
    <row r="166" spans="1:10" ht="29.25">
      <c r="A166" s="910"/>
      <c r="B166" s="91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-268</v>
      </c>
      <c r="I174" s="155"/>
      <c r="J174" s="178">
        <f>H174/DAY(B2)</f>
        <v>-44.666666666666664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-237</v>
      </c>
      <c r="I175" s="155"/>
      <c r="J175" s="178">
        <f>H175/DAY(B2)</f>
        <v>-39.5</v>
      </c>
    </row>
    <row r="176" spans="1:10" ht="27.7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-505</v>
      </c>
      <c r="I176" s="155"/>
      <c r="J176" s="178">
        <f>H176/DAY(B2)</f>
        <v>-84.166666666666671</v>
      </c>
    </row>
    <row r="177" spans="1:10" ht="27.75">
      <c r="A177" s="868" t="s">
        <v>77</v>
      </c>
      <c r="B177" s="869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-1269</v>
      </c>
      <c r="I178" s="155"/>
      <c r="J178" s="178">
        <f>H178/DAY(B2)</f>
        <v>-211.5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-774</v>
      </c>
      <c r="I179" s="155"/>
      <c r="J179" s="178">
        <f>H179/DAY(B2)</f>
        <v>-129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-177</v>
      </c>
      <c r="I180" s="155"/>
      <c r="J180" s="178">
        <f>H180/DAY(B2)</f>
        <v>-29.5</v>
      </c>
    </row>
    <row r="181" spans="1:10" ht="27.75">
      <c r="A181" s="912" t="s">
        <v>108</v>
      </c>
      <c r="B181" s="913"/>
      <c r="C181" s="333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-2220</v>
      </c>
      <c r="I181" s="155"/>
      <c r="J181" s="178">
        <f>H181/DAY(B2)</f>
        <v>-370</v>
      </c>
    </row>
    <row r="182" spans="1:10" ht="27.75">
      <c r="A182" s="868" t="s">
        <v>213</v>
      </c>
      <c r="B182" s="869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-298</v>
      </c>
      <c r="I183" s="155"/>
      <c r="J183" s="178">
        <f>H183/DAY(B2)</f>
        <v>-49.666666666666664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-173</v>
      </c>
      <c r="I184" s="155"/>
      <c r="J184" s="178">
        <f>H184/DAY(B2)</f>
        <v>-28.833333333333332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334"/>
      <c r="D186" s="229"/>
      <c r="E186" s="95"/>
      <c r="F186" s="157"/>
      <c r="G186" s="157">
        <f>SUM(G183:G185)</f>
        <v>17</v>
      </c>
      <c r="H186" s="99">
        <f>G186+'5'!H186</f>
        <v>-471</v>
      </c>
      <c r="I186" s="157"/>
      <c r="J186" s="178">
        <f>H186/DAY(B2)</f>
        <v>-78.5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125</v>
      </c>
      <c r="H187" s="99">
        <f>G187+'5'!H187</f>
        <v>-3362</v>
      </c>
      <c r="I187" s="158"/>
      <c r="J187" s="179">
        <f>H187/DAY(B2)</f>
        <v>-560.33333333333337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119</v>
      </c>
      <c r="H188" s="99">
        <f>G188+'5'!H188</f>
        <v>-3290</v>
      </c>
      <c r="I188" s="158"/>
      <c r="J188" s="179">
        <f>H188/DAY(B2)</f>
        <v>-548.33333333333337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97</v>
      </c>
      <c r="H189" s="99">
        <f>G189+'5'!H189</f>
        <v>-2220</v>
      </c>
      <c r="I189" s="158"/>
      <c r="J189" s="179">
        <f>H189/DAY(B2)</f>
        <v>-370</v>
      </c>
    </row>
    <row r="190" spans="1:10" ht="27.7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R270"/>
  <sheetViews>
    <sheetView view="pageBreakPreview" topLeftCell="A4" zoomScale="60" zoomScaleNormal="77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44568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-418145.23</v>
      </c>
      <c r="I7" s="113">
        <f>'1'!I7</f>
        <v>12000</v>
      </c>
      <c r="J7" s="175">
        <f>H7/DAY(B2)</f>
        <v>-59735.032857142854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-426269.15</v>
      </c>
      <c r="I8" s="116"/>
      <c r="J8" s="175">
        <f>H8/DAY(B2)</f>
        <v>-60895.592857142859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2063101.1500000001</v>
      </c>
      <c r="I9" s="124">
        <f>I7-J7</f>
        <v>71735.032857142854</v>
      </c>
      <c r="J9" s="175">
        <f>H9/DAY(B2)</f>
        <v>294728.73571428575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483694.03</v>
      </c>
      <c r="I10" s="282"/>
      <c r="J10" s="175">
        <f>H10/DAY(B2)</f>
        <v>69099.147142857153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-170</v>
      </c>
      <c r="I11" s="282"/>
      <c r="J11" s="175">
        <f>H11/DAY(B2)</f>
        <v>-24.285714285714285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2529870.75</v>
      </c>
      <c r="I13" s="120">
        <f>G7-G13</f>
        <v>542</v>
      </c>
      <c r="J13" s="175">
        <f>H13/DAY(B2)</f>
        <v>361410.10714285716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-21869.766999999993</v>
      </c>
      <c r="I15" s="113">
        <f>'1'!I15</f>
        <v>800</v>
      </c>
      <c r="J15" s="175">
        <f>H15/DAY(B2)</f>
        <v>-3124.2524285714276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3924.2524285714276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'6'!F18</f>
        <v>12</v>
      </c>
      <c r="F18" s="122">
        <v>16</v>
      </c>
      <c r="G18" s="119">
        <f>F18*10</f>
        <v>160</v>
      </c>
      <c r="H18" s="99">
        <f>G18+'6'!H18</f>
        <v>1200</v>
      </c>
      <c r="I18" s="113">
        <f>'1'!I18</f>
        <v>65</v>
      </c>
      <c r="J18" s="175">
        <f>H18/DAY(B2)</f>
        <v>171.42857142857142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-1302</v>
      </c>
      <c r="I19" s="335"/>
      <c r="J19" s="175">
        <f>H19/DAY(B2)</f>
        <v>-186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-102</v>
      </c>
      <c r="I20" s="336">
        <f>I18-J20</f>
        <v>79.571428571428569</v>
      </c>
      <c r="J20" s="175">
        <f>H20/DAY(B2)</f>
        <v>-14.571428571428571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-3836422.3500000006</v>
      </c>
      <c r="I27" s="138"/>
      <c r="J27" s="175">
        <f>H27/DAY(B2)</f>
        <v>-548060.33571428584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-1137227.8839999996</v>
      </c>
      <c r="I28" s="140"/>
      <c r="J28" s="175">
        <f>H28/DAY(B2)</f>
        <v>-162461.12628571424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-190092</v>
      </c>
      <c r="I30" s="140"/>
      <c r="J30" s="175">
        <f>H30/DAY(B2)</f>
        <v>-27156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96000</v>
      </c>
      <c r="I31" s="140"/>
      <c r="J31" s="175">
        <f>H31/DAY(B2)</f>
        <v>13714.285714285714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-5067742.2340000002</v>
      </c>
      <c r="I32" s="144"/>
      <c r="J32" s="175">
        <f>H32/DAY(B2)</f>
        <v>-723963.17628571426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134241.02000000002</v>
      </c>
      <c r="I35" s="95"/>
      <c r="J35" s="175">
        <f>H35/DAY(B2)</f>
        <v>19177.288571428573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-16229.739999999998</v>
      </c>
      <c r="I36" s="95"/>
      <c r="J36" s="175">
        <f>H36/DAY(B2)</f>
        <v>-2318.5342857142855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170645.91000000003</v>
      </c>
      <c r="I37" s="95"/>
      <c r="J37" s="175">
        <f>H37/DAY(B2)</f>
        <v>24377.987142857146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205590.57</v>
      </c>
      <c r="I38" s="95"/>
      <c r="J38" s="175">
        <f>H38/DAY(B2)</f>
        <v>29370.08142857143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370902.71</v>
      </c>
      <c r="I39" s="95"/>
      <c r="J39" s="175">
        <f>H39/DAY(B2)</f>
        <v>52986.101428571434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7928.739999999998</v>
      </c>
      <c r="I40" s="95"/>
      <c r="J40" s="175">
        <f>H40/DAY(B2)</f>
        <v>1132.6771428571426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-26321.14</v>
      </c>
      <c r="I42" s="95"/>
      <c r="J42" s="175">
        <f>H42/DAY(B2)</f>
        <v>-3760.1628571428569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-50639.600000000006</v>
      </c>
      <c r="I43" s="95"/>
      <c r="J43" s="175">
        <f>H43/DAY(B2)</f>
        <v>-7234.2285714285726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796118.47</v>
      </c>
      <c r="I47" s="95"/>
      <c r="J47" s="175">
        <f>H47/DAY(B2)</f>
        <v>113731.20999999999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258744.81</v>
      </c>
      <c r="I49" s="95"/>
      <c r="J49" s="175">
        <f>H49/DAY(B2)</f>
        <v>36963.544285714284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-24284.629999999997</v>
      </c>
      <c r="I50" s="95"/>
      <c r="J50" s="175">
        <f>H50/DAY(B2)</f>
        <v>-3469.2328571428566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-351.34000000000015</v>
      </c>
      <c r="I54" s="95"/>
      <c r="J54" s="175">
        <f>H54/DAY(B2)</f>
        <v>-50.191428571428595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-49087.11</v>
      </c>
      <c r="I55" s="95"/>
      <c r="J55" s="175">
        <f>H55/DAY(B2)</f>
        <v>-7012.4442857142858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88482.420000000013</v>
      </c>
      <c r="I58" s="95"/>
      <c r="J58" s="175">
        <f>H58/DAY(B2)</f>
        <v>12640.345714285717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273504.15000000002</v>
      </c>
      <c r="I59" s="95">
        <f>G7-G60</f>
        <v>1806</v>
      </c>
      <c r="J59" s="175">
        <f>H59/DAY(B2)</f>
        <v>39072.021428571432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1069622.6199999999</v>
      </c>
      <c r="I60" s="95">
        <f>G13-G60</f>
        <v>1264</v>
      </c>
      <c r="J60" s="175">
        <f>H60/DAY(B2)</f>
        <v>152803.23142857142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-1949</v>
      </c>
      <c r="I62" s="118"/>
      <c r="J62" s="175">
        <f>H62/DAY(B2)</f>
        <v>-278.42857142857144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-2579</v>
      </c>
      <c r="I63" s="118"/>
      <c r="J63" s="175">
        <f>H63/DAY(B2)</f>
        <v>-368.42857142857144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'6'!F64</f>
        <v>0</v>
      </c>
      <c r="F64" s="122"/>
      <c r="G64" s="112">
        <f>G62+G63</f>
        <v>152</v>
      </c>
      <c r="H64" s="99">
        <f>G64+'6'!H64</f>
        <v>-4528</v>
      </c>
      <c r="I64" s="118"/>
      <c r="J64" s="175">
        <f>H64/DAY(B2)</f>
        <v>-646.85714285714289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-1808</v>
      </c>
      <c r="I65" s="118"/>
      <c r="J65" s="175">
        <f>H65/DAY(B2)</f>
        <v>-258.28571428571428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-384</v>
      </c>
      <c r="I66" s="118"/>
      <c r="J66" s="175">
        <f>H66/DAY(B2)</f>
        <v>-54.857142857142854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-528</v>
      </c>
      <c r="I67" s="118"/>
      <c r="J67" s="175">
        <f>H67/DAY(B2)</f>
        <v>-75.428571428571431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-901</v>
      </c>
      <c r="I68" s="118"/>
      <c r="J68" s="175">
        <f>H68/DAY(B2)</f>
        <v>-128.71428571428572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-236</v>
      </c>
      <c r="I69" s="118"/>
      <c r="J69" s="175">
        <f>H69/DAY(B2)</f>
        <v>-33.714285714285715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-199</v>
      </c>
      <c r="I70" s="118"/>
      <c r="J70" s="175">
        <f>H70/DAY(B2)</f>
        <v>-28.428571428571427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177</v>
      </c>
      <c r="H71" s="99">
        <f>G71+'6'!H71</f>
        <v>-4056</v>
      </c>
      <c r="I71" s="154"/>
      <c r="J71" s="175">
        <f>H71/DAY(B2)</f>
        <v>-579.42857142857144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-7302.1489999999758</v>
      </c>
      <c r="I74" s="154"/>
      <c r="J74" s="175">
        <f>H74/DAY(B2)</f>
        <v>-1043.1641428571395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-2134</v>
      </c>
      <c r="I76" s="154"/>
      <c r="J76" s="175">
        <f>H76/DAY(B2)</f>
        <v>-304.85714285714283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-732.19999999999709</v>
      </c>
      <c r="I77" s="154"/>
      <c r="J77" s="175">
        <f>H77/DAY(B2)</f>
        <v>-104.59999999999958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-23</v>
      </c>
      <c r="I78" s="118"/>
      <c r="J78" s="175">
        <f>H78/DAY(B2)</f>
        <v>-3.2857142857142856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-11678.41800000002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-165.44000000000005</v>
      </c>
      <c r="I85" s="118">
        <f>G82+G83+G84+G85</f>
        <v>0</v>
      </c>
      <c r="J85" s="175">
        <f>H85/DAY(B2)</f>
        <v>-23.634285714285721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-410.08000000000175</v>
      </c>
      <c r="I86" s="118"/>
      <c r="J86" s="175">
        <f>H86/DAY(B2)</f>
        <v>-58.582857142857392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5.0000000002910383E-2</v>
      </c>
      <c r="I87" s="118"/>
      <c r="J87" s="175">
        <f>H87/DAY(B2)</f>
        <v>7.1428571432729116E-3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-5.430000000000291</v>
      </c>
      <c r="I88" s="118">
        <f>G86+G87+G88</f>
        <v>24.439999999995052</v>
      </c>
      <c r="J88" s="175">
        <f>H88/DAY(B2)</f>
        <v>-0.77571428571432732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-186.11999999999898</v>
      </c>
      <c r="I89" s="118"/>
      <c r="J89" s="175">
        <f>H89/DAY(B2)</f>
        <v>-26.588571428571282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-95.320000000006985</v>
      </c>
      <c r="I90" s="118">
        <f>G89+G90</f>
        <v>15</v>
      </c>
      <c r="J90" s="175">
        <f>H90/DAY(B2)</f>
        <v>-13.617142857143856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-24.769999999999982</v>
      </c>
      <c r="I91" s="165"/>
      <c r="J91" s="175">
        <f>H91/DAY(B2)</f>
        <v>-3.538571428571426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-233.72999999999956</v>
      </c>
      <c r="I92" s="165"/>
      <c r="J92" s="175">
        <f>H92/DAY(B2)</f>
        <v>-33.389999999999937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5773</v>
      </c>
      <c r="H94" s="99">
        <f>G94+'6'!H94</f>
        <v>342346.23</v>
      </c>
      <c r="I94" s="118"/>
      <c r="J94" s="175">
        <f>H94/DAY(B2)</f>
        <v>48906.604285714282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0.29110987847309766</v>
      </c>
      <c r="H95" s="99">
        <f>G95+'6'!H95</f>
        <v>1.0707885285539485</v>
      </c>
      <c r="I95" s="167"/>
      <c r="J95" s="175">
        <f>H95/DAY(B2)</f>
        <v>0.15296978979342121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3369</v>
      </c>
      <c r="H96" s="99">
        <f>G96+'6'!H96</f>
        <v>-75408.25</v>
      </c>
      <c r="I96" s="118"/>
      <c r="J96" s="175">
        <f>H96/DAY(B2)</f>
        <v>-10772.607142857143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0.16988553275175231</v>
      </c>
      <c r="H97" s="99">
        <f>G97+'6'!H97</f>
        <v>1.2621045012097325</v>
      </c>
      <c r="I97" s="167"/>
      <c r="J97" s="175">
        <f>H97/DAY(B2)</f>
        <v>0.18030064302996179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2675</v>
      </c>
      <c r="H98" s="99">
        <f>G98+'6'!H98</f>
        <v>370902.71</v>
      </c>
      <c r="I98" s="168"/>
      <c r="J98" s="175">
        <f>H98/DAY(B2)</f>
        <v>52986.101428571434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0.13488981897029903</v>
      </c>
      <c r="H99" s="99">
        <f>G99+'6'!H99</f>
        <v>0.17236771311660712</v>
      </c>
      <c r="I99" s="168"/>
      <c r="J99" s="175">
        <f>H99/DAY(B2)</f>
        <v>2.4623959016658158E-2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1668</v>
      </c>
      <c r="H100" s="99">
        <f>G100+'6'!H100</f>
        <v>205590.57</v>
      </c>
      <c r="I100" s="118"/>
      <c r="J100" s="175">
        <f>H100/DAY(B2)</f>
        <v>29370.08142857143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0.16475225692783146</v>
      </c>
      <c r="I101" s="168"/>
      <c r="J101" s="175">
        <f>H101/DAY(B2)</f>
        <v>2.3536036703975922E-2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1741</v>
      </c>
      <c r="H102" s="99">
        <f>G102+'6'!H102</f>
        <v>-40514.369999999995</v>
      </c>
      <c r="I102" s="168"/>
      <c r="J102" s="175">
        <f>H102/DAY(B2)</f>
        <v>-5787.7671428571421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0.6610967831593354</v>
      </c>
      <c r="I103" s="118"/>
      <c r="J103" s="175">
        <f>H103/DAY(B2)</f>
        <v>9.4442397594190777E-2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1524</v>
      </c>
      <c r="H104" s="99">
        <f>G104+'6'!H104</f>
        <v>170645.91000000003</v>
      </c>
      <c r="I104" s="118"/>
      <c r="J104" s="175">
        <f>H104/DAY(B2)</f>
        <v>24377.987142857146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0.17784008604167462</v>
      </c>
      <c r="I105" s="187"/>
      <c r="J105" s="188">
        <f>H105/DAY(B2)</f>
        <v>2.5405726577382087E-2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-1858</v>
      </c>
      <c r="I112" s="165"/>
      <c r="J112" s="328">
        <f>H112/DAY(B2)</f>
        <v>-265.42857142857144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-11049.89</v>
      </c>
      <c r="I113" s="165"/>
      <c r="J113" s="328">
        <f>H113/DAY(B2)</f>
        <v>-1578.5557142857142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-6428</v>
      </c>
      <c r="I114" s="165"/>
      <c r="J114" s="328">
        <f>H114/DAY(B2)</f>
        <v>-918.28571428571433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-234.64999999999964</v>
      </c>
      <c r="I115" s="165"/>
      <c r="J115" s="328">
        <f>H115/DAY(B2)</f>
        <v>-33.521428571428523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-559.94999999999982</v>
      </c>
      <c r="I117" s="165"/>
      <c r="J117" s="328">
        <f>H117/DAY(B2)</f>
        <v>-79.992857142857119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-7927.3099999999977</v>
      </c>
      <c r="I118" s="165"/>
      <c r="J118" s="328">
        <f>H118/DAY(B2)</f>
        <v>-1132.4728571428568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-9995.5499999999884</v>
      </c>
      <c r="I119" s="165"/>
      <c r="J119" s="328">
        <f>H119/DAY(B2)</f>
        <v>-1427.9357142857127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-9928.61</v>
      </c>
      <c r="I120" s="165"/>
      <c r="J120" s="328">
        <f>H120/DAY(B2)</f>
        <v>-1418.3728571428571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-16216.429999999993</v>
      </c>
      <c r="I121" s="165"/>
      <c r="J121" s="328">
        <f>H121/DAY(B2)</f>
        <v>-2316.6328571428562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-4504.179999999993</v>
      </c>
      <c r="I122" s="165"/>
      <c r="J122" s="328">
        <f>H122/DAY(B2)</f>
        <v>-643.45428571428477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-6628.9500000000116</v>
      </c>
      <c r="I123" s="165"/>
      <c r="J123" s="328">
        <f>H123/DAY(B2)</f>
        <v>-946.99285714285884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8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3607</v>
      </c>
      <c r="H125" s="156"/>
      <c r="I125" s="327">
        <f>G125-(G39+G53)</f>
        <v>932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-7402</v>
      </c>
      <c r="I128" s="165"/>
      <c r="J128" s="328">
        <f>H128/DAY(B2)</f>
        <v>-1057.4285714285713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-5050.869999999999</v>
      </c>
      <c r="I129" s="165"/>
      <c r="J129" s="328">
        <f>H129/DAY(B2)</f>
        <v>-721.55285714285696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-12527</v>
      </c>
      <c r="I130" s="165"/>
      <c r="J130" s="328">
        <f>H130/DAY(B2)</f>
        <v>-1789.5714285714287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-1604.6800000000003</v>
      </c>
      <c r="I131" s="165"/>
      <c r="J131" s="328">
        <f>H131/DAY(B2)</f>
        <v>-229.24000000000004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-7625.3000000000029</v>
      </c>
      <c r="I132" s="165"/>
      <c r="J132" s="328">
        <f>H132/DAY(B2)</f>
        <v>-1089.3285714285719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-11881.699999999997</v>
      </c>
      <c r="I133" s="165"/>
      <c r="J133" s="328">
        <f>H133/DAY(B2)</f>
        <v>-1697.3857142857139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664768.77</v>
      </c>
      <c r="I134" s="165"/>
      <c r="J134" s="328">
        <f>H134/DAY(B2)</f>
        <v>94966.967142857146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3245</v>
      </c>
      <c r="H135" s="99">
        <f>G135+'6'!H135</f>
        <v>618677.22</v>
      </c>
      <c r="I135" s="327">
        <f>G135-(G35+G49)</f>
        <v>-282</v>
      </c>
      <c r="J135" s="328" t="e">
        <f t="shared" ref="J135" si="11">H135/DAY(B54)</f>
        <v>#DIV/0!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-1500</v>
      </c>
      <c r="I138" s="118"/>
      <c r="J138" s="328">
        <f>H138/DAY(B2)</f>
        <v>-214.28571428571428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-24</v>
      </c>
      <c r="I139" s="118"/>
      <c r="J139" s="328">
        <f>H139/DAY(B2)</f>
        <v>-3.4285714285714284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-24</v>
      </c>
      <c r="I140" s="118"/>
      <c r="J140" s="328">
        <f>H140/DAY(B2)</f>
        <v>-3.4285714285714284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-4143.5800000000017</v>
      </c>
      <c r="I141" s="118"/>
      <c r="J141" s="328">
        <f>H141/DAY(B2)</f>
        <v>-591.94000000000028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-1781.0999999999985</v>
      </c>
      <c r="I142" s="140"/>
      <c r="J142" s="328">
        <f>H142/DAY(B2)</f>
        <v>-254.44285714285692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-615.38999999999987</v>
      </c>
      <c r="I143" s="140"/>
      <c r="J143" s="328">
        <f>H143/DAY(B2)</f>
        <v>-87.912857142857121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-5243</v>
      </c>
      <c r="I144" s="140"/>
      <c r="J144" s="328">
        <f>H144/DAY(B2)</f>
        <v>-749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-282.84000000000015</v>
      </c>
      <c r="I145" s="140"/>
      <c r="J145" s="328">
        <f>H145/DAY(B2)</f>
        <v>-40.405714285714303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-9307</v>
      </c>
      <c r="I146" s="140"/>
      <c r="J146" s="328">
        <f>H146/DAY(B2)</f>
        <v>-1329.5714285714287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-8526.5200000000186</v>
      </c>
      <c r="I147" s="140"/>
      <c r="J147" s="328">
        <f>H147/DAY(B2)</f>
        <v>-1218.0742857142884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-4505.9599999999627</v>
      </c>
      <c r="I148" s="124"/>
      <c r="J148" s="328">
        <f>H148/DAY(B2)</f>
        <v>-643.70857142856607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-11077.2</v>
      </c>
      <c r="I149" s="119"/>
      <c r="J149" s="328">
        <f>H149/DAY(B2)</f>
        <v>-1582.457142857143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-5257.83</v>
      </c>
      <c r="I150" s="119"/>
      <c r="J150" s="328">
        <f>H150/DAY(B2)</f>
        <v>-751.11857142857139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-5519</v>
      </c>
      <c r="I151" s="119"/>
      <c r="J151" s="328">
        <f>H151/DAY(B2)</f>
        <v>-788.42857142857144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-391</v>
      </c>
      <c r="I152" s="119"/>
      <c r="J152" s="328">
        <f>H152/DAY(B2)</f>
        <v>-55.857142857142854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2527.6999999999971</v>
      </c>
      <c r="H153" s="363"/>
      <c r="I153" s="119" t="s">
        <v>207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'6'!F155</f>
        <v>16648</v>
      </c>
      <c r="F155" s="374">
        <v>17300</v>
      </c>
      <c r="G155" s="112">
        <f t="shared" ref="G155:G156" si="13">F155-E155</f>
        <v>652</v>
      </c>
      <c r="H155" s="99">
        <f>G155+'6'!H155</f>
        <v>-15645.000000000004</v>
      </c>
      <c r="I155" s="364"/>
      <c r="J155" s="328">
        <f>H155/DAY(B2)</f>
        <v>-2235.0000000000005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-1378</v>
      </c>
      <c r="I156" s="165"/>
      <c r="J156" s="328">
        <f>H156/DAY(B2)</f>
        <v>-196.85714285714286</v>
      </c>
    </row>
    <row r="157" spans="1:10" ht="27.75">
      <c r="A157" s="870" t="s">
        <v>364</v>
      </c>
      <c r="B157" s="871"/>
      <c r="C157" s="872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-834.55999999999767</v>
      </c>
      <c r="I161" s="236"/>
      <c r="J161" s="239">
        <f>H161/DAY(B2)</f>
        <v>-119.22285714285681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-764.39999999999418</v>
      </c>
      <c r="I162" s="236"/>
      <c r="J162" s="239">
        <f>H162/DAY(B2)</f>
        <v>-109.19999999999916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-1091.1000000000058</v>
      </c>
      <c r="I163" s="236"/>
      <c r="J163" s="239">
        <f>H163/DAY(B2)</f>
        <v>-155.87142857142939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-67</v>
      </c>
      <c r="I164" s="236"/>
      <c r="J164" s="239">
        <f>H164/DAY(B2)</f>
        <v>-9.5714285714285712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-166.25</v>
      </c>
      <c r="I165" s="236"/>
      <c r="J165" s="239">
        <f>H165/DAY(B2)</f>
        <v>-23.75</v>
      </c>
    </row>
    <row r="166" spans="1:10" ht="25.5" customHeight="1">
      <c r="A166" s="910"/>
      <c r="B166" s="91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-257</v>
      </c>
      <c r="I174" s="155"/>
      <c r="J174" s="178">
        <f>H174/DAY(B2)</f>
        <v>-36.714285714285715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-226</v>
      </c>
      <c r="I175" s="155"/>
      <c r="J175" s="178">
        <f>H175/DAY(B2)</f>
        <v>-32.285714285714285</v>
      </c>
    </row>
    <row r="176" spans="1:10" ht="27.7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22</v>
      </c>
      <c r="H176" s="99">
        <f>G176+'6'!H176</f>
        <v>-483</v>
      </c>
      <c r="I176" s="155"/>
      <c r="J176" s="178">
        <f>H176/DAY(B2)</f>
        <v>-69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-1207</v>
      </c>
      <c r="I178" s="155"/>
      <c r="J178" s="178">
        <f>H178/DAY(B2)</f>
        <v>-172.42857142857142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-765</v>
      </c>
      <c r="I179" s="155"/>
      <c r="J179" s="178">
        <f>H179/DAY(B2)</f>
        <v>-109.28571428571429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-174</v>
      </c>
      <c r="I180" s="155"/>
      <c r="J180" s="178">
        <f>H180/DAY(B2)</f>
        <v>-24.857142857142858</v>
      </c>
    </row>
    <row r="181" spans="1:10" ht="27.7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74</v>
      </c>
      <c r="H181" s="99">
        <f>G181+'6'!H181</f>
        <v>-2146</v>
      </c>
      <c r="I181" s="155"/>
      <c r="J181" s="178">
        <f>H181/DAY(B2)</f>
        <v>-306.57142857142856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-290</v>
      </c>
      <c r="I183" s="155"/>
      <c r="J183" s="178">
        <f>H183/DAY(B2)</f>
        <v>-41.428571428571431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-169</v>
      </c>
      <c r="I184" s="155"/>
      <c r="J184" s="178">
        <f>H184/DAY(B2)</f>
        <v>-24.142857142857142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12</v>
      </c>
      <c r="H186" s="99">
        <f>G186+'6'!H186</f>
        <v>-459</v>
      </c>
      <c r="I186" s="157"/>
      <c r="J186" s="178">
        <f>H186/DAY(B2)</f>
        <v>-65.571428571428569</v>
      </c>
    </row>
    <row r="187" spans="1:10" ht="27.75">
      <c r="A187" s="916" t="s">
        <v>217</v>
      </c>
      <c r="B187" s="917"/>
      <c r="C187" s="333"/>
      <c r="D187" s="228" t="s">
        <v>142</v>
      </c>
      <c r="E187" s="95"/>
      <c r="F187" s="159"/>
      <c r="G187" s="460">
        <f>G62+G19</f>
        <v>111</v>
      </c>
      <c r="H187" s="99">
        <f>G187+'6'!H187</f>
        <v>-3251</v>
      </c>
      <c r="I187" s="158"/>
      <c r="J187" s="179">
        <f>H187/DAY(B2)</f>
        <v>-464.42857142857144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135</v>
      </c>
      <c r="H188" s="99">
        <f>G188+'6'!H188</f>
        <v>-3155</v>
      </c>
      <c r="I188" s="158"/>
      <c r="J188" s="179">
        <f>H188/DAY(B2)</f>
        <v>-450.71428571428572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74</v>
      </c>
      <c r="H189" s="99">
        <f>G189+'6'!H189</f>
        <v>-2146</v>
      </c>
      <c r="I189" s="158"/>
      <c r="J189" s="179">
        <f>H189/DAY(B2)</f>
        <v>-306.57142857142856</v>
      </c>
    </row>
    <row r="190" spans="1:10" ht="27.7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-398913.23</v>
      </c>
      <c r="I7" s="113">
        <f>'1'!I7</f>
        <v>12000</v>
      </c>
      <c r="J7" s="175">
        <f>H7/DAY(B2)</f>
        <v>-49864.153749999998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-406622.15</v>
      </c>
      <c r="I8" s="116"/>
      <c r="J8" s="175">
        <f>H8/DAY(B2)</f>
        <v>-50827.768750000003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2075027.1500000001</v>
      </c>
      <c r="I9" s="124">
        <f>I7-J7</f>
        <v>61864.153749999998</v>
      </c>
      <c r="J9" s="175">
        <f>H9/DAY(B2)</f>
        <v>259378.39375000002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490473.03</v>
      </c>
      <c r="I10" s="282"/>
      <c r="J10" s="175">
        <f>H10/DAY(B2)</f>
        <v>61309.128750000003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-170</v>
      </c>
      <c r="I11" s="282"/>
      <c r="J11" s="175">
        <f>H11/DAY(B2)</f>
        <v>-21.25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2548575.75</v>
      </c>
      <c r="I13" s="120">
        <f>G7-G13</f>
        <v>527</v>
      </c>
      <c r="J13" s="175">
        <f>H13/DAY(B2)</f>
        <v>318571.96875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-20944.766999999993</v>
      </c>
      <c r="I15" s="113">
        <f>'1'!I15</f>
        <v>800</v>
      </c>
      <c r="J15" s="175">
        <f>H15/DAY(B2)</f>
        <v>-2618.0958749999991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3418.0958749999991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1360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-1251</v>
      </c>
      <c r="I19" s="335"/>
      <c r="J19" s="175">
        <f>H19/DAY(B2)</f>
        <v>-156.375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109</v>
      </c>
      <c r="I20" s="336">
        <f>I18-J20</f>
        <v>51.375</v>
      </c>
      <c r="J20" s="175">
        <f>H20/DAY(B2)</f>
        <v>13.625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-3659599.3500000006</v>
      </c>
      <c r="I27" s="138"/>
      <c r="J27" s="175">
        <f>H27/DAY(B2)</f>
        <v>-457449.91875000007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-1089127.8839999996</v>
      </c>
      <c r="I28" s="140"/>
      <c r="J28" s="175">
        <f>H28/DAY(B2)</f>
        <v>-136140.98549999995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-182646</v>
      </c>
      <c r="I30" s="140"/>
      <c r="J30" s="175">
        <f>H30/DAY(B2)</f>
        <v>-22830.75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108800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-4822573.2340000002</v>
      </c>
      <c r="I32" s="144"/>
      <c r="J32" s="175">
        <f>H32/DAY(B2)</f>
        <v>-602821.65425000002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136037.02000000002</v>
      </c>
      <c r="I35" s="95"/>
      <c r="J35" s="175">
        <f>H35/DAY(B2)</f>
        <v>17004.627500000002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-15487.739999999998</v>
      </c>
      <c r="I36" s="95"/>
      <c r="J36" s="175">
        <f>H36/DAY(B2)</f>
        <v>-1935.9674999999997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172179.91000000003</v>
      </c>
      <c r="I37" s="95"/>
      <c r="J37" s="175">
        <f>H37/DAY(B2)</f>
        <v>21522.488750000004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207305.57</v>
      </c>
      <c r="I38" s="95"/>
      <c r="J38" s="175">
        <f>H38/DAY(B2)</f>
        <v>25913.196250000001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373587.71</v>
      </c>
      <c r="I39" s="95"/>
      <c r="J39" s="175">
        <f>H39/DAY(B2)</f>
        <v>46698.463750000003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8490.739999999998</v>
      </c>
      <c r="I40" s="95"/>
      <c r="J40" s="175">
        <f>H40/DAY(B2)</f>
        <v>1061.3424999999997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-26321.14</v>
      </c>
      <c r="I42" s="95"/>
      <c r="J42" s="175">
        <f>H42/DAY(B2)</f>
        <v>-3290.1424999999999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-48469.600000000006</v>
      </c>
      <c r="I43" s="95"/>
      <c r="J43" s="175">
        <f>H43/DAY(B2)</f>
        <v>-6058.7000000000007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807322.47</v>
      </c>
      <c r="I47" s="95"/>
      <c r="J47" s="175">
        <f>H47/DAY(B2)</f>
        <v>100915.30875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260364.81</v>
      </c>
      <c r="I49" s="95"/>
      <c r="J49" s="175">
        <f>H49/DAY(B2)</f>
        <v>32545.60125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-23310.629999999997</v>
      </c>
      <c r="I50" s="95"/>
      <c r="J50" s="175">
        <f>H50/DAY(B2)</f>
        <v>-2913.8287499999997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114.65999999999985</v>
      </c>
      <c r="I54" s="95"/>
      <c r="J54" s="175">
        <f>H54/DAY(B2)</f>
        <v>14.332499999999982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-45897.11</v>
      </c>
      <c r="I55" s="95"/>
      <c r="J55" s="175">
        <f>H55/DAY(B2)</f>
        <v>-5737.1387500000001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88663.420000000013</v>
      </c>
      <c r="I58" s="95"/>
      <c r="J58" s="175">
        <f>H58/DAY(B2)</f>
        <v>11082.927500000002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279935.15000000002</v>
      </c>
      <c r="I59" s="95">
        <f>G7-G60</f>
        <v>1597</v>
      </c>
      <c r="J59" s="175">
        <f>H59/DAY(B2)</f>
        <v>34991.893750000003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1087257.6199999999</v>
      </c>
      <c r="I60" s="95">
        <f>G13-G60</f>
        <v>1070</v>
      </c>
      <c r="J60" s="175">
        <f>H60/DAY(B2)</f>
        <v>135907.20249999998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-1846</v>
      </c>
      <c r="I62" s="118"/>
      <c r="J62" s="175">
        <f>H62/DAY(B2)</f>
        <v>-230.75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-2467</v>
      </c>
      <c r="I63" s="118"/>
      <c r="J63" s="175">
        <f>H63/DAY(B2)</f>
        <v>-308.375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'7'!F64</f>
        <v>0</v>
      </c>
      <c r="F64" s="122"/>
      <c r="G64" s="112">
        <f>G62+G63</f>
        <v>215</v>
      </c>
      <c r="H64" s="99">
        <f>G64+'7'!H64</f>
        <v>-4313</v>
      </c>
      <c r="I64" s="118"/>
      <c r="J64" s="175">
        <f>H64/DAY(B2)</f>
        <v>-539.125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-1716</v>
      </c>
      <c r="I65" s="118"/>
      <c r="J65" s="175">
        <f>H65/DAY(B2)</f>
        <v>-214.5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-364</v>
      </c>
      <c r="I66" s="118"/>
      <c r="J66" s="175">
        <f>H66/DAY(B2)</f>
        <v>-45.5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-507</v>
      </c>
      <c r="I67" s="118"/>
      <c r="J67" s="175">
        <f>H67/DAY(B2)</f>
        <v>-63.375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-871</v>
      </c>
      <c r="I68" s="118"/>
      <c r="J68" s="175">
        <f>H68/DAY(B2)</f>
        <v>-108.875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-230</v>
      </c>
      <c r="I69" s="118"/>
      <c r="J69" s="175">
        <f>H69/DAY(B2)</f>
        <v>-28.75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-191</v>
      </c>
      <c r="I70" s="118"/>
      <c r="J70" s="175">
        <f>H70/DAY(B2)</f>
        <v>-23.875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177</v>
      </c>
      <c r="H71" s="99">
        <f>G71+'7'!H71</f>
        <v>-3879</v>
      </c>
      <c r="I71" s="154"/>
      <c r="J71" s="175">
        <f>H71/DAY(B2)</f>
        <v>-484.875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-6996.1489999999758</v>
      </c>
      <c r="I74" s="154"/>
      <c r="J74" s="175">
        <f>H74/DAY(B2)</f>
        <v>-874.51862499999697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-2047</v>
      </c>
      <c r="I76" s="154"/>
      <c r="J76" s="175">
        <f>H76/DAY(B2)</f>
        <v>-255.875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-708.19999999999709</v>
      </c>
      <c r="I77" s="154"/>
      <c r="J77" s="175">
        <f>H77/DAY(B2)</f>
        <v>-88.524999999999636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-23</v>
      </c>
      <c r="I78" s="118"/>
      <c r="J78" s="175">
        <f>H78/DAY(B2)</f>
        <v>-2.875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-11170.41800000002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-165.44000000000005</v>
      </c>
      <c r="I85" s="118">
        <f>G82+G83+G84+G85</f>
        <v>0</v>
      </c>
      <c r="J85" s="175">
        <f>H85/DAY(B2)</f>
        <v>-20.680000000000007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-386</v>
      </c>
      <c r="I86" s="118"/>
      <c r="J86" s="175">
        <f>H86/DAY(B2)</f>
        <v>-48.25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5.0000000002910383E-2</v>
      </c>
      <c r="I87" s="118"/>
      <c r="J87" s="175">
        <f>H87/DAY(B2)</f>
        <v>6.2500000003637979E-3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-5.430000000000291</v>
      </c>
      <c r="I88" s="118">
        <f>G86+G87+G88</f>
        <v>24.080000000001746</v>
      </c>
      <c r="J88" s="175">
        <f>H88/DAY(B2)</f>
        <v>-0.67875000000003638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-177.11999999999898</v>
      </c>
      <c r="I89" s="118"/>
      <c r="J89" s="175">
        <f>H89/DAY(B2)</f>
        <v>-22.139999999999873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-91.320000000006985</v>
      </c>
      <c r="I90" s="118">
        <f>G89+G90</f>
        <v>13</v>
      </c>
      <c r="J90" s="175">
        <f>H90/DAY(B2)</f>
        <v>-11.415000000000873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-24.769999999999982</v>
      </c>
      <c r="I91" s="165"/>
      <c r="J91" s="175">
        <f>H91/DAY(B2)</f>
        <v>-3.0962499999999977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-223.06999999999971</v>
      </c>
      <c r="I92" s="165"/>
      <c r="J92" s="175">
        <f>H92/DAY(B2)</f>
        <v>-27.883749999999964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5586</v>
      </c>
      <c r="H94" s="99">
        <f>G94+'7'!H94</f>
        <v>347932.23</v>
      </c>
      <c r="I94" s="118"/>
      <c r="J94" s="175">
        <f>H94/DAY(B2)</f>
        <v>43491.528749999998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0.29045341098169719</v>
      </c>
      <c r="H95" s="99">
        <f>G95+'7'!H95</f>
        <v>1.3612419395356457</v>
      </c>
      <c r="I95" s="167"/>
      <c r="J95" s="175">
        <f>H95/DAY(B2)</f>
        <v>0.17015524244195571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3190</v>
      </c>
      <c r="H96" s="99">
        <f>G96+'7'!H96</f>
        <v>-72218.25</v>
      </c>
      <c r="I96" s="118"/>
      <c r="J96" s="175">
        <f>H96/DAY(B2)</f>
        <v>-9027.28125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0.16586938435940099</v>
      </c>
      <c r="H97" s="99">
        <f>G97+'7'!H97</f>
        <v>1.4279738855691335</v>
      </c>
      <c r="I97" s="167"/>
      <c r="J97" s="175">
        <f>H97/DAY(B2)</f>
        <v>0.17849673569614169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2685</v>
      </c>
      <c r="H98" s="99">
        <f>G98+'7'!H98</f>
        <v>373587.71</v>
      </c>
      <c r="I98" s="168"/>
      <c r="J98" s="175">
        <f>H98/DAY(B2)</f>
        <v>46698.463750000003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0.13961106489184691</v>
      </c>
      <c r="H99" s="99">
        <f>G99+'7'!H99</f>
        <v>0.31197877800845403</v>
      </c>
      <c r="I99" s="168"/>
      <c r="J99" s="175">
        <f>H99/DAY(B2)</f>
        <v>3.8997347251056753E-2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1715</v>
      </c>
      <c r="H100" s="99">
        <f>G100+'7'!H100</f>
        <v>207305.57</v>
      </c>
      <c r="I100" s="118"/>
      <c r="J100" s="175">
        <f>H100/DAY(B2)</f>
        <v>25913.196250000001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0.25392654977308937</v>
      </c>
      <c r="I101" s="168"/>
      <c r="J101" s="175">
        <f>H101/DAY(B2)</f>
        <v>3.1740818721636171E-2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1716</v>
      </c>
      <c r="H102" s="99">
        <f>G102+'7'!H102</f>
        <v>-38798.369999999995</v>
      </c>
      <c r="I102" s="168"/>
      <c r="J102" s="175">
        <f>H102/DAY(B2)</f>
        <v>-4849.7962499999994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0.75032307267680631</v>
      </c>
      <c r="I103" s="118"/>
      <c r="J103" s="175">
        <f>H103/DAY(B2)</f>
        <v>9.3790384084600789E-2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1534</v>
      </c>
      <c r="H104" s="99">
        <f>G104+'7'!H104</f>
        <v>172179.91000000003</v>
      </c>
      <c r="I104" s="118"/>
      <c r="J104" s="175">
        <f>H104/DAY(B2)</f>
        <v>21522.488750000004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0.25760298121638342</v>
      </c>
      <c r="I105" s="187"/>
      <c r="J105" s="188">
        <f>H105/DAY(B2)</f>
        <v>3.2200372652047927E-2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-1780</v>
      </c>
      <c r="I112" s="165"/>
      <c r="J112" s="328">
        <f>H112/DAY(B2)</f>
        <v>-222.5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-10598.89</v>
      </c>
      <c r="I113" s="165"/>
      <c r="J113" s="328">
        <f>H113/DAY(B2)</f>
        <v>-1324.8612499999999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-6165</v>
      </c>
      <c r="I114" s="165"/>
      <c r="J114" s="328">
        <f>H114/DAY(B2)</f>
        <v>-770.625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-223.64999999999964</v>
      </c>
      <c r="I115" s="165"/>
      <c r="J115" s="328">
        <f>H115/DAY(B2)</f>
        <v>-27.956249999999955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-537.94999999999982</v>
      </c>
      <c r="I117" s="165"/>
      <c r="J117" s="328">
        <f>H117/DAY(B2)</f>
        <v>-67.243749999999977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-7842.3099999999977</v>
      </c>
      <c r="I118" s="165"/>
      <c r="J118" s="328">
        <f>H118/DAY(B2)</f>
        <v>-980.28874999999971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-9542.5499999999884</v>
      </c>
      <c r="I119" s="165"/>
      <c r="J119" s="328">
        <f>H119/DAY(B2)</f>
        <v>-1192.8187499999985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-9514.61</v>
      </c>
      <c r="I120" s="165"/>
      <c r="J120" s="328">
        <f>H120/DAY(B2)</f>
        <v>-1189.3262500000001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-15507.429999999993</v>
      </c>
      <c r="I121" s="165"/>
      <c r="J121" s="328">
        <f>H121/DAY(B2)</f>
        <v>-1938.4287499999991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-4288.179999999993</v>
      </c>
      <c r="I122" s="165"/>
      <c r="J122" s="328">
        <f>H122/DAY(B2)</f>
        <v>-536.02249999999913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-6309.9500000000116</v>
      </c>
      <c r="I123" s="165"/>
      <c r="J123" s="328">
        <f>H123/DAY(B2)</f>
        <v>-788.74375000000146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3021</v>
      </c>
      <c r="H125" s="156"/>
      <c r="I125" s="327">
        <f>G125-(G39+G53)</f>
        <v>336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-7088</v>
      </c>
      <c r="I128" s="165"/>
      <c r="J128" s="328">
        <f>H128/DAY(B2)</f>
        <v>-886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-4839.869999999999</v>
      </c>
      <c r="I129" s="165"/>
      <c r="J129" s="328">
        <f>H129/DAY(B2)</f>
        <v>-604.98374999999987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-11889</v>
      </c>
      <c r="I130" s="165"/>
      <c r="J130" s="328">
        <f>H130/DAY(B2)</f>
        <v>-1486.125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-1537.6800000000003</v>
      </c>
      <c r="I131" s="165"/>
      <c r="J131" s="328">
        <f>H131/DAY(B2)</f>
        <v>-192.21000000000004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-7117.3000000000029</v>
      </c>
      <c r="I132" s="165"/>
      <c r="J132" s="328">
        <f>H132/DAY(B2)</f>
        <v>-889.66250000000036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-11114.699999999997</v>
      </c>
      <c r="I133" s="165"/>
      <c r="J133" s="328">
        <f>H133/DAY(B2)</f>
        <v>-1389.3374999999996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665381.77</v>
      </c>
      <c r="I134" s="165"/>
      <c r="J134" s="328">
        <f>H134/DAY(B2)</f>
        <v>83172.721250000002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3118</v>
      </c>
      <c r="H135" s="99">
        <f>G135+'7'!H135</f>
        <v>621795.22</v>
      </c>
      <c r="I135" s="327">
        <f>G135-(G35+G49)</f>
        <v>-298</v>
      </c>
      <c r="J135" s="328" t="e">
        <f t="shared" ref="J135" si="11">H135/DAY(B54)</f>
        <v>#DIV/0!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-1436</v>
      </c>
      <c r="I138" s="118"/>
      <c r="J138" s="328">
        <f>H138/DAY(B2)</f>
        <v>-179.5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-24</v>
      </c>
      <c r="I139" s="118"/>
      <c r="J139" s="328">
        <f>H139/DAY(B2)</f>
        <v>-3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-24</v>
      </c>
      <c r="I140" s="118"/>
      <c r="J140" s="328">
        <f>H140/DAY(B2)</f>
        <v>-3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-3971.5800000000017</v>
      </c>
      <c r="I141" s="118"/>
      <c r="J141" s="328">
        <f>H141/DAY(B2)</f>
        <v>-496.44750000000022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'7'!F142</f>
        <v>19503</v>
      </c>
      <c r="F142" s="680">
        <v>19567</v>
      </c>
      <c r="G142" s="112">
        <f t="shared" si="12"/>
        <v>64</v>
      </c>
      <c r="H142" s="99">
        <f>G142+'7'!H142</f>
        <v>-1717.0999999999985</v>
      </c>
      <c r="I142" s="140"/>
      <c r="J142" s="328">
        <f>H142/DAY(B2)</f>
        <v>-214.63749999999982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-587.38999999999987</v>
      </c>
      <c r="I143" s="140"/>
      <c r="J143" s="328">
        <f>H143/DAY(B2)</f>
        <v>-73.423749999999984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-5003</v>
      </c>
      <c r="I144" s="140"/>
      <c r="J144" s="328">
        <f>H144/DAY(B2)</f>
        <v>-625.375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-264.84000000000015</v>
      </c>
      <c r="I145" s="140"/>
      <c r="J145" s="328">
        <f>H145/DAY(B2)</f>
        <v>-33.105000000000018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-8899</v>
      </c>
      <c r="I146" s="140"/>
      <c r="J146" s="328">
        <f>H146/DAY(B2)</f>
        <v>-1112.375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-8168.5200000000186</v>
      </c>
      <c r="I147" s="140"/>
      <c r="J147" s="328">
        <f>H147/DAY(B2)</f>
        <v>-1021.0650000000023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-4240.9599999999627</v>
      </c>
      <c r="I148" s="124"/>
      <c r="J148" s="328">
        <f>H148/DAY(B2)</f>
        <v>-530.11999999999534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-10571.2</v>
      </c>
      <c r="I149" s="119"/>
      <c r="J149" s="328">
        <f>H149/DAY(B2)</f>
        <v>-1321.4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-5039.83</v>
      </c>
      <c r="I150" s="119"/>
      <c r="J150" s="328">
        <f>H150/DAY(B2)</f>
        <v>-629.97874999999999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-5288</v>
      </c>
      <c r="I151" s="119"/>
      <c r="J151" s="328">
        <f>H151/DAY(B2)</f>
        <v>-661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-371</v>
      </c>
      <c r="I152" s="119"/>
      <c r="J152" s="328">
        <f>H152/DAY(B2)</f>
        <v>-46.375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2592</v>
      </c>
      <c r="H153" s="363"/>
      <c r="I153" s="119">
        <f>G153-(G38+G52)</f>
        <v>877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'7'!F155</f>
        <v>17300</v>
      </c>
      <c r="F155" s="374">
        <v>17939</v>
      </c>
      <c r="G155" s="112">
        <f t="shared" ref="G155:G156" si="13">F155-E155</f>
        <v>639</v>
      </c>
      <c r="H155" s="99">
        <f>G155+'7'!H155</f>
        <v>-15006.000000000004</v>
      </c>
      <c r="I155" s="364"/>
      <c r="J155" s="328">
        <f>H155/DAY(B2)</f>
        <v>-1875.7500000000005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-1329</v>
      </c>
      <c r="I156" s="165"/>
      <c r="J156" s="328">
        <f>H156/DAY(B2)</f>
        <v>-166.125</v>
      </c>
    </row>
    <row r="157" spans="1:10" ht="27.75">
      <c r="A157" s="870" t="s">
        <v>364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-828.55999999999767</v>
      </c>
      <c r="I161" s="236"/>
      <c r="J161" s="239">
        <f>H161/DAY(B2)</f>
        <v>-103.56999999999971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-743.39999999999418</v>
      </c>
      <c r="I162" s="236"/>
      <c r="J162" s="239">
        <f>H162/DAY(B2)</f>
        <v>-92.924999999999272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-1065.1000000000058</v>
      </c>
      <c r="I163" s="236"/>
      <c r="J163" s="239">
        <f>H163/DAY(B2)</f>
        <v>-133.13750000000073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-65</v>
      </c>
      <c r="I164" s="236"/>
      <c r="J164" s="239">
        <f>H164/DAY(B2)</f>
        <v>-8.125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1">
        <v>29697</v>
      </c>
      <c r="G165" s="238">
        <f t="shared" si="14"/>
        <v>6</v>
      </c>
      <c r="H165" s="99">
        <f>G165+'7'!H165</f>
        <v>-160.25</v>
      </c>
      <c r="I165" s="236"/>
      <c r="J165" s="239">
        <f>H165/DAY(B2)</f>
        <v>-20.03125</v>
      </c>
    </row>
    <row r="166" spans="1:10" ht="29.25">
      <c r="A166" s="910"/>
      <c r="B166" s="91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-245</v>
      </c>
      <c r="I174" s="155"/>
      <c r="J174" s="178">
        <f>H174/DAY(B2)</f>
        <v>-30.625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-217</v>
      </c>
      <c r="I175" s="155"/>
      <c r="J175" s="178">
        <f>H175/DAY(B2)</f>
        <v>-27.125</v>
      </c>
    </row>
    <row r="176" spans="1:10" ht="27.7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21</v>
      </c>
      <c r="H176" s="99">
        <f>G176+'7'!H176</f>
        <v>-462</v>
      </c>
      <c r="I176" s="155"/>
      <c r="J176" s="178">
        <f>H176/DAY(B2)</f>
        <v>-57.75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-1147</v>
      </c>
      <c r="I178" s="155"/>
      <c r="J178" s="178">
        <f>H178/DAY(B2)</f>
        <v>-143.375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-751</v>
      </c>
      <c r="I179" s="155"/>
      <c r="J179" s="178">
        <f>H179/DAY(B2)</f>
        <v>-93.875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-159</v>
      </c>
      <c r="I180" s="155"/>
      <c r="J180" s="178">
        <f>H180/DAY(B2)</f>
        <v>-19.875</v>
      </c>
    </row>
    <row r="181" spans="1:10" ht="27.7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89</v>
      </c>
      <c r="H181" s="99">
        <f>G181+'7'!H181</f>
        <v>-2057</v>
      </c>
      <c r="I181" s="155"/>
      <c r="J181" s="178">
        <f>H181/DAY(B2)</f>
        <v>-257.125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-281</v>
      </c>
      <c r="I183" s="155"/>
      <c r="J183" s="178">
        <f>H183/DAY(B2)</f>
        <v>-35.125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-162</v>
      </c>
      <c r="I184" s="155"/>
      <c r="J184" s="178">
        <f>H184/DAY(B2)</f>
        <v>-20.25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-443</v>
      </c>
      <c r="I186" s="157"/>
      <c r="J186" s="178">
        <f>H186/DAY(B2)</f>
        <v>-55.375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154</v>
      </c>
      <c r="H187" s="99">
        <f>G187+'7'!H187</f>
        <v>-3097</v>
      </c>
      <c r="I187" s="158"/>
      <c r="J187" s="179">
        <f>H187/DAY(B2)</f>
        <v>-387.125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147</v>
      </c>
      <c r="H188" s="99">
        <f>G188+'7'!H188</f>
        <v>-3008</v>
      </c>
      <c r="I188" s="158"/>
      <c r="J188" s="179">
        <f>H188/DAY(B2)</f>
        <v>-376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89</v>
      </c>
      <c r="H189" s="99">
        <f>G189+'7'!H189</f>
        <v>-2057</v>
      </c>
      <c r="I189" s="158"/>
      <c r="J189" s="179">
        <f>H189/DAY(B2)</f>
        <v>-257.125</v>
      </c>
    </row>
    <row r="190" spans="1:10" ht="27.75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0.25" customHeight="1"/>
    <row r="195" ht="20.25" customHeight="1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5" zoomScaleNormal="80" zoomScaleSheetLayoutView="55" workbookViewId="0">
      <selection activeCell="F23" sqref="F2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-381202.23</v>
      </c>
      <c r="I7" s="113">
        <f>'1'!I7</f>
        <v>12000</v>
      </c>
      <c r="J7" s="175">
        <f>H7/DAY(B2)</f>
        <v>-42355.80333333333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-388611.15</v>
      </c>
      <c r="I8" s="116"/>
      <c r="J8" s="175">
        <f>H8/DAY(B2)</f>
        <v>-43179.01666666667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2086684.1500000001</v>
      </c>
      <c r="I9" s="124">
        <f>I7-J7</f>
        <v>54355.80333333333</v>
      </c>
      <c r="J9" s="175">
        <f>H9/DAY(B2)</f>
        <v>231853.79444444447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496007.03</v>
      </c>
      <c r="I10" s="282"/>
      <c r="J10" s="175">
        <f>H10/DAY(B2)</f>
        <v>55111.892222222225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-170</v>
      </c>
      <c r="I11" s="282"/>
      <c r="J11" s="175">
        <f>H11/DAY(B2)</f>
        <v>-18.888888888888889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2565766.75</v>
      </c>
      <c r="I13" s="120">
        <f>G7-G13</f>
        <v>520</v>
      </c>
      <c r="J13" s="175">
        <f>H13/DAY(B2)</f>
        <v>285085.19444444444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598">
        <v>1886599</v>
      </c>
      <c r="G15" s="112">
        <f>(F15-E15)</f>
        <v>907</v>
      </c>
      <c r="H15" s="99">
        <f>G15+'8'!H15</f>
        <v>-20037.766999999993</v>
      </c>
      <c r="I15" s="113">
        <f>'1'!I15</f>
        <v>800</v>
      </c>
      <c r="J15" s="175">
        <f>H15/DAY(B2)</f>
        <v>-2226.4185555555546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3026.4185555555546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1510</v>
      </c>
      <c r="I18" s="113">
        <f>'1'!I18</f>
        <v>65</v>
      </c>
      <c r="J18" s="175">
        <f>H18/DAY(B2)</f>
        <v>167.77777777777777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-1196</v>
      </c>
      <c r="I19" s="335"/>
      <c r="J19" s="175">
        <f>H19/DAY(B2)</f>
        <v>-132.88888888888889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314</v>
      </c>
      <c r="I20" s="336">
        <f>I18-J20</f>
        <v>30.111111111111114</v>
      </c>
      <c r="J20" s="175">
        <f>H20/DAY(B2)</f>
        <v>34.888888888888886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-3497500.3500000006</v>
      </c>
      <c r="I27" s="138"/>
      <c r="J27" s="175">
        <f>H27/DAY(B2)</f>
        <v>-388611.15000000008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-1041963.8839999996</v>
      </c>
      <c r="I28" s="140"/>
      <c r="J28" s="175">
        <f>H28/DAY(B2)</f>
        <v>-115773.76488888885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-174616</v>
      </c>
      <c r="I30" s="140"/>
      <c r="J30" s="175">
        <f>H30/DAY(B2)</f>
        <v>-19401.777777777777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120800</v>
      </c>
      <c r="I31" s="140"/>
      <c r="J31" s="175">
        <f>H31/DAY(B2)</f>
        <v>13422.222222222223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-4593280.2340000002</v>
      </c>
      <c r="I32" s="144"/>
      <c r="J32" s="175">
        <f>H32/DAY(B2)</f>
        <v>-510364.47044444445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137820.02000000002</v>
      </c>
      <c r="I35" s="95"/>
      <c r="J35" s="175">
        <f>H35/DAY(B2)</f>
        <v>15313.335555555557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-14783.739999999998</v>
      </c>
      <c r="I36" s="95"/>
      <c r="J36" s="175">
        <f>H36/DAY(B2)</f>
        <v>-1642.6377777777775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173651.91000000003</v>
      </c>
      <c r="I37" s="95"/>
      <c r="J37" s="175">
        <f>H37/DAY(B2)</f>
        <v>19294.656666666669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208963.57</v>
      </c>
      <c r="I38" s="95"/>
      <c r="J38" s="175">
        <f>H38/DAY(B2)</f>
        <v>23218.174444444445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376197.71</v>
      </c>
      <c r="I39" s="95"/>
      <c r="J39" s="175">
        <f>H39/DAY(B2)</f>
        <v>41799.745555555557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9110.739999999998</v>
      </c>
      <c r="I40" s="95"/>
      <c r="J40" s="175">
        <f>H40/DAY(B2)</f>
        <v>1012.3044444444442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-26321.14</v>
      </c>
      <c r="I42" s="95"/>
      <c r="J42" s="175">
        <f>H42/DAY(B2)</f>
        <v>-2924.5711111111109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-46318.600000000006</v>
      </c>
      <c r="I43" s="95"/>
      <c r="J43" s="175">
        <f>H43/DAY(B2)</f>
        <v>-5146.5111111111119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818320.47</v>
      </c>
      <c r="I47" s="95"/>
      <c r="J47" s="175">
        <f>H47/DAY(B2)</f>
        <v>90924.496666666659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261670.81</v>
      </c>
      <c r="I49" s="95"/>
      <c r="J49" s="175">
        <f>H49/DAY(B2)</f>
        <v>29074.534444444445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-22341.629999999997</v>
      </c>
      <c r="I50" s="95"/>
      <c r="J50" s="175">
        <f>H50/DAY(B2)</f>
        <v>-2482.4033333333332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585.65999999999985</v>
      </c>
      <c r="I54" s="95"/>
      <c r="J54" s="175">
        <f>H54/DAY(B2)</f>
        <v>65.073333333333323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-43135.11</v>
      </c>
      <c r="I55" s="95"/>
      <c r="J55" s="175">
        <f>H55/DAY(B2)</f>
        <v>-4792.79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88847.420000000013</v>
      </c>
      <c r="I58" s="95"/>
      <c r="J58" s="175">
        <f>H58/DAY(B2)</f>
        <v>9871.9355555555576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285627.61000000004</v>
      </c>
      <c r="I59" s="95">
        <f>G7-G60</f>
        <v>1020.5400000000009</v>
      </c>
      <c r="J59" s="175">
        <f>H59/DAY(B2)</f>
        <v>31736.401111111118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1103948.0799999998</v>
      </c>
      <c r="I60" s="95">
        <f>G13-G60</f>
        <v>500.54000000000087</v>
      </c>
      <c r="J60" s="175">
        <f>H60/DAY(B2)</f>
        <v>122660.89777777776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-1766</v>
      </c>
      <c r="I62" s="118"/>
      <c r="J62" s="175">
        <f>H62/DAY(B2)</f>
        <v>-196.22222222222223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-2400</v>
      </c>
      <c r="I63" s="118"/>
      <c r="J63" s="175">
        <f>H63/DAY(B2)</f>
        <v>-266.66666666666669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'8'!F64</f>
        <v>0</v>
      </c>
      <c r="F64" s="122"/>
      <c r="G64" s="112">
        <f>G62+G63</f>
        <v>147</v>
      </c>
      <c r="H64" s="99">
        <f>G64+'8'!H64</f>
        <v>-4166</v>
      </c>
      <c r="I64" s="118"/>
      <c r="J64" s="175">
        <f>H64/DAY(B2)</f>
        <v>-462.88888888888891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-1638</v>
      </c>
      <c r="I65" s="118"/>
      <c r="J65" s="175">
        <f>H65/DAY(B2)</f>
        <v>-182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-347</v>
      </c>
      <c r="I66" s="118"/>
      <c r="J66" s="175">
        <f>H66/DAY(B2)</f>
        <v>-38.555555555555557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-483</v>
      </c>
      <c r="I67" s="118"/>
      <c r="J67" s="175">
        <f>H67/DAY(B2)</f>
        <v>-53.666666666666664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-844</v>
      </c>
      <c r="I68" s="118"/>
      <c r="J68" s="175">
        <f>H68/DAY(B2)</f>
        <v>-93.777777777777771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-223</v>
      </c>
      <c r="I69" s="118"/>
      <c r="J69" s="175">
        <f>H69/DAY(B2)</f>
        <v>-24.777777777777779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-177</v>
      </c>
      <c r="I70" s="118"/>
      <c r="J70" s="175">
        <f>H70/DAY(B2)</f>
        <v>-19.666666666666668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167</v>
      </c>
      <c r="H71" s="99">
        <f>G71+'8'!H71</f>
        <v>-3712</v>
      </c>
      <c r="I71" s="154"/>
      <c r="J71" s="175">
        <f>H71/DAY(B2)</f>
        <v>-412.44444444444446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-6691.1489999999758</v>
      </c>
      <c r="I74" s="154"/>
      <c r="J74" s="175">
        <f>H74/DAY(B2)</f>
        <v>-743.46099999999728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-1971</v>
      </c>
      <c r="I76" s="154"/>
      <c r="J76" s="175">
        <f>H76/DAY(B2)</f>
        <v>-219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-684.19999999999709</v>
      </c>
      <c r="I77" s="154"/>
      <c r="J77" s="175">
        <f>H77/DAY(B2)</f>
        <v>-76.022222222221899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-23</v>
      </c>
      <c r="I78" s="118"/>
      <c r="J78" s="175">
        <f>H78/DAY(B2)</f>
        <v>-2.5555555555555554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-10668.618000000017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-165.44000000000005</v>
      </c>
      <c r="I85" s="118">
        <f>G82+G83+G84+G85</f>
        <v>0</v>
      </c>
      <c r="J85" s="175">
        <f>H85/DAY(B2)</f>
        <v>-18.382222222222229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-362</v>
      </c>
      <c r="I86" s="118"/>
      <c r="J86" s="175">
        <f>H86/DAY(B2)</f>
        <v>-40.222222222222221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-5.430000000000291</v>
      </c>
      <c r="I88" s="118">
        <f>G86+G87+G88</f>
        <v>24</v>
      </c>
      <c r="J88" s="175">
        <f>H88/DAY(B2)</f>
        <v>-0.6033333333333657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-168.11999999999898</v>
      </c>
      <c r="I89" s="118"/>
      <c r="J89" s="175">
        <f>H89/DAY(B2)</f>
        <v>-18.679999999999886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-89.320000000006985</v>
      </c>
      <c r="I90" s="118">
        <f>G89+G90</f>
        <v>11</v>
      </c>
      <c r="J90" s="175">
        <f>H90/DAY(B2)</f>
        <v>-9.9244444444452213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-24.769999999999982</v>
      </c>
      <c r="I91" s="165"/>
      <c r="J91" s="175">
        <f>H91/DAY(B2)</f>
        <v>-2.7522222222222203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-212.06999999999971</v>
      </c>
      <c r="I92" s="165"/>
      <c r="J92" s="175">
        <f>H92/DAY(B2)</f>
        <v>-23.563333333333301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5240</v>
      </c>
      <c r="H94" s="99">
        <f>G94+'8'!H94</f>
        <v>353172.23</v>
      </c>
      <c r="I94" s="118"/>
      <c r="J94" s="175">
        <f>H94/DAY(B2)</f>
        <v>39241.358888888884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0.29586132911749757</v>
      </c>
      <c r="H95" s="99">
        <f>G95+'8'!H95</f>
        <v>1.6571032686531433</v>
      </c>
      <c r="I95" s="167"/>
      <c r="J95" s="175">
        <f>H95/DAY(B2)</f>
        <v>0.18412258540590482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-69455.790000000008</v>
      </c>
      <c r="I96" s="118"/>
      <c r="J96" s="175">
        <f>H96/DAY(B2)</f>
        <v>-7717.3100000000013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0.15597425328891645</v>
      </c>
      <c r="H97" s="99">
        <f>G97+'8'!H97</f>
        <v>1.5839481388580499</v>
      </c>
      <c r="I97" s="167"/>
      <c r="J97" s="175">
        <f>H97/DAY(B2)</f>
        <v>0.17599423765089442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2610</v>
      </c>
      <c r="H98" s="99">
        <f>G98+'8'!H98</f>
        <v>376197.71</v>
      </c>
      <c r="I98" s="168"/>
      <c r="J98" s="175">
        <f>H98/DAY(B2)</f>
        <v>41799.745555555557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0.14736604370165435</v>
      </c>
      <c r="H99" s="99">
        <f>G99+'8'!H99</f>
        <v>0.45934482171010838</v>
      </c>
      <c r="I99" s="168"/>
      <c r="J99" s="175">
        <f>H99/DAY(B2)</f>
        <v>5.1038313523345376E-2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1658</v>
      </c>
      <c r="H100" s="99">
        <f>G100+'8'!H100</f>
        <v>208963.57</v>
      </c>
      <c r="I100" s="118"/>
      <c r="J100" s="175">
        <f>H100/DAY(B2)</f>
        <v>23218.174444444445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0.347540687879351</v>
      </c>
      <c r="I101" s="168"/>
      <c r="J101" s="175">
        <f>H101/DAY(B2)</f>
        <v>3.8615631986594554E-2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1673</v>
      </c>
      <c r="H102" s="99">
        <f>G102+'8'!H102</f>
        <v>-37125.369999999995</v>
      </c>
      <c r="I102" s="168"/>
      <c r="J102" s="175">
        <f>H102/DAY(B2)</f>
        <v>-4125.0411111111107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0.84478414206870966</v>
      </c>
      <c r="I103" s="118"/>
      <c r="J103" s="175">
        <f>H103/DAY(B2)</f>
        <v>9.3864904674301072E-2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1472</v>
      </c>
      <c r="H104" s="99">
        <f>G104+'8'!H104</f>
        <v>173651.91000000003</v>
      </c>
      <c r="I104" s="118"/>
      <c r="J104" s="175">
        <f>H104/DAY(B2)</f>
        <v>19294.656666666669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0.34071517138068808</v>
      </c>
      <c r="I105" s="187"/>
      <c r="J105" s="188">
        <f>H105/DAY(B2)</f>
        <v>3.7857241264520898E-2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-1703</v>
      </c>
      <c r="I112" s="165"/>
      <c r="J112" s="328">
        <f>H112/DAY(B2)</f>
        <v>-189.22222222222223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-10174.89</v>
      </c>
      <c r="I113" s="165"/>
      <c r="J113" s="328">
        <f>H113/DAY(B2)</f>
        <v>-1130.5433333333333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-5903</v>
      </c>
      <c r="I114" s="165"/>
      <c r="J114" s="328">
        <f>H114/DAY(B2)</f>
        <v>-655.88888888888891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-216.64999999999964</v>
      </c>
      <c r="I115" s="165"/>
      <c r="J115" s="328">
        <f>H115/DAY(B2)</f>
        <v>-24.07222222222218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-514.94999999999982</v>
      </c>
      <c r="I117" s="165"/>
      <c r="J117" s="328">
        <f>H117/DAY(B2)</f>
        <v>-57.216666666666647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-7496.3099999999977</v>
      </c>
      <c r="I118" s="165"/>
      <c r="J118" s="328">
        <f>H118/DAY(B2)</f>
        <v>-832.92333333333306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-9100.5499999999884</v>
      </c>
      <c r="I119" s="165"/>
      <c r="J119" s="328">
        <f>H119/DAY(B2)</f>
        <v>-1011.172222222221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-9092.61</v>
      </c>
      <c r="I120" s="165"/>
      <c r="J120" s="328">
        <f>H120/DAY(B2)</f>
        <v>-1010.2900000000001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-14805.429999999993</v>
      </c>
      <c r="I121" s="165"/>
      <c r="J121" s="328">
        <f>H121/DAY(B2)</f>
        <v>-1645.0477777777769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-4103.179999999993</v>
      </c>
      <c r="I122" s="165"/>
      <c r="J122" s="328">
        <f>H122/DAY(B2)</f>
        <v>-455.9088888888881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-6003.9500000000116</v>
      </c>
      <c r="I123" s="165"/>
      <c r="J123" s="328">
        <f>H123/DAY(B2)</f>
        <v>-667.10555555555686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-6770</v>
      </c>
      <c r="I128" s="165"/>
      <c r="J128" s="328">
        <f>H128/DAY(B2)</f>
        <v>-752.22222222222217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-4629.869999999999</v>
      </c>
      <c r="I129" s="165"/>
      <c r="J129" s="328">
        <f>H129/DAY(B2)</f>
        <v>-514.42999999999984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-11307</v>
      </c>
      <c r="I130" s="165"/>
      <c r="J130" s="328">
        <f>H130/DAY(B2)</f>
        <v>-1256.3333333333333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-1482.6800000000003</v>
      </c>
      <c r="I131" s="165"/>
      <c r="J131" s="328">
        <f>H131/DAY(B2)</f>
        <v>-164.74222222222227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-6607.3000000000029</v>
      </c>
      <c r="I132" s="165"/>
      <c r="J132" s="328">
        <f>H132/DAY(B2)</f>
        <v>-734.14444444444473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-10590.699999999997</v>
      </c>
      <c r="I133" s="165"/>
      <c r="J133" s="328">
        <f>H133/DAY(B2)</f>
        <v>-1176.7444444444441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665983.77</v>
      </c>
      <c r="I134" s="165"/>
      <c r="J134" s="328">
        <f>H134/DAY(B2)</f>
        <v>73998.19666666667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2801</v>
      </c>
      <c r="H135" s="99">
        <f>G135+'8'!H135</f>
        <v>624596.22</v>
      </c>
      <c r="I135" s="327">
        <f>G135-(G35+G49)</f>
        <v>-288</v>
      </c>
      <c r="J135" s="328">
        <f>H135/DAY(B2)</f>
        <v>69399.58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-1382</v>
      </c>
      <c r="I138" s="118"/>
      <c r="J138" s="328">
        <f>H138/DAY(B2)</f>
        <v>-153.55555555555554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-24</v>
      </c>
      <c r="I139" s="118"/>
      <c r="J139" s="328">
        <f>H139/DAY(B2)</f>
        <v>-2.6666666666666665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-24</v>
      </c>
      <c r="I140" s="118"/>
      <c r="J140" s="328">
        <f>H140/DAY(B2)</f>
        <v>-2.6666666666666665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-3795.5800000000017</v>
      </c>
      <c r="I141" s="118"/>
      <c r="J141" s="328">
        <f>H141/DAY(B2)</f>
        <v>-421.73111111111132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-1645.0999999999985</v>
      </c>
      <c r="I142" s="140"/>
      <c r="J142" s="328">
        <f>H142/DAY(B2)</f>
        <v>-182.78888888888872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-562.38999999999987</v>
      </c>
      <c r="I143" s="140"/>
      <c r="J143" s="328">
        <f>H143/DAY(B2)</f>
        <v>-62.487777777777765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-4783</v>
      </c>
      <c r="I144" s="140"/>
      <c r="J144" s="328">
        <f>H144/DAY(B2)</f>
        <v>-531.44444444444446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-246.84000000000015</v>
      </c>
      <c r="I145" s="140"/>
      <c r="J145" s="328">
        <f>H145/DAY(B2)</f>
        <v>-27.426666666666684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-8517</v>
      </c>
      <c r="I146" s="140"/>
      <c r="J146" s="328">
        <f>H146/DAY(B2)</f>
        <v>-946.33333333333337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-7810.5200000000186</v>
      </c>
      <c r="I147" s="140"/>
      <c r="J147" s="328">
        <f>H147/DAY(B2)</f>
        <v>-867.83555555555768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'8'!F148</f>
        <v>685202</v>
      </c>
      <c r="F148" s="486">
        <v>685430</v>
      </c>
      <c r="G148" s="112">
        <f t="shared" si="11"/>
        <v>228</v>
      </c>
      <c r="H148" s="99">
        <f>G148+'8'!H148</f>
        <v>-4012.9599999999627</v>
      </c>
      <c r="I148" s="124"/>
      <c r="J148" s="328">
        <f>H148/DAY(B2)</f>
        <v>-445.88444444444031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-10096.200000000001</v>
      </c>
      <c r="I149" s="119"/>
      <c r="J149" s="328">
        <f>H149/DAY(B2)</f>
        <v>-1121.8000000000002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-4808.83</v>
      </c>
      <c r="I150" s="119"/>
      <c r="J150" s="328">
        <f>H150/DAY(B2)</f>
        <v>-534.31444444444446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-5072</v>
      </c>
      <c r="I151" s="119"/>
      <c r="J151" s="328">
        <f>H151/DAY(B2)</f>
        <v>-563.55555555555554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-355</v>
      </c>
      <c r="I152" s="119"/>
      <c r="J152" s="328">
        <f>H152/DAY(B2)</f>
        <v>-39.444444444444443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-14386.000000000004</v>
      </c>
      <c r="I155" s="364"/>
      <c r="J155" s="328">
        <f>H155/DAY(B2)</f>
        <v>-1598.4444444444448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-1280</v>
      </c>
      <c r="I156" s="165"/>
      <c r="J156" s="328">
        <f>H156/DAY(B2)</f>
        <v>-142.22222222222223</v>
      </c>
    </row>
    <row r="157" spans="1:10" ht="27.75">
      <c r="A157" s="870" t="s">
        <v>364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1">
        <v>471231</v>
      </c>
      <c r="G161" s="238">
        <f t="shared" ref="G161:G166" si="13">F161-E161</f>
        <v>6</v>
      </c>
      <c r="H161" s="99">
        <f>G161+'8'!H161</f>
        <v>-822.55999999999767</v>
      </c>
      <c r="I161" s="236"/>
      <c r="J161" s="239">
        <f>H161/DAY(B2)</f>
        <v>-91.395555555555291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-720.39999999999418</v>
      </c>
      <c r="I162" s="236"/>
      <c r="J162" s="239">
        <f>H162/DAY(B2)</f>
        <v>-80.044444444443798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-1032.1000000000058</v>
      </c>
      <c r="I163" s="236"/>
      <c r="J163" s="239">
        <f>H163/DAY(B2)</f>
        <v>-114.67777777777843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-65</v>
      </c>
      <c r="I164" s="236"/>
      <c r="J164" s="239">
        <f>H164/DAY(B2)</f>
        <v>-7.2222222222222223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-160.25</v>
      </c>
      <c r="I165" s="236"/>
      <c r="J165" s="239">
        <f>H165/DAY(B2)</f>
        <v>-17.805555555555557</v>
      </c>
    </row>
    <row r="166" spans="1:10" ht="29.25">
      <c r="A166" s="910"/>
      <c r="B166" s="91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-227</v>
      </c>
      <c r="I174" s="155"/>
      <c r="J174" s="178">
        <f>H174/DAY(B2)</f>
        <v>-25.222222222222221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-207</v>
      </c>
      <c r="I175" s="155"/>
      <c r="J175" s="178">
        <f>H175/DAY(B2)</f>
        <v>-23</v>
      </c>
    </row>
    <row r="176" spans="1:10" ht="27.75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-434</v>
      </c>
      <c r="I176" s="155"/>
      <c r="J176" s="178">
        <f>H176/DAY(B2)</f>
        <v>-48.222222222222221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-1086</v>
      </c>
      <c r="I178" s="155"/>
      <c r="J178" s="178">
        <f>H178/DAY(B2)</f>
        <v>-120.66666666666667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-733</v>
      </c>
      <c r="I179" s="155"/>
      <c r="J179" s="178">
        <f>H179/DAY(B2)</f>
        <v>-81.444444444444443</v>
      </c>
    </row>
    <row r="180" spans="1:10" ht="31.5" customHeight="1">
      <c r="A180" s="868" t="s">
        <v>212</v>
      </c>
      <c r="B180" s="869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-158</v>
      </c>
      <c r="I180" s="155"/>
      <c r="J180" s="178">
        <f>H180/DAY(B2)</f>
        <v>-17.555555555555557</v>
      </c>
    </row>
    <row r="181" spans="1:10" ht="27.7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-1977</v>
      </c>
      <c r="I181" s="155"/>
      <c r="J181" s="178">
        <f>H181/DAY(B2)</f>
        <v>-219.66666666666666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-272</v>
      </c>
      <c r="I183" s="155"/>
      <c r="J183" s="178">
        <f>H183/DAY(B2)</f>
        <v>-30.222222222222221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-149</v>
      </c>
      <c r="I184" s="155"/>
      <c r="J184" s="178">
        <f>H184/DAY(B2)</f>
        <v>-16.555555555555557</v>
      </c>
    </row>
    <row r="185" spans="1:10" ht="35.25" customHeight="1">
      <c r="A185" s="868" t="s">
        <v>216</v>
      </c>
      <c r="B185" s="869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-421</v>
      </c>
      <c r="I186" s="157"/>
      <c r="J186" s="178">
        <f>H186/DAY(B2)</f>
        <v>-46.777777777777779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135</v>
      </c>
      <c r="H187" s="99">
        <f>G187+'8'!H187</f>
        <v>-2962</v>
      </c>
      <c r="I187" s="158"/>
      <c r="J187" s="179">
        <f>H187/DAY(B2)</f>
        <v>-329.11111111111109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G188+'8'!H188</f>
        <v>-2868</v>
      </c>
      <c r="I188" s="158"/>
      <c r="J188" s="179">
        <f>H188/DAY(B2)</f>
        <v>-318.66666666666669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80</v>
      </c>
      <c r="H189" s="99">
        <f>G189+'8'!H189</f>
        <v>-1977</v>
      </c>
      <c r="I189" s="158"/>
      <c r="J189" s="179">
        <f>H189/DAY(B2)</f>
        <v>-219.66666666666666</v>
      </c>
    </row>
    <row r="190" spans="1:10" ht="29.25" customHeight="1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0" zoomScaleNormal="55" zoomScaleSheetLayoutView="50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-364341.23</v>
      </c>
      <c r="I7" s="113">
        <f>'1'!I7</f>
        <v>12000</v>
      </c>
      <c r="J7" s="175">
        <f>H7/DAY(B2)</f>
        <v>-36434.123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-371548.15</v>
      </c>
      <c r="I8" s="116"/>
      <c r="J8" s="175">
        <f>H8/DAY(B2)</f>
        <v>-37154.815000000002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'9'!F9</f>
        <v>11657</v>
      </c>
      <c r="F9" s="598">
        <v>22761</v>
      </c>
      <c r="G9" s="112">
        <f>F9-E9</f>
        <v>11104</v>
      </c>
      <c r="H9" s="99">
        <f>G9+'9'!H9</f>
        <v>2097788.1500000004</v>
      </c>
      <c r="I9" s="124">
        <f>I7-J7</f>
        <v>48434.123</v>
      </c>
      <c r="J9" s="175">
        <f>H9/DAY(B2)</f>
        <v>209778.81500000003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501279.03</v>
      </c>
      <c r="I10" s="282"/>
      <c r="J10" s="175">
        <f>H10/DAY(B2)</f>
        <v>50127.903000000006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-170</v>
      </c>
      <c r="I11" s="282"/>
      <c r="J11" s="175">
        <f>H11/DAY(B2)</f>
        <v>-17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2582142.75</v>
      </c>
      <c r="I13" s="120">
        <f>G7-G13</f>
        <v>485</v>
      </c>
      <c r="J13" s="175">
        <f>H13/DAY(B2)</f>
        <v>258214.27499999999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-19278.766999999993</v>
      </c>
      <c r="I15" s="113">
        <f>'1'!I15</f>
        <v>800</v>
      </c>
      <c r="J15" s="175">
        <f>H15/DAY(B2)</f>
        <v>-1927.8766999999993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2727.8766999999993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1580</v>
      </c>
      <c r="I18" s="113">
        <f>'1'!I18</f>
        <v>65</v>
      </c>
      <c r="J18" s="175">
        <f>H18/DAY(B2)</f>
        <v>158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-1142</v>
      </c>
      <c r="I19" s="335"/>
      <c r="J19" s="175">
        <f>H19/DAY(B2)</f>
        <v>-114.2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438</v>
      </c>
      <c r="I20" s="336">
        <f>I18-J20</f>
        <v>21.200000000000003</v>
      </c>
      <c r="J20" s="175">
        <f>H20/DAY(B2)</f>
        <v>43.8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-3343933.3500000006</v>
      </c>
      <c r="I27" s="138"/>
      <c r="J27" s="175">
        <f>H27/DAY(B2)</f>
        <v>-334393.33500000008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-1002495.8839999996</v>
      </c>
      <c r="I28" s="140"/>
      <c r="J28" s="175">
        <f>H28/DAY(B2)</f>
        <v>-100249.58839999996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-166732</v>
      </c>
      <c r="I30" s="140"/>
      <c r="J30" s="175">
        <f>H30/DAY(B2)</f>
        <v>-16673.2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126400</v>
      </c>
      <c r="I31" s="140"/>
      <c r="J31" s="175">
        <f>H31/DAY(B2)</f>
        <v>12640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-4386761.2340000002</v>
      </c>
      <c r="I32" s="144"/>
      <c r="J32" s="175">
        <f>H32/DAY(B2)</f>
        <v>-438676.12340000004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139434.02000000002</v>
      </c>
      <c r="I35" s="95"/>
      <c r="J35" s="175">
        <f>H35/DAY(B2)</f>
        <v>13943.402000000002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-14149.739999999998</v>
      </c>
      <c r="I36" s="95"/>
      <c r="J36" s="175">
        <f>H36/DAY(B2)</f>
        <v>-1414.9739999999997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175103.91000000003</v>
      </c>
      <c r="I37" s="95"/>
      <c r="J37" s="175">
        <f>H37/DAY(B2)</f>
        <v>17510.391000000003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210504.57</v>
      </c>
      <c r="I38" s="95"/>
      <c r="J38" s="175">
        <f>H38/DAY(B2)</f>
        <v>21050.457000000002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378771.71</v>
      </c>
      <c r="I39" s="95"/>
      <c r="J39" s="175">
        <f>H39/DAY(B2)</f>
        <v>37877.171000000002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9869.739999999998</v>
      </c>
      <c r="I40" s="95"/>
      <c r="J40" s="175">
        <f>H40/DAY(B2)</f>
        <v>986.97399999999982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-26321.14</v>
      </c>
      <c r="I42" s="95"/>
      <c r="J42" s="175">
        <f>H42/DAY(B2)</f>
        <v>-2632.114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-44195.600000000006</v>
      </c>
      <c r="I43" s="95"/>
      <c r="J43" s="175">
        <f>H43/DAY(B2)</f>
        <v>-4419.5600000000004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829017.47</v>
      </c>
      <c r="I47" s="95"/>
      <c r="J47" s="175">
        <f>H47/DAY(B2)</f>
        <v>82901.747000000003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262808.81</v>
      </c>
      <c r="I49" s="95"/>
      <c r="J49" s="175">
        <f>H49/DAY(B2)</f>
        <v>26280.881000000001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-21401.629999999997</v>
      </c>
      <c r="I50" s="95"/>
      <c r="J50" s="175">
        <f>H50/DAY(B2)</f>
        <v>-2140.1629999999996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1057.6599999999999</v>
      </c>
      <c r="I54" s="95"/>
      <c r="J54" s="175">
        <f>H54/DAY(B2)</f>
        <v>105.76599999999999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-40375.11</v>
      </c>
      <c r="I55" s="95"/>
      <c r="J55" s="175">
        <f>H55/DAY(B2)</f>
        <v>-4037.511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88927.420000000013</v>
      </c>
      <c r="I58" s="95"/>
      <c r="J58" s="175">
        <f>H58/DAY(B2)</f>
        <v>8892.742000000002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291017.61000000004</v>
      </c>
      <c r="I59" s="95">
        <f>G7-G60</f>
        <v>774</v>
      </c>
      <c r="J59" s="175">
        <f>H59/DAY(B2)</f>
        <v>29101.761000000006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1120035.0799999998</v>
      </c>
      <c r="I60" s="95">
        <f>G13-G60</f>
        <v>289</v>
      </c>
      <c r="J60" s="175">
        <f>H60/DAY(B2)</f>
        <v>112003.50799999999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-1705</v>
      </c>
      <c r="I62" s="118"/>
      <c r="J62" s="175">
        <f>H62/DAY(B2)</f>
        <v>-170.5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-2296</v>
      </c>
      <c r="I63" s="118"/>
      <c r="J63" s="175">
        <f>H63/DAY(B2)</f>
        <v>-229.6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'9'!F64</f>
        <v>0</v>
      </c>
      <c r="F64" s="122"/>
      <c r="G64" s="112">
        <f>G62+G63</f>
        <v>165</v>
      </c>
      <c r="H64" s="99">
        <f>G64+'9'!H64</f>
        <v>-4001</v>
      </c>
      <c r="I64" s="118"/>
      <c r="J64" s="175">
        <f>H64/DAY(B2)</f>
        <v>-400.1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-1580</v>
      </c>
      <c r="I65" s="118"/>
      <c r="J65" s="175">
        <f>H65/DAY(B2)</f>
        <v>-158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-333</v>
      </c>
      <c r="I66" s="118"/>
      <c r="J66" s="175">
        <f>H66/DAY(B2)</f>
        <v>-33.299999999999997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-462</v>
      </c>
      <c r="I67" s="118"/>
      <c r="J67" s="175">
        <f>H67/DAY(B2)</f>
        <v>-46.2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-818</v>
      </c>
      <c r="I68" s="118"/>
      <c r="J68" s="175">
        <f>H68/DAY(B2)</f>
        <v>-81.8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-214</v>
      </c>
      <c r="I69" s="118"/>
      <c r="J69" s="175">
        <f>H69/DAY(B2)</f>
        <v>-21.4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-173</v>
      </c>
      <c r="I70" s="118"/>
      <c r="J70" s="175">
        <f>H70/DAY(B2)</f>
        <v>-17.3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132</v>
      </c>
      <c r="H71" s="99">
        <f>G71+'9'!H71</f>
        <v>-3580</v>
      </c>
      <c r="I71" s="154"/>
      <c r="J71" s="175">
        <f>H71/DAY(B2)</f>
        <v>-358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-6378.1489999999758</v>
      </c>
      <c r="I74" s="154"/>
      <c r="J74" s="175">
        <f>H74/DAY(B2)</f>
        <v>-637.81489999999758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-1880</v>
      </c>
      <c r="I76" s="154"/>
      <c r="J76" s="175">
        <f>H76/DAY(B2)</f>
        <v>-188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-650.19999999999709</v>
      </c>
      <c r="I77" s="154"/>
      <c r="J77" s="175">
        <f>H77/DAY(B2)</f>
        <v>-65.019999999999712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-21.700000000000728</v>
      </c>
      <c r="I78" s="118"/>
      <c r="J78" s="175">
        <f>H78/DAY(B2)</f>
        <v>-2.1700000000000728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-10348.918000000016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-165.44999999999982</v>
      </c>
      <c r="I85" s="118">
        <f>G82+G83+G84+G85</f>
        <v>-9.9999999997635314E-3</v>
      </c>
      <c r="J85" s="175">
        <f>H85/DAY(B2)</f>
        <v>-16.54499999999998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-338</v>
      </c>
      <c r="I86" s="118"/>
      <c r="J86" s="175">
        <f>H86/DAY(B2)</f>
        <v>-33.799999999999997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-5.430000000000291</v>
      </c>
      <c r="I88" s="118">
        <f>G86+G87+G88</f>
        <v>24</v>
      </c>
      <c r="J88" s="175">
        <f>H88/DAY(B2)</f>
        <v>-0.54300000000002913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-168.11999999999898</v>
      </c>
      <c r="I89" s="118"/>
      <c r="J89" s="175">
        <f>H89/DAY(B2)</f>
        <v>-16.811999999999898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-76.320000000006985</v>
      </c>
      <c r="I90" s="118">
        <f>G89+G90</f>
        <v>13</v>
      </c>
      <c r="J90" s="175">
        <f>H90/DAY(B2)</f>
        <v>-7.6320000000006987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-24.769999999999982</v>
      </c>
      <c r="I91" s="165"/>
      <c r="J91" s="175">
        <f>H91/DAY(B2)</f>
        <v>-2.4769999999999981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-201.06999999999971</v>
      </c>
      <c r="I92" s="165"/>
      <c r="J92" s="175">
        <f>H92/DAY(B2)</f>
        <v>-20.106999999999971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4875</v>
      </c>
      <c r="H94" s="99">
        <f>G94+'9'!H94</f>
        <v>358047.23</v>
      </c>
      <c r="I94" s="118"/>
      <c r="J94" s="175">
        <f>H94/DAY(B2)</f>
        <v>35804.722999999998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0.28912875867386278</v>
      </c>
      <c r="H95" s="99">
        <f>G95+'9'!H95</f>
        <v>1.9462320273270062</v>
      </c>
      <c r="I95" s="167"/>
      <c r="J95" s="175">
        <f>H95/DAY(B2)</f>
        <v>0.19462320273270062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2760</v>
      </c>
      <c r="H96" s="99">
        <f>G96+'9'!H96</f>
        <v>-66695.790000000008</v>
      </c>
      <c r="I96" s="118"/>
      <c r="J96" s="175">
        <f>H96/DAY(B2)</f>
        <v>-6669.5790000000006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0.16369135875689461</v>
      </c>
      <c r="H97" s="99">
        <f>G97+'9'!H97</f>
        <v>1.7476394976149445</v>
      </c>
      <c r="I97" s="167"/>
      <c r="J97" s="175">
        <f>H97/DAY(B2)</f>
        <v>0.17476394976149445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2574</v>
      </c>
      <c r="H98" s="99">
        <f>G98+'9'!H98</f>
        <v>378771.71</v>
      </c>
      <c r="I98" s="168"/>
      <c r="J98" s="175">
        <f>H98/DAY(B2)</f>
        <v>37877.171000000002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0.15265998457979954</v>
      </c>
      <c r="H99" s="99">
        <f>G99+'9'!H99</f>
        <v>0.61200480628990794</v>
      </c>
      <c r="I99" s="168"/>
      <c r="J99" s="175">
        <f>H99/DAY(B2)</f>
        <v>6.1200480628990792E-2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1541</v>
      </c>
      <c r="H100" s="99">
        <f>G100+'9'!H100</f>
        <v>210504.57</v>
      </c>
      <c r="I100" s="118"/>
      <c r="J100" s="175">
        <f>H100/DAY(B2)</f>
        <v>21050.457000000002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0.43893502985195049</v>
      </c>
      <c r="I101" s="168"/>
      <c r="J101" s="175">
        <f>H101/DAY(B2)</f>
        <v>4.3893502985195051E-2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1574</v>
      </c>
      <c r="H102" s="99">
        <f>G102+'9'!H102</f>
        <v>-35551.369999999995</v>
      </c>
      <c r="I102" s="168"/>
      <c r="J102" s="175">
        <f>H102/DAY(B2)</f>
        <v>-3555.1369999999997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0.93813566333079379</v>
      </c>
      <c r="I103" s="118"/>
      <c r="J103" s="175">
        <f>H103/DAY(B2)</f>
        <v>9.3813566333079385E-2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1452</v>
      </c>
      <c r="H104" s="99">
        <f>G104+'9'!H104</f>
        <v>175103.91000000003</v>
      </c>
      <c r="I104" s="118"/>
      <c r="J104" s="175">
        <f>H104/DAY(B2)</f>
        <v>17510.391000000003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0.42683106011801086</v>
      </c>
      <c r="I105" s="187"/>
      <c r="J105" s="188">
        <f>H105/DAY(B2)</f>
        <v>4.2683106011801086E-2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-1626</v>
      </c>
      <c r="I112" s="165"/>
      <c r="J112" s="328">
        <f>H112/DAY(B2)</f>
        <v>-162.6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-9722.89</v>
      </c>
      <c r="I113" s="165"/>
      <c r="J113" s="328">
        <f>H113/DAY(B2)</f>
        <v>-972.28899999999999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-5634</v>
      </c>
      <c r="I114" s="165"/>
      <c r="J114" s="328">
        <f>H114/DAY(B2)</f>
        <v>-563.4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-206.64999999999964</v>
      </c>
      <c r="I115" s="165"/>
      <c r="J115" s="328">
        <f>H115/DAY(B2)</f>
        <v>-20.664999999999964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-491.94999999999982</v>
      </c>
      <c r="I117" s="165"/>
      <c r="J117" s="328">
        <f>H117/DAY(B2)</f>
        <v>-49.194999999999979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-7134.3099999999977</v>
      </c>
      <c r="I118" s="165"/>
      <c r="J118" s="328">
        <f>H118/DAY(B2)</f>
        <v>-713.43099999999981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-8689.5499999999884</v>
      </c>
      <c r="I119" s="165"/>
      <c r="J119" s="328">
        <f>H119/DAY(B2)</f>
        <v>-868.95499999999879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-8682.61</v>
      </c>
      <c r="I120" s="165"/>
      <c r="J120" s="328">
        <f>H120/DAY(B2)</f>
        <v>-868.26100000000008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-14143.429999999993</v>
      </c>
      <c r="I121" s="165"/>
      <c r="J121" s="328">
        <f>H121/DAY(B2)</f>
        <v>-1414.3429999999994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-3928.179999999993</v>
      </c>
      <c r="I122" s="165"/>
      <c r="J122" s="328">
        <f>H122/DAY(B2)</f>
        <v>-392.8179999999993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-5701.9500000000116</v>
      </c>
      <c r="I123" s="165"/>
      <c r="J123" s="328">
        <f>H123/DAY(B2)</f>
        <v>-570.19500000000119</v>
      </c>
    </row>
    <row r="124" spans="1:18" ht="29.25" customHeight="1">
      <c r="A124" s="904"/>
      <c r="B124" s="905"/>
      <c r="C124" s="906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-6460</v>
      </c>
      <c r="I128" s="165"/>
      <c r="J128" s="328">
        <f>H128/DAY(B2)</f>
        <v>-646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-4420.869999999999</v>
      </c>
      <c r="I129" s="165"/>
      <c r="J129" s="328">
        <f>H129/DAY(B2)</f>
        <v>-442.08699999999988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-10798</v>
      </c>
      <c r="I130" s="165"/>
      <c r="J130" s="328">
        <f>H130/DAY(B2)</f>
        <v>-1079.8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-1401.6800000000003</v>
      </c>
      <c r="I131" s="165"/>
      <c r="J131" s="328">
        <f>H131/DAY(B2)</f>
        <v>-140.16800000000003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-6095.3000000000029</v>
      </c>
      <c r="I132" s="165"/>
      <c r="J132" s="328">
        <f>H132/DAY(B2)</f>
        <v>-609.53000000000031</v>
      </c>
    </row>
    <row r="133" spans="1:15" ht="27.75">
      <c r="A133" s="879" t="s">
        <v>323</v>
      </c>
      <c r="B133" s="880"/>
      <c r="C133" s="881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-10224.699999999997</v>
      </c>
      <c r="I133" s="165"/>
      <c r="J133" s="328">
        <f>H133/DAY(B2)</f>
        <v>-1022.4699999999997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v>674585</v>
      </c>
      <c r="F134" s="551">
        <v>675240</v>
      </c>
      <c r="G134" s="112">
        <f t="shared" si="10"/>
        <v>655</v>
      </c>
      <c r="H134" s="99">
        <f>G134+'9'!H134</f>
        <v>666638.77</v>
      </c>
      <c r="I134" s="165"/>
      <c r="J134" s="328">
        <f>H134/DAY(B2)</f>
        <v>66663.877000000008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2642</v>
      </c>
      <c r="H135" s="99">
        <f>G135+'9'!H135</f>
        <v>627238.22</v>
      </c>
      <c r="I135" s="327">
        <f>G135-(G35+G49)</f>
        <v>-110</v>
      </c>
      <c r="J135" s="328">
        <f>H135/DAY(B2)</f>
        <v>62723.822</v>
      </c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-1340</v>
      </c>
      <c r="I138" s="118"/>
      <c r="J138" s="328">
        <f>H138/DAY(B2)</f>
        <v>-134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-24</v>
      </c>
      <c r="I139" s="118"/>
      <c r="J139" s="328">
        <f>H139/DAY(B2)</f>
        <v>-2.4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-24</v>
      </c>
      <c r="I140" s="118"/>
      <c r="J140" s="328">
        <f>H140/DAY(B2)</f>
        <v>-2.4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-3620.5800000000017</v>
      </c>
      <c r="I141" s="118"/>
      <c r="J141" s="328">
        <f>H141/DAY(B2)</f>
        <v>-362.05800000000016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-1579.0999999999985</v>
      </c>
      <c r="I142" s="140"/>
      <c r="J142" s="328">
        <f>H142/DAY(B2)</f>
        <v>-157.90999999999985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-540.38999999999987</v>
      </c>
      <c r="I143" s="140"/>
      <c r="J143" s="328">
        <f>H143/DAY(B2)</f>
        <v>-54.038999999999987</v>
      </c>
      <c r="O143" s="148">
        <v>582206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-4555</v>
      </c>
      <c r="I144" s="140"/>
      <c r="J144" s="328">
        <f>H144/DAY(B2)</f>
        <v>-455.5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-235.84000000000015</v>
      </c>
      <c r="I145" s="140"/>
      <c r="J145" s="328">
        <f>H145/DAY(B2)</f>
        <v>-23.584000000000014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-8155</v>
      </c>
      <c r="I146" s="140"/>
      <c r="J146" s="328">
        <f>H146/DAY(B2)</f>
        <v>-815.5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-7436.5200000000186</v>
      </c>
      <c r="I147" s="140"/>
      <c r="J147" s="328">
        <f>H147/DAY(B2)</f>
        <v>-743.65200000000186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-3791.9599999999627</v>
      </c>
      <c r="I148" s="124"/>
      <c r="J148" s="328">
        <f>H148/DAY(B2)</f>
        <v>-379.19599999999627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-9672.2000000000007</v>
      </c>
      <c r="I149" s="119"/>
      <c r="J149" s="328">
        <f>H149/DAY(B2)</f>
        <v>-967.22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-4594.83</v>
      </c>
      <c r="I150" s="119"/>
      <c r="J150" s="328">
        <f>H150/DAY(B2)</f>
        <v>-459.483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-4854</v>
      </c>
      <c r="I151" s="119"/>
      <c r="J151" s="328">
        <f>H151/DAY(B2)</f>
        <v>-485.4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-340</v>
      </c>
      <c r="I152" s="119"/>
      <c r="J152" s="328">
        <f>H152/DAY(B2)</f>
        <v>-34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-13784.000000000004</v>
      </c>
      <c r="I155" s="364"/>
      <c r="J155" s="328">
        <f>H155/DAY(B2)</f>
        <v>-1378.4000000000003</v>
      </c>
    </row>
    <row r="156" spans="1:10" ht="27.75">
      <c r="A156" s="878" t="s">
        <v>346</v>
      </c>
      <c r="B156" s="878"/>
      <c r="C156" s="878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-1228</v>
      </c>
      <c r="I156" s="165"/>
      <c r="J156" s="328">
        <f>H156/DAY(B2)</f>
        <v>-122.8</v>
      </c>
    </row>
    <row r="157" spans="1:10" ht="27.75">
      <c r="A157" s="870" t="s">
        <v>364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-757.55999999999767</v>
      </c>
      <c r="I161" s="236"/>
      <c r="J161" s="239">
        <f>H161/DAY(B2)</f>
        <v>-75.755999999999773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-692.39999999999418</v>
      </c>
      <c r="I162" s="236"/>
      <c r="J162" s="239">
        <f>H162/DAY(B2)</f>
        <v>-69.239999999999412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-971.10000000000582</v>
      </c>
      <c r="I163" s="236"/>
      <c r="J163" s="239">
        <f>H163/DAY(B2)</f>
        <v>-97.110000000000582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-63</v>
      </c>
      <c r="I164" s="236"/>
      <c r="J164" s="239">
        <f>H164/DAY(B2)</f>
        <v>-6.3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-149.25</v>
      </c>
      <c r="I165" s="236"/>
      <c r="J165" s="239">
        <f>H165/DAY(B2)</f>
        <v>-14.925000000000001</v>
      </c>
    </row>
    <row r="166" spans="1:10" ht="29.25">
      <c r="A166" s="910"/>
      <c r="B166" s="91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>
      <c r="A174" s="868" t="s">
        <v>75</v>
      </c>
      <c r="B174" s="869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-226</v>
      </c>
      <c r="I174" s="155"/>
      <c r="J174" s="178">
        <f>H174/DAY(B2)</f>
        <v>-22.6</v>
      </c>
    </row>
    <row r="175" spans="1:10" ht="31.5" customHeight="1">
      <c r="A175" s="868" t="s">
        <v>76</v>
      </c>
      <c r="B175" s="873"/>
      <c r="C175" s="869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-203</v>
      </c>
      <c r="I175" s="155"/>
      <c r="J175" s="178">
        <f>H175/DAY(B2)</f>
        <v>-20.3</v>
      </c>
    </row>
    <row r="176" spans="1:10" ht="21.75" customHeight="1">
      <c r="A176" s="907" t="s">
        <v>196</v>
      </c>
      <c r="B176" s="908"/>
      <c r="C176" s="333"/>
      <c r="D176" s="228"/>
      <c r="E176" s="95"/>
      <c r="F176" s="155"/>
      <c r="G176" s="155">
        <f>SUM(G173:G175)</f>
        <v>5</v>
      </c>
      <c r="H176" s="99">
        <f>G176+'9'!H176</f>
        <v>-429</v>
      </c>
      <c r="I176" s="155"/>
      <c r="J176" s="178">
        <f>H176/DAY(B2)</f>
        <v>-42.9</v>
      </c>
    </row>
    <row r="177" spans="1:10" ht="27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68" t="s">
        <v>210</v>
      </c>
      <c r="B178" s="869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-1045</v>
      </c>
      <c r="I178" s="155"/>
      <c r="J178" s="178">
        <f>H178/DAY(B2)</f>
        <v>-104.5</v>
      </c>
    </row>
    <row r="179" spans="1:10" ht="27.75" customHeight="1">
      <c r="A179" s="868" t="s">
        <v>211</v>
      </c>
      <c r="B179" s="869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-710</v>
      </c>
      <c r="I179" s="155"/>
      <c r="J179" s="178">
        <f>H179/DAY(B2)</f>
        <v>-71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-158</v>
      </c>
      <c r="I180" s="155"/>
      <c r="J180" s="178">
        <f>H180/DAY(B2)</f>
        <v>-15.8</v>
      </c>
    </row>
    <row r="181" spans="1:10" ht="27.75">
      <c r="A181" s="912" t="s">
        <v>108</v>
      </c>
      <c r="B181" s="913"/>
      <c r="C181" s="333"/>
      <c r="D181" s="228"/>
      <c r="E181" s="95"/>
      <c r="F181" s="155"/>
      <c r="G181" s="155">
        <f>SUM(G178:G180)</f>
        <v>64</v>
      </c>
      <c r="H181" s="99">
        <f>G181+'9'!H181</f>
        <v>-1913</v>
      </c>
      <c r="I181" s="155"/>
      <c r="J181" s="178">
        <f>H181/DAY(B2)</f>
        <v>-191.3</v>
      </c>
    </row>
    <row r="182" spans="1:10" ht="27.75">
      <c r="A182" s="868" t="s">
        <v>213</v>
      </c>
      <c r="B182" s="869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-261</v>
      </c>
      <c r="I183" s="155"/>
      <c r="J183" s="178">
        <f>H183/DAY(B2)</f>
        <v>-26.1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-145</v>
      </c>
      <c r="I184" s="155"/>
      <c r="J184" s="178">
        <f>H184/DAY(B2)</f>
        <v>-14.5</v>
      </c>
    </row>
    <row r="185" spans="1:10" ht="37.5" customHeight="1">
      <c r="A185" s="868" t="s">
        <v>216</v>
      </c>
      <c r="B185" s="869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07" t="s">
        <v>196</v>
      </c>
      <c r="B186" s="908"/>
      <c r="C186" s="334"/>
      <c r="D186" s="229"/>
      <c r="E186" s="95"/>
      <c r="F186" s="157"/>
      <c r="G186" s="157">
        <f>SUM(G183:G185)</f>
        <v>15</v>
      </c>
      <c r="H186" s="99">
        <f>G186+'9'!H186</f>
        <v>-406</v>
      </c>
      <c r="I186" s="157"/>
      <c r="J186" s="178">
        <f>H186/DAY(B2)</f>
        <v>-40.6</v>
      </c>
    </row>
    <row r="187" spans="1:10" ht="21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550">
        <f>G62+G19</f>
        <v>115</v>
      </c>
      <c r="H187" s="99">
        <f>G187+'9'!H187</f>
        <v>-2847</v>
      </c>
      <c r="I187" s="158"/>
      <c r="J187" s="179">
        <f>H187/DAY(B2)</f>
        <v>-284.7</v>
      </c>
    </row>
    <row r="188" spans="1:10" ht="21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550">
        <f>G65+G66+G67+G69+G70</f>
        <v>106</v>
      </c>
      <c r="H188" s="99">
        <f>G188+'9'!H188</f>
        <v>-2762</v>
      </c>
      <c r="I188" s="158"/>
      <c r="J188" s="179">
        <f>H188/DAY(B2)</f>
        <v>-276.2</v>
      </c>
    </row>
    <row r="189" spans="1:10" ht="21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530">
        <f>G181</f>
        <v>64</v>
      </c>
      <c r="H189" s="99">
        <f>G189+'9'!H189</f>
        <v>-1913</v>
      </c>
      <c r="I189" s="158"/>
      <c r="J189" s="179">
        <f>H189/DAY(B2)</f>
        <v>-191.3</v>
      </c>
    </row>
    <row r="190" spans="1:10" ht="27" customHeight="1">
      <c r="A190" s="839"/>
      <c r="B190" s="840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9.25"/>
    <row r="204" ht="29.25"/>
    <row r="205" ht="29.25"/>
    <row r="206" ht="29.25"/>
    <row r="207" ht="29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topLeftCell="A10" zoomScale="55" zoomScaleNormal="55" workbookViewId="0">
      <selection activeCell="F24" sqref="F24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-347316.23</v>
      </c>
      <c r="I7" s="113">
        <f>'1'!I7</f>
        <v>12000</v>
      </c>
      <c r="J7" s="175">
        <f>H7/DAY(B2)</f>
        <v>-31574.202727272725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-354286.15</v>
      </c>
      <c r="I8" s="116"/>
      <c r="J8" s="175">
        <f>H8/DAY(B2)</f>
        <v>-32207.831818181821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'10'!F9</f>
        <v>22761</v>
      </c>
      <c r="F9" s="598">
        <v>33440</v>
      </c>
      <c r="G9" s="112">
        <f>F9-E9</f>
        <v>10679</v>
      </c>
      <c r="H9" s="99">
        <f>G9+'10'!H9</f>
        <v>2108467.1500000004</v>
      </c>
      <c r="I9" s="124">
        <f>I7-J7</f>
        <v>43574.202727272728</v>
      </c>
      <c r="J9" s="175">
        <f>H9/DAY(B2)</f>
        <v>191678.83181818185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507145.03</v>
      </c>
      <c r="I10" s="282"/>
      <c r="J10" s="175">
        <f>H10/DAY(B2)</f>
        <v>46104.093636363636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-170</v>
      </c>
      <c r="I11" s="282"/>
      <c r="J11" s="175">
        <f>H11/DAY(B2)</f>
        <v>-15.454545454545455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2598687.75</v>
      </c>
      <c r="I13" s="120">
        <f>G7-G13</f>
        <v>480</v>
      </c>
      <c r="J13" s="175">
        <f>H13/DAY(B2)</f>
        <v>236244.34090909091</v>
      </c>
      <c r="K13" s="79"/>
      <c r="L13" s="66"/>
      <c r="N13" s="87"/>
      <c r="O13" s="71"/>
    </row>
    <row r="14" spans="1:15" ht="30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598">
        <v>1888289</v>
      </c>
      <c r="G15" s="112">
        <f>(F15-E15)</f>
        <v>931</v>
      </c>
      <c r="H15" s="99">
        <f>G15+'10'!H15</f>
        <v>-18347.766999999993</v>
      </c>
      <c r="I15" s="113">
        <f>'1'!I15</f>
        <v>800</v>
      </c>
      <c r="J15" s="175">
        <f>H15/DAY(B2)</f>
        <v>-1667.9788181818176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2467.9788181818176</v>
      </c>
      <c r="J16" s="176"/>
      <c r="K16" s="79"/>
      <c r="L16" s="66"/>
      <c r="N16" s="87"/>
      <c r="O16" s="71"/>
    </row>
    <row r="17" spans="1:15" ht="30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46" t="s">
        <v>141</v>
      </c>
      <c r="B18" s="847"/>
      <c r="C18" s="848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1660</v>
      </c>
      <c r="I18" s="113">
        <f>'1'!I18</f>
        <v>65</v>
      </c>
      <c r="J18" s="175">
        <f>H18/DAY(B2)</f>
        <v>150.90909090909091</v>
      </c>
      <c r="K18" s="79"/>
      <c r="L18" s="66"/>
      <c r="N18" s="87"/>
      <c r="O18" s="71"/>
    </row>
    <row r="19" spans="1:15" ht="30.75" customHeight="1">
      <c r="A19" s="846" t="s">
        <v>69</v>
      </c>
      <c r="B19" s="847"/>
      <c r="C19" s="848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-1092</v>
      </c>
      <c r="I19" s="335"/>
      <c r="J19" s="175">
        <f>H19/DAY(B2)</f>
        <v>-99.272727272727266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568</v>
      </c>
      <c r="I20" s="336">
        <f>I18-J20</f>
        <v>13.363636363636367</v>
      </c>
      <c r="J20" s="175">
        <f>H20/DAY(B2)</f>
        <v>51.636363636363633</v>
      </c>
      <c r="K20" s="79"/>
      <c r="L20" s="66"/>
      <c r="N20" s="87"/>
      <c r="O20" s="71"/>
    </row>
    <row r="21" spans="1:15" ht="30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-3188575.3500000006</v>
      </c>
      <c r="I27" s="138"/>
      <c r="J27" s="175">
        <f>H27/DAY(B2)</f>
        <v>-289870.48636363639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-954083.88399999961</v>
      </c>
      <c r="I28" s="140"/>
      <c r="J28" s="175">
        <f>H28/DAY(B2)</f>
        <v>-86734.898545454504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-159432</v>
      </c>
      <c r="I30" s="140"/>
      <c r="J30" s="175">
        <f>H30/DAY(B2)</f>
        <v>-14493.818181818182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132800</v>
      </c>
      <c r="I31" s="140"/>
      <c r="J31" s="175">
        <f>H31/DAY(B2)</f>
        <v>12072.727272727272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-4169291.2340000002</v>
      </c>
      <c r="I32" s="144"/>
      <c r="J32" s="175">
        <f>H32/DAY(B2)</f>
        <v>-379026.47581818182</v>
      </c>
      <c r="K32" s="63"/>
      <c r="L32" s="89"/>
      <c r="N32" s="87"/>
      <c r="O32" s="71"/>
    </row>
    <row r="33" spans="1:15" ht="30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140897.02000000002</v>
      </c>
      <c r="I35" s="95"/>
      <c r="J35" s="175">
        <f>H35/DAY(B2)</f>
        <v>12808.820000000002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-13559.739999999998</v>
      </c>
      <c r="I36" s="95"/>
      <c r="J36" s="175">
        <f>H36/DAY(B2)</f>
        <v>-1232.7036363636362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176548.91000000003</v>
      </c>
      <c r="I37" s="95"/>
      <c r="J37" s="175">
        <f>H37/DAY(B2)</f>
        <v>16049.900909090911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211998.57</v>
      </c>
      <c r="I38" s="95"/>
      <c r="J38" s="175">
        <f>H38/DAY(B2)</f>
        <v>19272.597272727275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381242.71</v>
      </c>
      <c r="I39" s="95"/>
      <c r="J39" s="175">
        <f>H39/DAY(B2)</f>
        <v>34658.428181818184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10621.739999999998</v>
      </c>
      <c r="I40" s="95"/>
      <c r="J40" s="175">
        <f>H40/DAY(B2)</f>
        <v>965.61272727272706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-26320.740000000005</v>
      </c>
      <c r="I42" s="95"/>
      <c r="J42" s="175">
        <f>H42/DAY(B2)</f>
        <v>-2392.7945454545461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-42155.600000000006</v>
      </c>
      <c r="I43" s="95"/>
      <c r="J43" s="175">
        <f>H43/DAY(B2)</f>
        <v>-3832.3272727272733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839272.87</v>
      </c>
      <c r="I47" s="95"/>
      <c r="J47" s="175">
        <f>H47/DAY(B2)</f>
        <v>76297.533636363631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264044.81</v>
      </c>
      <c r="I49" s="95"/>
      <c r="J49" s="175">
        <f>H49/DAY(B2)</f>
        <v>24004.073636363635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-20422.629999999997</v>
      </c>
      <c r="I50" s="95"/>
      <c r="J50" s="175">
        <f>H50/DAY(B2)</f>
        <v>-1856.602727272727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1526.6599999999999</v>
      </c>
      <c r="I54" s="95"/>
      <c r="J54" s="175">
        <f>H54/DAY(B2)</f>
        <v>138.78727272727272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-37469.11</v>
      </c>
      <c r="I55" s="95"/>
      <c r="J55" s="175">
        <f>H55/DAY(B2)</f>
        <v>-3406.2827272727272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89158.420000000013</v>
      </c>
      <c r="I58" s="95"/>
      <c r="J58" s="175">
        <f>H58/DAY(B2)</f>
        <v>8105.3109090909102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296838.61000000004</v>
      </c>
      <c r="I59" s="95">
        <f>G7-G60</f>
        <v>948.60000000000582</v>
      </c>
      <c r="J59" s="175">
        <f>H59/DAY(B2)</f>
        <v>26985.328181818186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1136111.4799999997</v>
      </c>
      <c r="I60" s="95">
        <f>G13-G60</f>
        <v>468.60000000000582</v>
      </c>
      <c r="J60" s="175">
        <f>H60/DAY(B2)</f>
        <v>103282.8618181818</v>
      </c>
      <c r="K60" s="79"/>
      <c r="L60" s="66"/>
      <c r="N60" s="87"/>
      <c r="O60" s="71"/>
    </row>
    <row r="61" spans="1:15" s="68" customFormat="1" ht="30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46" t="s">
        <v>198</v>
      </c>
      <c r="B62" s="847"/>
      <c r="C62" s="848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-1632</v>
      </c>
      <c r="I62" s="118"/>
      <c r="J62" s="175">
        <f>H62/DAY(B2)</f>
        <v>-148.36363636363637</v>
      </c>
      <c r="K62" s="80"/>
      <c r="L62" s="66"/>
      <c r="N62" s="87"/>
      <c r="O62" s="71"/>
    </row>
    <row r="63" spans="1:15" ht="30.75" customHeight="1">
      <c r="A63" s="846" t="s">
        <v>199</v>
      </c>
      <c r="B63" s="847"/>
      <c r="C63" s="848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-2188</v>
      </c>
      <c r="I63" s="118"/>
      <c r="J63" s="175">
        <f>H63/DAY(B2)</f>
        <v>-198.90909090909091</v>
      </c>
      <c r="K63" s="69"/>
      <c r="L63" s="66"/>
      <c r="N63" s="87"/>
      <c r="O63" s="71"/>
    </row>
    <row r="64" spans="1:15" ht="30.75" customHeight="1">
      <c r="A64" s="843" t="s">
        <v>200</v>
      </c>
      <c r="B64" s="844"/>
      <c r="C64" s="845"/>
      <c r="D64" s="151"/>
      <c r="E64" s="95">
        <f>'10'!F64</f>
        <v>0</v>
      </c>
      <c r="F64" s="122"/>
      <c r="G64" s="112">
        <f>G62+G63</f>
        <v>181</v>
      </c>
      <c r="H64" s="99">
        <f>G64+'10'!H64</f>
        <v>-3820</v>
      </c>
      <c r="I64" s="118"/>
      <c r="J64" s="175">
        <f>H64/DAY(B2)</f>
        <v>-347.27272727272725</v>
      </c>
      <c r="K64" s="69"/>
      <c r="L64" s="66"/>
      <c r="N64" s="87"/>
      <c r="O64" s="71"/>
    </row>
    <row r="65" spans="1:15" ht="30.75" customHeight="1">
      <c r="A65" s="846" t="s">
        <v>201</v>
      </c>
      <c r="B65" s="847"/>
      <c r="C65" s="848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-1501</v>
      </c>
      <c r="I65" s="118"/>
      <c r="J65" s="175">
        <f>H65/DAY(B2)</f>
        <v>-136.45454545454547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-319</v>
      </c>
      <c r="I66" s="118"/>
      <c r="J66" s="175">
        <f>H66/DAY(B2)</f>
        <v>-29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-445</v>
      </c>
      <c r="I67" s="118"/>
      <c r="J67" s="175">
        <f>H67/DAY(B2)</f>
        <v>-40.454545454545453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-792</v>
      </c>
      <c r="I68" s="118"/>
      <c r="J68" s="175">
        <f>H68/DAY(B2)</f>
        <v>-72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-206</v>
      </c>
      <c r="I69" s="118"/>
      <c r="J69" s="175">
        <f>H69/DAY(B2)</f>
        <v>-18.727272727272727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-167</v>
      </c>
      <c r="I70" s="118"/>
      <c r="J70" s="175">
        <f>H70/DAY(B2)</f>
        <v>-15.181818181818182</v>
      </c>
      <c r="K70" s="69"/>
      <c r="L70" s="66"/>
      <c r="N70" s="87"/>
      <c r="O70" s="71"/>
    </row>
    <row r="71" spans="1:15" ht="30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150</v>
      </c>
      <c r="H71" s="99">
        <f>G71+'10'!H71</f>
        <v>-3430</v>
      </c>
      <c r="I71" s="154"/>
      <c r="J71" s="175">
        <f>H71/DAY(B2)</f>
        <v>-311.81818181818181</v>
      </c>
      <c r="K71" s="69"/>
      <c r="L71" s="66"/>
      <c r="N71" s="87"/>
      <c r="O71" s="71"/>
    </row>
    <row r="72" spans="1:15" s="88" customFormat="1" ht="30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46" t="s">
        <v>220</v>
      </c>
      <c r="B74" s="847"/>
      <c r="C74" s="848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-6064.1489999999758</v>
      </c>
      <c r="I74" s="154"/>
      <c r="J74" s="175">
        <f>H74/DAY(B2)</f>
        <v>-551.28627272727056</v>
      </c>
      <c r="K74" s="69"/>
      <c r="L74" s="66"/>
      <c r="N74" s="87"/>
      <c r="O74" s="71"/>
    </row>
    <row r="75" spans="1:15" ht="30.75" customHeight="1">
      <c r="A75" s="846" t="s">
        <v>221</v>
      </c>
      <c r="B75" s="847"/>
      <c r="C75" s="848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>
      <c r="A76" s="890" t="s">
        <v>222</v>
      </c>
      <c r="B76" s="876"/>
      <c r="C76" s="877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-1817</v>
      </c>
      <c r="I76" s="154"/>
      <c r="J76" s="175">
        <f>H76/DAY(B2)</f>
        <v>-165.18181818181819</v>
      </c>
      <c r="K76" s="69"/>
      <c r="L76" s="66"/>
      <c r="N76" s="87"/>
      <c r="O76" s="71"/>
    </row>
    <row r="77" spans="1:15" ht="30.75" customHeight="1">
      <c r="A77" s="890" t="s">
        <v>223</v>
      </c>
      <c r="B77" s="876"/>
      <c r="C77" s="877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-631.19999999999709</v>
      </c>
      <c r="I77" s="154"/>
      <c r="J77" s="175">
        <f>H77/DAY(B2)</f>
        <v>-57.38181818181792</v>
      </c>
      <c r="K77" s="69"/>
      <c r="L77" s="66"/>
      <c r="N77" s="87"/>
      <c r="O77" s="71"/>
    </row>
    <row r="78" spans="1:15" ht="30.75" customHeight="1">
      <c r="A78" s="890" t="s">
        <v>224</v>
      </c>
      <c r="B78" s="876"/>
      <c r="C78" s="877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-20</v>
      </c>
      <c r="I78" s="118"/>
      <c r="J78" s="175">
        <f>H78/DAY(B2)</f>
        <v>-1.8181818181818181</v>
      </c>
      <c r="K78" s="69"/>
      <c r="L78" s="66"/>
      <c r="N78" s="87"/>
      <c r="O78" s="71"/>
    </row>
    <row r="79" spans="1:15" s="57" customFormat="1" ht="30.75" customHeight="1">
      <c r="A79" s="890" t="s">
        <v>225</v>
      </c>
      <c r="B79" s="876"/>
      <c r="C79" s="877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-9815.6180000000168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-165.44999999999982</v>
      </c>
      <c r="I85" s="118">
        <f>G82+G83+G84+G85</f>
        <v>0</v>
      </c>
      <c r="J85" s="175">
        <f>H85/DAY(B2)</f>
        <v>-15.040909090909075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-314</v>
      </c>
      <c r="I86" s="118"/>
      <c r="J86" s="175">
        <f>H86/DAY(B2)</f>
        <v>-28.545454545454547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-5.430000000000291</v>
      </c>
      <c r="I88" s="118">
        <f>G86+G87+G88</f>
        <v>24</v>
      </c>
      <c r="J88" s="175">
        <f>H88/DAY(B2)</f>
        <v>-0.49363636363639007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-157.11999999999898</v>
      </c>
      <c r="I89" s="118"/>
      <c r="J89" s="175">
        <f>H89/DAY(B2)</f>
        <v>-14.283636363636271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-75.320000000006985</v>
      </c>
      <c r="I90" s="118">
        <f>G89+G90</f>
        <v>12</v>
      </c>
      <c r="J90" s="175">
        <f>H90/DAY(B2)</f>
        <v>-6.8472727272733627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-24.769999999999982</v>
      </c>
      <c r="I91" s="165"/>
      <c r="J91" s="175">
        <f>H91/DAY(B2)</f>
        <v>-2.2518181818181802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-190.06999999999971</v>
      </c>
      <c r="I92" s="165"/>
      <c r="J92" s="175">
        <f>H92/DAY(B2)</f>
        <v>-17.279090909090883</v>
      </c>
      <c r="O92" s="71"/>
    </row>
    <row r="93" spans="1:15" ht="30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4739</v>
      </c>
      <c r="H94" s="99">
        <f>G94+'10'!H94</f>
        <v>362786.23</v>
      </c>
      <c r="I94" s="118"/>
      <c r="J94" s="175">
        <f>H94/DAY(B2)</f>
        <v>32980.566363636361</v>
      </c>
      <c r="K94" s="69"/>
      <c r="L94" s="66"/>
      <c r="O94" s="71"/>
    </row>
    <row r="95" spans="1:15" ht="30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0.27835535976505138</v>
      </c>
      <c r="H95" s="99">
        <f>G95+'10'!H95</f>
        <v>2.2245873870920576</v>
      </c>
      <c r="I95" s="167"/>
      <c r="J95" s="175">
        <f>H95/DAY(B2)</f>
        <v>0.20223521700836888</v>
      </c>
      <c r="K95" s="69"/>
      <c r="L95" s="66"/>
      <c r="O95" s="71"/>
    </row>
    <row r="96" spans="1:15" ht="30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-63789.390000000014</v>
      </c>
      <c r="I96" s="118"/>
      <c r="J96" s="175">
        <f>H96/DAY(B2)</f>
        <v>-5799.0354545454557</v>
      </c>
      <c r="K96" s="69"/>
      <c r="L96" s="66"/>
      <c r="O96" s="71"/>
    </row>
    <row r="97" spans="1:15" ht="30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0.17071365638766486</v>
      </c>
      <c r="H97" s="99">
        <f>G97+'10'!H97</f>
        <v>1.9183531540026093</v>
      </c>
      <c r="I97" s="167"/>
      <c r="J97" s="175">
        <f>H97/DAY(B2)</f>
        <v>0.17439574127296448</v>
      </c>
      <c r="K97" s="69"/>
      <c r="L97" s="66"/>
      <c r="O97" s="71"/>
    </row>
    <row r="98" spans="1:15" ht="30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2471</v>
      </c>
      <c r="H98" s="99">
        <f>G98+'10'!H98</f>
        <v>381242.71</v>
      </c>
      <c r="I98" s="168"/>
      <c r="J98" s="175">
        <f>H98/DAY(B2)</f>
        <v>34658.428181818184</v>
      </c>
      <c r="K98" s="69"/>
      <c r="L98" s="66"/>
      <c r="O98" s="71"/>
    </row>
    <row r="99" spans="1:15" ht="30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0.14513950073421439</v>
      </c>
      <c r="H99" s="99">
        <f>G99+'10'!H99</f>
        <v>0.75714430702412239</v>
      </c>
      <c r="I99" s="168"/>
      <c r="J99" s="175">
        <f>H99/DAY(B2)</f>
        <v>6.8831300638556581E-2</v>
      </c>
      <c r="O99" s="71"/>
    </row>
    <row r="100" spans="1:15" ht="30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1494</v>
      </c>
      <c r="H100" s="99">
        <f>G100+'10'!H100</f>
        <v>211998.57</v>
      </c>
      <c r="I100" s="118"/>
      <c r="J100" s="175">
        <f>H100/DAY(B2)</f>
        <v>19272.597272727275</v>
      </c>
      <c r="K100" s="70"/>
      <c r="O100" s="71"/>
    </row>
    <row r="101" spans="1:15" ht="30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0.52668833381670821</v>
      </c>
      <c r="I101" s="168"/>
      <c r="J101" s="175">
        <f>H101/DAY(B2)</f>
        <v>4.7880757619700745E-2</v>
      </c>
      <c r="O101" s="71"/>
    </row>
    <row r="102" spans="1:15" ht="30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1569</v>
      </c>
      <c r="H102" s="99">
        <f>G102+'10'!H102</f>
        <v>-33982.369999999995</v>
      </c>
      <c r="I102" s="168"/>
      <c r="J102" s="175">
        <f>H102/DAY(B2)</f>
        <v>-3089.3063636363631</v>
      </c>
      <c r="O102" s="71"/>
    </row>
    <row r="103" spans="1:15" ht="30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1.0302942536391639</v>
      </c>
      <c r="I103" s="118"/>
      <c r="J103" s="175">
        <f>H103/DAY(B2)</f>
        <v>9.3663113967196718E-2</v>
      </c>
      <c r="O103" s="71"/>
    </row>
    <row r="104" spans="1:15" ht="30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1445</v>
      </c>
      <c r="H104" s="99">
        <f>G104+'10'!H104</f>
        <v>176548.91000000003</v>
      </c>
      <c r="I104" s="118"/>
      <c r="J104" s="175">
        <f>H104/DAY(B2)</f>
        <v>16049.900909090911</v>
      </c>
      <c r="O104" s="71"/>
    </row>
    <row r="105" spans="1:15" ht="30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0.51170624367160855</v>
      </c>
      <c r="I105" s="187"/>
      <c r="J105" s="188">
        <f>H105/DAY(B2)</f>
        <v>4.651874942469169E-2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>
      <c r="A109" s="885"/>
      <c r="B109" s="885"/>
    </row>
    <row r="110" spans="1:15" ht="30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9" t="s">
        <v>252</v>
      </c>
      <c r="B112" s="880"/>
      <c r="C112" s="881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-1549</v>
      </c>
      <c r="I112" s="165"/>
      <c r="J112" s="328">
        <f>H112/DAY(B2)</f>
        <v>-140.81818181818181</v>
      </c>
    </row>
    <row r="113" spans="1:18" ht="30.75" customHeight="1">
      <c r="A113" s="879" t="s">
        <v>253</v>
      </c>
      <c r="B113" s="880"/>
      <c r="C113" s="881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-9260.89</v>
      </c>
      <c r="I113" s="165"/>
      <c r="J113" s="328">
        <f>H113/DAY(B2)</f>
        <v>-841.89909090909089</v>
      </c>
    </row>
    <row r="114" spans="1:18" ht="30.75" customHeight="1">
      <c r="A114" s="879" t="s">
        <v>254</v>
      </c>
      <c r="B114" s="880"/>
      <c r="C114" s="881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-5371</v>
      </c>
      <c r="I114" s="165"/>
      <c r="J114" s="328">
        <f>H114/DAY(B2)</f>
        <v>-488.27272727272725</v>
      </c>
    </row>
    <row r="115" spans="1:18" ht="30.75" customHeight="1">
      <c r="A115" s="879" t="s">
        <v>255</v>
      </c>
      <c r="B115" s="880"/>
      <c r="C115" s="881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-194.64999999999964</v>
      </c>
      <c r="I115" s="165"/>
      <c r="J115" s="328">
        <f>H115/DAY(B2)</f>
        <v>-17.695454545454513</v>
      </c>
    </row>
    <row r="116" spans="1:18" ht="30.75" customHeight="1">
      <c r="A116" s="897" t="s">
        <v>96</v>
      </c>
      <c r="B116" s="898"/>
      <c r="C116" s="899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>
      <c r="A117" s="897" t="s">
        <v>184</v>
      </c>
      <c r="B117" s="898"/>
      <c r="C117" s="899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-466.94999999999982</v>
      </c>
      <c r="I117" s="165"/>
      <c r="J117" s="328">
        <f>H117/DAY(B2)</f>
        <v>-42.449999999999982</v>
      </c>
      <c r="Q117" s="879" t="s">
        <v>312</v>
      </c>
      <c r="R117" s="881"/>
    </row>
    <row r="118" spans="1:18" ht="30.75" customHeight="1">
      <c r="A118" s="874" t="s">
        <v>97</v>
      </c>
      <c r="B118" s="874"/>
      <c r="C118" s="874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-6796.3099999999977</v>
      </c>
      <c r="I118" s="165"/>
      <c r="J118" s="328">
        <f>H118/DAY(B2)</f>
        <v>-617.84636363636344</v>
      </c>
      <c r="Q118" s="879" t="s">
        <v>311</v>
      </c>
      <c r="R118" s="881"/>
    </row>
    <row r="119" spans="1:18" ht="30.75" customHeight="1">
      <c r="A119" s="874" t="s">
        <v>98</v>
      </c>
      <c r="B119" s="874"/>
      <c r="C119" s="874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-8289.5499999999884</v>
      </c>
      <c r="I119" s="165"/>
      <c r="J119" s="328">
        <f>H119/DAY(B2)</f>
        <v>-753.59545454545344</v>
      </c>
    </row>
    <row r="120" spans="1:18" ht="30.75" customHeight="1">
      <c r="A120" s="874" t="s">
        <v>99</v>
      </c>
      <c r="B120" s="874"/>
      <c r="C120" s="874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-8303.61</v>
      </c>
      <c r="I120" s="165"/>
      <c r="J120" s="328">
        <f>H120/DAY(B2)</f>
        <v>-754.87363636363636</v>
      </c>
    </row>
    <row r="121" spans="1:18" ht="30.75" customHeight="1">
      <c r="A121" s="874" t="s">
        <v>100</v>
      </c>
      <c r="B121" s="874"/>
      <c r="C121" s="874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-13524.429999999993</v>
      </c>
      <c r="I121" s="165"/>
      <c r="J121" s="328">
        <f>H121/DAY(B2)</f>
        <v>-1229.4936363636357</v>
      </c>
    </row>
    <row r="122" spans="1:18" ht="30.75" customHeight="1">
      <c r="A122" s="874" t="s">
        <v>101</v>
      </c>
      <c r="B122" s="874"/>
      <c r="C122" s="874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-3755.179999999993</v>
      </c>
      <c r="I122" s="165"/>
      <c r="J122" s="328">
        <f>H122/DAY(B2)</f>
        <v>-341.37999999999937</v>
      </c>
    </row>
    <row r="123" spans="1:18" ht="30.75" customHeight="1">
      <c r="A123" s="874" t="s">
        <v>102</v>
      </c>
      <c r="B123" s="874"/>
      <c r="C123" s="874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-5418.9500000000116</v>
      </c>
      <c r="I123" s="165"/>
      <c r="J123" s="328">
        <f>H123/DAY(B2)</f>
        <v>-492.63181818181926</v>
      </c>
    </row>
    <row r="124" spans="1:18" ht="30.7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>
      <c r="A127" s="910"/>
      <c r="B127" s="910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79" t="s">
        <v>318</v>
      </c>
      <c r="B128" s="880"/>
      <c r="C128" s="881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-6163</v>
      </c>
      <c r="I128" s="165"/>
      <c r="J128" s="328">
        <f>H128/DAY(B2)</f>
        <v>-560.27272727272725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-4213.869999999999</v>
      </c>
      <c r="I129" s="165"/>
      <c r="J129" s="328">
        <f>H129/DAY(B2)</f>
        <v>-383.07909090909084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-10341</v>
      </c>
      <c r="I130" s="165"/>
      <c r="J130" s="328">
        <f>H130/DAY(B2)</f>
        <v>-940.09090909090912</v>
      </c>
      <c r="N130" s="240"/>
      <c r="O130" s="241"/>
    </row>
    <row r="131" spans="1:15" ht="30.75" customHeight="1">
      <c r="A131" s="879" t="s">
        <v>321</v>
      </c>
      <c r="B131" s="880"/>
      <c r="C131" s="881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-1341.6800000000003</v>
      </c>
      <c r="I131" s="165"/>
      <c r="J131" s="328">
        <f>H131/DAY(B2)</f>
        <v>-121.97090909090912</v>
      </c>
      <c r="N131" s="240"/>
      <c r="O131" s="241"/>
    </row>
    <row r="132" spans="1:15" ht="30.75" customHeight="1">
      <c r="A132" s="879" t="s">
        <v>322</v>
      </c>
      <c r="B132" s="880"/>
      <c r="C132" s="881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-5585.3000000000029</v>
      </c>
      <c r="I132" s="165"/>
      <c r="J132" s="328">
        <f>H132/DAY(B2)</f>
        <v>-507.75454545454573</v>
      </c>
    </row>
    <row r="133" spans="1:15" ht="30.75" customHeight="1">
      <c r="A133" s="879" t="s">
        <v>362</v>
      </c>
      <c r="B133" s="880"/>
      <c r="C133" s="881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-9838.6999999999971</v>
      </c>
      <c r="I133" s="165"/>
      <c r="J133" s="328">
        <f>H133/DAY(B2)</f>
        <v>-894.42727272727245</v>
      </c>
    </row>
    <row r="134" spans="1:15" ht="30.75" customHeight="1">
      <c r="A134" s="879" t="s">
        <v>340</v>
      </c>
      <c r="B134" s="880"/>
      <c r="C134" s="881"/>
      <c r="D134" s="151" t="s">
        <v>183</v>
      </c>
      <c r="E134" s="95">
        <f>'10'!F134</f>
        <v>675240</v>
      </c>
      <c r="F134" s="551">
        <v>675870</v>
      </c>
      <c r="G134" s="112">
        <f t="shared" si="10"/>
        <v>630</v>
      </c>
      <c r="H134" s="99">
        <f>G134+'10'!H134</f>
        <v>667268.77</v>
      </c>
      <c r="I134" s="165"/>
      <c r="J134" s="328">
        <f>H134/DAY(B2)</f>
        <v>60660.797272727272</v>
      </c>
    </row>
    <row r="135" spans="1:15" ht="30.7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2547</v>
      </c>
      <c r="H135" s="99">
        <f>G135+'10'!H135</f>
        <v>629785.22</v>
      </c>
      <c r="I135" s="327">
        <f>G135-(G35+G49)</f>
        <v>-152</v>
      </c>
      <c r="J135" s="328">
        <f>H135/DAY(B2)</f>
        <v>57253.201818181813</v>
      </c>
    </row>
    <row r="136" spans="1:15" ht="30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>
      <c r="A138" s="874" t="s">
        <v>185</v>
      </c>
      <c r="B138" s="874"/>
      <c r="C138" s="874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-1292</v>
      </c>
      <c r="I138" s="118"/>
      <c r="J138" s="328">
        <f>H138/DAY(B2)</f>
        <v>-117.45454545454545</v>
      </c>
    </row>
    <row r="139" spans="1:15" ht="30.75" customHeight="1">
      <c r="A139" s="874" t="s">
        <v>186</v>
      </c>
      <c r="B139" s="874"/>
      <c r="C139" s="874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-24</v>
      </c>
      <c r="I139" s="118"/>
      <c r="J139" s="328">
        <f>H139/DAY(B2)</f>
        <v>-2.1818181818181817</v>
      </c>
    </row>
    <row r="140" spans="1:15" ht="30.75" customHeight="1">
      <c r="A140" s="874" t="s">
        <v>187</v>
      </c>
      <c r="B140" s="874"/>
      <c r="C140" s="874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-24</v>
      </c>
      <c r="I140" s="118"/>
      <c r="J140" s="328">
        <f>H140/DAY(B2)</f>
        <v>-2.1818181818181817</v>
      </c>
    </row>
    <row r="141" spans="1:15" ht="30.75" customHeight="1">
      <c r="A141" s="878" t="s">
        <v>188</v>
      </c>
      <c r="B141" s="878"/>
      <c r="C141" s="878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-3453.5800000000017</v>
      </c>
      <c r="I141" s="118"/>
      <c r="J141" s="328">
        <f>H141/DAY(B2)</f>
        <v>-313.96181818181833</v>
      </c>
    </row>
    <row r="142" spans="1:15" ht="30.75" customHeight="1">
      <c r="A142" s="878" t="s">
        <v>189</v>
      </c>
      <c r="B142" s="878"/>
      <c r="C142" s="878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-1514.0999999999985</v>
      </c>
      <c r="I142" s="140"/>
      <c r="J142" s="328">
        <f>H142/DAY(B2)</f>
        <v>-137.64545454545441</v>
      </c>
    </row>
    <row r="143" spans="1:15" ht="30.75" customHeight="1">
      <c r="A143" s="874" t="s">
        <v>91</v>
      </c>
      <c r="B143" s="874"/>
      <c r="C143" s="874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-516.38999999999987</v>
      </c>
      <c r="I143" s="140"/>
      <c r="J143" s="328">
        <f>H143/DAY(B2)</f>
        <v>-46.944545454545441</v>
      </c>
    </row>
    <row r="144" spans="1:15" ht="30.75" customHeight="1">
      <c r="A144" s="878" t="s">
        <v>90</v>
      </c>
      <c r="B144" s="878"/>
      <c r="C144" s="878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-4341</v>
      </c>
      <c r="I144" s="140"/>
      <c r="J144" s="328">
        <f>H144/DAY(B2)</f>
        <v>-394.63636363636363</v>
      </c>
    </row>
    <row r="145" spans="1:10" ht="30.75" customHeight="1">
      <c r="A145" s="874" t="s">
        <v>190</v>
      </c>
      <c r="B145" s="874"/>
      <c r="C145" s="874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-225.84000000000015</v>
      </c>
      <c r="I145" s="140"/>
      <c r="J145" s="328">
        <f>H145/DAY(B2)</f>
        <v>-20.530909090909105</v>
      </c>
    </row>
    <row r="146" spans="1:10" ht="30.75" customHeight="1">
      <c r="A146" s="875" t="s">
        <v>191</v>
      </c>
      <c r="B146" s="876"/>
      <c r="C146" s="877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-7868</v>
      </c>
      <c r="I146" s="140"/>
      <c r="J146" s="328">
        <f>H146/DAY(B2)</f>
        <v>-715.27272727272725</v>
      </c>
    </row>
    <row r="147" spans="1:10" ht="30.75" customHeight="1">
      <c r="A147" s="878" t="s">
        <v>192</v>
      </c>
      <c r="B147" s="878"/>
      <c r="C147" s="878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-7083.5200000000186</v>
      </c>
      <c r="I147" s="140"/>
      <c r="J147" s="328">
        <f>H147/DAY(B2)</f>
        <v>-643.95636363636538</v>
      </c>
    </row>
    <row r="148" spans="1:10" ht="30.75" customHeight="1">
      <c r="A148" s="870" t="s">
        <v>193</v>
      </c>
      <c r="B148" s="871"/>
      <c r="C148" s="872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-3603.9599999999627</v>
      </c>
      <c r="I148" s="124"/>
      <c r="J148" s="328">
        <f>H148/DAY(B2)</f>
        <v>-327.63272727272391</v>
      </c>
    </row>
    <row r="149" spans="1:10" ht="30.75" customHeight="1">
      <c r="A149" s="870" t="s">
        <v>336</v>
      </c>
      <c r="B149" s="871"/>
      <c r="C149" s="872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-9319.2000000000007</v>
      </c>
      <c r="I149" s="119"/>
      <c r="J149" s="328">
        <f>H149/DAY(B2)</f>
        <v>-847.2</v>
      </c>
    </row>
    <row r="150" spans="1:10" ht="30.75" customHeight="1">
      <c r="A150" s="870" t="s">
        <v>337</v>
      </c>
      <c r="B150" s="871"/>
      <c r="C150" s="872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-4379.83</v>
      </c>
      <c r="I150" s="119"/>
      <c r="J150" s="328">
        <f>H150/DAY(B2)</f>
        <v>-398.16636363636366</v>
      </c>
    </row>
    <row r="151" spans="1:10" ht="30.75" customHeight="1">
      <c r="A151" s="870" t="s">
        <v>338</v>
      </c>
      <c r="B151" s="871"/>
      <c r="C151" s="872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-4641</v>
      </c>
      <c r="I151" s="119"/>
      <c r="J151" s="328">
        <f>H151/DAY(B2)</f>
        <v>-421.90909090909093</v>
      </c>
    </row>
    <row r="152" spans="1:10" ht="30.75" customHeight="1">
      <c r="A152" s="870" t="s">
        <v>339</v>
      </c>
      <c r="B152" s="871"/>
      <c r="C152" s="872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-326</v>
      </c>
      <c r="I152" s="119"/>
      <c r="J152" s="328">
        <f>H152/DAY(B2)</f>
        <v>-29.636363636363637</v>
      </c>
    </row>
    <row r="153" spans="1:10" ht="30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>
      <c r="A155" s="878" t="s">
        <v>345</v>
      </c>
      <c r="B155" s="878"/>
      <c r="C155" s="878"/>
      <c r="D155" s="117" t="s">
        <v>130</v>
      </c>
      <c r="E155" s="95">
        <f>'10'!F155</f>
        <v>19161</v>
      </c>
      <c r="F155" s="551">
        <v>19716</v>
      </c>
      <c r="G155" s="112">
        <f t="shared" ref="G155:G156" si="12">F155-E155</f>
        <v>555</v>
      </c>
      <c r="H155" s="99">
        <f>G155+'10'!H155</f>
        <v>-13229.000000000004</v>
      </c>
      <c r="I155" s="364"/>
      <c r="J155" s="328">
        <f>H155/DAY(B2)</f>
        <v>-1202.636363636364</v>
      </c>
    </row>
    <row r="156" spans="1:10" ht="30.75" customHeight="1">
      <c r="A156" s="878" t="s">
        <v>347</v>
      </c>
      <c r="B156" s="878"/>
      <c r="C156" s="878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-1177</v>
      </c>
      <c r="I156" s="165"/>
      <c r="J156" s="328">
        <f>H156/DAY(B2)</f>
        <v>-107</v>
      </c>
    </row>
    <row r="157" spans="1:10" ht="30.75" customHeight="1">
      <c r="A157" s="870" t="s">
        <v>364</v>
      </c>
      <c r="B157" s="871"/>
      <c r="C157" s="872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>
      <c r="A158" s="870" t="s">
        <v>365</v>
      </c>
      <c r="B158" s="871"/>
      <c r="C158" s="872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0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-650.55999999999767</v>
      </c>
      <c r="I161" s="236"/>
      <c r="J161" s="239">
        <f>H161/DAY(B2)</f>
        <v>-59.141818181817968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-656.39999999999418</v>
      </c>
      <c r="I162" s="236"/>
      <c r="J162" s="239">
        <f>H162/DAY(B2)</f>
        <v>-59.672727272726746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-937.10000000000582</v>
      </c>
      <c r="I163" s="236"/>
      <c r="J163" s="239">
        <f>H163/DAY(B2)</f>
        <v>-85.190909090909614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-62</v>
      </c>
      <c r="I164" s="236"/>
      <c r="J164" s="239">
        <f>H164/DAY(B2)</f>
        <v>-5.6363636363636367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-142.25</v>
      </c>
      <c r="I165" s="236"/>
      <c r="J165" s="239">
        <f>H165/DAY(B2)</f>
        <v>-12.931818181818182</v>
      </c>
    </row>
    <row r="166" spans="1:10" ht="30.75" customHeight="1">
      <c r="A166" s="910"/>
      <c r="B166" s="91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10"/>
      <c r="B167" s="91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10"/>
      <c r="B168" s="91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68" t="s">
        <v>209</v>
      </c>
      <c r="B173" s="869"/>
      <c r="C173" s="333"/>
      <c r="D173" s="228" t="s">
        <v>142</v>
      </c>
      <c r="E173" s="95">
        <f>'10'!F173</f>
        <v>8126</v>
      </c>
      <c r="F173" s="551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>
      <c r="A174" s="868" t="s">
        <v>75</v>
      </c>
      <c r="B174" s="869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-212</v>
      </c>
      <c r="I174" s="155"/>
      <c r="J174" s="178">
        <f>H174/DAY(B2)</f>
        <v>-19.272727272727273</v>
      </c>
    </row>
    <row r="175" spans="1:10" ht="30.75" customHeight="1">
      <c r="A175" s="868" t="s">
        <v>76</v>
      </c>
      <c r="B175" s="873"/>
      <c r="C175" s="869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-192</v>
      </c>
      <c r="I175" s="155"/>
      <c r="J175" s="178">
        <f>H175/DAY(B2)</f>
        <v>-17.454545454545453</v>
      </c>
    </row>
    <row r="176" spans="1:10" ht="30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G176+'10'!H176</f>
        <v>-404</v>
      </c>
      <c r="I176" s="155"/>
      <c r="J176" s="178">
        <f>H176/DAY(B2)</f>
        <v>-36.727272727272727</v>
      </c>
    </row>
    <row r="177" spans="1:10" ht="30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68" t="s">
        <v>210</v>
      </c>
      <c r="B178" s="869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-1003</v>
      </c>
      <c r="I178" s="155"/>
      <c r="J178" s="178">
        <f>H178/DAY(B2)</f>
        <v>-91.181818181818187</v>
      </c>
    </row>
    <row r="179" spans="1:10" ht="30.75" customHeight="1">
      <c r="A179" s="868" t="s">
        <v>211</v>
      </c>
      <c r="B179" s="869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-676</v>
      </c>
      <c r="I179" s="155"/>
      <c r="J179" s="178">
        <f>H179/DAY(B2)</f>
        <v>-61.454545454545453</v>
      </c>
    </row>
    <row r="180" spans="1:10" ht="30.75" customHeight="1">
      <c r="A180" s="868" t="s">
        <v>212</v>
      </c>
      <c r="B180" s="869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-156</v>
      </c>
      <c r="I180" s="155"/>
      <c r="J180" s="178">
        <f>H180/DAY(B2)</f>
        <v>-14.181818181818182</v>
      </c>
    </row>
    <row r="181" spans="1:10" ht="30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78</v>
      </c>
      <c r="H181" s="99">
        <f>G181+'10'!H181</f>
        <v>-1835</v>
      </c>
      <c r="I181" s="155"/>
      <c r="J181" s="178">
        <f>H181/DAY(B2)</f>
        <v>-166.81818181818181</v>
      </c>
    </row>
    <row r="182" spans="1:10" ht="30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68" t="s">
        <v>214</v>
      </c>
      <c r="B183" s="869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-251</v>
      </c>
      <c r="I183" s="155"/>
      <c r="J183" s="178">
        <f>H183/DAY(B2)</f>
        <v>-22.818181818181817</v>
      </c>
    </row>
    <row r="184" spans="1:10" ht="30.75" customHeight="1">
      <c r="A184" s="868" t="s">
        <v>215</v>
      </c>
      <c r="B184" s="869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-138</v>
      </c>
      <c r="I184" s="155"/>
      <c r="J184" s="178">
        <f>H184/DAY(B2)</f>
        <v>-12.545454545454545</v>
      </c>
    </row>
    <row r="185" spans="1:10" ht="30.75" customHeight="1">
      <c r="A185" s="868" t="s">
        <v>216</v>
      </c>
      <c r="B185" s="869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G186+'10'!H186</f>
        <v>-389</v>
      </c>
      <c r="I186" s="157"/>
      <c r="J186" s="178">
        <f>H186/DAY(B2)</f>
        <v>-35.363636363636367</v>
      </c>
    </row>
    <row r="187" spans="1:10" ht="30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123</v>
      </c>
      <c r="H187" s="99">
        <f>G187+'10'!H187</f>
        <v>-2724</v>
      </c>
      <c r="I187" s="158"/>
      <c r="J187" s="179">
        <f>H187/DAY(B2)</f>
        <v>-247.63636363636363</v>
      </c>
    </row>
    <row r="188" spans="1:10" ht="30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124</v>
      </c>
      <c r="H188" s="99">
        <f>G188+'10'!H188</f>
        <v>-2638</v>
      </c>
      <c r="I188" s="158"/>
      <c r="J188" s="179">
        <f>H188/DAY(B2)</f>
        <v>-239.81818181818181</v>
      </c>
    </row>
    <row r="189" spans="1:10" ht="30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78</v>
      </c>
      <c r="H189" s="99">
        <f>G189+'10'!H189</f>
        <v>-1835</v>
      </c>
      <c r="I189" s="158"/>
      <c r="J189" s="179">
        <f>H189/DAY(B2)</f>
        <v>-166.81818181818181</v>
      </c>
    </row>
    <row r="190" spans="1:10" ht="30.75" customHeight="1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75" zoomScaleSheetLayoutView="50" workbookViewId="0">
      <selection activeCell="F24" sqref="F2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2.25" customHeight="1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-330785.23</v>
      </c>
      <c r="I7" s="113">
        <f>'1'!I7</f>
        <v>12000</v>
      </c>
      <c r="J7" s="175">
        <f>H7/DAY(B2)</f>
        <v>-27565.435833333333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-337573.15</v>
      </c>
      <c r="I8" s="116"/>
      <c r="J8" s="175">
        <f>H8/DAY(B2)</f>
        <v>-28131.095833333336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33440</v>
      </c>
      <c r="F9" s="598">
        <v>44230</v>
      </c>
      <c r="G9" s="112">
        <f>F9-E9</f>
        <v>10790</v>
      </c>
      <c r="H9" s="99">
        <f>G9+'11'!H9</f>
        <v>2119257.1500000004</v>
      </c>
      <c r="I9" s="124">
        <f>I7-J7</f>
        <v>39565.435833333337</v>
      </c>
      <c r="J9" s="175">
        <f>H9/DAY(B2)</f>
        <v>176604.76250000004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512414.03</v>
      </c>
      <c r="I10" s="282"/>
      <c r="J10" s="175">
        <f>H10/DAY(B2)</f>
        <v>42701.169166666667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-170</v>
      </c>
      <c r="I11" s="282"/>
      <c r="J11" s="175">
        <f>H11/DAY(B2)</f>
        <v>-14.166666666666666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2614746.75</v>
      </c>
      <c r="I13" s="120">
        <f>G7-G13</f>
        <v>472</v>
      </c>
      <c r="J13" s="175">
        <f>H13/DAY(B2)</f>
        <v>217895.5625</v>
      </c>
      <c r="K13" s="79"/>
      <c r="L13" s="66"/>
      <c r="N13" s="87"/>
      <c r="O13" s="71"/>
    </row>
    <row r="14" spans="1:15" ht="32.2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-17703.766999999993</v>
      </c>
      <c r="I15" s="113">
        <f>'1'!I15</f>
        <v>800</v>
      </c>
      <c r="J15" s="175">
        <f>H15/DAY(B2)</f>
        <v>-1475.313916666666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2275.313916666666</v>
      </c>
      <c r="J16" s="176"/>
      <c r="K16" s="79"/>
      <c r="L16" s="66"/>
      <c r="N16" s="87"/>
      <c r="O16" s="71"/>
    </row>
    <row r="17" spans="1:15" ht="32.2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46" t="s">
        <v>141</v>
      </c>
      <c r="B18" s="847"/>
      <c r="C18" s="848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1740</v>
      </c>
      <c r="I18" s="113">
        <f>'1'!I18</f>
        <v>65</v>
      </c>
      <c r="J18" s="175">
        <f>H18/DAY(B2)</f>
        <v>145</v>
      </c>
      <c r="K18" s="79"/>
      <c r="L18" s="66"/>
      <c r="N18" s="87"/>
      <c r="O18" s="71"/>
    </row>
    <row r="19" spans="1:15" ht="32.25" customHeight="1">
      <c r="A19" s="846" t="s">
        <v>69</v>
      </c>
      <c r="B19" s="847"/>
      <c r="C19" s="848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-1036</v>
      </c>
      <c r="I19" s="335"/>
      <c r="J19" s="175">
        <f>H19/DAY(B2)</f>
        <v>-86.333333333333329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704</v>
      </c>
      <c r="I20" s="336">
        <f>I18-J20</f>
        <v>6.3333333333333357</v>
      </c>
      <c r="J20" s="175">
        <f>H20/DAY(B2)</f>
        <v>58.666666666666664</v>
      </c>
      <c r="K20" s="79"/>
      <c r="L20" s="66"/>
      <c r="N20" s="87"/>
      <c r="O20" s="71"/>
    </row>
    <row r="21" spans="1:15" ht="32.2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-3038158.3500000006</v>
      </c>
      <c r="I27" s="138"/>
      <c r="J27" s="175">
        <f>H27/DAY(B2)</f>
        <v>-253179.86250000005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-920595.88399999961</v>
      </c>
      <c r="I28" s="140"/>
      <c r="J28" s="175">
        <f>H28/DAY(B2)</f>
        <v>-76716.323666666634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-151256</v>
      </c>
      <c r="I30" s="140"/>
      <c r="J30" s="175">
        <f>H30/DAY(B2)</f>
        <v>-12604.666666666666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139200</v>
      </c>
      <c r="I31" s="140"/>
      <c r="J31" s="175">
        <f>H31/DAY(B2)</f>
        <v>11600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-3970810.2340000002</v>
      </c>
      <c r="I32" s="144"/>
      <c r="J32" s="175">
        <f>H32/DAY(B2)</f>
        <v>-330900.85283333337</v>
      </c>
      <c r="K32" s="63"/>
      <c r="L32" s="89"/>
      <c r="N32" s="87"/>
      <c r="O32" s="71"/>
    </row>
    <row r="33" spans="1:15" ht="32.2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142419.02000000002</v>
      </c>
      <c r="I35" s="95"/>
      <c r="J35" s="175">
        <f>H35/DAY(B2)</f>
        <v>11868.251666666669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-12946.739999999998</v>
      </c>
      <c r="I36" s="95"/>
      <c r="J36" s="175">
        <f>H36/DAY(B2)</f>
        <v>-1078.8949999999998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178029.91000000003</v>
      </c>
      <c r="I37" s="95"/>
      <c r="J37" s="175">
        <f>H37/DAY(B2)</f>
        <v>14835.825833333336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213482.57</v>
      </c>
      <c r="I38" s="95"/>
      <c r="J38" s="175">
        <f>H38/DAY(B2)</f>
        <v>17790.214166666668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383703.71</v>
      </c>
      <c r="I39" s="95"/>
      <c r="J39" s="175">
        <f>H39/DAY(B2)</f>
        <v>31975.30916666667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11359.739999999998</v>
      </c>
      <c r="I40" s="95"/>
      <c r="J40" s="175">
        <f>H40/DAY(B2)</f>
        <v>946.64499999999987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-26320.740000000005</v>
      </c>
      <c r="I42" s="95"/>
      <c r="J42" s="175">
        <f>H42/DAY(B2)</f>
        <v>-2193.3950000000004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-40133.600000000006</v>
      </c>
      <c r="I43" s="95"/>
      <c r="J43" s="175">
        <f>H43/DAY(B2)</f>
        <v>-3344.4666666666672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849593.87</v>
      </c>
      <c r="I47" s="95"/>
      <c r="J47" s="175">
        <f>H47/DAY(B2)</f>
        <v>70799.489166666666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265278.81</v>
      </c>
      <c r="I49" s="95"/>
      <c r="J49" s="175">
        <f>H49/DAY(B2)</f>
        <v>22106.567500000001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-19574.629999999997</v>
      </c>
      <c r="I50" s="95"/>
      <c r="J50" s="175">
        <f>H50/DAY(B2)</f>
        <v>-1631.2191666666665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2000.6599999999999</v>
      </c>
      <c r="I54" s="95"/>
      <c r="J54" s="175">
        <f>H54/DAY(B2)</f>
        <v>166.72166666666666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-34657.11</v>
      </c>
      <c r="I55" s="95"/>
      <c r="J55" s="175">
        <f>H55/DAY(B2)</f>
        <v>-2888.0925000000002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89171.420000000013</v>
      </c>
      <c r="I58" s="95"/>
      <c r="J58" s="175">
        <f>H58/DAY(B2)</f>
        <v>7430.9516666666677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302219.61000000004</v>
      </c>
      <c r="I59" s="95">
        <f>G7-G60</f>
        <v>829</v>
      </c>
      <c r="J59" s="175">
        <f>H59/DAY(B2)</f>
        <v>25184.967500000002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1151813.4799999997</v>
      </c>
      <c r="I60" s="95">
        <f>G13-G60</f>
        <v>357</v>
      </c>
      <c r="J60" s="175">
        <f>H60/DAY(B2)</f>
        <v>95984.456666666651</v>
      </c>
      <c r="K60" s="79"/>
      <c r="L60" s="66"/>
      <c r="N60" s="87"/>
      <c r="O60" s="71"/>
    </row>
    <row r="61" spans="1:15" s="68" customFormat="1" ht="32.2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46" t="s">
        <v>198</v>
      </c>
      <c r="B62" s="847"/>
      <c r="C62" s="848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-1588</v>
      </c>
      <c r="I62" s="118"/>
      <c r="J62" s="175">
        <f>H62/DAY(B2)</f>
        <v>-132.33333333333334</v>
      </c>
      <c r="K62" s="80"/>
      <c r="L62" s="66"/>
      <c r="N62" s="87"/>
      <c r="O62" s="71"/>
    </row>
    <row r="63" spans="1:15" ht="32.25" customHeight="1">
      <c r="A63" s="846" t="s">
        <v>199</v>
      </c>
      <c r="B63" s="847"/>
      <c r="C63" s="848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-2091</v>
      </c>
      <c r="I63" s="118"/>
      <c r="J63" s="175">
        <f>H63/DAY(B2)</f>
        <v>-174.25</v>
      </c>
      <c r="K63" s="69"/>
      <c r="L63" s="66"/>
      <c r="N63" s="87"/>
      <c r="O63" s="71"/>
    </row>
    <row r="64" spans="1:15" ht="32.25" customHeight="1">
      <c r="A64" s="843" t="s">
        <v>200</v>
      </c>
      <c r="B64" s="844"/>
      <c r="C64" s="845"/>
      <c r="D64" s="151"/>
      <c r="E64" s="95">
        <f>'11'!F64</f>
        <v>0</v>
      </c>
      <c r="F64" s="122"/>
      <c r="G64" s="112">
        <f>G62+G63</f>
        <v>141</v>
      </c>
      <c r="H64" s="99">
        <f>G64+'11'!H64</f>
        <v>-3679</v>
      </c>
      <c r="I64" s="118"/>
      <c r="J64" s="175">
        <f>H64/DAY(B2)</f>
        <v>-306.58333333333331</v>
      </c>
      <c r="K64" s="69"/>
      <c r="L64" s="66"/>
      <c r="N64" s="87"/>
      <c r="O64" s="71"/>
    </row>
    <row r="65" spans="1:15" ht="32.25" customHeight="1">
      <c r="A65" s="846" t="s">
        <v>201</v>
      </c>
      <c r="B65" s="847"/>
      <c r="C65" s="848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-1453</v>
      </c>
      <c r="I65" s="118"/>
      <c r="J65" s="175">
        <f>H65/DAY(B2)</f>
        <v>-121.08333333333333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-313</v>
      </c>
      <c r="I66" s="118"/>
      <c r="J66" s="175">
        <f>H66/DAY(B2)</f>
        <v>-26.083333333333332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-430</v>
      </c>
      <c r="I67" s="118"/>
      <c r="J67" s="175">
        <f>H67/DAY(B2)</f>
        <v>-35.833333333333336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-769</v>
      </c>
      <c r="I68" s="118"/>
      <c r="J68" s="175">
        <f>H68/DAY(B2)</f>
        <v>-64.083333333333329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-200</v>
      </c>
      <c r="I69" s="118"/>
      <c r="J69" s="175">
        <f>H69/DAY(B2)</f>
        <v>-16.666666666666668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-163</v>
      </c>
      <c r="I70" s="118"/>
      <c r="J70" s="175">
        <f>H70/DAY(B2)</f>
        <v>-13.583333333333334</v>
      </c>
      <c r="K70" s="69"/>
      <c r="L70" s="66"/>
      <c r="N70" s="87"/>
      <c r="O70" s="71"/>
    </row>
    <row r="71" spans="1:15" ht="32.2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102</v>
      </c>
      <c r="H71" s="99">
        <f>G71+'11'!H71</f>
        <v>-3328</v>
      </c>
      <c r="I71" s="154"/>
      <c r="J71" s="175">
        <f>H71/DAY(B2)</f>
        <v>-277.33333333333331</v>
      </c>
      <c r="K71" s="69"/>
      <c r="L71" s="66"/>
      <c r="N71" s="87"/>
      <c r="O71" s="71"/>
    </row>
    <row r="72" spans="1:15" s="88" customFormat="1" ht="32.2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46" t="s">
        <v>220</v>
      </c>
      <c r="B74" s="847"/>
      <c r="C74" s="848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-5685.1489999999758</v>
      </c>
      <c r="I74" s="154"/>
      <c r="J74" s="175">
        <f>H74/DAY(B2)</f>
        <v>-473.76241666666465</v>
      </c>
      <c r="K74" s="69"/>
      <c r="L74" s="66"/>
      <c r="N74" s="87"/>
      <c r="O74" s="71"/>
    </row>
    <row r="75" spans="1:15" ht="32.25" customHeight="1">
      <c r="A75" s="846" t="s">
        <v>221</v>
      </c>
      <c r="B75" s="847"/>
      <c r="C75" s="848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890" t="s">
        <v>222</v>
      </c>
      <c r="B76" s="876"/>
      <c r="C76" s="877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-1739</v>
      </c>
      <c r="I76" s="154"/>
      <c r="J76" s="175">
        <f>H76/DAY(B2)</f>
        <v>-144.91666666666666</v>
      </c>
      <c r="K76" s="69"/>
      <c r="L76" s="66"/>
      <c r="N76" s="87"/>
      <c r="O76" s="71"/>
    </row>
    <row r="77" spans="1:15" ht="32.25" customHeight="1">
      <c r="A77" s="890" t="s">
        <v>223</v>
      </c>
      <c r="B77" s="876"/>
      <c r="C77" s="877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-608.19999999999709</v>
      </c>
      <c r="I77" s="154"/>
      <c r="J77" s="175">
        <f>H77/DAY(B2)</f>
        <v>-50.683333333333088</v>
      </c>
      <c r="K77" s="69"/>
      <c r="L77" s="66"/>
      <c r="N77" s="87"/>
      <c r="O77" s="71"/>
    </row>
    <row r="78" spans="1:15" ht="32.25" customHeight="1">
      <c r="A78" s="890" t="s">
        <v>224</v>
      </c>
      <c r="B78" s="876"/>
      <c r="C78" s="877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-20</v>
      </c>
      <c r="I78" s="118"/>
      <c r="J78" s="175">
        <f>H78/DAY(B2)</f>
        <v>-1.6666666666666667</v>
      </c>
      <c r="K78" s="69"/>
      <c r="L78" s="66"/>
      <c r="N78" s="87"/>
      <c r="O78" s="71"/>
    </row>
    <row r="79" spans="1:15" s="57" customFormat="1" ht="32.25" customHeight="1">
      <c r="A79" s="890" t="s">
        <v>225</v>
      </c>
      <c r="B79" s="876"/>
      <c r="C79" s="877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-9651.6180000000168</v>
      </c>
      <c r="I79" s="118"/>
      <c r="J79" s="175">
        <f>H79/DAY(B2)</f>
        <v>-804.3015000000014</v>
      </c>
      <c r="K79" s="59"/>
      <c r="L79" s="58"/>
      <c r="N79" s="87"/>
      <c r="O79" s="71"/>
    </row>
    <row r="80" spans="1:15" s="57" customFormat="1" ht="32.2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-165.44999999999982</v>
      </c>
      <c r="I85" s="118">
        <f>G82+G83+G84+G85</f>
        <v>0</v>
      </c>
      <c r="J85" s="175">
        <f>H85/DAY(B2)</f>
        <v>-13.787499999999985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-290</v>
      </c>
      <c r="I86" s="118"/>
      <c r="J86" s="175">
        <f>H86/DAY(B2)</f>
        <v>-24.166666666666668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-5.430000000000291</v>
      </c>
      <c r="I88" s="118">
        <f>G86+G87+G88</f>
        <v>24</v>
      </c>
      <c r="J88" s="175">
        <f>H88/DAY(B2)</f>
        <v>-0.45250000000002427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-157.31999999999971</v>
      </c>
      <c r="I89" s="118"/>
      <c r="J89" s="175">
        <f>H89/DAY(B2)</f>
        <v>-13.109999999999976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-65.950000000011642</v>
      </c>
      <c r="I90" s="118">
        <f>G89+G90</f>
        <v>9.1699999999946158</v>
      </c>
      <c r="J90" s="175">
        <f>H90/DAY(B2)</f>
        <v>-5.4958333333343035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-24.769999999999982</v>
      </c>
      <c r="I91" s="165"/>
      <c r="J91" s="175">
        <f>H91/DAY(B2)</f>
        <v>-2.0641666666666652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-180.64999999999964</v>
      </c>
      <c r="I92" s="165"/>
      <c r="J92" s="175">
        <f>H92/DAY(B2)</f>
        <v>-15.054166666666637</v>
      </c>
      <c r="O92" s="71"/>
    </row>
    <row r="93" spans="1:15" ht="32.2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4778</v>
      </c>
      <c r="H94" s="99">
        <f>G94+'11'!H94</f>
        <v>367564.23</v>
      </c>
      <c r="I94" s="118"/>
      <c r="J94" s="175">
        <f>H94/DAY(B2)</f>
        <v>30630.352499999997</v>
      </c>
      <c r="K94" s="69"/>
      <c r="L94" s="66"/>
      <c r="O94" s="71"/>
    </row>
    <row r="95" spans="1:15" ht="32.2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0.28903272639283772</v>
      </c>
      <c r="H95" s="99">
        <f>G95+'11'!H95</f>
        <v>2.5136201134848952</v>
      </c>
      <c r="I95" s="167"/>
      <c r="J95" s="175">
        <f>H95/DAY(B2)</f>
        <v>0.20946834279040794</v>
      </c>
      <c r="K95" s="69"/>
      <c r="L95" s="66"/>
      <c r="O95" s="71"/>
    </row>
    <row r="96" spans="1:15" ht="32.2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2812</v>
      </c>
      <c r="H96" s="99">
        <f>G96+'11'!H96</f>
        <v>-60977.390000000014</v>
      </c>
      <c r="I96" s="118"/>
      <c r="J96" s="175">
        <f>H96/DAY(B2)</f>
        <v>-5081.4491666666681</v>
      </c>
      <c r="K96" s="69"/>
      <c r="L96" s="66"/>
      <c r="O96" s="71"/>
    </row>
    <row r="97" spans="1:15" ht="32.2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0.17010465186619078</v>
      </c>
      <c r="H97" s="99">
        <f>G97+'11'!H97</f>
        <v>2.0884578058688001</v>
      </c>
      <c r="I97" s="167"/>
      <c r="J97" s="175">
        <f>H97/DAY(B2)</f>
        <v>0.17403815048906668</v>
      </c>
      <c r="K97" s="69"/>
      <c r="L97" s="66"/>
      <c r="O97" s="71"/>
    </row>
    <row r="98" spans="1:15" ht="32.2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2461</v>
      </c>
      <c r="H98" s="99">
        <f>G98+'11'!H98</f>
        <v>383703.71</v>
      </c>
      <c r="I98" s="168"/>
      <c r="J98" s="175">
        <f>H98/DAY(B2)</f>
        <v>31975.30916666667</v>
      </c>
      <c r="K98" s="69"/>
      <c r="L98" s="66"/>
      <c r="O98" s="71"/>
    </row>
    <row r="99" spans="1:15" ht="32.2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0.14887181658701834</v>
      </c>
      <c r="H99" s="99">
        <f>G99+'11'!H99</f>
        <v>0.9060161236111407</v>
      </c>
      <c r="I99" s="168"/>
      <c r="J99" s="175">
        <f>H99/DAY(B2)</f>
        <v>7.5501343634261725E-2</v>
      </c>
      <c r="O99" s="71"/>
    </row>
    <row r="100" spans="1:15" ht="32.2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1484</v>
      </c>
      <c r="H100" s="99">
        <f>G100+'11'!H100</f>
        <v>213482.57</v>
      </c>
      <c r="I100" s="118"/>
      <c r="J100" s="175">
        <f>H100/DAY(B2)</f>
        <v>17790.214166666668</v>
      </c>
      <c r="K100" s="70"/>
      <c r="O100" s="71"/>
    </row>
    <row r="101" spans="1:15" ht="32.2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0.61645906758961977</v>
      </c>
      <c r="I101" s="168"/>
      <c r="J101" s="175">
        <f>H101/DAY(B2)</f>
        <v>5.137158896580165E-2</v>
      </c>
      <c r="O101" s="71"/>
    </row>
    <row r="102" spans="1:15" ht="32.2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1461</v>
      </c>
      <c r="H102" s="99">
        <f>G102+'11'!H102</f>
        <v>-32521.369999999995</v>
      </c>
      <c r="I102" s="168"/>
      <c r="J102" s="175">
        <f>H102/DAY(B2)</f>
        <v>-2710.1141666666663</v>
      </c>
      <c r="O102" s="71"/>
    </row>
    <row r="103" spans="1:15" ht="32.2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1.1186736620234117</v>
      </c>
      <c r="I103" s="118"/>
      <c r="J103" s="175">
        <f>H103/DAY(B2)</f>
        <v>9.322280516861764E-2</v>
      </c>
      <c r="O103" s="71"/>
    </row>
    <row r="104" spans="1:15" ht="32.2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1481</v>
      </c>
      <c r="H104" s="99">
        <f>G104+'11'!H104</f>
        <v>178029.91000000003</v>
      </c>
      <c r="I104" s="118"/>
      <c r="J104" s="175">
        <f>H104/DAY(B2)</f>
        <v>14835.825833333336</v>
      </c>
      <c r="O104" s="71"/>
    </row>
    <row r="105" spans="1:15" ht="32.2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0.60129550021991174</v>
      </c>
      <c r="I105" s="187"/>
      <c r="J105" s="188">
        <f>H105/DAY(B2)</f>
        <v>5.0107958351659314E-2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2.25" customHeight="1">
      <c r="A109" s="885"/>
      <c r="B109" s="885"/>
    </row>
    <row r="110" spans="1:15" ht="32.2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2.2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79" t="s">
        <v>252</v>
      </c>
      <c r="B112" s="880"/>
      <c r="C112" s="881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-1473</v>
      </c>
      <c r="I112" s="165"/>
      <c r="J112" s="328">
        <f>H112/DAY(B2)</f>
        <v>-122.75</v>
      </c>
    </row>
    <row r="113" spans="1:18" ht="32.25" customHeight="1">
      <c r="A113" s="879" t="s">
        <v>253</v>
      </c>
      <c r="B113" s="880"/>
      <c r="C113" s="881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-8800.89</v>
      </c>
      <c r="I113" s="165"/>
      <c r="J113" s="328">
        <f>H113/DAY(B2)</f>
        <v>-733.40749999999991</v>
      </c>
    </row>
    <row r="114" spans="1:18" ht="32.25" customHeight="1">
      <c r="A114" s="879" t="s">
        <v>254</v>
      </c>
      <c r="B114" s="880"/>
      <c r="C114" s="881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-5103</v>
      </c>
      <c r="I114" s="165"/>
      <c r="J114" s="328">
        <f>H114/DAY(B2)</f>
        <v>-425.25</v>
      </c>
    </row>
    <row r="115" spans="1:18" ht="32.25" customHeight="1">
      <c r="A115" s="879" t="s">
        <v>255</v>
      </c>
      <c r="B115" s="880"/>
      <c r="C115" s="881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-185.64999999999964</v>
      </c>
      <c r="I115" s="165"/>
      <c r="J115" s="328">
        <f>H115/DAY(B2)</f>
        <v>-15.470833333333303</v>
      </c>
    </row>
    <row r="116" spans="1:18" ht="32.25" customHeight="1">
      <c r="A116" s="897" t="s">
        <v>96</v>
      </c>
      <c r="B116" s="898"/>
      <c r="C116" s="899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2.25" customHeight="1">
      <c r="A117" s="897" t="s">
        <v>184</v>
      </c>
      <c r="B117" s="898"/>
      <c r="C117" s="899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-449.94999999999982</v>
      </c>
      <c r="I117" s="165"/>
      <c r="J117" s="328">
        <f>H117/DAY(B2)</f>
        <v>-37.495833333333316</v>
      </c>
      <c r="Q117" s="879" t="s">
        <v>312</v>
      </c>
      <c r="R117" s="881"/>
    </row>
    <row r="118" spans="1:18" ht="32.25" customHeight="1">
      <c r="A118" s="874" t="s">
        <v>97</v>
      </c>
      <c r="B118" s="874"/>
      <c r="C118" s="874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-6457.3099999999977</v>
      </c>
      <c r="I118" s="165"/>
      <c r="J118" s="328">
        <f>H118/DAY(B2)</f>
        <v>-538.10916666666651</v>
      </c>
      <c r="Q118" s="879" t="s">
        <v>311</v>
      </c>
      <c r="R118" s="881"/>
    </row>
    <row r="119" spans="1:18" ht="32.25" customHeight="1">
      <c r="A119" s="874" t="s">
        <v>98</v>
      </c>
      <c r="B119" s="874"/>
      <c r="C119" s="874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-7888.5499999999884</v>
      </c>
      <c r="I119" s="165"/>
      <c r="J119" s="328">
        <f>H119/DAY(B2)</f>
        <v>-657.3791666666657</v>
      </c>
    </row>
    <row r="120" spans="1:18" ht="32.25" customHeight="1">
      <c r="A120" s="874" t="s">
        <v>99</v>
      </c>
      <c r="B120" s="874"/>
      <c r="C120" s="874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-7906.6100000000006</v>
      </c>
      <c r="I120" s="165"/>
      <c r="J120" s="328">
        <f>H120/DAY(B2)</f>
        <v>-658.88416666666672</v>
      </c>
    </row>
    <row r="121" spans="1:18" ht="32.25" customHeight="1">
      <c r="A121" s="874" t="s">
        <v>100</v>
      </c>
      <c r="B121" s="874"/>
      <c r="C121" s="874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-12883.429999999993</v>
      </c>
      <c r="I121" s="165"/>
      <c r="J121" s="328">
        <f>H121/DAY(B2)</f>
        <v>-1073.6191666666662</v>
      </c>
    </row>
    <row r="122" spans="1:18" ht="32.25" customHeight="1">
      <c r="A122" s="874" t="s">
        <v>101</v>
      </c>
      <c r="B122" s="874"/>
      <c r="C122" s="874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-3566.179999999993</v>
      </c>
      <c r="I122" s="165"/>
      <c r="J122" s="328">
        <f>H122/DAY(B2)</f>
        <v>-297.1816666666661</v>
      </c>
    </row>
    <row r="123" spans="1:18" ht="32.25" customHeight="1">
      <c r="A123" s="874" t="s">
        <v>102</v>
      </c>
      <c r="B123" s="874"/>
      <c r="C123" s="874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-5137.9500000000116</v>
      </c>
      <c r="I123" s="165"/>
      <c r="J123" s="328">
        <f>H123/DAY(B2)</f>
        <v>-428.16250000000099</v>
      </c>
    </row>
    <row r="124" spans="1:18" ht="32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3078</v>
      </c>
      <c r="H125" s="156"/>
      <c r="I125" s="327" t="s">
        <v>369</v>
      </c>
      <c r="J125" s="327"/>
    </row>
    <row r="126" spans="1:18" ht="32.2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2.25" customHeight="1">
      <c r="A127" s="910"/>
      <c r="B127" s="910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79" t="s">
        <v>318</v>
      </c>
      <c r="B128" s="880"/>
      <c r="C128" s="881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-5864</v>
      </c>
      <c r="I128" s="165"/>
      <c r="J128" s="328">
        <f>H128/DAY(B2)</f>
        <v>-488.66666666666669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-4004.869999999999</v>
      </c>
      <c r="I129" s="165"/>
      <c r="J129" s="328">
        <f>H129/DAY(B2)</f>
        <v>-333.73916666666656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-9817</v>
      </c>
      <c r="I130" s="165"/>
      <c r="J130" s="328">
        <f>H130/DAY(B2)</f>
        <v>-818.08333333333337</v>
      </c>
      <c r="N130" s="240"/>
      <c r="O130" s="241"/>
    </row>
    <row r="131" spans="1:15" ht="32.25" customHeight="1">
      <c r="A131" s="879" t="s">
        <v>321</v>
      </c>
      <c r="B131" s="880"/>
      <c r="C131" s="881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-1287.6800000000003</v>
      </c>
      <c r="I131" s="165"/>
      <c r="J131" s="328">
        <f>H131/DAY(B2)</f>
        <v>-107.30666666666669</v>
      </c>
      <c r="N131" s="240"/>
      <c r="O131" s="241"/>
    </row>
    <row r="132" spans="1:15" ht="32.25" customHeight="1">
      <c r="A132" s="879" t="s">
        <v>322</v>
      </c>
      <c r="B132" s="880"/>
      <c r="C132" s="881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-5070.3000000000029</v>
      </c>
      <c r="I132" s="165"/>
      <c r="J132" s="328">
        <f>H132/DAY(B2)</f>
        <v>-422.52500000000026</v>
      </c>
    </row>
    <row r="133" spans="1:15" ht="32.25" customHeight="1">
      <c r="A133" s="879" t="s">
        <v>362</v>
      </c>
      <c r="B133" s="880"/>
      <c r="C133" s="881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-9425.6999999999971</v>
      </c>
      <c r="I133" s="165"/>
      <c r="J133" s="328">
        <f>H133/DAY(B2)</f>
        <v>-785.4749999999998</v>
      </c>
    </row>
    <row r="134" spans="1:15" ht="32.25" customHeight="1">
      <c r="A134" s="879" t="s">
        <v>340</v>
      </c>
      <c r="B134" s="880"/>
      <c r="C134" s="881"/>
      <c r="D134" s="151" t="s">
        <v>183</v>
      </c>
      <c r="E134" s="551">
        <v>675870</v>
      </c>
      <c r="F134" s="165">
        <v>676505</v>
      </c>
      <c r="G134" s="112">
        <f t="shared" si="10"/>
        <v>635</v>
      </c>
      <c r="H134" s="99">
        <f>G134+'11'!H134</f>
        <v>667903.77</v>
      </c>
      <c r="I134" s="165"/>
      <c r="J134" s="328">
        <f>H134/DAY(B2)</f>
        <v>55658.647499999999</v>
      </c>
    </row>
    <row r="135" spans="1:15" ht="32.2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2649</v>
      </c>
      <c r="H135" s="99">
        <f>G135+'10'!H135</f>
        <v>629887.22</v>
      </c>
      <c r="I135" s="327">
        <f>G135-(G35+G49)</f>
        <v>-107</v>
      </c>
      <c r="J135" s="328"/>
    </row>
    <row r="136" spans="1:15" ht="32.2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74" t="s">
        <v>185</v>
      </c>
      <c r="B138" s="874"/>
      <c r="C138" s="874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-1237</v>
      </c>
      <c r="I138" s="118"/>
      <c r="J138" s="328">
        <f>H138/DAY(B2)</f>
        <v>-103.08333333333333</v>
      </c>
    </row>
    <row r="139" spans="1:15" ht="32.25" customHeight="1">
      <c r="A139" s="874" t="s">
        <v>186</v>
      </c>
      <c r="B139" s="874"/>
      <c r="C139" s="874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-24</v>
      </c>
      <c r="I139" s="118"/>
      <c r="J139" s="328">
        <f>H139/DAY(B2)</f>
        <v>-2</v>
      </c>
    </row>
    <row r="140" spans="1:15" ht="32.25" customHeight="1">
      <c r="A140" s="874" t="s">
        <v>187</v>
      </c>
      <c r="B140" s="874"/>
      <c r="C140" s="874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-24</v>
      </c>
      <c r="I140" s="118"/>
      <c r="J140" s="328">
        <f>H140/DAY(B2)</f>
        <v>-2</v>
      </c>
    </row>
    <row r="141" spans="1:15" ht="32.25" customHeight="1">
      <c r="A141" s="878" t="s">
        <v>188</v>
      </c>
      <c r="B141" s="878"/>
      <c r="C141" s="878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-3279.5800000000017</v>
      </c>
      <c r="I141" s="118"/>
      <c r="J141" s="328">
        <f>H141/DAY(B2)</f>
        <v>-273.29833333333346</v>
      </c>
    </row>
    <row r="142" spans="1:15" ht="32.25" customHeight="1">
      <c r="A142" s="878" t="s">
        <v>189</v>
      </c>
      <c r="B142" s="878"/>
      <c r="C142" s="878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-1445.0999999999985</v>
      </c>
      <c r="I142" s="140"/>
      <c r="J142" s="328">
        <f>H142/DAY(B2)</f>
        <v>-120.42499999999988</v>
      </c>
    </row>
    <row r="143" spans="1:15" ht="32.25" customHeight="1">
      <c r="A143" s="874" t="s">
        <v>91</v>
      </c>
      <c r="B143" s="874"/>
      <c r="C143" s="874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-491.38999999999987</v>
      </c>
      <c r="I143" s="140"/>
      <c r="J143" s="328">
        <f>H143/DAY(B2)</f>
        <v>-40.949166666666656</v>
      </c>
    </row>
    <row r="144" spans="1:15" ht="32.25" customHeight="1">
      <c r="A144" s="878" t="s">
        <v>90</v>
      </c>
      <c r="B144" s="878"/>
      <c r="C144" s="878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-4110</v>
      </c>
      <c r="I144" s="140"/>
      <c r="J144" s="328">
        <f>H144/DAY(B2)</f>
        <v>-342.5</v>
      </c>
    </row>
    <row r="145" spans="1:10" ht="32.25" customHeight="1">
      <c r="A145" s="874" t="s">
        <v>190</v>
      </c>
      <c r="B145" s="874"/>
      <c r="C145" s="874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-215.84000000000015</v>
      </c>
      <c r="I145" s="140"/>
      <c r="J145" s="328">
        <f>H145/DAY(B2)</f>
        <v>-17.986666666666679</v>
      </c>
    </row>
    <row r="146" spans="1:10" ht="32.25" customHeight="1">
      <c r="A146" s="875" t="s">
        <v>191</v>
      </c>
      <c r="B146" s="876"/>
      <c r="C146" s="877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-7547</v>
      </c>
      <c r="I146" s="140"/>
      <c r="J146" s="328">
        <f>H146/DAY(B2)</f>
        <v>-628.91666666666663</v>
      </c>
    </row>
    <row r="147" spans="1:10" ht="32.25" customHeight="1">
      <c r="A147" s="878" t="s">
        <v>192</v>
      </c>
      <c r="B147" s="878"/>
      <c r="C147" s="878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-6777.5200000000186</v>
      </c>
      <c r="I147" s="140"/>
      <c r="J147" s="328">
        <f>H147/DAY(B2)</f>
        <v>-564.79333333333489</v>
      </c>
    </row>
    <row r="148" spans="1:10" ht="32.25" customHeight="1">
      <c r="A148" s="870" t="s">
        <v>193</v>
      </c>
      <c r="B148" s="871"/>
      <c r="C148" s="872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-3407.9599999999627</v>
      </c>
      <c r="I148" s="124"/>
      <c r="J148" s="328">
        <f>H148/DAY(B2)</f>
        <v>-283.99666666666354</v>
      </c>
    </row>
    <row r="149" spans="1:10" ht="32.25" customHeight="1">
      <c r="A149" s="870" t="s">
        <v>336</v>
      </c>
      <c r="B149" s="871"/>
      <c r="C149" s="872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-8985.2000000000007</v>
      </c>
      <c r="I149" s="119"/>
      <c r="J149" s="328">
        <f>H149/DAY(B2)</f>
        <v>-748.76666666666677</v>
      </c>
    </row>
    <row r="150" spans="1:10" ht="32.25" customHeight="1">
      <c r="A150" s="870" t="s">
        <v>337</v>
      </c>
      <c r="B150" s="871"/>
      <c r="C150" s="872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-4169.83</v>
      </c>
      <c r="I150" s="119"/>
      <c r="J150" s="328">
        <f>H150/DAY(B2)</f>
        <v>-347.48583333333335</v>
      </c>
    </row>
    <row r="151" spans="1:10" ht="32.25" customHeight="1">
      <c r="A151" s="870" t="s">
        <v>338</v>
      </c>
      <c r="B151" s="871"/>
      <c r="C151" s="872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-4409</v>
      </c>
      <c r="I151" s="119"/>
      <c r="J151" s="328">
        <f>H151/DAY(B2)</f>
        <v>-367.41666666666669</v>
      </c>
    </row>
    <row r="152" spans="1:10" ht="32.25" customHeight="1">
      <c r="A152" s="870" t="s">
        <v>339</v>
      </c>
      <c r="B152" s="871"/>
      <c r="C152" s="872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-312</v>
      </c>
      <c r="I152" s="119"/>
      <c r="J152" s="328">
        <f>H152/DAY(B2)</f>
        <v>-26</v>
      </c>
    </row>
    <row r="153" spans="1:10" ht="32.2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2.25" customHeight="1">
      <c r="A155" s="878" t="s">
        <v>345</v>
      </c>
      <c r="B155" s="878"/>
      <c r="C155" s="878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-12642.000000000004</v>
      </c>
      <c r="I155" s="364"/>
      <c r="J155" s="328">
        <f>H155/DAY(B2)</f>
        <v>-1053.5000000000002</v>
      </c>
    </row>
    <row r="156" spans="1:10" ht="32.25" customHeight="1">
      <c r="A156" s="878" t="s">
        <v>347</v>
      </c>
      <c r="B156" s="878"/>
      <c r="C156" s="878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-1121</v>
      </c>
      <c r="I156" s="165"/>
      <c r="J156" s="328">
        <f>H156/DAY(B2)</f>
        <v>-93.416666666666671</v>
      </c>
    </row>
    <row r="157" spans="1:10" ht="32.25" customHeight="1">
      <c r="A157" s="870" t="s">
        <v>364</v>
      </c>
      <c r="B157" s="871"/>
      <c r="C157" s="872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>
      <c r="A158" s="870" t="s">
        <v>365</v>
      </c>
      <c r="B158" s="871"/>
      <c r="C158" s="872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>
      <c r="A159" s="927"/>
      <c r="B159" s="928"/>
      <c r="C159" s="929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-642.55999999999767</v>
      </c>
      <c r="I161" s="236"/>
      <c r="J161" s="239">
        <f>H161/DAY(B2)</f>
        <v>-53.546666666666475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-626.39999999999418</v>
      </c>
      <c r="I162" s="236"/>
      <c r="J162" s="239">
        <f>H162/DAY(B2)</f>
        <v>-52.199999999999513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-903.10000000000582</v>
      </c>
      <c r="I163" s="236"/>
      <c r="J163" s="239">
        <f>H163/DAY(B2)</f>
        <v>-75.258333333333823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-61</v>
      </c>
      <c r="I164" s="236"/>
      <c r="J164" s="239">
        <f>H164/DAY(B2)</f>
        <v>-5.083333333333333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-135.25</v>
      </c>
      <c r="I165" s="236"/>
      <c r="J165" s="239">
        <f>H165/DAY(B2)</f>
        <v>-11.270833333333334</v>
      </c>
    </row>
    <row r="166" spans="1:10" ht="32.25" customHeight="1">
      <c r="A166" s="910"/>
      <c r="B166" s="910"/>
      <c r="C166" s="246"/>
      <c r="D166" s="244" t="s">
        <v>180</v>
      </c>
      <c r="E166" s="95" t="str">
        <f>'11'!F166</f>
        <v/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10"/>
      <c r="B167" s="910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10"/>
      <c r="B168" s="910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2.2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68" t="s">
        <v>209</v>
      </c>
      <c r="B173" s="869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>
      <c r="A174" s="868" t="s">
        <v>75</v>
      </c>
      <c r="B174" s="869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-212</v>
      </c>
      <c r="I174" s="155"/>
      <c r="J174" s="178">
        <f>H174/DAY(B2)</f>
        <v>-17.666666666666668</v>
      </c>
    </row>
    <row r="175" spans="1:10" ht="32.25" customHeight="1">
      <c r="A175" s="868" t="s">
        <v>76</v>
      </c>
      <c r="B175" s="873"/>
      <c r="C175" s="869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-187</v>
      </c>
      <c r="I175" s="155"/>
      <c r="J175" s="178">
        <f>H175/DAY(B2)</f>
        <v>-15.583333333333334</v>
      </c>
    </row>
    <row r="176" spans="1:10" ht="32.25" customHeight="1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5</v>
      </c>
      <c r="H176" s="99">
        <f>G176+'11'!H176</f>
        <v>-399</v>
      </c>
      <c r="I176" s="155"/>
      <c r="J176" s="178">
        <f>H176/DAY(B2)</f>
        <v>-33.25</v>
      </c>
    </row>
    <row r="177" spans="1:10" ht="32.2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68" t="s">
        <v>210</v>
      </c>
      <c r="B178" s="869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-960</v>
      </c>
      <c r="I178" s="155"/>
      <c r="J178" s="178">
        <f>H178/DAY(B2)</f>
        <v>-80</v>
      </c>
    </row>
    <row r="179" spans="1:10" ht="32.25" customHeight="1">
      <c r="A179" s="868" t="s">
        <v>211</v>
      </c>
      <c r="B179" s="869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-657</v>
      </c>
      <c r="I179" s="155"/>
      <c r="J179" s="178">
        <f>H179/DAY(B2)</f>
        <v>-54.75</v>
      </c>
    </row>
    <row r="180" spans="1:10" ht="32.25" customHeight="1">
      <c r="A180" s="868" t="s">
        <v>212</v>
      </c>
      <c r="B180" s="869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-139</v>
      </c>
      <c r="I180" s="155"/>
      <c r="J180" s="178">
        <f>H180/DAY(B2)</f>
        <v>-11.583333333333334</v>
      </c>
    </row>
    <row r="181" spans="1:10" ht="32.2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79</v>
      </c>
      <c r="H181" s="99">
        <f>G181+'11'!H181</f>
        <v>-1756</v>
      </c>
      <c r="I181" s="155"/>
      <c r="J181" s="178">
        <f>H181/DAY(B2)</f>
        <v>-146.33333333333334</v>
      </c>
    </row>
    <row r="182" spans="1:10" ht="32.2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68" t="s">
        <v>214</v>
      </c>
      <c r="B183" s="869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-244</v>
      </c>
      <c r="I183" s="155"/>
      <c r="J183" s="178">
        <f>H183/DAY(B2)</f>
        <v>-20.333333333333332</v>
      </c>
    </row>
    <row r="184" spans="1:10" ht="32.25" customHeight="1">
      <c r="A184" s="868" t="s">
        <v>215</v>
      </c>
      <c r="B184" s="869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-135</v>
      </c>
      <c r="I184" s="155"/>
      <c r="J184" s="178">
        <f>H184/DAY(B2)</f>
        <v>-11.25</v>
      </c>
    </row>
    <row r="185" spans="1:10" ht="32.25" customHeight="1">
      <c r="A185" s="868" t="s">
        <v>216</v>
      </c>
      <c r="B185" s="869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10</v>
      </c>
      <c r="H186" s="99">
        <f>G186+'11'!H186</f>
        <v>-379</v>
      </c>
      <c r="I186" s="157"/>
      <c r="J186" s="178">
        <f>H186/DAY(B2)</f>
        <v>-31.583333333333332</v>
      </c>
    </row>
    <row r="187" spans="1:10" ht="32.2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100</v>
      </c>
      <c r="H187" s="99">
        <f>G187+'11'!H187</f>
        <v>-2624</v>
      </c>
      <c r="I187" s="158"/>
      <c r="J187" s="179">
        <f>H187/DAY(B2)</f>
        <v>-218.66666666666666</v>
      </c>
    </row>
    <row r="188" spans="1:10" ht="32.2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79</v>
      </c>
      <c r="H188" s="99">
        <f>G188+'11'!H188</f>
        <v>-2559</v>
      </c>
      <c r="I188" s="158"/>
      <c r="J188" s="179">
        <f>H188/DAY(B2)</f>
        <v>-213.25</v>
      </c>
    </row>
    <row r="189" spans="1:10" ht="32.25" customHeight="1">
      <c r="A189" s="916" t="s">
        <v>219</v>
      </c>
      <c r="B189" s="917"/>
      <c r="C189" s="333"/>
      <c r="D189" s="230" t="s">
        <v>142</v>
      </c>
      <c r="E189" s="95"/>
      <c r="F189" s="157"/>
      <c r="G189" s="681">
        <f>G181</f>
        <v>79</v>
      </c>
      <c r="H189" s="99">
        <f>G189+'11'!H189</f>
        <v>-1756</v>
      </c>
      <c r="I189" s="158"/>
      <c r="J189" s="179">
        <f>H189/DAY(B2)</f>
        <v>-146.33333333333334</v>
      </c>
    </row>
    <row r="190" spans="1:10" ht="32.25" customHeight="1">
      <c r="A190" s="839"/>
      <c r="B190" s="840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SheetLayoutView="50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-313985.23</v>
      </c>
      <c r="I7" s="113">
        <f>'1'!I7</f>
        <v>12000</v>
      </c>
      <c r="J7" s="175">
        <f>H7/DAY(B2)</f>
        <v>-24152.71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-320523.15000000002</v>
      </c>
      <c r="I8" s="116"/>
      <c r="J8" s="175">
        <f>H8/DAY(B2)</f>
        <v>-24655.626923076925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44230</v>
      </c>
      <c r="F9" s="598">
        <v>54881</v>
      </c>
      <c r="G9" s="112">
        <f>F9-E9</f>
        <v>10651</v>
      </c>
      <c r="H9" s="99">
        <f>G9+'12'!H9</f>
        <v>2129908.1500000004</v>
      </c>
      <c r="I9" s="124">
        <f>I7-J7</f>
        <v>36152.71</v>
      </c>
      <c r="J9" s="175">
        <f>H9/DAY(B2)</f>
        <v>163839.08846153849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518091.03</v>
      </c>
      <c r="I10" s="282"/>
      <c r="J10" s="175">
        <f>H10/DAY(B2)</f>
        <v>39853.156153846154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-170</v>
      </c>
      <c r="I11" s="282"/>
      <c r="J11" s="175">
        <f>H11/DAY(B2)</f>
        <v>-13.076923076923077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2631074.75</v>
      </c>
      <c r="I13" s="120">
        <f>G7-G13</f>
        <v>472</v>
      </c>
      <c r="J13" s="175">
        <f>H13/DAY(B2)</f>
        <v>202390.36538461538</v>
      </c>
      <c r="K13" s="79"/>
      <c r="L13" s="66"/>
      <c r="N13" s="87"/>
      <c r="O13" s="71"/>
    </row>
    <row r="14" spans="1:15" ht="27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-16746.766999999993</v>
      </c>
      <c r="I15" s="113">
        <f>'1'!I15</f>
        <v>800</v>
      </c>
      <c r="J15" s="175">
        <f>H15/DAY(B2)</f>
        <v>-1288.2128461538455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2088.2128461538455</v>
      </c>
      <c r="J16" s="176"/>
      <c r="K16" s="79"/>
      <c r="L16" s="66"/>
      <c r="N16" s="87"/>
      <c r="O16" s="71"/>
    </row>
    <row r="17" spans="1:15" ht="27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46" t="s">
        <v>141</v>
      </c>
      <c r="B18" s="847"/>
      <c r="C18" s="848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1790</v>
      </c>
      <c r="I18" s="113">
        <f>'1'!I18</f>
        <v>65</v>
      </c>
      <c r="J18" s="175">
        <f>H18/DAY(B2)</f>
        <v>137.69230769230768</v>
      </c>
      <c r="K18" s="79"/>
      <c r="L18" s="66"/>
      <c r="N18" s="87"/>
      <c r="O18" s="71"/>
    </row>
    <row r="19" spans="1:15" ht="27.75" customHeight="1">
      <c r="A19" s="846" t="s">
        <v>69</v>
      </c>
      <c r="B19" s="847"/>
      <c r="C19" s="848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-983</v>
      </c>
      <c r="I19" s="335"/>
      <c r="J19" s="175">
        <f>H19/DAY(B2)</f>
        <v>-75.615384615384613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807</v>
      </c>
      <c r="I20" s="336">
        <f>I18-J20</f>
        <v>2.9230769230769198</v>
      </c>
      <c r="J20" s="175">
        <f>H20/DAY(B2)</f>
        <v>62.07692307692308</v>
      </c>
      <c r="K20" s="79"/>
      <c r="L20" s="66"/>
      <c r="N20" s="87"/>
      <c r="O20" s="71"/>
    </row>
    <row r="21" spans="1:15" ht="27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-2884708.3500000006</v>
      </c>
      <c r="I27" s="138"/>
      <c r="J27" s="175">
        <f>H27/DAY(B2)</f>
        <v>-221900.64230769235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-870831.88399999961</v>
      </c>
      <c r="I28" s="140"/>
      <c r="J28" s="175">
        <f>H28/DAY(B2)</f>
        <v>-66987.06799999997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-143518</v>
      </c>
      <c r="I30" s="140"/>
      <c r="J30" s="175">
        <f>H30/DAY(B2)</f>
        <v>-11039.846153846154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143200</v>
      </c>
      <c r="I31" s="140"/>
      <c r="J31" s="175">
        <f>H31/DAY(B2)</f>
        <v>11015.384615384615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-3755858.2340000002</v>
      </c>
      <c r="I32" s="144"/>
      <c r="J32" s="175">
        <f>H32/DAY(B2)</f>
        <v>-288912.17184615385</v>
      </c>
      <c r="K32" s="63"/>
      <c r="L32" s="89"/>
      <c r="N32" s="87"/>
      <c r="O32" s="71"/>
    </row>
    <row r="33" spans="1:15" ht="27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143878.02000000002</v>
      </c>
      <c r="I35" s="95"/>
      <c r="J35" s="175">
        <f>H35/DAY(B2)</f>
        <v>11067.54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-12364.739999999998</v>
      </c>
      <c r="I36" s="95"/>
      <c r="J36" s="175">
        <f>H36/DAY(B2)</f>
        <v>-951.13384615384598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179500.91000000003</v>
      </c>
      <c r="I37" s="95"/>
      <c r="J37" s="175">
        <f>H37/DAY(B2)</f>
        <v>13807.76230769231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215025.57</v>
      </c>
      <c r="I38" s="95"/>
      <c r="J38" s="175">
        <f>H38/DAY(B2)</f>
        <v>16540.42846153846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386107.71</v>
      </c>
      <c r="I39" s="95"/>
      <c r="J39" s="175">
        <f>H39/DAY(B2)</f>
        <v>29700.59307692308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12032.739999999998</v>
      </c>
      <c r="I40" s="95"/>
      <c r="J40" s="175">
        <f>H40/DAY(B2)</f>
        <v>925.59538461538443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-26320.740000000005</v>
      </c>
      <c r="I42" s="95"/>
      <c r="J42" s="175">
        <f>H42/DAY(B2)</f>
        <v>-2024.6723076923081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-38122.600000000006</v>
      </c>
      <c r="I43" s="95"/>
      <c r="J43" s="175">
        <f>H43/DAY(B2)</f>
        <v>-2932.5076923076927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859736.87</v>
      </c>
      <c r="I47" s="95"/>
      <c r="J47" s="175">
        <f>H47/DAY(B2)</f>
        <v>66133.605384615381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266569.81</v>
      </c>
      <c r="I49" s="95"/>
      <c r="J49" s="175">
        <f>H49/DAY(B2)</f>
        <v>20505.37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-18732.629999999997</v>
      </c>
      <c r="I50" s="95"/>
      <c r="J50" s="175">
        <f>H50/DAY(B2)</f>
        <v>-1440.9715384615383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2470.66</v>
      </c>
      <c r="I54" s="95"/>
      <c r="J54" s="175">
        <f>H54/DAY(B2)</f>
        <v>190.05076923076922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-31796.11</v>
      </c>
      <c r="I55" s="95"/>
      <c r="J55" s="175">
        <f>H55/DAY(B2)</f>
        <v>-2445.8546153846155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89385.420000000013</v>
      </c>
      <c r="I58" s="95"/>
      <c r="J58" s="175">
        <f>H58/DAY(B2)</f>
        <v>6875.8015384615392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307897.61000000004</v>
      </c>
      <c r="I59" s="95">
        <f>G7-G60</f>
        <v>979</v>
      </c>
      <c r="J59" s="175">
        <f>H59/DAY(B2)</f>
        <v>23684.43153846154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1167634.4799999997</v>
      </c>
      <c r="I60" s="95">
        <f>G13-G60</f>
        <v>507</v>
      </c>
      <c r="J60" s="175">
        <f>H60/DAY(B2)</f>
        <v>89818.036923076899</v>
      </c>
      <c r="K60" s="79"/>
      <c r="L60" s="66"/>
      <c r="N60" s="87"/>
      <c r="O60" s="71"/>
    </row>
    <row r="61" spans="1:15" s="68" customFormat="1" ht="27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46" t="s">
        <v>198</v>
      </c>
      <c r="B62" s="847"/>
      <c r="C62" s="848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-1534</v>
      </c>
      <c r="I62" s="118"/>
      <c r="J62" s="175">
        <f>H62/DAY(B2)</f>
        <v>-118</v>
      </c>
      <c r="K62" s="80"/>
      <c r="L62" s="66"/>
      <c r="N62" s="87"/>
      <c r="O62" s="71"/>
    </row>
    <row r="63" spans="1:15" ht="27.75" customHeight="1">
      <c r="A63" s="846" t="s">
        <v>199</v>
      </c>
      <c r="B63" s="847"/>
      <c r="C63" s="848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-1998</v>
      </c>
      <c r="I63" s="118"/>
      <c r="J63" s="175">
        <f>H63/DAY(B2)</f>
        <v>-153.69230769230768</v>
      </c>
      <c r="K63" s="69"/>
      <c r="L63" s="66"/>
      <c r="N63" s="87"/>
      <c r="O63" s="71"/>
    </row>
    <row r="64" spans="1:15" ht="27.75" customHeight="1">
      <c r="A64" s="843" t="s">
        <v>200</v>
      </c>
      <c r="B64" s="844"/>
      <c r="C64" s="845"/>
      <c r="D64" s="151"/>
      <c r="E64" s="95">
        <f>'12'!F64</f>
        <v>0</v>
      </c>
      <c r="F64" s="122"/>
      <c r="G64" s="112">
        <f>G62+G63</f>
        <v>147</v>
      </c>
      <c r="H64" s="99">
        <f>G64+'12'!H64</f>
        <v>-3532</v>
      </c>
      <c r="I64" s="118"/>
      <c r="J64" s="175">
        <f>H64/DAY(B2)</f>
        <v>-271.69230769230768</v>
      </c>
      <c r="K64" s="69"/>
      <c r="L64" s="66"/>
      <c r="N64" s="87"/>
      <c r="O64" s="71"/>
    </row>
    <row r="65" spans="1:15" ht="27.75" customHeight="1">
      <c r="A65" s="846" t="s">
        <v>201</v>
      </c>
      <c r="B65" s="847"/>
      <c r="C65" s="848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-1384</v>
      </c>
      <c r="I65" s="118"/>
      <c r="J65" s="175">
        <f>H65/DAY(B2)</f>
        <v>-106.46153846153847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-301</v>
      </c>
      <c r="I66" s="118"/>
      <c r="J66" s="175">
        <f>H66/DAY(B2)</f>
        <v>-23.153846153846153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-412</v>
      </c>
      <c r="I67" s="118"/>
      <c r="J67" s="175">
        <f>H67/DAY(B2)</f>
        <v>-31.692307692307693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-749</v>
      </c>
      <c r="I68" s="118"/>
      <c r="J68" s="175">
        <f>H68/DAY(B2)</f>
        <v>-57.615384615384613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-195</v>
      </c>
      <c r="I69" s="118"/>
      <c r="J69" s="175">
        <f>H69/DAY(B2)</f>
        <v>-15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-156</v>
      </c>
      <c r="I70" s="118"/>
      <c r="J70" s="175">
        <f>H70/DAY(B2)</f>
        <v>-12</v>
      </c>
      <c r="K70" s="69"/>
      <c r="L70" s="66"/>
      <c r="N70" s="87"/>
      <c r="O70" s="71"/>
    </row>
    <row r="71" spans="1:15" ht="27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131</v>
      </c>
      <c r="H71" s="99">
        <f>G71+'12'!H71</f>
        <v>-3197</v>
      </c>
      <c r="I71" s="154"/>
      <c r="J71" s="175">
        <f>H71/DAY(B2)</f>
        <v>-245.92307692307693</v>
      </c>
      <c r="K71" s="69"/>
      <c r="L71" s="66"/>
      <c r="N71" s="87"/>
      <c r="O71" s="71"/>
    </row>
    <row r="72" spans="1:15" s="88" customFormat="1" ht="27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46" t="s">
        <v>220</v>
      </c>
      <c r="B74" s="847"/>
      <c r="C74" s="848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-5476.1489999999758</v>
      </c>
      <c r="I74" s="154"/>
      <c r="J74" s="175">
        <f>H74/DAY(B2)</f>
        <v>-421.24223076922891</v>
      </c>
      <c r="K74" s="69"/>
      <c r="L74" s="66"/>
      <c r="N74" s="87"/>
      <c r="O74" s="71"/>
    </row>
    <row r="75" spans="1:15" ht="27.75" customHeight="1">
      <c r="A75" s="846" t="s">
        <v>221</v>
      </c>
      <c r="B75" s="847"/>
      <c r="C75" s="848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>
      <c r="A76" s="890" t="s">
        <v>222</v>
      </c>
      <c r="B76" s="876"/>
      <c r="C76" s="877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-1658</v>
      </c>
      <c r="I76" s="154"/>
      <c r="J76" s="175">
        <f>H76/DAY(B2)</f>
        <v>-127.53846153846153</v>
      </c>
      <c r="K76" s="69"/>
      <c r="L76" s="66"/>
      <c r="N76" s="87"/>
      <c r="O76" s="71"/>
    </row>
    <row r="77" spans="1:15" ht="27.75" customHeight="1">
      <c r="A77" s="890" t="s">
        <v>223</v>
      </c>
      <c r="B77" s="876"/>
      <c r="C77" s="877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-584.19999999999709</v>
      </c>
      <c r="I77" s="154"/>
      <c r="J77" s="175">
        <f>H77/DAY(B2)</f>
        <v>-44.938461538461311</v>
      </c>
      <c r="K77" s="69"/>
      <c r="L77" s="66"/>
      <c r="N77" s="87"/>
      <c r="O77" s="71"/>
    </row>
    <row r="78" spans="1:15" ht="27.75" customHeight="1">
      <c r="A78" s="890" t="s">
        <v>224</v>
      </c>
      <c r="B78" s="876"/>
      <c r="C78" s="877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-20</v>
      </c>
      <c r="I78" s="118"/>
      <c r="J78" s="175">
        <f>H78/DAY(B2)</f>
        <v>-1.5384615384615385</v>
      </c>
      <c r="K78" s="69"/>
      <c r="L78" s="66"/>
      <c r="N78" s="87"/>
      <c r="O78" s="71"/>
    </row>
    <row r="79" spans="1:15" s="57" customFormat="1" ht="27.75" customHeight="1">
      <c r="A79" s="890" t="s">
        <v>225</v>
      </c>
      <c r="B79" s="876"/>
      <c r="C79" s="877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-9008.6180000000168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-165.44999999999982</v>
      </c>
      <c r="I85" s="118">
        <f>G82+G83+G84+G85</f>
        <v>0</v>
      </c>
      <c r="J85" s="175">
        <f>H85/DAY(B2)</f>
        <v>-12.726923076923063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-266</v>
      </c>
      <c r="I86" s="118"/>
      <c r="J86" s="175">
        <f>H86/DAY(B2)</f>
        <v>-20.46153846153846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-4.1599999999998545</v>
      </c>
      <c r="I88" s="118">
        <f>G86+G87+G88</f>
        <v>25.270000000000437</v>
      </c>
      <c r="J88" s="175">
        <f>H88/DAY(B2)</f>
        <v>-0.31999999999998879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-149.93999999999869</v>
      </c>
      <c r="I89" s="118"/>
      <c r="J89" s="175">
        <f>H89/DAY(B2)</f>
        <v>-11.533846153846053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-59.020000000004075</v>
      </c>
      <c r="I90" s="118">
        <f>G89+G90</f>
        <v>14.310000000008586</v>
      </c>
      <c r="J90" s="175">
        <f>H90/DAY(B2)</f>
        <v>-4.5400000000003136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-24.769999999999982</v>
      </c>
      <c r="I91" s="165"/>
      <c r="J91" s="175">
        <f>H91/DAY(B2)</f>
        <v>-1.9053846153846139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-169.75</v>
      </c>
      <c r="I92" s="165"/>
      <c r="J92" s="175">
        <f>H92/DAY(B2)</f>
        <v>-13.057692307692308</v>
      </c>
      <c r="O92" s="71"/>
    </row>
    <row r="93" spans="1:15" ht="27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4761</v>
      </c>
      <c r="H94" s="99">
        <f>G94+'12'!H94</f>
        <v>372325.23</v>
      </c>
      <c r="I94" s="118"/>
      <c r="J94" s="175">
        <f>H94/DAY(B2)</f>
        <v>28640.402307692308</v>
      </c>
      <c r="K94" s="69"/>
      <c r="L94" s="66"/>
      <c r="O94" s="71"/>
    </row>
    <row r="95" spans="1:15" ht="27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0.28339285714285717</v>
      </c>
      <c r="H95" s="99">
        <f>G95+'12'!H95</f>
        <v>2.7970129706277524</v>
      </c>
      <c r="I95" s="167"/>
      <c r="J95" s="175">
        <f>H95/DAY(B2)</f>
        <v>0.2151548438944425</v>
      </c>
      <c r="K95" s="69"/>
      <c r="L95" s="66"/>
      <c r="O95" s="71"/>
    </row>
    <row r="96" spans="1:15" ht="27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2861</v>
      </c>
      <c r="H96" s="99">
        <f>G96+'12'!H96</f>
        <v>-58116.390000000014</v>
      </c>
      <c r="I96" s="118"/>
      <c r="J96" s="175">
        <f>H96/DAY(B2)</f>
        <v>-4470.4915384615397</v>
      </c>
      <c r="K96" s="69"/>
      <c r="L96" s="66"/>
      <c r="O96" s="71"/>
    </row>
    <row r="97" spans="1:15" ht="27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0.17029761904761906</v>
      </c>
      <c r="H97" s="99">
        <f>G97+'12'!H97</f>
        <v>2.2587554249164192</v>
      </c>
      <c r="I97" s="167"/>
      <c r="J97" s="175">
        <f>H97/DAY(B2)</f>
        <v>0.173750417301263</v>
      </c>
      <c r="K97" s="69"/>
      <c r="L97" s="66"/>
      <c r="O97" s="71"/>
    </row>
    <row r="98" spans="1:15" ht="27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2404</v>
      </c>
      <c r="H98" s="99">
        <f>G98+'12'!H98</f>
        <v>386107.71</v>
      </c>
      <c r="I98" s="168"/>
      <c r="J98" s="175">
        <f>H98/DAY(B2)</f>
        <v>29700.59307692308</v>
      </c>
      <c r="K98" s="69"/>
      <c r="L98" s="66"/>
      <c r="O98" s="71"/>
    </row>
    <row r="99" spans="1:15" ht="27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0.14309523809523811</v>
      </c>
      <c r="H99" s="99">
        <f>G99+'12'!H99</f>
        <v>1.0491113617063788</v>
      </c>
      <c r="I99" s="168"/>
      <c r="J99" s="175">
        <f>H99/DAY(B2)</f>
        <v>8.0700873977413753E-2</v>
      </c>
      <c r="O99" s="71"/>
    </row>
    <row r="100" spans="1:15" ht="27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1543</v>
      </c>
      <c r="H100" s="99">
        <f>G100+'12'!H100</f>
        <v>215025.57</v>
      </c>
      <c r="I100" s="118"/>
      <c r="J100" s="175">
        <f>H100/DAY(B2)</f>
        <v>16540.42846153846</v>
      </c>
      <c r="K100" s="70"/>
      <c r="O100" s="71"/>
    </row>
    <row r="101" spans="1:15" ht="27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0.70830430568485792</v>
      </c>
      <c r="I101" s="168"/>
      <c r="J101" s="175">
        <f>H101/DAY(B2)</f>
        <v>5.4484946591142919E-2</v>
      </c>
      <c r="O101" s="71"/>
    </row>
    <row r="102" spans="1:15" ht="27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1424</v>
      </c>
      <c r="H102" s="99">
        <f>G102+'12'!H102</f>
        <v>-31097.369999999995</v>
      </c>
      <c r="I102" s="168"/>
      <c r="J102" s="175">
        <f>H102/DAY(B2)</f>
        <v>-2392.1053846153841</v>
      </c>
      <c r="O102" s="71"/>
    </row>
    <row r="103" spans="1:15" ht="27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1.2034355667853165</v>
      </c>
      <c r="I103" s="118"/>
      <c r="J103" s="175">
        <f>H103/DAY(B2)</f>
        <v>9.2571966675793579E-2</v>
      </c>
      <c r="O103" s="71"/>
    </row>
    <row r="104" spans="1:15" ht="27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1471</v>
      </c>
      <c r="H104" s="99">
        <f>G104+'12'!H104</f>
        <v>179500.91000000003</v>
      </c>
      <c r="I104" s="118"/>
      <c r="J104" s="175">
        <f>H104/DAY(B2)</f>
        <v>13807.76230769231</v>
      </c>
      <c r="O104" s="71"/>
    </row>
    <row r="105" spans="1:15" ht="27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0.68885502402943555</v>
      </c>
      <c r="I105" s="187"/>
      <c r="J105" s="188">
        <f>H105/DAY(B2)</f>
        <v>5.298884800226427E-2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>
      <c r="A109" s="885"/>
      <c r="B109" s="885"/>
    </row>
    <row r="110" spans="1:15" ht="27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79" t="s">
        <v>252</v>
      </c>
      <c r="B112" s="880"/>
      <c r="C112" s="881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-1403</v>
      </c>
      <c r="I112" s="165"/>
      <c r="J112" s="328">
        <f>H112/DAY(B2)</f>
        <v>-107.92307692307692</v>
      </c>
    </row>
    <row r="113" spans="1:18" ht="27.75" customHeight="1">
      <c r="A113" s="879" t="s">
        <v>253</v>
      </c>
      <c r="B113" s="880"/>
      <c r="C113" s="881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-8350.89</v>
      </c>
      <c r="I113" s="165"/>
      <c r="J113" s="328">
        <f>H113/DAY(B2)</f>
        <v>-642.37615384615378</v>
      </c>
    </row>
    <row r="114" spans="1:18" ht="27.75" customHeight="1">
      <c r="A114" s="879" t="s">
        <v>254</v>
      </c>
      <c r="B114" s="880"/>
      <c r="C114" s="881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-4839</v>
      </c>
      <c r="I114" s="165"/>
      <c r="J114" s="328">
        <f>H114/DAY(B2)</f>
        <v>-372.23076923076923</v>
      </c>
    </row>
    <row r="115" spans="1:18" ht="27.75" customHeight="1">
      <c r="A115" s="879" t="s">
        <v>255</v>
      </c>
      <c r="B115" s="880"/>
      <c r="C115" s="881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-177.64999999999964</v>
      </c>
      <c r="I115" s="165"/>
      <c r="J115" s="328">
        <f>H115/DAY(B2)</f>
        <v>-13.665384615384587</v>
      </c>
    </row>
    <row r="116" spans="1:18" ht="27.75" customHeight="1">
      <c r="A116" s="897" t="s">
        <v>96</v>
      </c>
      <c r="B116" s="898"/>
      <c r="C116" s="899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79"/>
      <c r="R116" s="881"/>
    </row>
    <row r="117" spans="1:18" ht="27.75" customHeight="1">
      <c r="A117" s="897" t="s">
        <v>184</v>
      </c>
      <c r="B117" s="898"/>
      <c r="C117" s="899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-428.94999999999982</v>
      </c>
      <c r="I117" s="165"/>
      <c r="J117" s="328">
        <f>H117/DAY(B2)</f>
        <v>-32.996153846153831</v>
      </c>
      <c r="Q117" s="879"/>
      <c r="R117" s="881"/>
    </row>
    <row r="118" spans="1:18" ht="27.75" customHeight="1">
      <c r="A118" s="874" t="s">
        <v>97</v>
      </c>
      <c r="B118" s="874"/>
      <c r="C118" s="874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-6113.3099999999977</v>
      </c>
      <c r="I118" s="165"/>
      <c r="J118" s="328">
        <f>H118/DAY(B2)</f>
        <v>-470.25461538461519</v>
      </c>
      <c r="Q118" s="879"/>
      <c r="R118" s="881"/>
    </row>
    <row r="119" spans="1:18" ht="27.75" customHeight="1">
      <c r="A119" s="874" t="s">
        <v>98</v>
      </c>
      <c r="B119" s="874"/>
      <c r="C119" s="874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-7544.5499999999884</v>
      </c>
      <c r="I119" s="165"/>
      <c r="J119" s="328">
        <f>H119/DAY(B2)</f>
        <v>-580.34999999999911</v>
      </c>
    </row>
    <row r="120" spans="1:18" ht="27.75" customHeight="1">
      <c r="A120" s="874" t="s">
        <v>99</v>
      </c>
      <c r="B120" s="874"/>
      <c r="C120" s="874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-7512.6100000000006</v>
      </c>
      <c r="I120" s="165"/>
      <c r="J120" s="328">
        <f>H120/DAY(B2)</f>
        <v>-577.89307692307693</v>
      </c>
    </row>
    <row r="121" spans="1:18" ht="27.75" customHeight="1">
      <c r="A121" s="874" t="s">
        <v>100</v>
      </c>
      <c r="B121" s="874"/>
      <c r="C121" s="874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-12267.429999999993</v>
      </c>
      <c r="I121" s="165"/>
      <c r="J121" s="328">
        <f>H121/DAY(B2)</f>
        <v>-943.64846153846099</v>
      </c>
    </row>
    <row r="122" spans="1:18" ht="27.75" customHeight="1">
      <c r="A122" s="874" t="s">
        <v>101</v>
      </c>
      <c r="B122" s="874"/>
      <c r="C122" s="874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-3378.179999999993</v>
      </c>
      <c r="I122" s="165"/>
      <c r="J122" s="328">
        <f>H122/DAY(B2)</f>
        <v>-259.85999999999945</v>
      </c>
    </row>
    <row r="123" spans="1:18" ht="27.75" customHeight="1">
      <c r="A123" s="874" t="s">
        <v>102</v>
      </c>
      <c r="B123" s="874"/>
      <c r="C123" s="874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-4863.9500000000116</v>
      </c>
      <c r="I123" s="165"/>
      <c r="J123" s="328">
        <f>H123/DAY(B2)</f>
        <v>-374.15000000000089</v>
      </c>
    </row>
    <row r="124" spans="1:18" ht="27.7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>
      <c r="A127" s="910"/>
      <c r="B127" s="910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79" t="s">
        <v>318</v>
      </c>
      <c r="B128" s="880"/>
      <c r="C128" s="881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-5560</v>
      </c>
      <c r="I128" s="165"/>
      <c r="J128" s="328">
        <f>H128/DAY(B2)</f>
        <v>-427.69230769230768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-3736.869999999999</v>
      </c>
      <c r="I129" s="165"/>
      <c r="J129" s="328">
        <f>H129/DAY(B2)</f>
        <v>-287.45153846153841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-9372</v>
      </c>
      <c r="I130" s="165"/>
      <c r="J130" s="328">
        <f>H130/DAY(B2)</f>
        <v>-720.92307692307691</v>
      </c>
      <c r="N130" s="240"/>
      <c r="O130" s="241"/>
    </row>
    <row r="131" spans="1:15" ht="27.75" customHeight="1">
      <c r="A131" s="879" t="s">
        <v>321</v>
      </c>
      <c r="B131" s="880"/>
      <c r="C131" s="881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-1230.6800000000003</v>
      </c>
      <c r="I131" s="165"/>
      <c r="J131" s="328">
        <f>H131/DAY(B2)</f>
        <v>-94.667692307692334</v>
      </c>
      <c r="N131" s="240"/>
      <c r="O131" s="241"/>
    </row>
    <row r="132" spans="1:15" ht="27.75" customHeight="1">
      <c r="A132" s="879" t="s">
        <v>322</v>
      </c>
      <c r="B132" s="880"/>
      <c r="C132" s="881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-4563.3000000000029</v>
      </c>
      <c r="I132" s="165"/>
      <c r="J132" s="328">
        <f>H132/DAY(B2)</f>
        <v>-351.02307692307716</v>
      </c>
    </row>
    <row r="133" spans="1:15" ht="27.75" customHeight="1">
      <c r="A133" s="879" t="s">
        <v>362</v>
      </c>
      <c r="B133" s="880"/>
      <c r="C133" s="881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-9019.6999999999971</v>
      </c>
      <c r="I133" s="165"/>
      <c r="J133" s="328">
        <f>H133/DAY(B2)</f>
        <v>-693.82307692307666</v>
      </c>
    </row>
    <row r="134" spans="1:15" ht="27.75" customHeight="1">
      <c r="A134" s="879" t="s">
        <v>340</v>
      </c>
      <c r="B134" s="880"/>
      <c r="C134" s="881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668137.77</v>
      </c>
      <c r="I134" s="165"/>
      <c r="J134" s="328">
        <f>H134/DAY(B2)</f>
        <v>51395.213076923079</v>
      </c>
    </row>
    <row r="135" spans="1:15" ht="27.7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2221</v>
      </c>
      <c r="H135" s="99">
        <f>G135+'12'!H135</f>
        <v>632108.22</v>
      </c>
      <c r="I135" s="327">
        <f>G135-(G35+G49)</f>
        <v>-529</v>
      </c>
      <c r="J135" s="328">
        <f>H135/DAY(B2)</f>
        <v>48623.709230769229</v>
      </c>
    </row>
    <row r="136" spans="1:15" ht="27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74" t="s">
        <v>185</v>
      </c>
      <c r="B138" s="874"/>
      <c r="C138" s="874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-1184</v>
      </c>
      <c r="I138" s="118"/>
      <c r="J138" s="328">
        <f>H138/DAY(B2)</f>
        <v>-91.07692307692308</v>
      </c>
    </row>
    <row r="139" spans="1:15" ht="27.75" customHeight="1">
      <c r="A139" s="874" t="s">
        <v>186</v>
      </c>
      <c r="B139" s="874"/>
      <c r="C139" s="874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-24</v>
      </c>
      <c r="I139" s="118"/>
      <c r="J139" s="328">
        <f>H139/DAY(B2)</f>
        <v>-1.8461538461538463</v>
      </c>
    </row>
    <row r="140" spans="1:15" ht="27.75" customHeight="1">
      <c r="A140" s="874" t="s">
        <v>187</v>
      </c>
      <c r="B140" s="874"/>
      <c r="C140" s="874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-24</v>
      </c>
      <c r="I140" s="118"/>
      <c r="J140" s="328">
        <f>H140/DAY(B2)</f>
        <v>-1.8461538461538463</v>
      </c>
    </row>
    <row r="141" spans="1:15" ht="27.75" customHeight="1">
      <c r="A141" s="878" t="s">
        <v>188</v>
      </c>
      <c r="B141" s="878"/>
      <c r="C141" s="878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-3114.5800000000017</v>
      </c>
      <c r="I141" s="118"/>
      <c r="J141" s="328">
        <f>H141/DAY(B2)</f>
        <v>-239.58307692307704</v>
      </c>
    </row>
    <row r="142" spans="1:15" ht="27.75" customHeight="1">
      <c r="A142" s="878" t="s">
        <v>189</v>
      </c>
      <c r="B142" s="878"/>
      <c r="C142" s="878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-1376.0999999999985</v>
      </c>
      <c r="I142" s="140"/>
      <c r="J142" s="328">
        <f>H142/DAY(B2)</f>
        <v>-105.85384615384604</v>
      </c>
    </row>
    <row r="143" spans="1:15" ht="27.75" customHeight="1">
      <c r="A143" s="874" t="s">
        <v>91</v>
      </c>
      <c r="B143" s="874"/>
      <c r="C143" s="874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-465.38999999999987</v>
      </c>
      <c r="I143" s="140"/>
      <c r="J143" s="328">
        <f>H143/DAY(B2)</f>
        <v>-35.799230769230761</v>
      </c>
    </row>
    <row r="144" spans="1:15" ht="27.75" customHeight="1">
      <c r="A144" s="878" t="s">
        <v>90</v>
      </c>
      <c r="B144" s="878"/>
      <c r="C144" s="878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-3890</v>
      </c>
      <c r="I144" s="140"/>
      <c r="J144" s="328">
        <f>H144/DAY(B2)</f>
        <v>-299.23076923076923</v>
      </c>
    </row>
    <row r="145" spans="1:10" ht="27.75" customHeight="1">
      <c r="A145" s="874" t="s">
        <v>190</v>
      </c>
      <c r="B145" s="874"/>
      <c r="C145" s="874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-203.84000000000015</v>
      </c>
      <c r="I145" s="140"/>
      <c r="J145" s="328">
        <f>H145/DAY(B2)</f>
        <v>-15.68000000000001</v>
      </c>
    </row>
    <row r="146" spans="1:10" ht="27.75" customHeight="1">
      <c r="A146" s="875" t="s">
        <v>191</v>
      </c>
      <c r="B146" s="876"/>
      <c r="C146" s="877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-7195</v>
      </c>
      <c r="I146" s="140"/>
      <c r="J146" s="328">
        <f>H146/DAY(B2)</f>
        <v>-553.46153846153845</v>
      </c>
    </row>
    <row r="147" spans="1:10" ht="27.75" customHeight="1">
      <c r="A147" s="878" t="s">
        <v>192</v>
      </c>
      <c r="B147" s="878"/>
      <c r="C147" s="878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-6485.5200000000186</v>
      </c>
      <c r="I147" s="140"/>
      <c r="J147" s="328">
        <f>H147/DAY(B2)</f>
        <v>-498.88615384615525</v>
      </c>
    </row>
    <row r="148" spans="1:10" ht="27.75" customHeight="1">
      <c r="A148" s="870" t="s">
        <v>193</v>
      </c>
      <c r="B148" s="871"/>
      <c r="C148" s="872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-3272.9599999999627</v>
      </c>
      <c r="I148" s="124"/>
      <c r="J148" s="328">
        <f>H148/DAY(B2)</f>
        <v>-251.76615384615098</v>
      </c>
    </row>
    <row r="149" spans="1:10" ht="27.75" customHeight="1">
      <c r="A149" s="870" t="s">
        <v>336</v>
      </c>
      <c r="B149" s="871"/>
      <c r="C149" s="872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-8597.2000000000007</v>
      </c>
      <c r="I149" s="119"/>
      <c r="J149" s="328">
        <f>H149/DAY(B2)</f>
        <v>-661.323076923077</v>
      </c>
    </row>
    <row r="150" spans="1:10" ht="27.75" customHeight="1">
      <c r="A150" s="870" t="s">
        <v>337</v>
      </c>
      <c r="B150" s="871"/>
      <c r="C150" s="872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-3951.83</v>
      </c>
      <c r="I150" s="119"/>
      <c r="J150" s="328">
        <f>H150/DAY(B2)</f>
        <v>-303.98692307692306</v>
      </c>
    </row>
    <row r="151" spans="1:10" ht="27.75" customHeight="1">
      <c r="A151" s="870" t="s">
        <v>338</v>
      </c>
      <c r="B151" s="871"/>
      <c r="C151" s="872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-4195</v>
      </c>
      <c r="I151" s="119"/>
      <c r="J151" s="328">
        <f>H151/DAY(B2)</f>
        <v>-322.69230769230768</v>
      </c>
    </row>
    <row r="152" spans="1:10" ht="27.75" customHeight="1">
      <c r="A152" s="870" t="s">
        <v>339</v>
      </c>
      <c r="B152" s="871"/>
      <c r="C152" s="872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-297</v>
      </c>
      <c r="I152" s="119"/>
      <c r="J152" s="328">
        <f>H152/DAY(B2)</f>
        <v>-22.846153846153847</v>
      </c>
    </row>
    <row r="153" spans="1:10" ht="27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>
      <c r="A155" s="878" t="s">
        <v>345</v>
      </c>
      <c r="B155" s="878"/>
      <c r="C155" s="878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-12276.000000000004</v>
      </c>
      <c r="I155" s="364"/>
      <c r="J155" s="328">
        <f>H155/DAY(B2)</f>
        <v>-944.30769230769261</v>
      </c>
    </row>
    <row r="156" spans="1:10" ht="27.75" customHeight="1">
      <c r="A156" s="878" t="s">
        <v>347</v>
      </c>
      <c r="B156" s="878"/>
      <c r="C156" s="878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-1065</v>
      </c>
      <c r="I156" s="165"/>
      <c r="J156" s="328">
        <f>H156/DAY(B2)</f>
        <v>-81.92307692307692</v>
      </c>
    </row>
    <row r="157" spans="1:10" ht="27.75" customHeight="1">
      <c r="A157" s="870" t="s">
        <v>364</v>
      </c>
      <c r="B157" s="871"/>
      <c r="C157" s="872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>
      <c r="A158" s="870" t="s">
        <v>365</v>
      </c>
      <c r="B158" s="871"/>
      <c r="C158" s="872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>
      <c r="A159" s="927"/>
      <c r="B159" s="928"/>
      <c r="C159" s="929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-635.55999999999767</v>
      </c>
      <c r="I161" s="236"/>
      <c r="J161" s="239">
        <f>H161/DAY(B2)</f>
        <v>-48.889230769230593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-592.39999999999418</v>
      </c>
      <c r="I162" s="236"/>
      <c r="J162" s="239">
        <f>H162/DAY(B2)</f>
        <v>-45.569230769230323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-868.10000000000582</v>
      </c>
      <c r="I163" s="236"/>
      <c r="J163" s="239">
        <f>H163/DAY(B2)</f>
        <v>-66.776923076923524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-60</v>
      </c>
      <c r="I164" s="236"/>
      <c r="J164" s="239">
        <f>H164/DAY(B2)</f>
        <v>-4.615384615384615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-127.25</v>
      </c>
      <c r="I165" s="236"/>
      <c r="J165" s="239">
        <f>H165/DAY(B2)</f>
        <v>-9.7884615384615383</v>
      </c>
    </row>
    <row r="166" spans="1:10" ht="27.75" customHeight="1">
      <c r="A166" s="910"/>
      <c r="B166" s="91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10"/>
      <c r="B167" s="91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10"/>
      <c r="B168" s="91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68" t="s">
        <v>209</v>
      </c>
      <c r="B173" s="869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>
      <c r="A174" s="868" t="s">
        <v>75</v>
      </c>
      <c r="B174" s="869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-199</v>
      </c>
      <c r="I174" s="155"/>
      <c r="J174" s="178">
        <f>H174/DAY(B2)</f>
        <v>-15.307692307692308</v>
      </c>
    </row>
    <row r="175" spans="1:10" ht="27.75" customHeight="1">
      <c r="A175" s="868" t="s">
        <v>76</v>
      </c>
      <c r="B175" s="873"/>
      <c r="C175" s="869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-176</v>
      </c>
      <c r="I175" s="155"/>
      <c r="J175" s="178">
        <f>H175/DAY(B2)</f>
        <v>-13.538461538461538</v>
      </c>
    </row>
    <row r="176" spans="1:10" ht="27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G176+'12'!H176</f>
        <v>-375</v>
      </c>
      <c r="I176" s="155"/>
      <c r="J176" s="178">
        <f>H176/DAY(B2)</f>
        <v>-28.846153846153847</v>
      </c>
    </row>
    <row r="177" spans="1:15" ht="27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68" t="s">
        <v>210</v>
      </c>
      <c r="B178" s="869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-939</v>
      </c>
      <c r="I178" s="155"/>
      <c r="J178" s="178">
        <f>H178/DAY(B2)</f>
        <v>-72.230769230769226</v>
      </c>
    </row>
    <row r="179" spans="1:15" ht="27.75" customHeight="1">
      <c r="A179" s="868" t="s">
        <v>211</v>
      </c>
      <c r="B179" s="869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-603</v>
      </c>
      <c r="I179" s="155"/>
      <c r="J179" s="178">
        <f>H179/DAY(B2)</f>
        <v>-46.384615384615387</v>
      </c>
    </row>
    <row r="180" spans="1:15" ht="27.75" customHeight="1">
      <c r="A180" s="868" t="s">
        <v>212</v>
      </c>
      <c r="B180" s="869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-136</v>
      </c>
      <c r="I180" s="155"/>
      <c r="J180" s="178">
        <f>H180/DAY(B2)</f>
        <v>-10.461538461538462</v>
      </c>
    </row>
    <row r="181" spans="1:15" ht="27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78</v>
      </c>
      <c r="H181" s="99">
        <f>G181+'12'!H181</f>
        <v>-1678</v>
      </c>
      <c r="I181" s="155"/>
      <c r="J181" s="178">
        <f>H181/DAY(B2)</f>
        <v>-129.07692307692307</v>
      </c>
    </row>
    <row r="182" spans="1:15" ht="27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68" t="s">
        <v>214</v>
      </c>
      <c r="B183" s="869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-237</v>
      </c>
      <c r="I183" s="155"/>
      <c r="J183" s="178">
        <f>H183/DAY(B2)</f>
        <v>-18.23076923076923</v>
      </c>
    </row>
    <row r="184" spans="1:15" ht="27.75" customHeight="1">
      <c r="A184" s="868" t="s">
        <v>215</v>
      </c>
      <c r="B184" s="869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-129</v>
      </c>
      <c r="I184" s="155"/>
      <c r="J184" s="178">
        <f>H184/DAY(B2)</f>
        <v>-9.9230769230769234</v>
      </c>
      <c r="O184" s="65" t="s">
        <v>366</v>
      </c>
    </row>
    <row r="185" spans="1:15" ht="27.75" customHeight="1">
      <c r="A185" s="868" t="s">
        <v>216</v>
      </c>
      <c r="B185" s="869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G186+'12'!H186</f>
        <v>-366</v>
      </c>
      <c r="I186" s="157"/>
      <c r="J186" s="178">
        <f>H186/DAY(B2)</f>
        <v>-28.153846153846153</v>
      </c>
    </row>
    <row r="187" spans="1:15" ht="27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107</v>
      </c>
      <c r="H187" s="99">
        <f>G187+'12'!H187</f>
        <v>-2517</v>
      </c>
      <c r="I187" s="158"/>
      <c r="J187" s="179">
        <f>H187/DAY(B2)</f>
        <v>-193.61538461538461</v>
      </c>
    </row>
    <row r="188" spans="1:15" ht="27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111</v>
      </c>
      <c r="H188" s="99">
        <f>G188+'12'!H188</f>
        <v>-2448</v>
      </c>
      <c r="I188" s="158"/>
      <c r="J188" s="179">
        <f>H188/DAY(B2)</f>
        <v>-188.30769230769232</v>
      </c>
    </row>
    <row r="189" spans="1:15" ht="27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78</v>
      </c>
      <c r="H189" s="99">
        <f>G189+'12'!H189</f>
        <v>-1678</v>
      </c>
      <c r="I189" s="158"/>
      <c r="J189" s="179">
        <f>H189/DAY(B2)</f>
        <v>-129.07692307692307</v>
      </c>
    </row>
    <row r="190" spans="1:15" ht="27.75" customHeight="1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5" zoomScaleSheetLayoutView="55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-296757.23</v>
      </c>
      <c r="I7" s="113">
        <f>'1'!I7</f>
        <v>12000</v>
      </c>
      <c r="J7" s="175">
        <f>H7/DAY(B2)</f>
        <v>-21196.945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-303093.15000000002</v>
      </c>
      <c r="I8" s="116"/>
      <c r="J8" s="175">
        <f>H8/DAY(B2)</f>
        <v>-21649.510714285716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54881</v>
      </c>
      <c r="F9" s="598">
        <v>65618</v>
      </c>
      <c r="G9" s="112">
        <f>F9-E9</f>
        <v>10737</v>
      </c>
      <c r="H9" s="99">
        <f>G9+'13'!H9</f>
        <v>2140645.1500000004</v>
      </c>
      <c r="I9" s="124">
        <f>I7-J7</f>
        <v>33196.945</v>
      </c>
      <c r="J9" s="175">
        <f>H9/DAY(B2)</f>
        <v>152903.22500000003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524118.03</v>
      </c>
      <c r="I10" s="282"/>
      <c r="J10" s="175">
        <f>H10/DAY(B2)</f>
        <v>37437.002142857142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-170</v>
      </c>
      <c r="I11" s="282"/>
      <c r="J11" s="175">
        <f>H11/DAY(B2)</f>
        <v>-12.142857142857142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2647838.75</v>
      </c>
      <c r="I13" s="120">
        <f>G7-G13</f>
        <v>464</v>
      </c>
      <c r="J13" s="175">
        <f>H13/DAY(B2)</f>
        <v>189131.33928571429</v>
      </c>
      <c r="K13" s="79"/>
      <c r="L13" s="66"/>
      <c r="N13" s="87"/>
      <c r="O13" s="71"/>
    </row>
    <row r="14" spans="1:15" ht="27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-16001.766999999993</v>
      </c>
      <c r="I15" s="113">
        <f>'1'!I15</f>
        <v>800</v>
      </c>
      <c r="J15" s="175">
        <f>H15/DAY(B2)</f>
        <v>-1142.9833571428567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1942.9833571428567</v>
      </c>
      <c r="J16" s="176"/>
      <c r="K16" s="79"/>
      <c r="L16" s="66"/>
      <c r="N16" s="87"/>
      <c r="O16" s="71"/>
    </row>
    <row r="17" spans="1:15" ht="27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46" t="s">
        <v>141</v>
      </c>
      <c r="B18" s="847"/>
      <c r="C18" s="848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1850</v>
      </c>
      <c r="I18" s="113">
        <f>'1'!I18</f>
        <v>65</v>
      </c>
      <c r="J18" s="175">
        <f>H18/DAY(B2)</f>
        <v>132.14285714285714</v>
      </c>
      <c r="K18" s="79"/>
      <c r="L18" s="66"/>
      <c r="N18" s="87"/>
      <c r="O18" s="71"/>
    </row>
    <row r="19" spans="1:15" ht="27.75" customHeight="1">
      <c r="A19" s="846" t="s">
        <v>69</v>
      </c>
      <c r="B19" s="847"/>
      <c r="C19" s="848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-929</v>
      </c>
      <c r="I19" s="335"/>
      <c r="J19" s="175">
        <f>H19/DAY(B2)</f>
        <v>-66.357142857142861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921</v>
      </c>
      <c r="I20" s="336">
        <f>I18-J20</f>
        <v>-0.7857142857142918</v>
      </c>
      <c r="J20" s="175">
        <f>H20/DAY(B2)</f>
        <v>65.785714285714292</v>
      </c>
      <c r="K20" s="79"/>
      <c r="L20" s="66"/>
      <c r="N20" s="87"/>
      <c r="O20" s="71"/>
    </row>
    <row r="21" spans="1:15" ht="27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-2727838.3500000006</v>
      </c>
      <c r="I27" s="138"/>
      <c r="J27" s="175">
        <f>H27/DAY(B2)</f>
        <v>-194845.59642857147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-832091.88399999961</v>
      </c>
      <c r="I28" s="140"/>
      <c r="J28" s="175">
        <f>H28/DAY(B2)</f>
        <v>-59435.134571428542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-135634</v>
      </c>
      <c r="I30" s="140"/>
      <c r="J30" s="175">
        <f>H30/DAY(B2)</f>
        <v>-9688.1428571428569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148000</v>
      </c>
      <c r="I31" s="140"/>
      <c r="J31" s="175">
        <f>H31/DAY(B2)</f>
        <v>10571.428571428571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-3547564.2340000002</v>
      </c>
      <c r="I32" s="144"/>
      <c r="J32" s="175">
        <f>H32/DAY(B2)</f>
        <v>-253397.44528571429</v>
      </c>
      <c r="K32" s="63"/>
      <c r="L32" s="89"/>
      <c r="N32" s="87"/>
      <c r="O32" s="71"/>
    </row>
    <row r="33" spans="1:15" ht="27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145241.02000000002</v>
      </c>
      <c r="I35" s="95"/>
      <c r="J35" s="175">
        <f>H35/DAY(B2)</f>
        <v>10374.358571428573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-11737.739999999998</v>
      </c>
      <c r="I36" s="95"/>
      <c r="J36" s="175">
        <f>H36/DAY(B2)</f>
        <v>-838.40999999999985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181009.91000000003</v>
      </c>
      <c r="I37" s="95"/>
      <c r="J37" s="175">
        <f>H37/DAY(B2)</f>
        <v>12929.279285714289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216857.57</v>
      </c>
      <c r="I38" s="95"/>
      <c r="J38" s="175">
        <f>H38/DAY(B2)</f>
        <v>15489.826428571429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388602.71</v>
      </c>
      <c r="I39" s="95"/>
      <c r="J39" s="175">
        <f>H39/DAY(B2)</f>
        <v>27757.336428571431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12638.739999999998</v>
      </c>
      <c r="I40" s="95"/>
      <c r="J40" s="175">
        <f>H40/DAY(B2)</f>
        <v>902.76714285714274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-26320.740000000005</v>
      </c>
      <c r="I42" s="95"/>
      <c r="J42" s="175">
        <f>H42/DAY(B2)</f>
        <v>-1880.0528571428574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-36111.600000000006</v>
      </c>
      <c r="I43" s="95"/>
      <c r="J43" s="175">
        <f>H43/DAY(B2)</f>
        <v>-2579.4000000000005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870179.87</v>
      </c>
      <c r="I47" s="95"/>
      <c r="J47" s="175">
        <f>H47/DAY(B2)</f>
        <v>62155.705000000002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267770.81</v>
      </c>
      <c r="I49" s="95"/>
      <c r="J49" s="175">
        <f>H49/DAY(B2)</f>
        <v>19126.486428571428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-17871.629999999997</v>
      </c>
      <c r="I50" s="95"/>
      <c r="J50" s="175">
        <f>H50/DAY(B2)</f>
        <v>-1276.5449999999998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2943.66</v>
      </c>
      <c r="I54" s="95"/>
      <c r="J54" s="175">
        <f>H54/DAY(B2)</f>
        <v>210.26142857142855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-28664.11</v>
      </c>
      <c r="I55" s="95"/>
      <c r="J55" s="175">
        <f>H55/DAY(B2)</f>
        <v>-2047.4364285714287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89461.420000000013</v>
      </c>
      <c r="I58" s="95"/>
      <c r="J58" s="175">
        <f>H58/DAY(B2)</f>
        <v>6390.1014285714291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313640.61000000004</v>
      </c>
      <c r="I59" s="95">
        <f>G7-G60</f>
        <v>1042</v>
      </c>
      <c r="J59" s="175">
        <f>H59/DAY(B2)</f>
        <v>22402.900714285719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1183820.4799999997</v>
      </c>
      <c r="I60" s="95">
        <f>G13-G60</f>
        <v>578</v>
      </c>
      <c r="J60" s="175">
        <f>H60/DAY(B2)</f>
        <v>84558.605714285703</v>
      </c>
      <c r="K60" s="79"/>
      <c r="L60" s="66"/>
      <c r="N60" s="87"/>
      <c r="O60" s="71"/>
    </row>
    <row r="61" spans="1:15" s="68" customFormat="1" ht="27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46" t="s">
        <v>198</v>
      </c>
      <c r="B62" s="847"/>
      <c r="C62" s="848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-1488</v>
      </c>
      <c r="I62" s="118"/>
      <c r="J62" s="175">
        <f>H62/DAY(B2)</f>
        <v>-106.28571428571429</v>
      </c>
      <c r="K62" s="80"/>
      <c r="L62" s="66"/>
      <c r="N62" s="87"/>
      <c r="O62" s="71"/>
    </row>
    <row r="63" spans="1:15" ht="27.75" customHeight="1">
      <c r="A63" s="846" t="s">
        <v>199</v>
      </c>
      <c r="B63" s="847"/>
      <c r="C63" s="848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-1949</v>
      </c>
      <c r="I63" s="118"/>
      <c r="J63" s="175">
        <f>H63/DAY(B2)</f>
        <v>-139.21428571428572</v>
      </c>
      <c r="K63" s="69"/>
      <c r="L63" s="66"/>
      <c r="N63" s="87"/>
      <c r="O63" s="71"/>
    </row>
    <row r="64" spans="1:15" ht="27.75" customHeight="1">
      <c r="A64" s="843" t="s">
        <v>200</v>
      </c>
      <c r="B64" s="844"/>
      <c r="C64" s="845"/>
      <c r="D64" s="151"/>
      <c r="E64" s="95">
        <f>'13'!F64</f>
        <v>0</v>
      </c>
      <c r="F64" s="122"/>
      <c r="G64" s="112">
        <f>G62+G63</f>
        <v>95</v>
      </c>
      <c r="H64" s="99">
        <f>G64+'13'!H64</f>
        <v>-3437</v>
      </c>
      <c r="I64" s="118"/>
      <c r="J64" s="175">
        <f>H64/DAY(B2)</f>
        <v>-245.5</v>
      </c>
      <c r="K64" s="69"/>
      <c r="L64" s="66"/>
      <c r="N64" s="87"/>
      <c r="O64" s="71"/>
    </row>
    <row r="65" spans="1:15" ht="27.75" customHeight="1">
      <c r="A65" s="846" t="s">
        <v>201</v>
      </c>
      <c r="B65" s="847"/>
      <c r="C65" s="848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-1328</v>
      </c>
      <c r="I65" s="118"/>
      <c r="J65" s="175">
        <f>H65/DAY(B2)</f>
        <v>-94.857142857142861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-288</v>
      </c>
      <c r="I66" s="118"/>
      <c r="J66" s="175">
        <f>H66/DAY(B2)</f>
        <v>-20.571428571428573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-394</v>
      </c>
      <c r="I67" s="118"/>
      <c r="J67" s="175">
        <f>H67/DAY(B2)</f>
        <v>-28.142857142857142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-714</v>
      </c>
      <c r="I68" s="118"/>
      <c r="J68" s="175">
        <f>H68/DAY(B2)</f>
        <v>-51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-189</v>
      </c>
      <c r="I69" s="118"/>
      <c r="J69" s="175">
        <f>H69/DAY(B2)</f>
        <v>-13.5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-150</v>
      </c>
      <c r="I70" s="118"/>
      <c r="J70" s="175">
        <f>H70/DAY(B2)</f>
        <v>-10.714285714285714</v>
      </c>
      <c r="K70" s="69"/>
      <c r="L70" s="66"/>
      <c r="N70" s="87"/>
      <c r="O70" s="71"/>
    </row>
    <row r="71" spans="1:15" ht="27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134</v>
      </c>
      <c r="H71" s="99">
        <f>G71+'13'!H71</f>
        <v>-3063</v>
      </c>
      <c r="I71" s="154"/>
      <c r="J71" s="175">
        <f>H71/DAY(B2)</f>
        <v>-218.78571428571428</v>
      </c>
      <c r="K71" s="69"/>
      <c r="L71" s="66"/>
      <c r="N71" s="87"/>
      <c r="O71" s="71"/>
    </row>
    <row r="72" spans="1:15" s="88" customFormat="1" ht="27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46" t="s">
        <v>220</v>
      </c>
      <c r="B74" s="847"/>
      <c r="C74" s="848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-5150.1489999999758</v>
      </c>
      <c r="I74" s="154"/>
      <c r="J74" s="175">
        <f>H74/DAY(B2)</f>
        <v>-367.86778571428397</v>
      </c>
      <c r="K74" s="69"/>
      <c r="L74" s="66"/>
      <c r="N74" s="87"/>
      <c r="O74" s="71"/>
    </row>
    <row r="75" spans="1:15" ht="27.75" customHeight="1">
      <c r="A75" s="846" t="s">
        <v>221</v>
      </c>
      <c r="B75" s="847"/>
      <c r="C75" s="848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>
      <c r="A76" s="890" t="s">
        <v>222</v>
      </c>
      <c r="B76" s="876"/>
      <c r="C76" s="877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-1583</v>
      </c>
      <c r="I76" s="154"/>
      <c r="J76" s="175">
        <f>H76/DAY(B2)</f>
        <v>-113.07142857142857</v>
      </c>
      <c r="K76" s="69"/>
      <c r="L76" s="66"/>
      <c r="N76" s="87"/>
      <c r="O76" s="71"/>
    </row>
    <row r="77" spans="1:15" ht="27.75" customHeight="1">
      <c r="A77" s="890" t="s">
        <v>223</v>
      </c>
      <c r="B77" s="876"/>
      <c r="C77" s="877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-557.19999999999709</v>
      </c>
      <c r="I77" s="154"/>
      <c r="J77" s="175">
        <f>H77/DAY(B2)</f>
        <v>-39.799999999999791</v>
      </c>
      <c r="K77" s="69"/>
      <c r="L77" s="66"/>
      <c r="N77" s="87"/>
      <c r="O77" s="71"/>
    </row>
    <row r="78" spans="1:15" ht="27.75" customHeight="1">
      <c r="A78" s="890" t="s">
        <v>224</v>
      </c>
      <c r="B78" s="876"/>
      <c r="C78" s="877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-19</v>
      </c>
      <c r="I78" s="118"/>
      <c r="J78" s="175">
        <f>H78/DAY(B2)</f>
        <v>-1.3571428571428572</v>
      </c>
      <c r="K78" s="69"/>
      <c r="L78" s="66"/>
      <c r="N78" s="87"/>
      <c r="O78" s="71"/>
    </row>
    <row r="79" spans="1:15" s="57" customFormat="1" ht="27.75" customHeight="1">
      <c r="A79" s="890" t="s">
        <v>225</v>
      </c>
      <c r="B79" s="876"/>
      <c r="C79" s="877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-8692.6180000000168</v>
      </c>
      <c r="I79" s="118"/>
      <c r="J79" s="175">
        <f>H79/DAY(B2)</f>
        <v>-620.90128571428693</v>
      </c>
      <c r="K79" s="59"/>
      <c r="L79" s="58"/>
      <c r="N79" s="87"/>
      <c r="O79" s="71"/>
    </row>
    <row r="80" spans="1:15" s="57" customFormat="1" ht="27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-165.44999999999982</v>
      </c>
      <c r="I85" s="118">
        <f>G82+G83+G84+G85</f>
        <v>0</v>
      </c>
      <c r="J85" s="175">
        <f>H85/DAY(B2)</f>
        <v>-11.817857142857131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-242</v>
      </c>
      <c r="I86" s="118"/>
      <c r="J86" s="175">
        <f>H86/DAY(B2)</f>
        <v>-17.285714285714285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-4.1599999999998545</v>
      </c>
      <c r="I88" s="118">
        <f>G86+G87+G88</f>
        <v>24</v>
      </c>
      <c r="J88" s="175">
        <f>H88/DAY(B2)</f>
        <v>-0.29714285714284677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-148.12999999999738</v>
      </c>
      <c r="I89" s="118"/>
      <c r="J89" s="175">
        <f>H89/DAY(B2)</f>
        <v>-10.580714285714098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-49.790000000008149</v>
      </c>
      <c r="I90" s="118">
        <f>G89+G90</f>
        <v>11.039999999997235</v>
      </c>
      <c r="J90" s="175">
        <f>H90/DAY(B2)</f>
        <v>-3.5564285714291537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-24.769999999999982</v>
      </c>
      <c r="I91" s="165"/>
      <c r="J91" s="175">
        <f>H91/DAY(B2)</f>
        <v>-1.769285714285713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-158.29999999999927</v>
      </c>
      <c r="I92" s="165"/>
      <c r="J92" s="175">
        <f>H92/DAY(B2)</f>
        <v>-11.307142857142805</v>
      </c>
      <c r="O92" s="71"/>
    </row>
    <row r="93" spans="1:15" ht="27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4575</v>
      </c>
      <c r="H94" s="99">
        <f>G94+'13'!H94</f>
        <v>376900.23</v>
      </c>
      <c r="I94" s="118"/>
      <c r="J94" s="175">
        <f>H94/DAY(B2)</f>
        <v>26921.445</v>
      </c>
      <c r="K94" s="69"/>
      <c r="L94" s="66"/>
      <c r="O94" s="71"/>
    </row>
    <row r="95" spans="1:15" ht="27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0.26555607151149291</v>
      </c>
      <c r="H95" s="99">
        <f>G95+'13'!H95</f>
        <v>3.0625690421392453</v>
      </c>
      <c r="I95" s="167"/>
      <c r="J95" s="175">
        <f>H95/DAY(B2)</f>
        <v>0.21875493158137466</v>
      </c>
      <c r="K95" s="69"/>
      <c r="L95" s="66"/>
      <c r="O95" s="71"/>
    </row>
    <row r="96" spans="1:15" ht="27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3132</v>
      </c>
      <c r="H96" s="99">
        <f>G96+'13'!H96</f>
        <v>-54984.390000000014</v>
      </c>
      <c r="I96" s="118"/>
      <c r="J96" s="175">
        <f>H96/DAY(B2)</f>
        <v>-3927.4564285714296</v>
      </c>
      <c r="K96" s="69"/>
      <c r="L96" s="66"/>
      <c r="O96" s="71"/>
    </row>
    <row r="97" spans="1:15" ht="27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0.18179707452983515</v>
      </c>
      <c r="H97" s="99">
        <f>G97+'13'!H97</f>
        <v>2.4405524994462544</v>
      </c>
      <c r="I97" s="167"/>
      <c r="J97" s="175">
        <f>H97/DAY(B2)</f>
        <v>0.17432517853187532</v>
      </c>
      <c r="K97" s="69"/>
      <c r="L97" s="66"/>
      <c r="O97" s="71"/>
    </row>
    <row r="98" spans="1:15" ht="27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2495</v>
      </c>
      <c r="H98" s="99">
        <f>G98+'13'!H98</f>
        <v>388602.71</v>
      </c>
      <c r="I98" s="168"/>
      <c r="J98" s="175">
        <f>H98/DAY(B2)</f>
        <v>27757.336428571431</v>
      </c>
      <c r="K98" s="69"/>
      <c r="L98" s="66"/>
      <c r="O98" s="71"/>
    </row>
    <row r="99" spans="1:15" ht="27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0.1448223821685628</v>
      </c>
      <c r="H99" s="99">
        <f>G99+'13'!H99</f>
        <v>1.1939337438749416</v>
      </c>
      <c r="I99" s="168"/>
      <c r="J99" s="175">
        <f>H99/DAY(B2)</f>
        <v>8.5280981705352962E-2</v>
      </c>
      <c r="O99" s="71"/>
    </row>
    <row r="100" spans="1:15" ht="27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1832</v>
      </c>
      <c r="H100" s="99">
        <f>G100+'13'!H100</f>
        <v>216857.57</v>
      </c>
      <c r="I100" s="118"/>
      <c r="J100" s="175">
        <f>H100/DAY(B2)</f>
        <v>15489.826428571429</v>
      </c>
      <c r="K100" s="70"/>
      <c r="O100" s="71"/>
    </row>
    <row r="101" spans="1:15" ht="27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0.81464282437536173</v>
      </c>
      <c r="I101" s="168"/>
      <c r="J101" s="175">
        <f>H101/DAY(B2)</f>
        <v>5.8188773169668695E-2</v>
      </c>
      <c r="O101" s="71"/>
    </row>
    <row r="102" spans="1:15" ht="27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1488</v>
      </c>
      <c r="H102" s="99">
        <f>G102+'13'!H102</f>
        <v>-29609.369999999995</v>
      </c>
      <c r="I102" s="168"/>
      <c r="J102" s="175">
        <f>H102/DAY(B2)</f>
        <v>-2114.9549999999995</v>
      </c>
      <c r="O102" s="71"/>
    </row>
    <row r="103" spans="1:15" ht="27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1.2898065906998741</v>
      </c>
      <c r="I103" s="118"/>
      <c r="J103" s="175">
        <f>H103/DAY(B2)</f>
        <v>9.2129042192848148E-2</v>
      </c>
      <c r="O103" s="71"/>
    </row>
    <row r="104" spans="1:15" ht="27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1509</v>
      </c>
      <c r="H104" s="99">
        <f>G104+'13'!H104</f>
        <v>181009.91000000003</v>
      </c>
      <c r="I104" s="118"/>
      <c r="J104" s="175">
        <f>H104/DAY(B2)</f>
        <v>12929.279285714289</v>
      </c>
      <c r="O104" s="71"/>
    </row>
    <row r="105" spans="1:15" ht="27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0.77644499384601318</v>
      </c>
      <c r="I105" s="187"/>
      <c r="J105" s="188">
        <f>H105/DAY(B2)</f>
        <v>5.5460356703286653E-2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>
      <c r="A109" s="885"/>
      <c r="B109" s="885"/>
    </row>
    <row r="110" spans="1:15" ht="27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79" t="s">
        <v>252</v>
      </c>
      <c r="B112" s="880"/>
      <c r="C112" s="881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-1321</v>
      </c>
      <c r="I112" s="165"/>
      <c r="J112" s="328">
        <f>H112/DAY(B2)</f>
        <v>-94.357142857142861</v>
      </c>
    </row>
    <row r="113" spans="1:18" ht="27.75" customHeight="1">
      <c r="A113" s="879" t="s">
        <v>253</v>
      </c>
      <c r="B113" s="880"/>
      <c r="C113" s="881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-7900.8899999999994</v>
      </c>
      <c r="I113" s="165"/>
      <c r="J113" s="328">
        <f>H113/DAY(B2)</f>
        <v>-564.34928571428566</v>
      </c>
    </row>
    <row r="114" spans="1:18" ht="27.75" customHeight="1">
      <c r="A114" s="879" t="s">
        <v>254</v>
      </c>
      <c r="B114" s="880"/>
      <c r="C114" s="881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-4575</v>
      </c>
      <c r="I114" s="165"/>
      <c r="J114" s="328">
        <f>H114/DAY(B2)</f>
        <v>-326.78571428571428</v>
      </c>
    </row>
    <row r="115" spans="1:18" ht="27.75" customHeight="1">
      <c r="A115" s="879" t="s">
        <v>255</v>
      </c>
      <c r="B115" s="880"/>
      <c r="C115" s="881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-168.64999999999964</v>
      </c>
      <c r="I115" s="165"/>
      <c r="J115" s="328">
        <f>H115/DAY(B2)</f>
        <v>-12.046428571428546</v>
      </c>
    </row>
    <row r="116" spans="1:18" ht="27.75" customHeight="1">
      <c r="A116" s="897" t="s">
        <v>96</v>
      </c>
      <c r="B116" s="898"/>
      <c r="C116" s="899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customHeight="1">
      <c r="A117" s="897" t="s">
        <v>184</v>
      </c>
      <c r="B117" s="898"/>
      <c r="C117" s="899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-407.94999999999982</v>
      </c>
      <c r="I117" s="165"/>
      <c r="J117" s="328">
        <f>H117/DAY(B2)</f>
        <v>-29.139285714285702</v>
      </c>
      <c r="Q117" s="879" t="s">
        <v>312</v>
      </c>
      <c r="R117" s="881"/>
    </row>
    <row r="118" spans="1:18" ht="27.75" customHeight="1">
      <c r="A118" s="874" t="s">
        <v>97</v>
      </c>
      <c r="B118" s="874"/>
      <c r="C118" s="874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-5736.3099999999977</v>
      </c>
      <c r="I118" s="165"/>
      <c r="J118" s="328">
        <f>H118/DAY(B2)</f>
        <v>-409.73642857142841</v>
      </c>
      <c r="Q118" s="879" t="s">
        <v>311</v>
      </c>
      <c r="R118" s="881"/>
    </row>
    <row r="119" spans="1:18" ht="27.75" customHeight="1">
      <c r="A119" s="874" t="s">
        <v>98</v>
      </c>
      <c r="B119" s="874"/>
      <c r="C119" s="874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-7167.5499999999884</v>
      </c>
      <c r="I119" s="165"/>
      <c r="J119" s="328">
        <f>H119/DAY(B2)</f>
        <v>-511.9678571428563</v>
      </c>
    </row>
    <row r="120" spans="1:18" ht="27.75" customHeight="1">
      <c r="A120" s="874" t="s">
        <v>99</v>
      </c>
      <c r="B120" s="874"/>
      <c r="C120" s="874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-7101.6100000000006</v>
      </c>
      <c r="I120" s="165"/>
      <c r="J120" s="328">
        <f>H120/DAY(B2)</f>
        <v>-507.25785714285718</v>
      </c>
    </row>
    <row r="121" spans="1:18" ht="27.75" customHeight="1">
      <c r="A121" s="874" t="s">
        <v>100</v>
      </c>
      <c r="B121" s="874"/>
      <c r="C121" s="874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-11612.429999999993</v>
      </c>
      <c r="I121" s="165"/>
      <c r="J121" s="328">
        <f>H121/DAY(B2)</f>
        <v>-829.45928571428522</v>
      </c>
    </row>
    <row r="122" spans="1:18" ht="27.75" customHeight="1">
      <c r="A122" s="874" t="s">
        <v>101</v>
      </c>
      <c r="B122" s="874"/>
      <c r="C122" s="874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-3190.179999999993</v>
      </c>
      <c r="I122" s="165"/>
      <c r="J122" s="328">
        <f>H122/DAY(B2)</f>
        <v>-227.86999999999949</v>
      </c>
    </row>
    <row r="123" spans="1:18" ht="27.75" customHeight="1">
      <c r="A123" s="874" t="s">
        <v>102</v>
      </c>
      <c r="B123" s="874"/>
      <c r="C123" s="874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-4566.9500000000116</v>
      </c>
      <c r="I123" s="165"/>
      <c r="J123" s="328">
        <f>H123/DAY(B2)</f>
        <v>-326.21071428571514</v>
      </c>
    </row>
    <row r="124" spans="1:18" ht="27.7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>
      <c r="A127" s="910"/>
      <c r="B127" s="910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79" t="s">
        <v>318</v>
      </c>
      <c r="B128" s="880"/>
      <c r="C128" s="881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-5261</v>
      </c>
      <c r="I128" s="165"/>
      <c r="J128" s="328">
        <f>H128/DAY(B2)</f>
        <v>-375.78571428571428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-3548.869999999999</v>
      </c>
      <c r="I129" s="165"/>
      <c r="J129" s="328">
        <f>H129/DAY(B2)</f>
        <v>-253.4907142857142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-8809</v>
      </c>
      <c r="I130" s="165"/>
      <c r="J130" s="328">
        <f>H130/DAY(B2)</f>
        <v>-629.21428571428567</v>
      </c>
      <c r="N130" s="240"/>
      <c r="O130" s="241"/>
    </row>
    <row r="131" spans="1:15" ht="27.75" customHeight="1">
      <c r="A131" s="879" t="s">
        <v>321</v>
      </c>
      <c r="B131" s="880"/>
      <c r="C131" s="881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-1140.6800000000003</v>
      </c>
      <c r="I131" s="165"/>
      <c r="J131" s="328">
        <f>H131/DAY(B2)</f>
        <v>-81.47714285714288</v>
      </c>
      <c r="N131" s="240"/>
      <c r="O131" s="241"/>
    </row>
    <row r="132" spans="1:15" ht="27.75" customHeight="1">
      <c r="A132" s="879" t="s">
        <v>322</v>
      </c>
      <c r="B132" s="880"/>
      <c r="C132" s="881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-4053.3000000000029</v>
      </c>
      <c r="I132" s="165"/>
      <c r="J132" s="328">
        <f>H132/DAY(B2)</f>
        <v>-289.52142857142877</v>
      </c>
    </row>
    <row r="133" spans="1:15" ht="27.75" customHeight="1">
      <c r="A133" s="879" t="s">
        <v>341</v>
      </c>
      <c r="B133" s="880"/>
      <c r="C133" s="881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-8616.6999999999971</v>
      </c>
      <c r="I133" s="165"/>
      <c r="J133" s="328">
        <f>H133/DAY(B2)</f>
        <v>-615.47857142857117</v>
      </c>
    </row>
    <row r="134" spans="1:15" ht="27.75" customHeight="1">
      <c r="A134" s="879" t="s">
        <v>340</v>
      </c>
      <c r="B134" s="880"/>
      <c r="C134" s="881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668291.77</v>
      </c>
      <c r="I134" s="165"/>
      <c r="J134" s="328">
        <f>H134/DAY(B2)</f>
        <v>47735.126428571428</v>
      </c>
    </row>
    <row r="135" spans="1:15" ht="27.7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2207</v>
      </c>
      <c r="H135" s="119">
        <f>H128+H134</f>
        <v>663030.77</v>
      </c>
      <c r="I135" s="327">
        <f>G135-(G35+G49)</f>
        <v>-357</v>
      </c>
      <c r="J135" s="328">
        <f>H135/DAY(B2)</f>
        <v>47359.340714285718</v>
      </c>
    </row>
    <row r="136" spans="1:15" ht="27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74" t="s">
        <v>185</v>
      </c>
      <c r="B138" s="874"/>
      <c r="C138" s="874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-1119</v>
      </c>
      <c r="I138" s="118"/>
      <c r="J138" s="328">
        <f>H138/DAY(B2)</f>
        <v>-79.928571428571431</v>
      </c>
    </row>
    <row r="139" spans="1:15" ht="27.75" customHeight="1">
      <c r="A139" s="874" t="s">
        <v>186</v>
      </c>
      <c r="B139" s="874"/>
      <c r="C139" s="874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-24</v>
      </c>
      <c r="I139" s="118"/>
      <c r="J139" s="328">
        <f>H139/DAY(B2)</f>
        <v>-1.7142857142857142</v>
      </c>
    </row>
    <row r="140" spans="1:15" ht="27.75" customHeight="1">
      <c r="A140" s="874" t="s">
        <v>187</v>
      </c>
      <c r="B140" s="874"/>
      <c r="C140" s="874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-24</v>
      </c>
      <c r="I140" s="118"/>
      <c r="J140" s="328">
        <f>H140/DAY(B2)</f>
        <v>-1.7142857142857142</v>
      </c>
    </row>
    <row r="141" spans="1:15" ht="27.75" customHeight="1">
      <c r="A141" s="878" t="s">
        <v>188</v>
      </c>
      <c r="B141" s="878"/>
      <c r="C141" s="878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-2950.5800000000017</v>
      </c>
      <c r="I141" s="118"/>
      <c r="J141" s="328">
        <f>H141/DAY(B2)</f>
        <v>-210.75571428571442</v>
      </c>
    </row>
    <row r="142" spans="1:15" ht="27.75" customHeight="1">
      <c r="A142" s="878" t="s">
        <v>189</v>
      </c>
      <c r="B142" s="878"/>
      <c r="C142" s="878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-1313.0999999999985</v>
      </c>
      <c r="I142" s="140"/>
      <c r="J142" s="328">
        <f>H142/DAY(B2)</f>
        <v>-93.792857142857045</v>
      </c>
    </row>
    <row r="143" spans="1:15" ht="27.75" customHeight="1">
      <c r="A143" s="874" t="s">
        <v>91</v>
      </c>
      <c r="B143" s="874"/>
      <c r="C143" s="874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-445.38999999999987</v>
      </c>
      <c r="I143" s="140"/>
      <c r="J143" s="328">
        <f>H143/DAY(B2)</f>
        <v>-31.813571428571418</v>
      </c>
    </row>
    <row r="144" spans="1:15" ht="27.75" customHeight="1">
      <c r="A144" s="878" t="s">
        <v>90</v>
      </c>
      <c r="B144" s="878"/>
      <c r="C144" s="878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-3654</v>
      </c>
      <c r="I144" s="140"/>
      <c r="J144" s="328">
        <f>H144/DAY(B2)</f>
        <v>-261</v>
      </c>
    </row>
    <row r="145" spans="1:10" ht="27.75" customHeight="1">
      <c r="A145" s="874" t="s">
        <v>190</v>
      </c>
      <c r="B145" s="874"/>
      <c r="C145" s="874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-190.84000000000015</v>
      </c>
      <c r="I145" s="140"/>
      <c r="J145" s="328">
        <f>H145/DAY(B2)</f>
        <v>-13.631428571428582</v>
      </c>
    </row>
    <row r="146" spans="1:10" ht="27.75" customHeight="1">
      <c r="A146" s="875" t="s">
        <v>191</v>
      </c>
      <c r="B146" s="876"/>
      <c r="C146" s="877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-6827</v>
      </c>
      <c r="I146" s="140"/>
      <c r="J146" s="328">
        <f>H146/DAY(B2)</f>
        <v>-487.64285714285717</v>
      </c>
    </row>
    <row r="147" spans="1:10" ht="27.75" customHeight="1">
      <c r="A147" s="878" t="s">
        <v>192</v>
      </c>
      <c r="B147" s="878"/>
      <c r="C147" s="878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-6160.5200000000186</v>
      </c>
      <c r="I147" s="140"/>
      <c r="J147" s="328">
        <f>H147/DAY(B2)</f>
        <v>-440.0371428571442</v>
      </c>
    </row>
    <row r="148" spans="1:10" ht="27.75" customHeight="1">
      <c r="A148" s="870" t="s">
        <v>193</v>
      </c>
      <c r="B148" s="871"/>
      <c r="C148" s="872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-3091.9599999999627</v>
      </c>
      <c r="I148" s="124"/>
      <c r="J148" s="328">
        <f>H148/DAY(B2)</f>
        <v>-220.85428571428307</v>
      </c>
    </row>
    <row r="149" spans="1:10" ht="27.75" customHeight="1">
      <c r="A149" s="870" t="s">
        <v>336</v>
      </c>
      <c r="B149" s="871"/>
      <c r="C149" s="872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-8213.2000000000007</v>
      </c>
      <c r="I149" s="119"/>
      <c r="J149" s="328">
        <f>H149/DAY(B2)</f>
        <v>-586.65714285714296</v>
      </c>
    </row>
    <row r="150" spans="1:10" ht="27.75" customHeight="1">
      <c r="A150" s="870" t="s">
        <v>337</v>
      </c>
      <c r="B150" s="871"/>
      <c r="C150" s="872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-3746.83</v>
      </c>
      <c r="I150" s="119"/>
      <c r="J150" s="328">
        <f>H150/DAY(B2)</f>
        <v>-267.6307142857143</v>
      </c>
    </row>
    <row r="151" spans="1:10" ht="27.75" customHeight="1">
      <c r="A151" s="870" t="s">
        <v>338</v>
      </c>
      <c r="B151" s="871"/>
      <c r="C151" s="872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-3999</v>
      </c>
      <c r="I151" s="119"/>
      <c r="J151" s="328">
        <f>H151/DAY(B2)</f>
        <v>-285.64285714285717</v>
      </c>
    </row>
    <row r="152" spans="1:10" ht="27.75" customHeight="1">
      <c r="A152" s="870" t="s">
        <v>339</v>
      </c>
      <c r="B152" s="871"/>
      <c r="C152" s="872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-284</v>
      </c>
      <c r="I152" s="119"/>
      <c r="J152" s="328">
        <f>H152/DAY(B2)</f>
        <v>-20.285714285714285</v>
      </c>
    </row>
    <row r="153" spans="1:10" ht="27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>
      <c r="A154" s="911"/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>
      <c r="A155" s="878" t="s">
        <v>345</v>
      </c>
      <c r="B155" s="878"/>
      <c r="C155" s="878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-11595.000000000004</v>
      </c>
      <c r="I155" s="364"/>
      <c r="J155" s="328">
        <f>H155/DAY(B2)</f>
        <v>-828.21428571428601</v>
      </c>
    </row>
    <row r="156" spans="1:10" ht="27.75" customHeight="1">
      <c r="A156" s="878" t="s">
        <v>347</v>
      </c>
      <c r="B156" s="878"/>
      <c r="C156" s="878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-1003</v>
      </c>
      <c r="I156" s="165"/>
      <c r="J156" s="328">
        <f>H156/DAY(B2)</f>
        <v>-71.642857142857139</v>
      </c>
    </row>
    <row r="157" spans="1:10" ht="27.75" customHeight="1">
      <c r="A157" s="870" t="s">
        <v>364</v>
      </c>
      <c r="B157" s="871"/>
      <c r="C157" s="872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>
      <c r="A158" s="870" t="s">
        <v>365</v>
      </c>
      <c r="B158" s="871"/>
      <c r="C158" s="872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>
      <c r="A159" s="927"/>
      <c r="B159" s="928"/>
      <c r="C159" s="929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-629.55999999999767</v>
      </c>
      <c r="I161" s="236"/>
      <c r="J161" s="239">
        <f>H161/DAY(B2)</f>
        <v>-44.968571428571259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-552.39999999999418</v>
      </c>
      <c r="I162" s="236"/>
      <c r="J162" s="239">
        <f>H162/DAY(B2)</f>
        <v>-39.457142857142443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-798.10000000000582</v>
      </c>
      <c r="I163" s="236"/>
      <c r="J163" s="239">
        <f>H163/DAY(B2)</f>
        <v>-57.007142857143272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-57</v>
      </c>
      <c r="I164" s="236"/>
      <c r="J164" s="239">
        <f>H164/DAY(B2)</f>
        <v>-4.0714285714285712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-120.25</v>
      </c>
      <c r="I165" s="236"/>
      <c r="J165" s="239">
        <f>H165/DAY(B2)</f>
        <v>-8.5892857142857135</v>
      </c>
    </row>
    <row r="166" spans="1:10" ht="27.75" customHeight="1">
      <c r="A166" s="910"/>
      <c r="B166" s="91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10"/>
      <c r="B167" s="91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10"/>
      <c r="B168" s="91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68" t="s">
        <v>209</v>
      </c>
      <c r="B173" s="869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>
      <c r="A174" s="868" t="s">
        <v>75</v>
      </c>
      <c r="B174" s="869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-194</v>
      </c>
      <c r="I174" s="155"/>
      <c r="J174" s="178">
        <f>H174/DAY(B2)</f>
        <v>-13.857142857142858</v>
      </c>
    </row>
    <row r="175" spans="1:10" ht="27.75" customHeight="1">
      <c r="A175" s="868" t="s">
        <v>76</v>
      </c>
      <c r="B175" s="873"/>
      <c r="C175" s="869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-170</v>
      </c>
      <c r="I175" s="155"/>
      <c r="J175" s="178">
        <f>H175/DAY(B2)</f>
        <v>-12.142857142857142</v>
      </c>
    </row>
    <row r="176" spans="1:10" ht="27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11</v>
      </c>
      <c r="H176" s="99">
        <f>G176+'13'!H176</f>
        <v>-364</v>
      </c>
      <c r="I176" s="155"/>
      <c r="J176" s="178">
        <f>H176/DAY(B2)</f>
        <v>-26</v>
      </c>
    </row>
    <row r="177" spans="1:10" ht="27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68" t="s">
        <v>210</v>
      </c>
      <c r="B178" s="869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-918</v>
      </c>
      <c r="I178" s="155"/>
      <c r="J178" s="178">
        <f>H178/DAY(B2)</f>
        <v>-65.571428571428569</v>
      </c>
    </row>
    <row r="179" spans="1:10" ht="27.75" customHeight="1">
      <c r="A179" s="868" t="s">
        <v>211</v>
      </c>
      <c r="B179" s="869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-600</v>
      </c>
      <c r="I179" s="155"/>
      <c r="J179" s="178">
        <f>H179/DAY(B2)</f>
        <v>-42.857142857142854</v>
      </c>
    </row>
    <row r="180" spans="1:10" ht="27.75" customHeight="1">
      <c r="A180" s="868" t="s">
        <v>212</v>
      </c>
      <c r="B180" s="869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-121</v>
      </c>
      <c r="I180" s="155"/>
      <c r="J180" s="178">
        <f>H180/DAY(B2)</f>
        <v>-8.6428571428571423</v>
      </c>
    </row>
    <row r="181" spans="1:10" ht="27.75" customHeight="1">
      <c r="A181" s="912" t="s">
        <v>108</v>
      </c>
      <c r="B181" s="913"/>
      <c r="C181" s="483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-1639</v>
      </c>
      <c r="I181" s="155"/>
      <c r="J181" s="178">
        <f>H181/DAY(B2)</f>
        <v>-117.07142857142857</v>
      </c>
    </row>
    <row r="182" spans="1:10" ht="27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68" t="s">
        <v>214</v>
      </c>
      <c r="B183" s="869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-224</v>
      </c>
      <c r="I183" s="155"/>
      <c r="J183" s="178">
        <f>H183/DAY(B2)</f>
        <v>-16</v>
      </c>
    </row>
    <row r="184" spans="1:10" ht="27.75" customHeight="1">
      <c r="A184" s="868" t="s">
        <v>215</v>
      </c>
      <c r="B184" s="869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-125</v>
      </c>
      <c r="I184" s="155"/>
      <c r="J184" s="178">
        <f>H184/DAY(B2)</f>
        <v>-8.9285714285714288</v>
      </c>
    </row>
    <row r="185" spans="1:10" ht="27.75" customHeight="1">
      <c r="A185" s="868" t="s">
        <v>216</v>
      </c>
      <c r="B185" s="869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G186+'13'!H186</f>
        <v>-349</v>
      </c>
      <c r="I186" s="157"/>
      <c r="J186" s="178">
        <f>H186/DAY(B2)</f>
        <v>-24.928571428571427</v>
      </c>
    </row>
    <row r="187" spans="1:10" ht="27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100</v>
      </c>
      <c r="H187" s="99">
        <f>G187+'13'!H187</f>
        <v>-2417</v>
      </c>
      <c r="I187" s="158"/>
      <c r="J187" s="179">
        <f>H187/DAY(B2)</f>
        <v>-172.64285714285714</v>
      </c>
    </row>
    <row r="188" spans="1:10" ht="27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99</v>
      </c>
      <c r="H188" s="99"/>
      <c r="I188" s="158"/>
      <c r="J188" s="487">
        <f>H188/DAY(B2)</f>
        <v>0</v>
      </c>
    </row>
    <row r="189" spans="1:10" ht="27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39</v>
      </c>
      <c r="H189" s="99">
        <f>G189+'13'!H189</f>
        <v>-1639</v>
      </c>
      <c r="I189" s="158"/>
      <c r="J189" s="179">
        <f>H189/DAY(B2)</f>
        <v>-117.07142857142857</v>
      </c>
    </row>
    <row r="190" spans="1:10" ht="27.75" customHeight="1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26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-279540.47999999998</v>
      </c>
      <c r="I7" s="113">
        <f>'1'!I7</f>
        <v>12000</v>
      </c>
      <c r="J7" s="175">
        <f>H7/DAY(B2)</f>
        <v>-18636.031999999999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682">
        <f>F8-E8</f>
        <v>17328.710000000021</v>
      </c>
      <c r="H8" s="99">
        <f>G8+'14'!H8</f>
        <v>-285764.44</v>
      </c>
      <c r="I8" s="116"/>
      <c r="J8" s="175">
        <f>H8/DAY(B2)</f>
        <v>-19050.962666666666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'14'!F9</f>
        <v>65618</v>
      </c>
      <c r="F9" s="598">
        <v>76355.41</v>
      </c>
      <c r="G9" s="112">
        <f>F9-E9</f>
        <v>10737.410000000003</v>
      </c>
      <c r="H9" s="99">
        <f>G9+'14'!H9</f>
        <v>2151382.5600000005</v>
      </c>
      <c r="I9" s="124">
        <f>I7-J7</f>
        <v>30636.031999999999</v>
      </c>
      <c r="J9" s="175">
        <f>H9/DAY(B2)</f>
        <v>143425.50400000004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530150.25</v>
      </c>
      <c r="I10" s="282"/>
      <c r="J10" s="175">
        <f>H10/DAY(B2)</f>
        <v>35343.35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-170</v>
      </c>
      <c r="I11" s="282"/>
      <c r="J11" s="175">
        <f>H11/DAY(B2)</f>
        <v>-11.333333333333334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2664608.38</v>
      </c>
      <c r="I13" s="120">
        <f>G7-G13</f>
        <v>447.11999999999534</v>
      </c>
      <c r="J13" s="175">
        <f>H13/DAY(B2)</f>
        <v>177640.55866666665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-15036.766999999993</v>
      </c>
      <c r="I15" s="113">
        <f>'1'!I15</f>
        <v>800</v>
      </c>
      <c r="J15" s="175">
        <f>H15/DAY(B2)</f>
        <v>-1002.4511333333328</v>
      </c>
      <c r="K15" s="79"/>
      <c r="L15" s="66"/>
      <c r="N15" s="87">
        <v>720584</v>
      </c>
      <c r="O15" s="71">
        <f>N15-F15</f>
        <v>-1171016</v>
      </c>
    </row>
    <row r="16" spans="1:15" ht="29.25">
      <c r="A16" s="203"/>
      <c r="B16" s="204"/>
      <c r="C16" s="204"/>
      <c r="D16" s="152"/>
      <c r="E16" s="123"/>
      <c r="G16" s="112"/>
      <c r="H16" s="124"/>
      <c r="I16" s="120">
        <f>I15-J15</f>
        <v>1802.4511333333328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1950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-874</v>
      </c>
      <c r="I19" s="335"/>
      <c r="J19" s="175">
        <f>H19/DAY(B2)</f>
        <v>-58.266666666666666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1076</v>
      </c>
      <c r="I20" s="336">
        <f>I18-J20</f>
        <v>-6.7333333333333343</v>
      </c>
      <c r="J20" s="175">
        <f>H20/DAY(B2)</f>
        <v>71.733333333333334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-2571879.9600000004</v>
      </c>
      <c r="I27" s="138"/>
      <c r="J27" s="175">
        <f>H27/DAY(B2)</f>
        <v>-171458.66400000002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-781911.88399999961</v>
      </c>
      <c r="I28" s="140"/>
      <c r="J28" s="175">
        <f>H28/DAY(B2)</f>
        <v>-52127.458933333306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-127604</v>
      </c>
      <c r="I30" s="140"/>
      <c r="J30" s="175">
        <f>H30/DAY(B2)</f>
        <v>-8506.9333333333325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156000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-3325395.844</v>
      </c>
      <c r="I32" s="144"/>
      <c r="J32" s="175">
        <f>H32/DAY(B2)</f>
        <v>-221693.05626666668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146542.86000000002</v>
      </c>
      <c r="I35" s="95"/>
      <c r="J35" s="175">
        <f>H35/DAY(B2)</f>
        <v>9769.5240000000013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-11164.05</v>
      </c>
      <c r="I36" s="95"/>
      <c r="J36" s="175">
        <f>H36/DAY(B2)</f>
        <v>-744.27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182507.65000000002</v>
      </c>
      <c r="I37" s="95"/>
      <c r="J37" s="175">
        <f>H37/DAY(B2)</f>
        <v>12167.176666666668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218244.52000000002</v>
      </c>
      <c r="I38" s="95"/>
      <c r="J38" s="175">
        <f>H38/DAY(B2)</f>
        <v>14549.634666666669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391097.61000000004</v>
      </c>
      <c r="I39" s="95"/>
      <c r="J39" s="175">
        <f>H39/DAY(B2)</f>
        <v>26073.174000000003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13131.739999999998</v>
      </c>
      <c r="I40" s="95"/>
      <c r="J40" s="175">
        <f>H40/DAY(B2)</f>
        <v>875.44933333333324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-26321.14</v>
      </c>
      <c r="I42" s="95"/>
      <c r="J42" s="175">
        <f>H42/DAY(B2)</f>
        <v>-1754.7426666666665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-34098.89</v>
      </c>
      <c r="I43" s="95"/>
      <c r="J43" s="175">
        <f>H43/DAY(B2)</f>
        <v>-2273.2593333333334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879940.3</v>
      </c>
      <c r="I47" s="95"/>
      <c r="J47" s="175">
        <f>H47/DAY(B2)</f>
        <v>58662.686666666668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269021.40000000002</v>
      </c>
      <c r="I49" s="95"/>
      <c r="J49" s="175">
        <f>H49/DAY(B2)</f>
        <v>17934.760000000002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-16968.899999999994</v>
      </c>
      <c r="I50" s="95"/>
      <c r="J50" s="175">
        <f>H50/DAY(B2)</f>
        <v>-1131.2599999999995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3464.17</v>
      </c>
      <c r="I54" s="95"/>
      <c r="J54" s="175">
        <f>H54/DAY(B2)</f>
        <v>230.94466666666668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-25654.879999999997</v>
      </c>
      <c r="I55" s="95"/>
      <c r="J55" s="175">
        <f>H55/DAY(B2)</f>
        <v>-1710.3253333333332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89640.46</v>
      </c>
      <c r="I58" s="95"/>
      <c r="J58" s="175">
        <f>H58/DAY(B2)</f>
        <v>5976.0306666666675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319502.25000000006</v>
      </c>
      <c r="I59" s="95">
        <f>G7-G60</f>
        <v>1594.6799999999785</v>
      </c>
      <c r="J59" s="175">
        <f>H59/DAY(B2)</f>
        <v>21300.150000000005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1199442.5499999998</v>
      </c>
      <c r="I60" s="95">
        <f>G13-G60</f>
        <v>1147.5599999999831</v>
      </c>
      <c r="J60" s="175">
        <f>H60/DAY(B2)</f>
        <v>79962.836666666655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-1409</v>
      </c>
      <c r="I62" s="118"/>
      <c r="J62" s="175">
        <f>H62/DAY(B2)</f>
        <v>-93.933333333333337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-1854</v>
      </c>
      <c r="I63" s="118"/>
      <c r="J63" s="175">
        <f>H63/DAY(B2)</f>
        <v>-123.6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'14'!F64</f>
        <v>0</v>
      </c>
      <c r="F64" s="122"/>
      <c r="G64" s="112">
        <f>G62+G63</f>
        <v>174</v>
      </c>
      <c r="H64" s="99">
        <f>G64+'14'!H64</f>
        <v>-3263</v>
      </c>
      <c r="I64" s="118"/>
      <c r="J64" s="175">
        <f>H64/DAY(B2)</f>
        <v>-217.53333333333333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-1258</v>
      </c>
      <c r="I65" s="118"/>
      <c r="J65" s="175">
        <f>H65/DAY(B2)</f>
        <v>-83.86666666666666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-271</v>
      </c>
      <c r="I66" s="118"/>
      <c r="J66" s="175">
        <f>H66/DAY(B2)</f>
        <v>-18.066666666666666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-371</v>
      </c>
      <c r="I67" s="118"/>
      <c r="J67" s="175">
        <f>H67/DAY(B2)</f>
        <v>-24.733333333333334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-691</v>
      </c>
      <c r="I68" s="118"/>
      <c r="J68" s="175">
        <f>H68/DAY(B2)</f>
        <v>-46.06666666666667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-178</v>
      </c>
      <c r="I69" s="118"/>
      <c r="J69" s="175">
        <f>H69/DAY(B2)</f>
        <v>-11.866666666666667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-143</v>
      </c>
      <c r="I70" s="118"/>
      <c r="J70" s="175">
        <f>H70/DAY(B2)</f>
        <v>-9.5333333333333332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151</v>
      </c>
      <c r="H71" s="99">
        <f>G71+'14'!H71</f>
        <v>-2912</v>
      </c>
      <c r="I71" s="154"/>
      <c r="J71" s="175">
        <f>H71/DAY(B2)</f>
        <v>-194.13333333333333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-4837.1489999999758</v>
      </c>
      <c r="I74" s="154"/>
      <c r="J74" s="175">
        <f>H74/DAY(B2)</f>
        <v>-322.47659999999837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-1508</v>
      </c>
      <c r="I76" s="154"/>
      <c r="J76" s="175">
        <f>H76/DAY(B2)</f>
        <v>-100.53333333333333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-530.79999999999563</v>
      </c>
      <c r="I77" s="154"/>
      <c r="J77" s="175">
        <f>H77/DAY(B2)</f>
        <v>-35.386666666666379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-18</v>
      </c>
      <c r="I78" s="118"/>
      <c r="J78" s="175">
        <f>H78/DAY(B2)</f>
        <v>-1.2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-8143.0180000000182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-165.44999999999982</v>
      </c>
      <c r="I85" s="118">
        <f>G82+G83+G84+G85</f>
        <v>0</v>
      </c>
      <c r="J85" s="175">
        <f>H85/DAY(B2)</f>
        <v>-11.029999999999989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-217.51000000000204</v>
      </c>
      <c r="I86" s="118"/>
      <c r="J86" s="175">
        <f>H86/DAY(B2)</f>
        <v>-14.500666666666802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-4.1399999999994179</v>
      </c>
      <c r="I88" s="118">
        <f>G86+G87+G88</f>
        <v>24.509999999998399</v>
      </c>
      <c r="J88" s="175">
        <f>H88/DAY(B2)</f>
        <v>-0.27599999999996122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-138.16999999999825</v>
      </c>
      <c r="I89" s="118"/>
      <c r="J89" s="175">
        <f>H89/DAY(B2)</f>
        <v>-9.2113333333332168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-46.850000000005821</v>
      </c>
      <c r="I90" s="118">
        <f>G89+G90</f>
        <v>12.900000000001455</v>
      </c>
      <c r="J90" s="175">
        <f>H90/DAY(B2)</f>
        <v>-3.1233333333337212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-24.769999999999982</v>
      </c>
      <c r="I91" s="165"/>
      <c r="J91" s="175">
        <f>H91/DAY(B2)</f>
        <v>-1.6513333333333322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-147.27999999999975</v>
      </c>
      <c r="I92" s="165"/>
      <c r="J92" s="175">
        <f>H92/DAY(B2)</f>
        <v>-9.8186666666666493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381465.37</v>
      </c>
      <c r="I94" s="118"/>
      <c r="J94" s="175">
        <f>H94/DAY(B2)</f>
        <v>25431.024666666668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0.26515689662683184</v>
      </c>
      <c r="H95" s="99">
        <f>G95+'14'!H95</f>
        <v>3.3277259387660774</v>
      </c>
      <c r="I95" s="167"/>
      <c r="J95" s="175">
        <f>H95/DAY(B2)</f>
        <v>0.2218483959177385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-51976.020000000004</v>
      </c>
      <c r="I96" s="118"/>
      <c r="J96" s="175">
        <f>H96/DAY(B2)</f>
        <v>-3465.0680000000002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0.17473506904613298</v>
      </c>
      <c r="H97" s="99">
        <f>G97+'14'!H97</f>
        <v>2.6152875684923873</v>
      </c>
      <c r="I97" s="167"/>
      <c r="J97" s="175">
        <f>H97/DAY(B2)</f>
        <v>0.17435250456615917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2494.9000000000015</v>
      </c>
      <c r="H98" s="99">
        <f>G98+'14'!H98</f>
        <v>391097.61000000004</v>
      </c>
      <c r="I98" s="168"/>
      <c r="J98" s="175">
        <f>H98/DAY(B2)</f>
        <v>26073.174000000003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0.14491120565728152</v>
      </c>
      <c r="H99" s="99">
        <f>G99+'14'!H99</f>
        <v>1.338844949532223</v>
      </c>
      <c r="I99" s="168"/>
      <c r="J99" s="175">
        <f>H99/DAY(B2)</f>
        <v>8.9256329968814871E-2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218244.52000000002</v>
      </c>
      <c r="I100" s="118"/>
      <c r="J100" s="175">
        <f>H100/DAY(B2)</f>
        <v>14549.634666666669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0.89520100173171535</v>
      </c>
      <c r="I101" s="168"/>
      <c r="J101" s="175">
        <f>H101/DAY(B2)</f>
        <v>5.9680066782114356E-2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-28132.949999999993</v>
      </c>
      <c r="I102" s="168"/>
      <c r="J102" s="175">
        <f>H102/DAY(B2)</f>
        <v>-1875.5299999999995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1.3755614515185537</v>
      </c>
      <c r="I103" s="118"/>
      <c r="J103" s="175">
        <f>H103/DAY(B2)</f>
        <v>9.1704096767903573E-2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182507.65000000002</v>
      </c>
      <c r="I104" s="118"/>
      <c r="J104" s="175">
        <f>H104/DAY(B2)</f>
        <v>12167.176666666668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0.86343818361760194</v>
      </c>
      <c r="I105" s="187"/>
      <c r="J105" s="188">
        <f>H105/DAY(B2)</f>
        <v>5.7562545574506796E-2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-1244.3000000000029</v>
      </c>
      <c r="I112" s="165"/>
      <c r="J112" s="328">
        <f>H112/DAY(B2)</f>
        <v>-82.953333333333532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-7446.57</v>
      </c>
      <c r="I113" s="165"/>
      <c r="J113" s="328">
        <f>H113/DAY(B2)</f>
        <v>-496.43799999999999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-4312.5</v>
      </c>
      <c r="I114" s="165"/>
      <c r="J114" s="328">
        <f>H114/DAY(B2)</f>
        <v>-287.5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-158.02000000000044</v>
      </c>
      <c r="I115" s="165"/>
      <c r="J115" s="328">
        <f>H115/DAY(B2)</f>
        <v>-10.534666666666697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-384.07600000000002</v>
      </c>
      <c r="I117" s="165"/>
      <c r="J117" s="328">
        <f>H117/DAY(B2)</f>
        <v>-25.605066666666669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-5412.1199999999953</v>
      </c>
      <c r="I118" s="165"/>
      <c r="J118" s="328">
        <f>H118/DAY(B2)</f>
        <v>-360.80799999999971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-6822.2799999999988</v>
      </c>
      <c r="I119" s="165"/>
      <c r="J119" s="328">
        <f>H119/DAY(B2)</f>
        <v>-454.81866666666662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-6683.6100000000006</v>
      </c>
      <c r="I120" s="165"/>
      <c r="J120" s="328">
        <f>H120/DAY(B2)</f>
        <v>-445.57400000000001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-10967.239999999991</v>
      </c>
      <c r="I121" s="165"/>
      <c r="J121" s="328">
        <f>H121/DAY(B2)</f>
        <v>-731.14933333333272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-3006.3399999999965</v>
      </c>
      <c r="I122" s="165"/>
      <c r="J122" s="328">
        <f>H122/DAY(B2)</f>
        <v>-200.42266666666643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-4336.3099999999977</v>
      </c>
      <c r="I123" s="165"/>
      <c r="J123" s="328">
        <f>H123/DAY(B2)</f>
        <v>-289.08733333333316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-4960.43</v>
      </c>
      <c r="I128" s="165"/>
      <c r="J128" s="328">
        <f>H128/DAY(B2)</f>
        <v>-330.69533333333334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-3279.7299999999996</v>
      </c>
      <c r="I129" s="165"/>
      <c r="J129" s="328">
        <f>H129/DAY(B2)</f>
        <v>-218.64866666666663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-8279.68</v>
      </c>
      <c r="I130" s="165"/>
      <c r="J130" s="328">
        <f>H130/DAY(B2)</f>
        <v>-551.97866666666664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-1070.67</v>
      </c>
      <c r="I131" s="165"/>
      <c r="J131" s="328">
        <f>H131/DAY(B2)</f>
        <v>-71.378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-3551.9000000000015</v>
      </c>
      <c r="I132" s="165"/>
      <c r="J132" s="328">
        <f>H132/DAY(B2)</f>
        <v>-236.79333333333344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-8218.429999999993</v>
      </c>
      <c r="I133" s="165"/>
      <c r="J133" s="328">
        <f>H133/DAY(B2)</f>
        <v>-547.89533333333281</v>
      </c>
    </row>
    <row r="134" spans="1:15" s="491" customFormat="1" ht="27.75">
      <c r="A134" s="937" t="s">
        <v>340</v>
      </c>
      <c r="B134" s="938"/>
      <c r="C134" s="939"/>
      <c r="D134" s="233" t="s">
        <v>183</v>
      </c>
      <c r="E134" s="488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668443.34</v>
      </c>
      <c r="I134" s="158"/>
      <c r="J134" s="490">
        <f>H134/DAY(B2)</f>
        <v>44562.889333333333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629458.5</v>
      </c>
      <c r="I135" s="327">
        <f>G135-(G35+G49)</f>
        <v>-332.149999999996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-1063</v>
      </c>
      <c r="I138" s="118"/>
      <c r="J138" s="328">
        <f>H138/DAY(B2)</f>
        <v>-70.86666666666666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-23</v>
      </c>
      <c r="I139" s="118"/>
      <c r="J139" s="328">
        <f>H139/DAY(B2)</f>
        <v>-1.5333333333333334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-24</v>
      </c>
      <c r="I140" s="118"/>
      <c r="J140" s="328">
        <f>H140/DAY(B2)</f>
        <v>-1.6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-2774.5999999999985</v>
      </c>
      <c r="I141" s="118"/>
      <c r="J141" s="328">
        <f>H141/DAY(B2)</f>
        <v>-184.97333333333324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-1241.1800000000003</v>
      </c>
      <c r="I142" s="140"/>
      <c r="J142" s="328">
        <f>H142/DAY(B2)</f>
        <v>-82.745333333333349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-419.31999999999971</v>
      </c>
      <c r="I143" s="140"/>
      <c r="J143" s="328">
        <f>H143/DAY(B2)</f>
        <v>-27.954666666666647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-3423</v>
      </c>
      <c r="I144" s="140"/>
      <c r="J144" s="328">
        <f>H144/DAY(B2)</f>
        <v>-228.2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-176.42000000000007</v>
      </c>
      <c r="I145" s="140"/>
      <c r="J145" s="328">
        <f>H145/DAY(B2)</f>
        <v>-11.761333333333338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-6446</v>
      </c>
      <c r="I146" s="140"/>
      <c r="J146" s="328">
        <f>H146/DAY(B2)</f>
        <v>-429.73333333333335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-5769.6800000000512</v>
      </c>
      <c r="I147" s="140"/>
      <c r="J147" s="328">
        <f>H147/DAY(B2)</f>
        <v>-384.64533333333674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-2910.3999999999069</v>
      </c>
      <c r="I148" s="124"/>
      <c r="J148" s="328">
        <f>H148/DAY(B2)</f>
        <v>-194.02666666666045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-7762.8600000000006</v>
      </c>
      <c r="I149" s="119"/>
      <c r="J149" s="328">
        <f>H149/DAY(B2)</f>
        <v>-517.524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-3528.71</v>
      </c>
      <c r="I150" s="119"/>
      <c r="J150" s="328">
        <f>H150/DAY(B2)</f>
        <v>-235.24733333333333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-3761</v>
      </c>
      <c r="I151" s="119"/>
      <c r="J151" s="328">
        <f>H151/DAY(B2)</f>
        <v>-250.73333333333332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-269.80999999999995</v>
      </c>
      <c r="I152" s="119"/>
      <c r="J152" s="328">
        <f>H152/DAY(B2)</f>
        <v>-17.987333333333329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-10860.740000000005</v>
      </c>
      <c r="I155" s="364"/>
      <c r="J155" s="328">
        <f>H155/DAY(B2)</f>
        <v>-724.04933333333372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-946.75</v>
      </c>
      <c r="I156" s="165"/>
      <c r="J156" s="328">
        <f>H156/DAY(B2)</f>
        <v>-63.116666666666667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>
      <c r="A159" s="927"/>
      <c r="B159" s="928"/>
      <c r="C159" s="92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-621.52000000001863</v>
      </c>
      <c r="I161" s="236"/>
      <c r="J161" s="239">
        <f>H161/DAY(B2)</f>
        <v>-41.434666666667908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-514.09999999999127</v>
      </c>
      <c r="I162" s="236"/>
      <c r="J162" s="239">
        <f>H162/DAY(B2)</f>
        <v>-34.273333333332751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-741</v>
      </c>
      <c r="I163" s="236"/>
      <c r="J163" s="239">
        <f>H163/DAY(B2)</f>
        <v>-49.4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-54.5</v>
      </c>
      <c r="I164" s="236"/>
      <c r="J164" s="239">
        <f>H164/DAY(B2)</f>
        <v>-3.6333333333333333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-113.72000000000116</v>
      </c>
      <c r="I165" s="236"/>
      <c r="J165" s="239">
        <f>H165/DAY(B2)</f>
        <v>-7.5813333333334105</v>
      </c>
    </row>
    <row r="166" spans="1:10" ht="29.25">
      <c r="A166" s="910"/>
      <c r="B166" s="91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68" t="s">
        <v>209</v>
      </c>
      <c r="B173" s="869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>
      <c r="A174" s="868" t="s">
        <v>75</v>
      </c>
      <c r="B174" s="869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-184</v>
      </c>
      <c r="I174" s="155"/>
      <c r="J174" s="178">
        <f>H174/DAY(B2)</f>
        <v>-12.266666666666667</v>
      </c>
    </row>
    <row r="175" spans="1:10" ht="21.75" customHeight="1">
      <c r="A175" s="868" t="s">
        <v>76</v>
      </c>
      <c r="B175" s="873"/>
      <c r="C175" s="869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-157</v>
      </c>
      <c r="I175" s="155"/>
      <c r="J175" s="178">
        <f>H175/DAY(B2)</f>
        <v>-10.466666666666667</v>
      </c>
    </row>
    <row r="176" spans="1:10" ht="21.75" customHeight="1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-341</v>
      </c>
      <c r="I176" s="155"/>
      <c r="J176" s="178">
        <f>H176/DAY(B2)</f>
        <v>-22.733333333333334</v>
      </c>
    </row>
    <row r="177" spans="1:10" ht="21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68" t="s">
        <v>210</v>
      </c>
      <c r="B178" s="869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-846</v>
      </c>
      <c r="I178" s="155"/>
      <c r="J178" s="178">
        <f>H178/DAY(B2)</f>
        <v>-56.4</v>
      </c>
    </row>
    <row r="179" spans="1:10" ht="24" customHeight="1">
      <c r="A179" s="868" t="s">
        <v>211</v>
      </c>
      <c r="B179" s="869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-580</v>
      </c>
      <c r="I179" s="155"/>
      <c r="J179" s="178">
        <f>H179/DAY(B2)</f>
        <v>-38.666666666666664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-110</v>
      </c>
      <c r="I180" s="155"/>
      <c r="J180" s="178">
        <f>H180/DAY(B2)</f>
        <v>-7.333333333333333</v>
      </c>
    </row>
    <row r="181" spans="1:10" ht="27.75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-1536</v>
      </c>
      <c r="I181" s="155"/>
      <c r="J181" s="178">
        <f>H181/DAY(B2)</f>
        <v>-102.4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-216</v>
      </c>
      <c r="I183" s="155"/>
      <c r="J183" s="178">
        <f>H183/DAY(B2)</f>
        <v>-14.4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-120</v>
      </c>
      <c r="I184" s="155"/>
      <c r="J184" s="178">
        <f>H184/DAY(B2)</f>
        <v>-8</v>
      </c>
    </row>
    <row r="185" spans="1:10" ht="32.25" customHeight="1">
      <c r="A185" s="868" t="s">
        <v>216</v>
      </c>
      <c r="B185" s="869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-336</v>
      </c>
      <c r="I186" s="157"/>
      <c r="J186" s="178">
        <f>H186/DAY(B2)</f>
        <v>-22.4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134</v>
      </c>
      <c r="H187" s="99">
        <f>G187+'14'!H187</f>
        <v>-2283</v>
      </c>
      <c r="I187" s="158"/>
      <c r="J187" s="179">
        <f>H187/DAY(B2)</f>
        <v>-152.19999999999999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103</v>
      </c>
      <c r="H189" s="99">
        <f>G189+'14'!H189</f>
        <v>-1536</v>
      </c>
      <c r="I189" s="158"/>
      <c r="J189" s="179">
        <f>H189/DAY(B2)</f>
        <v>-102.4</v>
      </c>
    </row>
    <row r="190" spans="1:10" ht="27" customHeight="1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6" s="57" customFormat="1" ht="27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852" t="s">
        <v>128</v>
      </c>
      <c r="B6" s="853"/>
      <c r="C6" s="854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-262226.23</v>
      </c>
      <c r="I7" s="113">
        <f>'1'!I7</f>
        <v>12000</v>
      </c>
      <c r="J7" s="175">
        <f>H7/DAY(B2)</f>
        <v>-16389.139374999999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-268358.15000000002</v>
      </c>
      <c r="I8" s="116"/>
      <c r="J8" s="175">
        <f>H8/DAY(B2)</f>
        <v>-16772.384375000001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'15'!F9</f>
        <v>76355.41</v>
      </c>
      <c r="F9" s="598">
        <v>87159</v>
      </c>
      <c r="G9" s="112">
        <f>F9-E9</f>
        <v>10803.589999999997</v>
      </c>
      <c r="H9" s="99">
        <f>G9+'15'!H9</f>
        <v>2162186.1500000004</v>
      </c>
      <c r="I9" s="124">
        <f>I7-J7</f>
        <v>28389.139374999999</v>
      </c>
      <c r="J9" s="175">
        <f>H9/DAY(B2)</f>
        <v>135136.63437500002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536122.03</v>
      </c>
      <c r="I10" s="282"/>
      <c r="J10" s="175">
        <f>H10/DAY(B2)</f>
        <v>33507.626875000002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-170</v>
      </c>
      <c r="I11" s="282"/>
      <c r="J11" s="175">
        <f>H11/DAY(B2)</f>
        <v>-10.625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2681383.75</v>
      </c>
      <c r="I13" s="120">
        <f>G7-G13</f>
        <v>538.88000000000466</v>
      </c>
      <c r="J13" s="175">
        <f>H13/DAY(B2)</f>
        <v>167586.484375</v>
      </c>
      <c r="K13" s="79"/>
      <c r="L13" s="66"/>
      <c r="N13" s="87"/>
      <c r="O13" s="71"/>
    </row>
    <row r="14" spans="1:16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-14030.766999999993</v>
      </c>
      <c r="I15" s="113">
        <f>'1'!I15</f>
        <v>800</v>
      </c>
      <c r="J15" s="175">
        <f>H15/DAY(B2)</f>
        <v>-876.92293749999953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1676.9229374999995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2030</v>
      </c>
      <c r="I18" s="113">
        <f>'1'!I18</f>
        <v>65</v>
      </c>
      <c r="J18" s="175">
        <f>H18/DAY(B2)</f>
        <v>126.875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-819</v>
      </c>
      <c r="I19" s="335"/>
      <c r="J19" s="175">
        <f>H19/DAY(B2)</f>
        <v>-51.1875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1211</v>
      </c>
      <c r="I20" s="336">
        <f>I18-J20</f>
        <v>-10.6875</v>
      </c>
      <c r="J20" s="175">
        <f>H20/DAY(B2)</f>
        <v>75.6875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-2415223.3500000006</v>
      </c>
      <c r="I27" s="138"/>
      <c r="J27" s="175">
        <f>H27/DAY(B2)</f>
        <v>-150951.45937500003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-729599.88399999961</v>
      </c>
      <c r="I28" s="140"/>
      <c r="J28" s="175">
        <f>H28/DAY(B2)</f>
        <v>-45599.992749999976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-119574</v>
      </c>
      <c r="I30" s="140"/>
      <c r="J30" s="175">
        <f>H30/DAY(B2)</f>
        <v>-7473.375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162400</v>
      </c>
      <c r="I31" s="140"/>
      <c r="J31" s="175">
        <f>H31/DAY(B2)</f>
        <v>10150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-3101997.2340000002</v>
      </c>
      <c r="I32" s="144"/>
      <c r="J32" s="175">
        <f>H32/DAY(B2)</f>
        <v>-193874.82712500001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147812.02000000002</v>
      </c>
      <c r="I35" s="95"/>
      <c r="J35" s="175">
        <f>H35/DAY(B2)</f>
        <v>9238.2512500000012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-10576.739999999998</v>
      </c>
      <c r="I36" s="95"/>
      <c r="J36" s="175">
        <f>H36/DAY(B2)</f>
        <v>-661.04624999999987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183990.91000000003</v>
      </c>
      <c r="I37" s="95"/>
      <c r="J37" s="175">
        <f>H37/DAY(B2)</f>
        <v>11499.431875000002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219869.57</v>
      </c>
      <c r="I38" s="95"/>
      <c r="J38" s="175">
        <f>H38/DAY(B2)</f>
        <v>13741.848125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393697.71</v>
      </c>
      <c r="I39" s="95"/>
      <c r="J39" s="175">
        <f>H39/DAY(B2)</f>
        <v>24606.106875000001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13538.739999999998</v>
      </c>
      <c r="I40" s="95"/>
      <c r="J40" s="175">
        <f>H40/DAY(B2)</f>
        <v>846.17124999999987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-26321.14</v>
      </c>
      <c r="I42" s="95"/>
      <c r="J42" s="175">
        <f>H42/DAY(B2)</f>
        <v>-1645.07125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-32027.600000000006</v>
      </c>
      <c r="I43" s="95"/>
      <c r="J43" s="175">
        <f>H43/DAY(B2)</f>
        <v>-2001.7250000000004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889983.47000000009</v>
      </c>
      <c r="I47" s="95"/>
      <c r="J47" s="175">
        <f>H47/DAY(B2)</f>
        <v>55623.966875000006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270341.81</v>
      </c>
      <c r="I49" s="95"/>
      <c r="J49" s="175">
        <f>H49/DAY(B2)</f>
        <v>16896.363125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-16100.629999999997</v>
      </c>
      <c r="I50" s="95"/>
      <c r="J50" s="175">
        <f>H50/DAY(B2)</f>
        <v>-1006.2893749999998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488">
        <f>'15'!F54</f>
        <v>3661.51</v>
      </c>
      <c r="F54" s="600">
        <v>4227</v>
      </c>
      <c r="G54" s="236">
        <f t="shared" si="4"/>
        <v>565.48999999999978</v>
      </c>
      <c r="H54" s="99">
        <f>G54+'15'!H54</f>
        <v>4029.66</v>
      </c>
      <c r="I54" s="95"/>
      <c r="J54" s="175">
        <f>H54/DAY(B2)</f>
        <v>251.85374999999999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488">
        <f>'15'!F55</f>
        <v>48711.23</v>
      </c>
      <c r="F55" s="492">
        <v>51744</v>
      </c>
      <c r="G55" s="236">
        <f t="shared" si="4"/>
        <v>3032.7699999999968</v>
      </c>
      <c r="H55" s="99">
        <f>G55+'15'!H55</f>
        <v>-22622.11</v>
      </c>
      <c r="I55" s="95"/>
      <c r="J55" s="175">
        <f>H55/DAY(B2)</f>
        <v>-1413.881875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89828.420000000013</v>
      </c>
      <c r="I58" s="95"/>
      <c r="J58" s="175">
        <f>H58/DAY(B2)</f>
        <v>5614.2762500000008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325477.15000000002</v>
      </c>
      <c r="I59" s="95">
        <f>G7-G60</f>
        <v>1296.1800000000148</v>
      </c>
      <c r="J59" s="175">
        <f>H59/DAY(B2)</f>
        <v>20342.321875000001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1215460.6199999999</v>
      </c>
      <c r="I60" s="95">
        <f>G13-G60</f>
        <v>757.30000000001019</v>
      </c>
      <c r="J60" s="175">
        <f>H60/DAY(B2)</f>
        <v>75966.288749999992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-1343</v>
      </c>
      <c r="I62" s="118"/>
      <c r="J62" s="175">
        <f>H62/DAY(B2)</f>
        <v>-83.9375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-1763</v>
      </c>
      <c r="I63" s="118"/>
      <c r="J63" s="175">
        <f>H63/DAY(B2)</f>
        <v>-110.1875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v>0</v>
      </c>
      <c r="F64" s="122"/>
      <c r="G64" s="112">
        <f>G62+G63</f>
        <v>157</v>
      </c>
      <c r="H64" s="99">
        <f>G64+'15'!H64</f>
        <v>-3106</v>
      </c>
      <c r="I64" s="118"/>
      <c r="J64" s="175">
        <f>H64/DAY(B2)</f>
        <v>-194.125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-1196</v>
      </c>
      <c r="I65" s="118"/>
      <c r="J65" s="175">
        <f>H65/DAY(B2)</f>
        <v>-74.75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-250</v>
      </c>
      <c r="I66" s="118"/>
      <c r="J66" s="175">
        <f>H66/DAY(B2)</f>
        <v>-15.625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-345</v>
      </c>
      <c r="I67" s="118"/>
      <c r="J67" s="175">
        <f>H67/DAY(B2)</f>
        <v>-21.5625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-660</v>
      </c>
      <c r="I68" s="118"/>
      <c r="J68" s="175">
        <f>H68/DAY(B2)</f>
        <v>-41.25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-136</v>
      </c>
      <c r="I70" s="118"/>
      <c r="J70" s="175">
        <f>H70/DAY(B2)</f>
        <v>-8.5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153</v>
      </c>
      <c r="H71" s="99">
        <f>G71+'15'!H71</f>
        <v>-2759</v>
      </c>
      <c r="I71" s="154"/>
      <c r="J71" s="175">
        <f>H71/DAY(B2)</f>
        <v>-172.4375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-4533.1489999999758</v>
      </c>
      <c r="I74" s="154"/>
      <c r="J74" s="175">
        <f>H74/DAY(B2)</f>
        <v>-283.32181249999849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-1418</v>
      </c>
      <c r="I76" s="154"/>
      <c r="J76" s="175">
        <f>H76/DAY(B2)</f>
        <v>-88.625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-504.19999999999709</v>
      </c>
      <c r="I77" s="154"/>
      <c r="J77" s="175">
        <f>H77/DAY(B2)</f>
        <v>-31.512499999999818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-17</v>
      </c>
      <c r="I78" s="118"/>
      <c r="J78" s="175">
        <f>H78/DAY(B2)</f>
        <v>-1.0625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-7558.6180000000168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1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-165.44999999999982</v>
      </c>
      <c r="I85" s="118">
        <f>G82+G83+G84+G85</f>
        <v>0</v>
      </c>
      <c r="J85" s="175">
        <f>H85/DAY(B2)</f>
        <v>-10.340624999999989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-194</v>
      </c>
      <c r="I86" s="118"/>
      <c r="J86" s="175">
        <f>H86/DAY(B2)</f>
        <v>-12.125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-4.1399999999994179</v>
      </c>
      <c r="I88" s="118">
        <f>G86+G87+G88</f>
        <v>23.510000000002037</v>
      </c>
      <c r="J88" s="175">
        <f>H88/DAY(B2)</f>
        <v>-0.25874999999996362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-130.02999999999884</v>
      </c>
      <c r="I89" s="118"/>
      <c r="J89" s="175">
        <f>H89/DAY(B2)</f>
        <v>-8.1268749999999272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-37.160000000003492</v>
      </c>
      <c r="I90" s="118">
        <f>G89+G90</f>
        <v>17.830000000001746</v>
      </c>
      <c r="J90" s="175">
        <f>H90/DAY(B2)</f>
        <v>-2.3225000000002183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-24.769999999999982</v>
      </c>
      <c r="I91" s="165"/>
      <c r="J91" s="175">
        <f>H91/DAY(B2)</f>
        <v>-1.5481249999999989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-136.65999999999985</v>
      </c>
      <c r="I92" s="165"/>
      <c r="J92" s="175">
        <f>H92/DAY(B2)</f>
        <v>-8.5412499999999909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386126.23</v>
      </c>
      <c r="I94" s="118"/>
      <c r="J94" s="175">
        <f>H94/DAY(B2)</f>
        <v>24132.889374999999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51"/>
      <c r="G95" s="166">
        <f>G94/G7</f>
        <v>0.26919213942272946</v>
      </c>
      <c r="H95" s="99">
        <f>G95+'15'!H95</f>
        <v>3.596918078188807</v>
      </c>
      <c r="I95" s="167"/>
      <c r="J95" s="175">
        <f>H95/DAY(B2)</f>
        <v>0.22480737988680044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-48943.250000000007</v>
      </c>
      <c r="I96" s="118"/>
      <c r="J96" s="175">
        <f>H96/DAY(B2)</f>
        <v>-3058.9531250000005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0.17516034480269124</v>
      </c>
      <c r="H97" s="99">
        <f>G97+'15'!H97</f>
        <v>2.7904479132950786</v>
      </c>
      <c r="I97" s="167"/>
      <c r="J97" s="175">
        <f>H97/DAY(B2)</f>
        <v>0.17440299458094241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2600.0999999999985</v>
      </c>
      <c r="H98" s="99">
        <f>G98+'15'!H98</f>
        <v>393697.71</v>
      </c>
      <c r="I98" s="168"/>
      <c r="J98" s="175">
        <f>H98/DAY(B2)</f>
        <v>24606.106875000001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0.15017110183808127</v>
      </c>
      <c r="H99" s="99">
        <f>G99+'15'!H99</f>
        <v>1.4890160513703043</v>
      </c>
      <c r="I99" s="168"/>
      <c r="J99" s="175">
        <f>H99/DAY(B2)</f>
        <v>9.3063503210644022E-2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219869.57</v>
      </c>
      <c r="I100" s="118"/>
      <c r="J100" s="175">
        <f>H100/DAY(B2)</f>
        <v>13741.848125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0.98905721843183225</v>
      </c>
      <c r="I101" s="168"/>
      <c r="J101" s="175">
        <f>H101/DAY(B2)</f>
        <v>6.1816076151989516E-2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-26677.369999999995</v>
      </c>
      <c r="I102" s="168"/>
      <c r="J102" s="175">
        <f>H102/DAY(B2)</f>
        <v>-1667.3356249999997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1.4596297767419968</v>
      </c>
      <c r="I103" s="118"/>
      <c r="J103" s="175">
        <f>H103/DAY(B2)</f>
        <v>9.1226861046374799E-2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183990.91000000003</v>
      </c>
      <c r="I104" s="118"/>
      <c r="J104" s="175">
        <f>H104/DAY(B2)</f>
        <v>11499.431875000002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0.94910519200664567</v>
      </c>
      <c r="I105" s="187"/>
      <c r="J105" s="188">
        <f>H105/DAY(B2)</f>
        <v>5.9319074500415354E-2</v>
      </c>
      <c r="O105" s="71"/>
    </row>
    <row r="106" spans="1:15" ht="29.2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5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-1168</v>
      </c>
      <c r="I112" s="165"/>
      <c r="J112" s="328">
        <f>H112/DAY(B2)</f>
        <v>-73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-6991.8899999999994</v>
      </c>
      <c r="I113" s="165"/>
      <c r="J113" s="328">
        <f>H113/DAY(B2)</f>
        <v>-436.99312499999996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488">
        <f>'15'!F114</f>
        <v>28847.5</v>
      </c>
      <c r="F114" s="499">
        <v>29108</v>
      </c>
      <c r="G114" s="236">
        <v>126.9</v>
      </c>
      <c r="H114" s="99">
        <f>G114+'15'!H114</f>
        <v>-4185.6000000000004</v>
      </c>
      <c r="I114" s="165"/>
      <c r="J114" s="328">
        <f>H114/DAY(B2)</f>
        <v>-261.60000000000002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488">
        <f>'15'!F115</f>
        <v>8936.6299999999992</v>
      </c>
      <c r="F115" s="499">
        <v>8944</v>
      </c>
      <c r="G115" s="236">
        <f t="shared" si="9"/>
        <v>7.3700000000008004</v>
      </c>
      <c r="H115" s="99">
        <f>G115+'15'!H115</f>
        <v>-150.64999999999964</v>
      </c>
      <c r="I115" s="165"/>
      <c r="J115" s="328">
        <f>H115/DAY(B2)</f>
        <v>-9.4156249999999773</v>
      </c>
      <c r="N115" s="599" t="s">
        <v>367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-360.94999999999982</v>
      </c>
      <c r="I117" s="165"/>
      <c r="J117" s="328">
        <f>H117/DAY(B2)</f>
        <v>-22.559374999999989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-5105.3099999999977</v>
      </c>
      <c r="I118" s="165"/>
      <c r="J118" s="328">
        <f>H118/DAY(B2)</f>
        <v>-319.08187499999985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488">
        <f>'15'!F119</f>
        <v>251326.27</v>
      </c>
      <c r="F119" s="499">
        <v>251784</v>
      </c>
      <c r="G119" s="112">
        <f t="shared" si="9"/>
        <v>457.73000000001048</v>
      </c>
      <c r="H119" s="99">
        <f>G119+'15'!H119</f>
        <v>-6364.5499999999884</v>
      </c>
      <c r="I119" s="165"/>
      <c r="J119" s="328">
        <f>H119/DAY(B2)</f>
        <v>-397.78437499999927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-6248.6100000000006</v>
      </c>
      <c r="I120" s="165"/>
      <c r="J120" s="328">
        <f>H120/DAY(B2)</f>
        <v>-390.53812500000004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-10297.429999999993</v>
      </c>
      <c r="I121" s="165"/>
      <c r="J121" s="328">
        <f>H121/DAY(B2)</f>
        <v>-643.58937499999956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-2838.179999999993</v>
      </c>
      <c r="I122" s="165"/>
      <c r="J122" s="328">
        <f>H122/DAY(B2)</f>
        <v>-177.38624999999956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-4065.9500000000116</v>
      </c>
      <c r="I123" s="165"/>
      <c r="J123" s="328">
        <f>H123/DAY(B2)</f>
        <v>-254.12187500000073</v>
      </c>
    </row>
    <row r="124" spans="1:18" ht="29.25" customHeight="1">
      <c r="A124" s="904"/>
      <c r="B124" s="905"/>
      <c r="C124" s="906"/>
      <c r="D124" s="165"/>
      <c r="E124" s="165"/>
      <c r="F124" s="15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-4639</v>
      </c>
      <c r="I128" s="165"/>
      <c r="J128" s="328">
        <f>H128/DAY(B2)</f>
        <v>-289.9375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-3080.869999999999</v>
      </c>
      <c r="I129" s="165"/>
      <c r="J129" s="328">
        <f>H129/DAY(B2)</f>
        <v>-192.55437499999994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-7789</v>
      </c>
      <c r="I130" s="165"/>
      <c r="J130" s="328">
        <f>H130/DAY(B2)</f>
        <v>-486.8125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-1012.6800000000003</v>
      </c>
      <c r="I131" s="165"/>
      <c r="J131" s="328">
        <f>H131/DAY(B2)</f>
        <v>-63.292500000000018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-3044.3000000000029</v>
      </c>
      <c r="I132" s="165"/>
      <c r="J132" s="328">
        <f>H132/DAY(B2)</f>
        <v>-190.26875000000018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-7749.6999999999971</v>
      </c>
      <c r="I133" s="165"/>
      <c r="J133" s="328">
        <f>H133/DAY(B2)</f>
        <v>-484.35624999999982</v>
      </c>
    </row>
    <row r="134" spans="1:15" s="491" customFormat="1" ht="27.75">
      <c r="A134" s="937" t="s">
        <v>340</v>
      </c>
      <c r="B134" s="938"/>
      <c r="C134" s="939"/>
      <c r="D134" s="233" t="s">
        <v>183</v>
      </c>
      <c r="E134" s="488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668599.77</v>
      </c>
      <c r="I134" s="158"/>
      <c r="J134" s="490">
        <f>H134/DAY(B2)</f>
        <v>41787.485625000001</v>
      </c>
    </row>
    <row r="135" spans="1:15" ht="27.75">
      <c r="A135" s="907" t="s">
        <v>196</v>
      </c>
      <c r="B135" s="90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629439.93999999994</v>
      </c>
      <c r="I135" s="327">
        <f>G135-(G35+G49)</f>
        <v>-387.850000000004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>
      <c r="A138" s="940" t="s">
        <v>185</v>
      </c>
      <c r="B138" s="940"/>
      <c r="C138" s="940"/>
      <c r="D138" s="233" t="s">
        <v>183</v>
      </c>
      <c r="E138" s="488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-1004</v>
      </c>
      <c r="I138" s="489"/>
      <c r="J138" s="490">
        <f>H138/DAY(B2)</f>
        <v>-62.75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-23</v>
      </c>
      <c r="I139" s="118"/>
      <c r="J139" s="328">
        <f>H139/DAY(B2)</f>
        <v>-1.4375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-24</v>
      </c>
      <c r="I140" s="118"/>
      <c r="J140" s="328">
        <f>H140/DAY(B2)</f>
        <v>-1.5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-2609.5800000000017</v>
      </c>
      <c r="I141" s="118"/>
      <c r="J141" s="328">
        <f>H141/DAY(B2)</f>
        <v>-163.09875000000011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-1165.0999999999985</v>
      </c>
      <c r="I142" s="140"/>
      <c r="J142" s="328">
        <f>H142/DAY(B2)</f>
        <v>-72.818749999999909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-396.38999999999987</v>
      </c>
      <c r="I143" s="140"/>
      <c r="J143" s="328">
        <f>H143/DAY(B2)</f>
        <v>-24.774374999999992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-3197</v>
      </c>
      <c r="I144" s="140"/>
      <c r="J144" s="328">
        <f>H144/DAY(B2)</f>
        <v>-199.8125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-160.84000000000015</v>
      </c>
      <c r="I145" s="140"/>
      <c r="J145" s="328">
        <f>H145/DAY(B2)</f>
        <v>-10.052500000000009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-6005</v>
      </c>
      <c r="I146" s="140"/>
      <c r="J146" s="328">
        <f>H146/DAY(B2)</f>
        <v>-375.3125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-5433.5200000000186</v>
      </c>
      <c r="I147" s="140"/>
      <c r="J147" s="328">
        <f>H147/DAY(B2)</f>
        <v>-339.59500000000116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-2746.9599999999627</v>
      </c>
      <c r="I148" s="124"/>
      <c r="J148" s="328">
        <f>H148/DAY(B2)</f>
        <v>-171.68499999999767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-7333.2000000000007</v>
      </c>
      <c r="I149" s="119"/>
      <c r="J149" s="328">
        <f>H149/DAY(B2)</f>
        <v>-458.32500000000005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-3305.83</v>
      </c>
      <c r="I150" s="119"/>
      <c r="J150" s="328">
        <f>H150/DAY(B2)</f>
        <v>-206.614375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-3537</v>
      </c>
      <c r="I151" s="119"/>
      <c r="J151" s="328">
        <f>H151/DAY(B2)</f>
        <v>-221.0625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-255</v>
      </c>
      <c r="I152" s="119"/>
      <c r="J152" s="328">
        <f>H152/DAY(B2)</f>
        <v>-15.9375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488">
        <f>'15'!F155</f>
        <v>22084.26</v>
      </c>
      <c r="F155" s="530">
        <v>22693</v>
      </c>
      <c r="G155" s="236">
        <f>F155-E155</f>
        <v>608.7400000000016</v>
      </c>
      <c r="H155" s="99">
        <f>G155+'15'!H155</f>
        <v>-10252.000000000004</v>
      </c>
      <c r="I155" s="364"/>
      <c r="J155" s="328">
        <f>H155/DAY(B2)</f>
        <v>-640.75000000000023</v>
      </c>
    </row>
    <row r="156" spans="1:10" ht="27.75">
      <c r="A156" s="878" t="s">
        <v>347</v>
      </c>
      <c r="B156" s="878"/>
      <c r="C156" s="878"/>
      <c r="D156" s="117" t="s">
        <v>130</v>
      </c>
      <c r="E156" s="488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-890</v>
      </c>
      <c r="I156" s="165"/>
      <c r="J156" s="328">
        <f>H156/DAY(B2)</f>
        <v>-55.625</v>
      </c>
    </row>
    <row r="157" spans="1:10" ht="27.75">
      <c r="A157" s="870" t="s">
        <v>364</v>
      </c>
      <c r="B157" s="871"/>
      <c r="C157" s="872"/>
      <c r="D157" s="117" t="s">
        <v>130</v>
      </c>
      <c r="E157" s="488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>
      <c r="A158" s="870" t="s">
        <v>365</v>
      </c>
      <c r="B158" s="871"/>
      <c r="C158" s="872"/>
      <c r="D158" s="117" t="s">
        <v>130</v>
      </c>
      <c r="E158" s="488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>
      <c r="A159" s="927"/>
      <c r="B159" s="928"/>
      <c r="C159" s="92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-614.55999999999767</v>
      </c>
      <c r="I161" s="236"/>
      <c r="J161" s="239">
        <f>H161/DAY(B2)</f>
        <v>-38.409999999999854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-500.39999999999418</v>
      </c>
      <c r="I162" s="236"/>
      <c r="J162" s="239">
        <f>H162/DAY(B2)</f>
        <v>-31.274999999999636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-705.10000000000582</v>
      </c>
      <c r="I163" s="236"/>
      <c r="J163" s="239">
        <f>H163/DAY(B2)</f>
        <v>-44.068750000000364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-54</v>
      </c>
      <c r="I164" s="236"/>
      <c r="J164" s="239">
        <f>H164/DAY(B2)</f>
        <v>-3.375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-111.25</v>
      </c>
      <c r="I165" s="236"/>
      <c r="J165" s="239">
        <f>H165/DAY(B2)</f>
        <v>-6.953125</v>
      </c>
    </row>
    <row r="166" spans="1:10" ht="29.25">
      <c r="A166" s="910"/>
      <c r="B166" s="91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-171</v>
      </c>
      <c r="I174" s="155"/>
      <c r="J174" s="178">
        <f>H174/DAY(B2)</f>
        <v>-10.6875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-147</v>
      </c>
      <c r="I175" s="155"/>
      <c r="J175" s="178">
        <f>H175/DAY(B2)</f>
        <v>-9.1875</v>
      </c>
    </row>
    <row r="176" spans="1:10" ht="27.75">
      <c r="A176" s="907" t="s">
        <v>196</v>
      </c>
      <c r="B176" s="90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-318</v>
      </c>
      <c r="I176" s="155"/>
      <c r="J176" s="178">
        <f>H176/DAY(B2)</f>
        <v>-19.875</v>
      </c>
    </row>
    <row r="177" spans="1:11" ht="27.75">
      <c r="A177" s="868" t="s">
        <v>77</v>
      </c>
      <c r="B177" s="869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>
      <c r="A178" s="868" t="s">
        <v>210</v>
      </c>
      <c r="B178" s="869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-786</v>
      </c>
      <c r="I178" s="155"/>
      <c r="J178" s="178">
        <f>H178/DAY(B2)</f>
        <v>-49.125</v>
      </c>
    </row>
    <row r="179" spans="1:11" ht="27.75">
      <c r="A179" s="868" t="s">
        <v>211</v>
      </c>
      <c r="B179" s="869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-552</v>
      </c>
      <c r="I179" s="155"/>
      <c r="J179" s="178">
        <f>H179/DAY(B2)</f>
        <v>-34.5</v>
      </c>
    </row>
    <row r="180" spans="1:11" ht="27.75">
      <c r="A180" s="868" t="s">
        <v>212</v>
      </c>
      <c r="B180" s="869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-107</v>
      </c>
      <c r="I180" s="155"/>
      <c r="J180" s="178">
        <f>H180/DAY(B2)</f>
        <v>-6.6875</v>
      </c>
    </row>
    <row r="181" spans="1:11" ht="27.75">
      <c r="A181" s="912" t="s">
        <v>108</v>
      </c>
      <c r="B181" s="913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-1445</v>
      </c>
      <c r="I181" s="155"/>
      <c r="J181" s="178">
        <f>H181/DAY(B2)</f>
        <v>-90.3125</v>
      </c>
    </row>
    <row r="182" spans="1:11" ht="27.75">
      <c r="A182" s="868" t="s">
        <v>213</v>
      </c>
      <c r="B182" s="869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>
      <c r="A183" s="868" t="s">
        <v>214</v>
      </c>
      <c r="B183" s="869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-208</v>
      </c>
      <c r="I183" s="155"/>
      <c r="J183" s="178">
        <f>H183/DAY(B2)</f>
        <v>-13</v>
      </c>
    </row>
    <row r="184" spans="1:11" ht="27.75">
      <c r="A184" s="868" t="s">
        <v>215</v>
      </c>
      <c r="B184" s="869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-114</v>
      </c>
      <c r="I184" s="155"/>
      <c r="J184" s="178">
        <f>H184/DAY(B2)</f>
        <v>-7.125</v>
      </c>
    </row>
    <row r="185" spans="1:11" ht="32.25" customHeight="1">
      <c r="A185" s="868" t="s">
        <v>216</v>
      </c>
      <c r="B185" s="869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>
      <c r="A186" s="907" t="s">
        <v>196</v>
      </c>
      <c r="B186" s="90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-322</v>
      </c>
      <c r="I186" s="157"/>
      <c r="J186" s="178">
        <f>H186/DAY(B2)</f>
        <v>-20.125</v>
      </c>
    </row>
    <row r="187" spans="1:11" ht="27.75">
      <c r="A187" s="916" t="s">
        <v>217</v>
      </c>
      <c r="B187" s="917"/>
      <c r="C187" s="333"/>
      <c r="D187" s="230" t="s">
        <v>142</v>
      </c>
      <c r="E187" s="95">
        <f>'15'!F187</f>
        <v>0</v>
      </c>
      <c r="F187" s="159"/>
      <c r="G187" s="460">
        <f>G62+G19</f>
        <v>121</v>
      </c>
      <c r="H187" s="99">
        <f>G187+'15'!H187</f>
        <v>-2162</v>
      </c>
      <c r="I187" s="158"/>
      <c r="J187" s="179">
        <f>H187/DAY(B2)</f>
        <v>-135.125</v>
      </c>
    </row>
    <row r="188" spans="1:11" ht="27.75">
      <c r="A188" s="916" t="s">
        <v>218</v>
      </c>
      <c r="B188" s="917"/>
      <c r="C188" s="333"/>
      <c r="D188" s="230" t="s">
        <v>142</v>
      </c>
      <c r="E188" s="95">
        <f>'15'!F188</f>
        <v>0</v>
      </c>
      <c r="F188" s="159"/>
      <c r="G188" s="460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>
      <c r="A189" s="916" t="s">
        <v>219</v>
      </c>
      <c r="B189" s="917"/>
      <c r="C189" s="333"/>
      <c r="D189" s="230" t="s">
        <v>142</v>
      </c>
      <c r="E189" s="95">
        <f>'15'!F189</f>
        <v>0</v>
      </c>
      <c r="F189" s="157"/>
      <c r="G189" s="457">
        <f>G181</f>
        <v>91</v>
      </c>
      <c r="H189" s="99">
        <f>G189+'15'!H189</f>
        <v>-1445</v>
      </c>
      <c r="I189" s="158"/>
      <c r="J189" s="179">
        <f>H189/DAY(B2)</f>
        <v>-90.3125</v>
      </c>
    </row>
    <row r="190" spans="1:11" ht="23.25" customHeight="1">
      <c r="A190" s="941"/>
      <c r="B190" s="942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96">
        <v>0</v>
      </c>
      <c r="G192" s="160" t="s">
        <v>370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-244772.22999999998</v>
      </c>
      <c r="I7" s="113">
        <f>'1'!I7</f>
        <v>12000</v>
      </c>
      <c r="J7" s="175">
        <f>H7/DAY(B2)</f>
        <v>-14398.366470588235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-250815.15000000002</v>
      </c>
      <c r="I8" s="116"/>
      <c r="J8" s="175">
        <f>H8/DAY(B2)</f>
        <v>-14753.832352941177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87159</v>
      </c>
      <c r="F9" s="598">
        <v>98294.9</v>
      </c>
      <c r="G9" s="112">
        <f>F9-E9</f>
        <v>11135.899999999994</v>
      </c>
      <c r="H9" s="99">
        <f>G9+'16'!H9</f>
        <v>2173322.0500000003</v>
      </c>
      <c r="I9" s="124">
        <f>I7-J7</f>
        <v>26398.366470588233</v>
      </c>
      <c r="J9" s="175">
        <f>H9/DAY(B2)</f>
        <v>127842.47352941179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541954.77</v>
      </c>
      <c r="I10" s="282"/>
      <c r="J10" s="175">
        <f>H10/DAY(B2)</f>
        <v>31879.692352941176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-170</v>
      </c>
      <c r="I11" s="282"/>
      <c r="J11" s="175">
        <f>H11/DAY(B2)</f>
        <v>-10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2698352.39</v>
      </c>
      <c r="I13" s="120">
        <f>G7-G13</f>
        <v>485.36000000000786</v>
      </c>
      <c r="J13" s="175">
        <f>H13/DAY(B2)</f>
        <v>158726.61117647059</v>
      </c>
      <c r="K13" s="79"/>
      <c r="L13" s="66"/>
      <c r="N13" s="87"/>
      <c r="O13" s="71"/>
    </row>
    <row r="14" spans="1:15" ht="27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-13296.493999999948</v>
      </c>
      <c r="I15" s="113">
        <f>'1'!I15</f>
        <v>800</v>
      </c>
      <c r="J15" s="175">
        <f>H15/DAY(B2)</f>
        <v>-782.14670588234992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1582.14670588235</v>
      </c>
      <c r="J16" s="176"/>
      <c r="K16" s="79"/>
      <c r="L16" s="66"/>
      <c r="N16" s="87"/>
      <c r="O16" s="71"/>
    </row>
    <row r="17" spans="1:15" ht="27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46" t="s">
        <v>141</v>
      </c>
      <c r="B18" s="847"/>
      <c r="C18" s="848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2110</v>
      </c>
      <c r="I18" s="113">
        <f>'1'!I18</f>
        <v>65</v>
      </c>
      <c r="J18" s="175">
        <f>H18/DAY(B2)</f>
        <v>124.11764705882354</v>
      </c>
      <c r="K18" s="79"/>
      <c r="L18" s="66"/>
      <c r="N18" s="87"/>
      <c r="O18" s="71"/>
    </row>
    <row r="19" spans="1:15" ht="27.75" customHeight="1">
      <c r="A19" s="846" t="s">
        <v>69</v>
      </c>
      <c r="B19" s="847"/>
      <c r="C19" s="848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-766</v>
      </c>
      <c r="I19" s="335"/>
      <c r="J19" s="175">
        <f>H19/DAY(B2)</f>
        <v>-45.058823529411768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1344</v>
      </c>
      <c r="I20" s="336">
        <f>I18-J20</f>
        <v>-14.058823529411768</v>
      </c>
      <c r="J20" s="175">
        <f>H20/DAY(B2)</f>
        <v>79.058823529411768</v>
      </c>
      <c r="K20" s="79"/>
      <c r="L20" s="66"/>
      <c r="N20" s="87"/>
      <c r="O20" s="71"/>
    </row>
    <row r="21" spans="1:15" ht="27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-2257336.3500000006</v>
      </c>
      <c r="I27" s="138"/>
      <c r="J27" s="175">
        <f>H27/DAY(B2)</f>
        <v>-132784.49117647062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-691417.68799999729</v>
      </c>
      <c r="I28" s="140"/>
      <c r="J28" s="175">
        <f>H28/DAY(B2)</f>
        <v>-40671.628705882191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-111836</v>
      </c>
      <c r="I30" s="140"/>
      <c r="J30" s="175">
        <f>H30/DAY(B2)</f>
        <v>-6578.588235294118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168800</v>
      </c>
      <c r="I31" s="140"/>
      <c r="J31" s="175">
        <f>H31/DAY(B2)</f>
        <v>9929.4117647058829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-2891790.0379999978</v>
      </c>
      <c r="I32" s="144"/>
      <c r="J32" s="175">
        <f>H32/DAY(B2)</f>
        <v>-170105.29635294105</v>
      </c>
      <c r="K32" s="63"/>
      <c r="L32" s="89"/>
      <c r="N32" s="87"/>
      <c r="O32" s="71"/>
    </row>
    <row r="33" spans="1:15" ht="27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149130.62000000002</v>
      </c>
      <c r="I35" s="95"/>
      <c r="J35" s="175">
        <f>H35/DAY(B2)</f>
        <v>8772.3894117647069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-9984.2799999999988</v>
      </c>
      <c r="I36" s="95"/>
      <c r="J36" s="175">
        <f>H36/DAY(B2)</f>
        <v>-587.31058823529406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185501.33000000005</v>
      </c>
      <c r="I37" s="95"/>
      <c r="J37" s="175">
        <f>H37/DAY(B2)</f>
        <v>10911.842941176474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221473.73</v>
      </c>
      <c r="I38" s="95"/>
      <c r="J38" s="175">
        <f>H38/DAY(B2)</f>
        <v>13027.866470588237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396395.71</v>
      </c>
      <c r="I39" s="95"/>
      <c r="J39" s="175">
        <f>H39/DAY(B2)</f>
        <v>23317.394705882354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49">
        <v>13361</v>
      </c>
      <c r="G40" s="112">
        <f t="shared" si="3"/>
        <v>450</v>
      </c>
      <c r="H40" s="99">
        <f>G40+'16'!H40</f>
        <v>13988.739999999998</v>
      </c>
      <c r="I40" s="95"/>
      <c r="J40" s="175">
        <f>H40/DAY(B2)</f>
        <v>822.86705882352931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-26321.14</v>
      </c>
      <c r="I42" s="95"/>
      <c r="J42" s="175">
        <f>H42/DAY(B2)</f>
        <v>-1548.3023529411764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-29808.450000000012</v>
      </c>
      <c r="I43" s="95"/>
      <c r="J43" s="175">
        <f>H43/DAY(B2)</f>
        <v>-1753.4382352941184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900376.26000000013</v>
      </c>
      <c r="I47" s="95"/>
      <c r="J47" s="175">
        <f>H47/DAY(B2)</f>
        <v>52963.309411764712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271709.42</v>
      </c>
      <c r="I49" s="95"/>
      <c r="J49" s="175">
        <f>H49/DAY(B2)</f>
        <v>15982.907058823528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-15262.099999999999</v>
      </c>
      <c r="I50" s="95"/>
      <c r="J50" s="175">
        <f>H50/DAY(B2)</f>
        <v>-897.77058823529399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4592.3599999999997</v>
      </c>
      <c r="I54" s="95"/>
      <c r="J54" s="175">
        <f>H54/DAY(B2)</f>
        <v>270.13882352941175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-19616.940000000002</v>
      </c>
      <c r="I55" s="95"/>
      <c r="J55" s="175">
        <f>H55/DAY(B2)</f>
        <v>-1153.9376470588236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89846.020000000019</v>
      </c>
      <c r="I58" s="95"/>
      <c r="J58" s="175">
        <f>H58/DAY(B2)</f>
        <v>5285.0600000000013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331268.76</v>
      </c>
      <c r="I59" s="95">
        <f>G7-G60</f>
        <v>1269.6000000000095</v>
      </c>
      <c r="J59" s="175">
        <f>H59/DAY(B2)</f>
        <v>19486.397647058824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1231645.0199999998</v>
      </c>
      <c r="I60" s="95">
        <f>G13-G60</f>
        <v>784.2400000000016</v>
      </c>
      <c r="J60" s="175">
        <f>H60/DAY(B2)</f>
        <v>72449.707058823522</v>
      </c>
      <c r="K60" s="79"/>
      <c r="L60" s="66"/>
      <c r="N60" s="87"/>
      <c r="O60" s="71"/>
    </row>
    <row r="61" spans="1:15" s="68" customFormat="1" ht="27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46" t="s">
        <v>198</v>
      </c>
      <c r="B62" s="847"/>
      <c r="C62" s="848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-1277</v>
      </c>
      <c r="I62" s="118"/>
      <c r="J62" s="175">
        <f>H62/DAY(B2)</f>
        <v>-75.117647058823536</v>
      </c>
      <c r="K62" s="80"/>
      <c r="L62" s="66"/>
      <c r="N62" s="87"/>
      <c r="O62" s="71"/>
    </row>
    <row r="63" spans="1:15" ht="27.75" customHeight="1">
      <c r="A63" s="846" t="s">
        <v>199</v>
      </c>
      <c r="B63" s="847"/>
      <c r="C63" s="848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-1679</v>
      </c>
      <c r="I63" s="118"/>
      <c r="J63" s="175">
        <f>H63/DAY(B2)</f>
        <v>-98.764705882352942</v>
      </c>
      <c r="K63" s="69"/>
      <c r="L63" s="66"/>
      <c r="N63" s="87"/>
      <c r="O63" s="71"/>
    </row>
    <row r="64" spans="1:15" ht="27.75" customHeight="1">
      <c r="A64" s="843" t="s">
        <v>200</v>
      </c>
      <c r="B64" s="844"/>
      <c r="C64" s="845"/>
      <c r="D64" s="151"/>
      <c r="E64" s="95">
        <f>'16'!F64</f>
        <v>0</v>
      </c>
      <c r="F64" s="122"/>
      <c r="G64" s="112">
        <f>G62+G63</f>
        <v>150</v>
      </c>
      <c r="H64" s="99">
        <f>G64+'16'!H64</f>
        <v>-2956</v>
      </c>
      <c r="I64" s="118"/>
      <c r="J64" s="175">
        <f>H64/DAY(B2)</f>
        <v>-173.88235294117646</v>
      </c>
      <c r="K64" s="69"/>
      <c r="L64" s="66"/>
      <c r="N64" s="87"/>
      <c r="O64" s="71"/>
    </row>
    <row r="65" spans="1:15" ht="27.75" customHeight="1">
      <c r="A65" s="846" t="s">
        <v>201</v>
      </c>
      <c r="B65" s="847"/>
      <c r="C65" s="848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-1131</v>
      </c>
      <c r="I65" s="118"/>
      <c r="J65" s="175">
        <f>H65/DAY(B2)</f>
        <v>-66.529411764705884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-235</v>
      </c>
      <c r="I66" s="118"/>
      <c r="J66" s="175">
        <f>H66/DAY(B2)</f>
        <v>-13.823529411764707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-326</v>
      </c>
      <c r="I67" s="118"/>
      <c r="J67" s="175">
        <f>H67/DAY(B2)</f>
        <v>-19.176470588235293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-639</v>
      </c>
      <c r="I68" s="118"/>
      <c r="J68" s="175">
        <f>H68/DAY(B2)</f>
        <v>-37.588235294117645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-164</v>
      </c>
      <c r="I69" s="118"/>
      <c r="J69" s="175">
        <f>H69/DAY(B2)</f>
        <v>-9.6470588235294112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-129</v>
      </c>
      <c r="I70" s="118"/>
      <c r="J70" s="175">
        <f>H70/DAY(B2)</f>
        <v>-7.5882352941176467</v>
      </c>
      <c r="K70" s="69"/>
      <c r="L70" s="66"/>
      <c r="N70" s="87"/>
      <c r="O70" s="71"/>
    </row>
    <row r="71" spans="1:15" ht="27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135</v>
      </c>
      <c r="H71" s="99">
        <f>G71+'16'!H71</f>
        <v>-2624</v>
      </c>
      <c r="I71" s="154"/>
      <c r="J71" s="175">
        <f>H71/DAY(B2)</f>
        <v>-154.35294117647058</v>
      </c>
      <c r="K71" s="69"/>
      <c r="L71" s="66"/>
      <c r="N71" s="87"/>
      <c r="O71" s="71"/>
    </row>
    <row r="72" spans="1:15" s="88" customFormat="1" ht="27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46" t="s">
        <v>220</v>
      </c>
      <c r="B74" s="847"/>
      <c r="C74" s="848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-4225.2489999999525</v>
      </c>
      <c r="I74" s="154"/>
      <c r="J74" s="175">
        <f>H74/DAY(B2)</f>
        <v>-248.54405882352663</v>
      </c>
      <c r="K74" s="69"/>
      <c r="L74" s="66"/>
      <c r="N74" s="87"/>
      <c r="O74" s="71"/>
    </row>
    <row r="75" spans="1:15" ht="27.75" customHeight="1">
      <c r="A75" s="846" t="s">
        <v>221</v>
      </c>
      <c r="B75" s="847"/>
      <c r="C75" s="848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90" t="s">
        <v>222</v>
      </c>
      <c r="B76" s="876"/>
      <c r="C76" s="877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-1344.5</v>
      </c>
      <c r="I76" s="154"/>
      <c r="J76" s="175">
        <f>H76/DAY(B2)</f>
        <v>-79.088235294117652</v>
      </c>
      <c r="K76" s="69"/>
      <c r="L76" s="66"/>
      <c r="N76" s="87"/>
      <c r="O76" s="71"/>
    </row>
    <row r="77" spans="1:15" ht="27.75" customHeight="1">
      <c r="A77" s="890" t="s">
        <v>223</v>
      </c>
      <c r="B77" s="876"/>
      <c r="C77" s="877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-480.89999999999418</v>
      </c>
      <c r="I77" s="154"/>
      <c r="J77" s="175">
        <f>H77/DAY(B2)</f>
        <v>-28.288235294117303</v>
      </c>
      <c r="K77" s="69"/>
      <c r="L77" s="66"/>
      <c r="N77" s="87"/>
      <c r="O77" s="71"/>
    </row>
    <row r="78" spans="1:15" ht="27.75" customHeight="1">
      <c r="A78" s="890" t="s">
        <v>224</v>
      </c>
      <c r="B78" s="876"/>
      <c r="C78" s="877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-17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customHeight="1">
      <c r="A79" s="890" t="s">
        <v>225</v>
      </c>
      <c r="B79" s="876"/>
      <c r="C79" s="877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-7228.8450000000012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-165.44999999999982</v>
      </c>
      <c r="I85" s="118">
        <f>G82+G83+G84+G85</f>
        <v>0.26000000000203727</v>
      </c>
      <c r="J85" s="175">
        <f>H85/DAY(B2)</f>
        <v>-9.73235294117646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-169.95999999999913</v>
      </c>
      <c r="I86" s="118"/>
      <c r="J86" s="175">
        <f>H86/DAY(B2)</f>
        <v>-9.9976470588234783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-4.1399999999994179</v>
      </c>
      <c r="I88" s="118">
        <f>G86+G87+G88</f>
        <v>24.040000000000873</v>
      </c>
      <c r="J88" s="175">
        <f>H88/DAY(B2)</f>
        <v>-0.24352941176467163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-126.48999999999796</v>
      </c>
      <c r="I89" s="118"/>
      <c r="J89" s="175">
        <f>H89/DAY(B2)</f>
        <v>-7.4405882352939976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-32.320000000006985</v>
      </c>
      <c r="I90" s="118">
        <f>G89+G90</f>
        <v>8.3799999999973807</v>
      </c>
      <c r="J90" s="175">
        <f>H90/DAY(B2)</f>
        <v>-1.9011764705886463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-24.769999999999982</v>
      </c>
      <c r="I91" s="165"/>
      <c r="J91" s="175">
        <f>H91/DAY(B2)</f>
        <v>-1.4570588235294106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-125.80999999999949</v>
      </c>
      <c r="I92" s="165"/>
      <c r="J92" s="175">
        <f>H92/DAY(B2)</f>
        <v>-7.4005882352940873</v>
      </c>
      <c r="O92" s="71"/>
    </row>
    <row r="93" spans="1:15" ht="27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391031.58999999997</v>
      </c>
      <c r="I94" s="118"/>
      <c r="J94" s="175">
        <f>H94/DAY(B2)</f>
        <v>23001.858235294116</v>
      </c>
      <c r="K94" s="69"/>
      <c r="L94" s="66"/>
      <c r="O94" s="71"/>
    </row>
    <row r="95" spans="1:15" ht="27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0.28104503265727027</v>
      </c>
      <c r="H95" s="99">
        <f>G95+'16'!H95</f>
        <v>3.8779631108460775</v>
      </c>
      <c r="I95" s="167"/>
      <c r="J95" s="175">
        <f>H95/DAY(B2)</f>
        <v>0.22811547710859278</v>
      </c>
      <c r="K95" s="69"/>
      <c r="L95" s="66"/>
      <c r="O95" s="71"/>
    </row>
    <row r="96" spans="1:15" ht="27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-45938.080000000009</v>
      </c>
      <c r="I96" s="118"/>
      <c r="J96" s="175">
        <f>H96/DAY(B2)</f>
        <v>-2702.2400000000007</v>
      </c>
      <c r="K96" s="69"/>
      <c r="L96" s="66"/>
      <c r="O96" s="71"/>
    </row>
    <row r="97" spans="1:15" ht="27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0.17217657843474266</v>
      </c>
      <c r="H97" s="99">
        <f>G97+'16'!H97</f>
        <v>2.9626244917298212</v>
      </c>
      <c r="I97" s="167"/>
      <c r="J97" s="175">
        <f>H97/DAY(B2)</f>
        <v>0.1742720289252836</v>
      </c>
      <c r="K97" s="69"/>
      <c r="L97" s="66"/>
      <c r="O97" s="71"/>
    </row>
    <row r="98" spans="1:15" ht="27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2698</v>
      </c>
      <c r="H98" s="99">
        <f>G98+'16'!H98</f>
        <v>396395.71</v>
      </c>
      <c r="I98" s="168"/>
      <c r="J98" s="175">
        <f>H98/DAY(B2)</f>
        <v>23317.394705882354</v>
      </c>
      <c r="K98" s="69"/>
      <c r="L98" s="66"/>
      <c r="O98" s="71"/>
    </row>
    <row r="99" spans="1:15" ht="27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0.15457774722126733</v>
      </c>
      <c r="H99" s="99">
        <f>G99+'16'!H99</f>
        <v>1.6435937985915716</v>
      </c>
      <c r="I99" s="168"/>
      <c r="J99" s="175">
        <f>H99/DAY(B2)</f>
        <v>9.6681988152445386E-2</v>
      </c>
      <c r="O99" s="71"/>
    </row>
    <row r="100" spans="1:15" ht="27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221473.73</v>
      </c>
      <c r="I100" s="118"/>
      <c r="J100" s="175">
        <f>H100/DAY(B2)</f>
        <v>13027.866470588237</v>
      </c>
      <c r="K100" s="70"/>
      <c r="O100" s="71"/>
    </row>
    <row r="101" spans="1:15" ht="27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1.0809650905528361</v>
      </c>
      <c r="I101" s="168"/>
      <c r="J101" s="175">
        <f>H101/DAY(B2)</f>
        <v>6.3586181797225652E-2</v>
      </c>
      <c r="O101" s="71"/>
    </row>
    <row r="102" spans="1:15" ht="27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-25246.379999999997</v>
      </c>
      <c r="I102" s="168"/>
      <c r="J102" s="175">
        <f>H102/DAY(B2)</f>
        <v>-1485.0811764705882</v>
      </c>
      <c r="O102" s="71"/>
    </row>
    <row r="103" spans="1:15" ht="27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1.54161614089921</v>
      </c>
      <c r="I103" s="118"/>
      <c r="J103" s="175">
        <f>H103/DAY(B2)</f>
        <v>9.0683302405835886E-2</v>
      </c>
      <c r="O103" s="71"/>
    </row>
    <row r="104" spans="1:15" ht="27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1510.42</v>
      </c>
      <c r="H104" s="99">
        <f>G104+'16'!H104</f>
        <v>185501.33000000005</v>
      </c>
      <c r="I104" s="118"/>
      <c r="J104" s="175">
        <f>H104/DAY(B2)</f>
        <v>10911.842941176474</v>
      </c>
      <c r="O104" s="71"/>
    </row>
    <row r="105" spans="1:15" ht="27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1.0356423754602953</v>
      </c>
      <c r="I105" s="187"/>
      <c r="J105" s="188">
        <f>H105/DAY(B2)</f>
        <v>6.0920139732958546E-2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>
      <c r="A109" s="885"/>
      <c r="B109" s="885"/>
    </row>
    <row r="110" spans="1:15" ht="27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79" t="s">
        <v>252</v>
      </c>
      <c r="B112" s="880"/>
      <c r="C112" s="881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-1090</v>
      </c>
      <c r="I112" s="165"/>
      <c r="J112" s="328">
        <f>H112/DAY(B2)</f>
        <v>-64.117647058823536</v>
      </c>
    </row>
    <row r="113" spans="1:18" ht="27.75" customHeight="1">
      <c r="A113" s="879" t="s">
        <v>253</v>
      </c>
      <c r="B113" s="880"/>
      <c r="C113" s="881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-6540.0500000000029</v>
      </c>
      <c r="I113" s="165"/>
      <c r="J113" s="328">
        <f>H113/DAY(B2)</f>
        <v>-384.70882352941192</v>
      </c>
    </row>
    <row r="114" spans="1:18" ht="27.75" customHeight="1">
      <c r="A114" s="879" t="s">
        <v>254</v>
      </c>
      <c r="B114" s="880"/>
      <c r="C114" s="881"/>
      <c r="D114" s="146" t="s">
        <v>183</v>
      </c>
      <c r="E114" s="95">
        <f>'16'!F114</f>
        <v>29108</v>
      </c>
      <c r="F114" s="499">
        <v>29371</v>
      </c>
      <c r="G114" s="112">
        <f t="shared" si="9"/>
        <v>263</v>
      </c>
      <c r="H114" s="99">
        <f>G114+'16'!H114</f>
        <v>-3922.6000000000004</v>
      </c>
      <c r="I114" s="165"/>
      <c r="J114" s="328">
        <f>H114/DAY(B2)</f>
        <v>-230.74117647058824</v>
      </c>
    </row>
    <row r="115" spans="1:18" ht="27.75" customHeight="1">
      <c r="A115" s="879" t="s">
        <v>255</v>
      </c>
      <c r="B115" s="880"/>
      <c r="C115" s="881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-136.44999999999891</v>
      </c>
      <c r="I115" s="165"/>
      <c r="J115" s="328">
        <f>H115/DAY(B2)</f>
        <v>-8.0264705882352292</v>
      </c>
    </row>
    <row r="116" spans="1:18" ht="27.75" customHeight="1">
      <c r="A116" s="897" t="s">
        <v>96</v>
      </c>
      <c r="B116" s="898"/>
      <c r="C116" s="899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79"/>
      <c r="R116" s="881"/>
    </row>
    <row r="117" spans="1:18" ht="27.75" customHeight="1">
      <c r="A117" s="897" t="s">
        <v>184</v>
      </c>
      <c r="B117" s="898"/>
      <c r="C117" s="899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-337.98</v>
      </c>
      <c r="I117" s="165"/>
      <c r="J117" s="328">
        <f>H117/DAY(B2)</f>
        <v>-19.881176470588237</v>
      </c>
      <c r="Q117" s="879"/>
      <c r="R117" s="881"/>
    </row>
    <row r="118" spans="1:18" ht="27.75" customHeight="1">
      <c r="A118" s="874" t="s">
        <v>97</v>
      </c>
      <c r="B118" s="874"/>
      <c r="C118" s="874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-4768.3099999999977</v>
      </c>
      <c r="I118" s="165"/>
      <c r="J118" s="328">
        <f>H118/DAY(B2)</f>
        <v>-280.4888235294116</v>
      </c>
      <c r="Q118" s="879"/>
      <c r="R118" s="881"/>
    </row>
    <row r="119" spans="1:18" ht="27.75" customHeight="1">
      <c r="A119" s="874" t="s">
        <v>98</v>
      </c>
      <c r="B119" s="874"/>
      <c r="C119" s="874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-5907.5499999999884</v>
      </c>
      <c r="I119" s="165"/>
      <c r="J119" s="328">
        <f>H119/DAY(B2)</f>
        <v>-347.5029411764699</v>
      </c>
    </row>
    <row r="120" spans="1:18" ht="27.75" customHeight="1">
      <c r="A120" s="874" t="s">
        <v>99</v>
      </c>
      <c r="B120" s="874"/>
      <c r="C120" s="874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-5814.2099999999991</v>
      </c>
      <c r="I120" s="165"/>
      <c r="J120" s="328">
        <f>H120/DAY(B2)</f>
        <v>-342.0123529411764</v>
      </c>
    </row>
    <row r="121" spans="1:18" ht="27.75" customHeight="1">
      <c r="A121" s="874" t="s">
        <v>100</v>
      </c>
      <c r="B121" s="874"/>
      <c r="C121" s="874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-9606.429999999993</v>
      </c>
      <c r="I121" s="165"/>
      <c r="J121" s="328">
        <f>H121/DAY(B2)</f>
        <v>-565.08411764705841</v>
      </c>
    </row>
    <row r="122" spans="1:18" ht="27.75" customHeight="1">
      <c r="A122" s="874" t="s">
        <v>101</v>
      </c>
      <c r="B122" s="874"/>
      <c r="C122" s="874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-2652.7399999999907</v>
      </c>
      <c r="I122" s="165"/>
      <c r="J122" s="328">
        <f>H122/DAY(B2)</f>
        <v>-156.04352941176415</v>
      </c>
    </row>
    <row r="123" spans="1:18" ht="27.75" customHeight="1">
      <c r="A123" s="874" t="s">
        <v>102</v>
      </c>
      <c r="B123" s="874"/>
      <c r="C123" s="874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-3809.320000000007</v>
      </c>
      <c r="I123" s="165"/>
      <c r="J123" s="328">
        <f>H123/DAY(B2)</f>
        <v>-224.07764705882394</v>
      </c>
    </row>
    <row r="124" spans="1:18" ht="27.75" customHeight="1">
      <c r="A124" s="904"/>
      <c r="B124" s="905"/>
      <c r="C124" s="906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>
      <c r="A127" s="910"/>
      <c r="B127" s="910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79" t="s">
        <v>318</v>
      </c>
      <c r="B128" s="880"/>
      <c r="C128" s="881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-4342.0999999999985</v>
      </c>
      <c r="I128" s="165"/>
      <c r="J128" s="328">
        <f>H128/DAY(B2)</f>
        <v>-255.41764705882343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-2826.9699999999975</v>
      </c>
      <c r="I129" s="165"/>
      <c r="J129" s="328">
        <f>H129/DAY(B2)</f>
        <v>-166.29235294117632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-7244.5499999999993</v>
      </c>
      <c r="I130" s="165"/>
      <c r="J130" s="328">
        <f>H130/DAY(B2)</f>
        <v>-426.15</v>
      </c>
      <c r="N130" s="240"/>
      <c r="O130" s="241"/>
    </row>
    <row r="131" spans="1:15" ht="27.75" customHeight="1">
      <c r="A131" s="879" t="s">
        <v>321</v>
      </c>
      <c r="B131" s="880"/>
      <c r="C131" s="881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-941.71000000000095</v>
      </c>
      <c r="I131" s="165"/>
      <c r="J131" s="328">
        <f>H131/DAY(B2)</f>
        <v>-55.394705882352994</v>
      </c>
      <c r="N131" s="240"/>
      <c r="O131" s="241"/>
    </row>
    <row r="132" spans="1:15" ht="27.75" customHeight="1">
      <c r="A132" s="879" t="s">
        <v>322</v>
      </c>
      <c r="B132" s="880"/>
      <c r="C132" s="881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-2544.3000000000029</v>
      </c>
      <c r="I132" s="165"/>
      <c r="J132" s="328">
        <f>H132/DAY(B2)</f>
        <v>-149.6647058823531</v>
      </c>
    </row>
    <row r="133" spans="1:15" ht="27.75" customHeight="1">
      <c r="A133" s="879" t="s">
        <v>362</v>
      </c>
      <c r="B133" s="880"/>
      <c r="C133" s="881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-7261.0999999999913</v>
      </c>
      <c r="I133" s="165"/>
      <c r="J133" s="328">
        <f>H133/DAY(B2)</f>
        <v>-427.1235294117642</v>
      </c>
    </row>
    <row r="134" spans="1:15" ht="27.75" customHeight="1">
      <c r="A134" s="879" t="s">
        <v>340</v>
      </c>
      <c r="B134" s="880"/>
      <c r="C134" s="881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668751.77</v>
      </c>
      <c r="I134" s="165"/>
      <c r="J134" s="328">
        <f>H134/DAY(B2)</f>
        <v>39338.339411764704</v>
      </c>
    </row>
    <row r="135" spans="1:15" ht="27.7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629545.04</v>
      </c>
      <c r="I135" s="327">
        <f>G135-(G35+G49)</f>
        <v>-379.38999999999214</v>
      </c>
      <c r="J135" s="328"/>
    </row>
    <row r="136" spans="1:15" ht="27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74" t="s">
        <v>185</v>
      </c>
      <c r="B138" s="874"/>
      <c r="C138" s="874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-944</v>
      </c>
      <c r="I138" s="118"/>
      <c r="J138" s="328">
        <f>H138/DAY(B2)</f>
        <v>-55.529411764705884</v>
      </c>
    </row>
    <row r="139" spans="1:15" ht="27.75" customHeight="1">
      <c r="A139" s="874" t="s">
        <v>186</v>
      </c>
      <c r="B139" s="874"/>
      <c r="C139" s="874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-23</v>
      </c>
      <c r="I139" s="118"/>
      <c r="J139" s="328">
        <f>H139/DAY(B2)</f>
        <v>-1.3529411764705883</v>
      </c>
    </row>
    <row r="140" spans="1:15" ht="27.75" customHeight="1">
      <c r="A140" s="874" t="s">
        <v>187</v>
      </c>
      <c r="B140" s="874"/>
      <c r="C140" s="874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-24</v>
      </c>
      <c r="I140" s="118"/>
      <c r="J140" s="328">
        <f>H140/DAY(B2)</f>
        <v>-1.411764705882353</v>
      </c>
    </row>
    <row r="141" spans="1:15" ht="27.75" customHeight="1">
      <c r="A141" s="878" t="s">
        <v>188</v>
      </c>
      <c r="B141" s="878"/>
      <c r="C141" s="878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-2450.7799999999988</v>
      </c>
      <c r="I141" s="118"/>
      <c r="J141" s="328">
        <f>H141/DAY(B2)</f>
        <v>-144.16352941176464</v>
      </c>
    </row>
    <row r="142" spans="1:15" ht="27.75" customHeight="1">
      <c r="A142" s="878" t="s">
        <v>189</v>
      </c>
      <c r="B142" s="878"/>
      <c r="C142" s="878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-1087.0099999999984</v>
      </c>
      <c r="I142" s="140"/>
      <c r="J142" s="328">
        <f>H142/DAY(B2)</f>
        <v>-63.941764705882257</v>
      </c>
    </row>
    <row r="143" spans="1:15" ht="27.75" customHeight="1">
      <c r="A143" s="874" t="s">
        <v>91</v>
      </c>
      <c r="B143" s="874"/>
      <c r="C143" s="874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-368.87999999999965</v>
      </c>
      <c r="I143" s="140"/>
      <c r="J143" s="328">
        <f>H143/DAY(B2)</f>
        <v>-21.698823529411744</v>
      </c>
    </row>
    <row r="144" spans="1:15" ht="27.75" customHeight="1">
      <c r="A144" s="878" t="s">
        <v>90</v>
      </c>
      <c r="B144" s="878"/>
      <c r="C144" s="878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-2964</v>
      </c>
      <c r="I144" s="140"/>
      <c r="J144" s="328">
        <f>H144/DAY(B2)</f>
        <v>-174.35294117647058</v>
      </c>
    </row>
    <row r="145" spans="1:10" ht="27.75" customHeight="1">
      <c r="A145" s="874" t="s">
        <v>190</v>
      </c>
      <c r="B145" s="874"/>
      <c r="C145" s="874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-146.5</v>
      </c>
      <c r="I145" s="140"/>
      <c r="J145" s="328">
        <f>H145/DAY(B2)</f>
        <v>-8.617647058823529</v>
      </c>
    </row>
    <row r="146" spans="1:10" ht="27.75" customHeight="1">
      <c r="A146" s="875" t="s">
        <v>191</v>
      </c>
      <c r="B146" s="876"/>
      <c r="C146" s="877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-5577</v>
      </c>
      <c r="I146" s="140"/>
      <c r="J146" s="328">
        <f>H146/DAY(B2)</f>
        <v>-328.05882352941177</v>
      </c>
    </row>
    <row r="147" spans="1:10" ht="27.75" customHeight="1">
      <c r="A147" s="878" t="s">
        <v>192</v>
      </c>
      <c r="B147" s="878"/>
      <c r="C147" s="878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-5103.5200000000186</v>
      </c>
      <c r="I147" s="140"/>
      <c r="J147" s="328">
        <f>H147/DAY(B2)</f>
        <v>-300.20705882353053</v>
      </c>
    </row>
    <row r="148" spans="1:10" ht="27.75" customHeight="1">
      <c r="A148" s="870" t="s">
        <v>193</v>
      </c>
      <c r="B148" s="871"/>
      <c r="C148" s="872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-2582.9599999999627</v>
      </c>
      <c r="I148" s="124"/>
      <c r="J148" s="328">
        <f>H148/DAY(B2)</f>
        <v>-151.93882352940958</v>
      </c>
    </row>
    <row r="149" spans="1:10" ht="27.75" customHeight="1">
      <c r="A149" s="870" t="s">
        <v>336</v>
      </c>
      <c r="B149" s="871"/>
      <c r="C149" s="872"/>
      <c r="D149" s="227" t="s">
        <v>130</v>
      </c>
      <c r="E149" s="95">
        <f>'16'!F149</f>
        <v>17345</v>
      </c>
      <c r="F149" s="498">
        <v>17791.439999999999</v>
      </c>
      <c r="G149" s="112">
        <f t="shared" si="11"/>
        <v>446.43999999999869</v>
      </c>
      <c r="H149" s="99">
        <f>G149+'16'!H149</f>
        <v>-6886.760000000002</v>
      </c>
      <c r="I149" s="119"/>
      <c r="J149" s="328">
        <f>H149/DAY(B2)</f>
        <v>-405.10352941176484</v>
      </c>
    </row>
    <row r="150" spans="1:10" ht="27.75" customHeight="1">
      <c r="A150" s="870" t="s">
        <v>337</v>
      </c>
      <c r="B150" s="871"/>
      <c r="C150" s="872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-3098.4300000000003</v>
      </c>
      <c r="I150" s="119"/>
      <c r="J150" s="328">
        <f>H150/DAY(B2)</f>
        <v>-182.26058823529414</v>
      </c>
    </row>
    <row r="151" spans="1:10" ht="27.75" customHeight="1">
      <c r="A151" s="870" t="s">
        <v>338</v>
      </c>
      <c r="B151" s="871"/>
      <c r="C151" s="872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-3324</v>
      </c>
      <c r="I151" s="119"/>
      <c r="J151" s="328">
        <f>H151/DAY(B2)</f>
        <v>-195.52941176470588</v>
      </c>
    </row>
    <row r="152" spans="1:10" ht="27.75" customHeight="1">
      <c r="A152" s="870" t="s">
        <v>339</v>
      </c>
      <c r="B152" s="871"/>
      <c r="C152" s="872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-240.09999999999991</v>
      </c>
      <c r="I152" s="119"/>
      <c r="J152" s="328">
        <f>H152/DAY(B2)</f>
        <v>-14.1235294117647</v>
      </c>
    </row>
    <row r="153" spans="1:10" ht="27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>
      <c r="A155" s="878" t="s">
        <v>345</v>
      </c>
      <c r="B155" s="878"/>
      <c r="C155" s="878"/>
      <c r="D155" s="117" t="s">
        <v>130</v>
      </c>
      <c r="E155" s="95">
        <f>'16'!F155</f>
        <v>22693</v>
      </c>
      <c r="F155" s="471">
        <v>23303</v>
      </c>
      <c r="G155" s="112">
        <f t="shared" ref="G155:G156" si="12">F155-E155</f>
        <v>610</v>
      </c>
      <c r="H155" s="99">
        <f>G155+'16'!H155</f>
        <v>-9642.0000000000036</v>
      </c>
      <c r="I155" s="364"/>
      <c r="J155" s="328">
        <f>H155/DAY(B2)</f>
        <v>-567.17647058823547</v>
      </c>
    </row>
    <row r="156" spans="1:10" ht="27.75" customHeight="1">
      <c r="A156" s="878" t="s">
        <v>347</v>
      </c>
      <c r="B156" s="878"/>
      <c r="C156" s="878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-834</v>
      </c>
      <c r="I156" s="165"/>
      <c r="J156" s="328">
        <f>H156/DAY(B2)</f>
        <v>-49.058823529411768</v>
      </c>
    </row>
    <row r="157" spans="1:10" ht="27.75" customHeight="1">
      <c r="A157" s="870" t="s">
        <v>364</v>
      </c>
      <c r="B157" s="871"/>
      <c r="C157" s="872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>
      <c r="A158" s="870" t="s">
        <v>365</v>
      </c>
      <c r="B158" s="871"/>
      <c r="C158" s="872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27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-607.55999999999767</v>
      </c>
      <c r="I161" s="236"/>
      <c r="J161" s="239">
        <f>H161/DAY(B2)</f>
        <v>-35.738823529411626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-463.39999999999418</v>
      </c>
      <c r="I162" s="236"/>
      <c r="J162" s="239">
        <f>H162/DAY(B2)</f>
        <v>-27.258823529411423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-647.40000000000873</v>
      </c>
      <c r="I163" s="236"/>
      <c r="J163" s="239">
        <f>H163/DAY(B2)</f>
        <v>-38.082352941176985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-49.100000000000364</v>
      </c>
      <c r="I164" s="236"/>
      <c r="J164" s="239">
        <f>H164/DAY(B2)</f>
        <v>-2.8882352941176683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-102.79999999999927</v>
      </c>
      <c r="I165" s="236"/>
      <c r="J165" s="239">
        <f>H165/DAY(B2)</f>
        <v>-6.047058823529369</v>
      </c>
    </row>
    <row r="166" spans="1:10" ht="27.75" customHeight="1">
      <c r="A166" s="910"/>
      <c r="B166" s="910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>
      <c r="A167" s="910"/>
      <c r="B167" s="910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>
      <c r="A168" s="910"/>
      <c r="B168" s="910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68" t="s">
        <v>209</v>
      </c>
      <c r="B173" s="869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>
      <c r="A174" s="868" t="s">
        <v>75</v>
      </c>
      <c r="B174" s="869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-171</v>
      </c>
      <c r="I174" s="155"/>
      <c r="J174" s="178">
        <f>H174/DAY(B2)</f>
        <v>-10.058823529411764</v>
      </c>
    </row>
    <row r="175" spans="1:10" ht="27.75" customHeight="1">
      <c r="A175" s="868" t="s">
        <v>76</v>
      </c>
      <c r="B175" s="873"/>
      <c r="C175" s="869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>
      <c r="A176" s="907" t="s">
        <v>196</v>
      </c>
      <c r="B176" s="90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-311</v>
      </c>
      <c r="I176" s="155"/>
      <c r="J176" s="178">
        <f>H176/DAY(B2)</f>
        <v>-18.294117647058822</v>
      </c>
    </row>
    <row r="177" spans="1:11" ht="27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68" t="s">
        <v>210</v>
      </c>
      <c r="B178" s="869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-726</v>
      </c>
      <c r="I178" s="155"/>
      <c r="J178" s="178">
        <f>H178/DAY(B2)</f>
        <v>-42.705882352941174</v>
      </c>
    </row>
    <row r="179" spans="1:11" ht="27.75" customHeight="1">
      <c r="A179" s="868" t="s">
        <v>211</v>
      </c>
      <c r="B179" s="869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-525</v>
      </c>
      <c r="I179" s="155"/>
      <c r="J179" s="178">
        <f>H179/DAY(B2)</f>
        <v>-30.882352941176471</v>
      </c>
    </row>
    <row r="180" spans="1:11" ht="27.75" customHeight="1">
      <c r="A180" s="868" t="s">
        <v>212</v>
      </c>
      <c r="B180" s="869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-106</v>
      </c>
      <c r="I180" s="155"/>
      <c r="J180" s="178">
        <f>H180/DAY(B2)</f>
        <v>-6.2352941176470589</v>
      </c>
    </row>
    <row r="181" spans="1:11" ht="27.75" customHeight="1">
      <c r="A181" s="912" t="s">
        <v>108</v>
      </c>
      <c r="B181" s="913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-1357</v>
      </c>
      <c r="I181" s="155"/>
      <c r="J181" s="178">
        <f>H181/DAY(B2)</f>
        <v>-79.82352941176471</v>
      </c>
    </row>
    <row r="182" spans="1:11" ht="27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68" t="s">
        <v>214</v>
      </c>
      <c r="B183" s="869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-199</v>
      </c>
      <c r="I183" s="155"/>
      <c r="J183" s="178">
        <f>H183/DAY(B2)</f>
        <v>-11.705882352941176</v>
      </c>
    </row>
    <row r="184" spans="1:11" ht="27.75" customHeight="1">
      <c r="A184" s="868" t="s">
        <v>215</v>
      </c>
      <c r="B184" s="869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-107</v>
      </c>
      <c r="I184" s="155"/>
      <c r="J184" s="178">
        <f>H184/DAY(B2)</f>
        <v>-6.2941176470588234</v>
      </c>
    </row>
    <row r="185" spans="1:11" ht="27.75" customHeight="1">
      <c r="A185" s="868" t="s">
        <v>216</v>
      </c>
      <c r="B185" s="869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07" t="s">
        <v>196</v>
      </c>
      <c r="B186" s="90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-306</v>
      </c>
      <c r="I186" s="157"/>
      <c r="J186" s="178">
        <f>H186/DAY(B2)</f>
        <v>-18</v>
      </c>
    </row>
    <row r="187" spans="1:11" ht="27.75" customHeight="1">
      <c r="A187" s="916" t="s">
        <v>217</v>
      </c>
      <c r="B187" s="917"/>
      <c r="C187" s="333"/>
      <c r="D187" s="228" t="s">
        <v>142</v>
      </c>
      <c r="E187" s="95"/>
      <c r="F187" s="159"/>
      <c r="G187" s="460">
        <f>G62+G19</f>
        <v>119</v>
      </c>
      <c r="H187" s="99">
        <f>G187+'16'!H187</f>
        <v>-2043</v>
      </c>
      <c r="I187" s="158"/>
      <c r="J187" s="179">
        <f>H187/DAY(B2)</f>
        <v>-120.17647058823529</v>
      </c>
    </row>
    <row r="188" spans="1:11" ht="27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88</v>
      </c>
      <c r="H189" s="99">
        <f>G189+'16'!H189</f>
        <v>-1357</v>
      </c>
      <c r="I189" s="158"/>
      <c r="J189" s="179">
        <f>H189/DAY(B2)</f>
        <v>-79.82352941176471</v>
      </c>
    </row>
    <row r="190" spans="1:11" ht="27.75" customHeight="1">
      <c r="A190" s="839"/>
      <c r="B190" s="840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.75" customHeight="1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58" t="s">
        <v>119</v>
      </c>
      <c r="F3" s="859"/>
      <c r="G3" s="555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52" t="s">
        <v>128</v>
      </c>
      <c r="B6" s="853"/>
      <c r="C6" s="854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58">
        <f>F7-E7</f>
        <v>17765</v>
      </c>
      <c r="H7" s="99">
        <f>G7+'17'!H7</f>
        <v>-227007.22999999998</v>
      </c>
      <c r="I7" s="113">
        <f>'1'!I7</f>
        <v>12000</v>
      </c>
      <c r="J7" s="175">
        <f>H7/DAY(B2)</f>
        <v>-12611.512777777776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59">
        <f>F8-E8</f>
        <v>18064.830000000016</v>
      </c>
      <c r="H8" s="99">
        <f>G8+'17'!H8</f>
        <v>-232750.32</v>
      </c>
      <c r="I8" s="116"/>
      <c r="J8" s="175">
        <f>H8/DAY(B2)</f>
        <v>-12930.573333333334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98294.9</v>
      </c>
      <c r="F9" s="598">
        <v>109695.53</v>
      </c>
      <c r="G9" s="558">
        <f>F9-E9</f>
        <v>11400.630000000005</v>
      </c>
      <c r="H9" s="99">
        <f>G9+'17'!H9</f>
        <v>2184722.6800000002</v>
      </c>
      <c r="I9" s="124">
        <f>I7-J7</f>
        <v>24611.512777777774</v>
      </c>
      <c r="J9" s="175">
        <f>H9/DAY(B2)</f>
        <v>121373.48222222223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58">
        <f>F10-E10</f>
        <v>5940.4400000000023</v>
      </c>
      <c r="H10" s="99">
        <f>G10+'17'!H10</f>
        <v>547895.21</v>
      </c>
      <c r="I10" s="282"/>
      <c r="J10" s="175">
        <f>H10/DAY(B2)</f>
        <v>30438.622777777775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58">
        <f t="shared" ref="G11:G12" si="0">F11-E11</f>
        <v>170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560">
        <f>G9+G10+G11+G12</f>
        <v>17511.070000000007</v>
      </c>
      <c r="H13" s="99">
        <f>G13+'17'!H13</f>
        <v>2715863.46</v>
      </c>
      <c r="I13" s="120">
        <f>G7-G13</f>
        <v>253.92999999999302</v>
      </c>
      <c r="J13" s="175">
        <f>H13/DAY(B2)</f>
        <v>150881.30333333334</v>
      </c>
      <c r="K13" s="79"/>
      <c r="L13" s="66"/>
      <c r="N13" s="87"/>
      <c r="O13" s="71"/>
    </row>
    <row r="14" spans="1:15" ht="27.75" customHeight="1">
      <c r="A14" s="855" t="s">
        <v>137</v>
      </c>
      <c r="B14" s="856"/>
      <c r="C14" s="857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58">
        <f>(F15-E15)</f>
        <v>881.7269999999553</v>
      </c>
      <c r="H15" s="99">
        <f>G15+'17'!H15</f>
        <v>-12414.766999999993</v>
      </c>
      <c r="I15" s="113">
        <f>'1'!I15</f>
        <v>800</v>
      </c>
      <c r="J15" s="175">
        <f>H15/DAY(B2)</f>
        <v>-689.7092777777774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558"/>
      <c r="H16" s="124"/>
      <c r="I16" s="120">
        <f>I15-J15</f>
        <v>1489.7092777777775</v>
      </c>
      <c r="J16" s="176"/>
      <c r="K16" s="79"/>
      <c r="L16" s="66"/>
      <c r="N16" s="87"/>
      <c r="O16" s="71"/>
    </row>
    <row r="17" spans="1:15" ht="27.75" customHeight="1">
      <c r="A17" s="855" t="s">
        <v>140</v>
      </c>
      <c r="B17" s="856"/>
      <c r="C17" s="857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>
      <c r="A18" s="846" t="s">
        <v>141</v>
      </c>
      <c r="B18" s="847"/>
      <c r="C18" s="848"/>
      <c r="D18" s="151" t="s">
        <v>142</v>
      </c>
      <c r="E18" s="95">
        <f>'17'!F18</f>
        <v>8</v>
      </c>
      <c r="F18" s="122">
        <v>10</v>
      </c>
      <c r="G18" s="560">
        <f>F18*10</f>
        <v>100</v>
      </c>
      <c r="H18" s="99">
        <f>G18+'17'!H18</f>
        <v>2210</v>
      </c>
      <c r="I18" s="113">
        <f>'1'!I18</f>
        <v>65</v>
      </c>
      <c r="J18" s="175">
        <f>H18/DAY(B2)</f>
        <v>122.77777777777777</v>
      </c>
      <c r="K18" s="79"/>
      <c r="L18" s="66"/>
      <c r="N18" s="87"/>
      <c r="O18" s="71"/>
    </row>
    <row r="19" spans="1:15" ht="27.75" customHeight="1">
      <c r="A19" s="846" t="s">
        <v>69</v>
      </c>
      <c r="B19" s="847"/>
      <c r="C19" s="848"/>
      <c r="D19" s="151" t="s">
        <v>142</v>
      </c>
      <c r="E19" s="95">
        <f>'17'!F19</f>
        <v>153125</v>
      </c>
      <c r="F19" s="122">
        <v>153179</v>
      </c>
      <c r="G19" s="558">
        <f t="shared" ref="G19" si="1">F19-E19</f>
        <v>54</v>
      </c>
      <c r="H19" s="99">
        <f>G19+'17'!H19</f>
        <v>-712</v>
      </c>
      <c r="I19" s="335"/>
      <c r="J19" s="175">
        <f>H19/DAY(B2)</f>
        <v>-39.555555555555557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562">
        <f>G18+G19</f>
        <v>154</v>
      </c>
      <c r="H20" s="99">
        <f>G20+'17'!H20</f>
        <v>1498</v>
      </c>
      <c r="I20" s="336">
        <f>I18-J20</f>
        <v>-18.222222222222229</v>
      </c>
      <c r="J20" s="175">
        <f>H20/DAY(B2)</f>
        <v>83.222222222222229</v>
      </c>
      <c r="K20" s="79"/>
      <c r="L20" s="66"/>
      <c r="N20" s="87"/>
      <c r="O20" s="71"/>
    </row>
    <row r="21" spans="1:15" ht="27.75" customHeight="1">
      <c r="A21" s="855" t="s">
        <v>144</v>
      </c>
      <c r="B21" s="856"/>
      <c r="C21" s="857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601">
        <f>'17'!F23</f>
        <v>1500</v>
      </c>
      <c r="F23" s="486">
        <v>1390</v>
      </c>
      <c r="G23" s="68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685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>
      <c r="A25" s="860" t="s">
        <v>149</v>
      </c>
      <c r="B25" s="861"/>
      <c r="C25" s="862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5">
        <f>E27*F27</f>
        <v>162583.47000000015</v>
      </c>
      <c r="H27" s="99">
        <f>G27+'17'!H27</f>
        <v>-2094752.8800000004</v>
      </c>
      <c r="I27" s="138"/>
      <c r="J27" s="175">
        <f>H27/DAY(B2)</f>
        <v>-116375.16000000002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5">
        <f>E28*F28</f>
        <v>45849.803999997675</v>
      </c>
      <c r="H28" s="99">
        <f>G28+'17'!H28</f>
        <v>-645567.88399999961</v>
      </c>
      <c r="I28" s="140"/>
      <c r="J28" s="175">
        <f>H28/DAY(B2)</f>
        <v>-35864.882444444425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5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5">
        <f>E30*F30</f>
        <v>7884</v>
      </c>
      <c r="H30" s="99">
        <f>G30+'17'!H30</f>
        <v>-103952</v>
      </c>
      <c r="I30" s="140"/>
      <c r="J30" s="175">
        <f>H30/DAY(B2)</f>
        <v>-5775.1111111111113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5">
        <f>E31*F31</f>
        <v>8000</v>
      </c>
      <c r="H31" s="99">
        <f>G31+'17'!H31</f>
        <v>176800</v>
      </c>
      <c r="I31" s="140"/>
      <c r="J31" s="175">
        <f>H31/DAY(B2)</f>
        <v>9822.2222222222226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566">
        <f>G27+G28+G29+G30+G31</f>
        <v>231907.27399999782</v>
      </c>
      <c r="H32" s="99">
        <f>G32+'17'!H32</f>
        <v>-2659882.764</v>
      </c>
      <c r="I32" s="144"/>
      <c r="J32" s="175">
        <f>H32/DAY(B2)</f>
        <v>-147771.26466666666</v>
      </c>
      <c r="K32" s="63"/>
      <c r="L32" s="89"/>
      <c r="N32" s="87"/>
      <c r="O32" s="71"/>
    </row>
    <row r="33" spans="1:15" ht="27.75" customHeight="1">
      <c r="A33" s="863" t="s">
        <v>331</v>
      </c>
      <c r="B33" s="864"/>
      <c r="C33" s="864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58">
        <f t="shared" ref="G35:G46" si="2">F35-E35</f>
        <v>1391.7600000000002</v>
      </c>
      <c r="H35" s="99">
        <f>G35+'17'!H35</f>
        <v>150522.38000000003</v>
      </c>
      <c r="I35" s="95"/>
      <c r="J35" s="175">
        <f>H35/DAY(B2)</f>
        <v>8362.3544444444469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58">
        <f t="shared" si="2"/>
        <v>600.90000000000146</v>
      </c>
      <c r="H36" s="99">
        <f>G36+'17'!H36</f>
        <v>-9383.3799999999974</v>
      </c>
      <c r="I36" s="95"/>
      <c r="J36" s="175">
        <f>H36/DAY(B2)</f>
        <v>-521.29888888888877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58">
        <f t="shared" si="2"/>
        <v>1562.5499999999993</v>
      </c>
      <c r="H37" s="99">
        <f>G37+'17'!H37</f>
        <v>187063.88000000003</v>
      </c>
      <c r="I37" s="95"/>
      <c r="J37" s="175">
        <f>H37/DAY(B2)</f>
        <v>10392.437777777779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58">
        <f t="shared" si="2"/>
        <v>1696.2999999999993</v>
      </c>
      <c r="H38" s="99">
        <f>G38+'17'!H38</f>
        <v>223170.03</v>
      </c>
      <c r="I38" s="95"/>
      <c r="J38" s="175">
        <f>H38/DAY(B2)</f>
        <v>12398.334999999999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58">
        <f t="shared" si="2"/>
        <v>2546.4900000000016</v>
      </c>
      <c r="H39" s="99">
        <f>G39+'17'!H39</f>
        <v>398942.2</v>
      </c>
      <c r="I39" s="95"/>
      <c r="J39" s="175">
        <f>H39/DAY(B2)</f>
        <v>22163.455555555556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488">
        <f>'17'!F40</f>
        <v>13361</v>
      </c>
      <c r="F40" s="549">
        <v>13643.14</v>
      </c>
      <c r="G40" s="683">
        <f t="shared" si="2"/>
        <v>282.13999999999942</v>
      </c>
      <c r="H40" s="99">
        <f>G40+'17'!H40</f>
        <v>14270.879999999997</v>
      </c>
      <c r="I40" s="95"/>
      <c r="J40" s="175">
        <f>H40/DAY(B2)</f>
        <v>792.82666666666648</v>
      </c>
      <c r="K40" s="80"/>
      <c r="L40" s="66"/>
      <c r="N40" s="87">
        <v>7285</v>
      </c>
      <c r="O40" s="71" t="s">
        <v>368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58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58">
        <f t="shared" si="2"/>
        <v>0</v>
      </c>
      <c r="H42" s="99">
        <f>G42+'17'!H42</f>
        <v>-26321.14</v>
      </c>
      <c r="I42" s="95"/>
      <c r="J42" s="175">
        <f>H42/DAY(B2)</f>
        <v>-1462.2855555555554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58">
        <f t="shared" si="2"/>
        <v>2338</v>
      </c>
      <c r="H43" s="99">
        <f>G43+'17'!H43</f>
        <v>-27470.450000000012</v>
      </c>
      <c r="I43" s="95"/>
      <c r="J43" s="175">
        <f>H43/DAY(B2)</f>
        <v>-1526.1361111111119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10418.140000000001</v>
      </c>
      <c r="H47" s="99">
        <f>G47+'17'!H47</f>
        <v>910794.40000000014</v>
      </c>
      <c r="I47" s="95"/>
      <c r="J47" s="175">
        <f>H47/DAY(B2)</f>
        <v>50599.688888888893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58">
        <f t="shared" ref="G49:G58" si="3">F49-E49</f>
        <v>1242.7199999999993</v>
      </c>
      <c r="H49" s="99">
        <f>G49+'17'!H49</f>
        <v>272952.13999999996</v>
      </c>
      <c r="I49" s="95"/>
      <c r="J49" s="175">
        <f>H49/DAY(B2)</f>
        <v>15164.007777777775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58">
        <f t="shared" si="3"/>
        <v>921.40000000000146</v>
      </c>
      <c r="H50" s="99">
        <f>G50+'17'!H50</f>
        <v>-14340.699999999997</v>
      </c>
      <c r="I50" s="95"/>
      <c r="J50" s="175">
        <f>H50/DAY(B2)</f>
        <v>-796.70555555555541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58">
        <f t="shared" si="3"/>
        <v>357.72000000000025</v>
      </c>
      <c r="H54" s="99">
        <f>G54+'17'!H54</f>
        <v>4950.08</v>
      </c>
      <c r="I54" s="95"/>
      <c r="J54" s="175">
        <f>H54/DAY(B2)</f>
        <v>275.00444444444446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58">
        <f t="shared" si="3"/>
        <v>3090.5200000000041</v>
      </c>
      <c r="H55" s="99">
        <f>G55+'17'!H55</f>
        <v>-16526.419999999998</v>
      </c>
      <c r="I55" s="95"/>
      <c r="J55" s="175">
        <f>H55/DAY(B2)</f>
        <v>-918.1344444444444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58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58">
        <f t="shared" si="3"/>
        <v>131.88000000000011</v>
      </c>
      <c r="H58" s="99">
        <f>G58+'17'!H58</f>
        <v>89977.900000000023</v>
      </c>
      <c r="I58" s="95"/>
      <c r="J58" s="175">
        <f>H58/DAY(B2)</f>
        <v>4998.7722222222237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5744.2400000000052</v>
      </c>
      <c r="H59" s="99">
        <f>G59+'17'!H59</f>
        <v>337013</v>
      </c>
      <c r="I59" s="95">
        <f>G7-G60</f>
        <v>1602.6199999999935</v>
      </c>
      <c r="J59" s="175">
        <f>H59/DAY(B2)</f>
        <v>18722.944444444445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560">
        <f>G47+G59</f>
        <v>16162.380000000006</v>
      </c>
      <c r="H60" s="99">
        <f>G60+'17'!H60</f>
        <v>1247807.3999999999</v>
      </c>
      <c r="I60" s="95">
        <f>G13-G60</f>
        <v>1348.6900000000005</v>
      </c>
      <c r="J60" s="175">
        <f>H60/DAY(B2)</f>
        <v>69322.633333333331</v>
      </c>
      <c r="K60" s="79"/>
      <c r="L60" s="66"/>
      <c r="N60" s="87"/>
      <c r="O60" s="71"/>
    </row>
    <row r="61" spans="1:15" s="68" customFormat="1" ht="27.75" customHeight="1">
      <c r="A61" s="865" t="s">
        <v>332</v>
      </c>
      <c r="B61" s="866"/>
      <c r="C61" s="867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>
      <c r="A62" s="846" t="s">
        <v>198</v>
      </c>
      <c r="B62" s="847"/>
      <c r="C62" s="848"/>
      <c r="D62" s="151" t="s">
        <v>142</v>
      </c>
      <c r="E62" s="95">
        <f>'17'!F62</f>
        <v>268239</v>
      </c>
      <c r="F62" s="122">
        <v>268308</v>
      </c>
      <c r="G62" s="558">
        <f t="shared" ref="G62:G63" si="4">F62-E62</f>
        <v>69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>
      <c r="A63" s="846" t="s">
        <v>199</v>
      </c>
      <c r="B63" s="847"/>
      <c r="C63" s="848"/>
      <c r="D63" s="151" t="s">
        <v>142</v>
      </c>
      <c r="E63" s="95">
        <f>'17'!F63</f>
        <v>214118</v>
      </c>
      <c r="F63" s="122">
        <v>214242</v>
      </c>
      <c r="G63" s="558">
        <f t="shared" si="4"/>
        <v>124</v>
      </c>
      <c r="H63" s="99">
        <f>G63+'17'!H63</f>
        <v>-1555</v>
      </c>
      <c r="I63" s="118"/>
      <c r="J63" s="175">
        <f>H63/DAY(B2)</f>
        <v>-86.388888888888886</v>
      </c>
      <c r="K63" s="69"/>
      <c r="L63" s="66"/>
      <c r="N63" s="87"/>
      <c r="O63" s="71"/>
    </row>
    <row r="64" spans="1:15" ht="27.75" customHeight="1">
      <c r="A64" s="843" t="s">
        <v>200</v>
      </c>
      <c r="B64" s="844"/>
      <c r="C64" s="845"/>
      <c r="D64" s="151"/>
      <c r="E64" s="95">
        <f>'17'!F64</f>
        <v>0</v>
      </c>
      <c r="F64" s="122"/>
      <c r="G64" s="558">
        <f>G62+G63</f>
        <v>193</v>
      </c>
      <c r="H64" s="99">
        <f>G64+'17'!H64</f>
        <v>-2763</v>
      </c>
      <c r="I64" s="118"/>
      <c r="J64" s="175">
        <f>H64/DAY(B2)</f>
        <v>-153.5</v>
      </c>
      <c r="K64" s="69"/>
      <c r="L64" s="66"/>
      <c r="N64" s="87"/>
      <c r="O64" s="71"/>
    </row>
    <row r="65" spans="1:15" ht="27.75" customHeight="1">
      <c r="A65" s="846" t="s">
        <v>201</v>
      </c>
      <c r="B65" s="847"/>
      <c r="C65" s="848"/>
      <c r="D65" s="151" t="s">
        <v>142</v>
      </c>
      <c r="E65" s="95">
        <f>'17'!F65</f>
        <v>433792</v>
      </c>
      <c r="F65" s="122">
        <v>433856</v>
      </c>
      <c r="G65" s="558">
        <f t="shared" ref="G65:G70" si="5">F65-E65</f>
        <v>64</v>
      </c>
      <c r="H65" s="99">
        <f>G65+'17'!H65</f>
        <v>-1067</v>
      </c>
      <c r="I65" s="118"/>
      <c r="J65" s="175">
        <f>H65/DAY(B2)</f>
        <v>-59.277777777777779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58">
        <f t="shared" si="5"/>
        <v>11</v>
      </c>
      <c r="H66" s="99">
        <f>G66+'17'!H66</f>
        <v>-224</v>
      </c>
      <c r="I66" s="118"/>
      <c r="J66" s="175">
        <f>H66/DAY(B2)</f>
        <v>-12.444444444444445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58">
        <f t="shared" si="5"/>
        <v>22</v>
      </c>
      <c r="H67" s="99">
        <f>G67+'17'!H67</f>
        <v>-304</v>
      </c>
      <c r="I67" s="118"/>
      <c r="J67" s="175">
        <f>H67/DAY(B2)</f>
        <v>-16.888888888888889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58">
        <f t="shared" si="5"/>
        <v>55</v>
      </c>
      <c r="H68" s="99">
        <f>G68+'17'!H68</f>
        <v>-584</v>
      </c>
      <c r="I68" s="118"/>
      <c r="J68" s="175">
        <f>H68/DAY(B2)</f>
        <v>-32.444444444444443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58">
        <f t="shared" si="5"/>
        <v>12</v>
      </c>
      <c r="H69" s="99">
        <f>G69+'17'!H69</f>
        <v>-152</v>
      </c>
      <c r="I69" s="118"/>
      <c r="J69" s="175">
        <f>H69/DAY(B2)</f>
        <v>-8.4444444444444446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58">
        <f t="shared" si="5"/>
        <v>4</v>
      </c>
      <c r="H70" s="99">
        <f>G70+'17'!H70</f>
        <v>-125</v>
      </c>
      <c r="I70" s="118"/>
      <c r="J70" s="175">
        <f>H70/DAY(B2)</f>
        <v>-6.9444444444444446</v>
      </c>
      <c r="K70" s="69"/>
      <c r="L70" s="66"/>
      <c r="N70" s="87"/>
      <c r="O70" s="71"/>
    </row>
    <row r="71" spans="1:15" ht="27.75" customHeight="1">
      <c r="A71" s="843" t="s">
        <v>208</v>
      </c>
      <c r="B71" s="844"/>
      <c r="C71" s="845"/>
      <c r="D71" s="152"/>
      <c r="E71" s="152"/>
      <c r="F71" s="152"/>
      <c r="G71" s="570">
        <f>SUM(G65:G70)</f>
        <v>168</v>
      </c>
      <c r="H71" s="99">
        <f>G71+'17'!H71</f>
        <v>-2456</v>
      </c>
      <c r="I71" s="154"/>
      <c r="J71" s="175">
        <f>H71/DAY(B2)</f>
        <v>-136.44444444444446</v>
      </c>
      <c r="K71" s="69"/>
      <c r="L71" s="66"/>
      <c r="N71" s="87"/>
      <c r="O71" s="71"/>
    </row>
    <row r="72" spans="1:15" s="88" customFormat="1" ht="27.75" customHeight="1">
      <c r="A72" s="889"/>
      <c r="B72" s="881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>
      <c r="A73" s="894" t="s">
        <v>333</v>
      </c>
      <c r="B73" s="895"/>
      <c r="C73" s="896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>
      <c r="A74" s="846" t="s">
        <v>220</v>
      </c>
      <c r="B74" s="847"/>
      <c r="C74" s="848"/>
      <c r="D74" s="151" t="s">
        <v>139</v>
      </c>
      <c r="E74" s="95">
        <f>'17'!F74</f>
        <v>897080.9</v>
      </c>
      <c r="F74" s="123">
        <v>897366.15</v>
      </c>
      <c r="G74" s="558">
        <f>F74-E74</f>
        <v>285.25</v>
      </c>
      <c r="H74" s="99">
        <f>G74+'17'!H74</f>
        <v>-3939.9989999999525</v>
      </c>
      <c r="I74" s="154"/>
      <c r="J74" s="175">
        <f>H74/DAY(B2)</f>
        <v>-218.88883333333069</v>
      </c>
      <c r="K74" s="69"/>
      <c r="L74" s="66"/>
      <c r="N74" s="87"/>
      <c r="O74" s="71"/>
    </row>
    <row r="75" spans="1:15" ht="27.75" customHeight="1">
      <c r="A75" s="846" t="s">
        <v>221</v>
      </c>
      <c r="B75" s="847"/>
      <c r="C75" s="848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90" t="s">
        <v>222</v>
      </c>
      <c r="B76" s="876"/>
      <c r="C76" s="877"/>
      <c r="D76" s="151" t="s">
        <v>139</v>
      </c>
      <c r="E76" s="95">
        <f>'17'!F76</f>
        <v>168630.5</v>
      </c>
      <c r="F76" s="123">
        <v>168711</v>
      </c>
      <c r="G76" s="558">
        <f>F76-E76</f>
        <v>80.5</v>
      </c>
      <c r="H76" s="99">
        <f>G76+'17'!H76</f>
        <v>-1264</v>
      </c>
      <c r="I76" s="154"/>
      <c r="J76" s="175">
        <f>H76/DAY(B2)</f>
        <v>-70.222222222222229</v>
      </c>
      <c r="K76" s="69"/>
      <c r="L76" s="66"/>
      <c r="N76" s="87"/>
      <c r="O76" s="71"/>
    </row>
    <row r="77" spans="1:15" ht="27.75" customHeight="1">
      <c r="A77" s="890" t="s">
        <v>223</v>
      </c>
      <c r="B77" s="876"/>
      <c r="C77" s="877"/>
      <c r="D77" s="151" t="s">
        <v>139</v>
      </c>
      <c r="E77" s="95">
        <f>'17'!F77</f>
        <v>40821.300000000003</v>
      </c>
      <c r="F77" s="123">
        <v>40844</v>
      </c>
      <c r="G77" s="558">
        <f t="shared" si="6"/>
        <v>22.69999999999709</v>
      </c>
      <c r="H77" s="99">
        <f>G77+'17'!H77</f>
        <v>-458.19999999999709</v>
      </c>
      <c r="I77" s="154"/>
      <c r="J77" s="175">
        <f>H77/DAY(B2)</f>
        <v>-25.455555555555392</v>
      </c>
      <c r="K77" s="69"/>
      <c r="L77" s="66"/>
      <c r="N77" s="87"/>
      <c r="O77" s="71"/>
    </row>
    <row r="78" spans="1:15" ht="27.75" customHeight="1">
      <c r="A78" s="890" t="s">
        <v>224</v>
      </c>
      <c r="B78" s="876"/>
      <c r="C78" s="877"/>
      <c r="D78" s="151" t="s">
        <v>139</v>
      </c>
      <c r="E78" s="95">
        <f>'17'!F78</f>
        <v>9499</v>
      </c>
      <c r="F78" s="123">
        <v>9500</v>
      </c>
      <c r="G78" s="558">
        <f t="shared" si="6"/>
        <v>1</v>
      </c>
      <c r="H78" s="99">
        <f>G78+'17'!H78</f>
        <v>-16</v>
      </c>
      <c r="I78" s="118"/>
      <c r="J78" s="175">
        <f>H78/DAY(B2)</f>
        <v>-0.88888888888888884</v>
      </c>
      <c r="K78" s="69"/>
      <c r="L78" s="66"/>
      <c r="N78" s="87"/>
      <c r="O78" s="71"/>
    </row>
    <row r="79" spans="1:15" s="57" customFormat="1" ht="27.75" customHeight="1">
      <c r="A79" s="890" t="s">
        <v>225</v>
      </c>
      <c r="B79" s="876"/>
      <c r="C79" s="877"/>
      <c r="D79" s="151"/>
      <c r="E79" s="95">
        <f>'17'!F79</f>
        <v>0</v>
      </c>
      <c r="F79" s="123">
        <v>0</v>
      </c>
      <c r="G79" s="558">
        <f>G15-SUM(G74:G78)</f>
        <v>492.27699999995821</v>
      </c>
      <c r="H79" s="99">
        <f>G79+'17'!H79</f>
        <v>-6736.568000000043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43" t="s">
        <v>329</v>
      </c>
      <c r="B80" s="844"/>
      <c r="C80" s="845"/>
      <c r="D80" s="151"/>
      <c r="E80" s="117"/>
      <c r="F80" s="117"/>
      <c r="G80" s="558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>
      <c r="A81" s="882" t="s">
        <v>226</v>
      </c>
      <c r="B81" s="883"/>
      <c r="C81" s="884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58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58">
        <f t="shared" si="7"/>
        <v>0</v>
      </c>
      <c r="H85" s="99">
        <f>G85+'17'!H85</f>
        <v>-165.44999999999982</v>
      </c>
      <c r="I85" s="118">
        <f>G82+G83+G84+G85</f>
        <v>0</v>
      </c>
      <c r="J85" s="175">
        <f>H85/DAY(B2)</f>
        <v>-9.1916666666666558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58">
        <f t="shared" si="7"/>
        <v>24.019999999996799</v>
      </c>
      <c r="H86" s="99">
        <f>G86+'17'!H86</f>
        <v>-145.94000000000233</v>
      </c>
      <c r="I86" s="118"/>
      <c r="J86" s="175">
        <f>H86/DAY(B2)</f>
        <v>-8.1077777777779065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58">
        <f t="shared" si="7"/>
        <v>1.8699999999989814</v>
      </c>
      <c r="H88" s="99">
        <f>G88+'17'!H88</f>
        <v>-2.2700000000004366</v>
      </c>
      <c r="I88" s="118">
        <f>G86+G87+G88</f>
        <v>25.88999999999578</v>
      </c>
      <c r="J88" s="175">
        <f>H88/DAY(B2)</f>
        <v>-0.12611111111113538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58">
        <f t="shared" si="7"/>
        <v>7.4199999999982538</v>
      </c>
      <c r="H89" s="99">
        <f>G89+'17'!H89</f>
        <v>-119.06999999999971</v>
      </c>
      <c r="I89" s="118"/>
      <c r="J89" s="175">
        <f>H89/DAY(B2)</f>
        <v>-6.6149999999999842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58">
        <f t="shared" si="7"/>
        <v>0.71000000000640284</v>
      </c>
      <c r="H90" s="99">
        <f>G90+'17'!H90</f>
        <v>-31.610000000000582</v>
      </c>
      <c r="I90" s="118">
        <f>G89+G90</f>
        <v>8.1300000000046566</v>
      </c>
      <c r="J90" s="175">
        <f>H90/DAY(B2)</f>
        <v>-1.7561111111111434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58">
        <f t="shared" si="7"/>
        <v>0</v>
      </c>
      <c r="H91" s="99">
        <f>G91+'17'!H91</f>
        <v>-24.769999999999982</v>
      </c>
      <c r="I91" s="165"/>
      <c r="J91" s="175">
        <f>H91/DAY(B2)</f>
        <v>-1.3761111111111102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58">
        <f t="shared" si="7"/>
        <v>10.069999999999709</v>
      </c>
      <c r="H92" s="99">
        <f>G92+'17'!H92</f>
        <v>-115.73999999999978</v>
      </c>
      <c r="I92" s="165"/>
      <c r="J92" s="175">
        <f>H92/DAY(B2)</f>
        <v>-6.4299999999999882</v>
      </c>
      <c r="O92" s="71"/>
    </row>
    <row r="93" spans="1:15" ht="27.75" customHeight="1">
      <c r="A93" s="891" t="s">
        <v>239</v>
      </c>
      <c r="B93" s="892"/>
      <c r="C93" s="893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>
      <c r="A94" s="846" t="s">
        <v>240</v>
      </c>
      <c r="B94" s="847"/>
      <c r="C94" s="848"/>
      <c r="D94" s="151" t="s">
        <v>130</v>
      </c>
      <c r="E94" s="151"/>
      <c r="F94" s="151"/>
      <c r="G94" s="573">
        <f>G35+G43+G49+G57</f>
        <v>4972.4799999999996</v>
      </c>
      <c r="H94" s="99">
        <f>G94+'17'!H94</f>
        <v>396004.06999999995</v>
      </c>
      <c r="I94" s="118"/>
      <c r="J94" s="175">
        <f>H94/DAY(B2)</f>
        <v>22000.226111111107</v>
      </c>
      <c r="K94" s="69"/>
      <c r="L94" s="66"/>
      <c r="O94" s="71"/>
    </row>
    <row r="95" spans="1:15" ht="27.75" customHeight="1">
      <c r="A95" s="846" t="s">
        <v>241</v>
      </c>
      <c r="B95" s="847"/>
      <c r="C95" s="848"/>
      <c r="D95" s="151" t="s">
        <v>23</v>
      </c>
      <c r="E95" s="146"/>
      <c r="F95" s="146"/>
      <c r="G95" s="574">
        <f>G94/G7</f>
        <v>0.27990318041092033</v>
      </c>
      <c r="H95" s="99">
        <f>G95+'17'!H95</f>
        <v>4.1578662912569975</v>
      </c>
      <c r="I95" s="167"/>
      <c r="J95" s="175">
        <f>H95/DAY(B2)</f>
        <v>0.23099257173649987</v>
      </c>
      <c r="K95" s="69"/>
      <c r="L95" s="66"/>
      <c r="O95" s="71"/>
    </row>
    <row r="96" spans="1:15" ht="27.75" customHeight="1">
      <c r="A96" s="846" t="s">
        <v>242</v>
      </c>
      <c r="B96" s="847"/>
      <c r="C96" s="848"/>
      <c r="D96" s="151" t="s">
        <v>130</v>
      </c>
      <c r="E96" s="95"/>
      <c r="F96" s="95"/>
      <c r="G96" s="573">
        <f>G41+G42+G55+G56</f>
        <v>3090.5200000000041</v>
      </c>
      <c r="H96" s="99">
        <f>G96+'17'!H96</f>
        <v>-42847.560000000005</v>
      </c>
      <c r="I96" s="118"/>
      <c r="J96" s="175">
        <f>H96/DAY(B2)</f>
        <v>-2380.42</v>
      </c>
      <c r="K96" s="69"/>
      <c r="L96" s="66"/>
      <c r="O96" s="71"/>
    </row>
    <row r="97" spans="1:15" ht="27.75" customHeight="1">
      <c r="A97" s="846" t="s">
        <v>243</v>
      </c>
      <c r="B97" s="847"/>
      <c r="C97" s="848"/>
      <c r="D97" s="151" t="s">
        <v>23</v>
      </c>
      <c r="E97" s="95"/>
      <c r="F97" s="95"/>
      <c r="G97" s="574">
        <f>G96/G7</f>
        <v>0.17396678862932755</v>
      </c>
      <c r="H97" s="99">
        <f>G97+'17'!H97</f>
        <v>3.1365912803591489</v>
      </c>
      <c r="I97" s="167"/>
      <c r="J97" s="175">
        <f>H97/DAY(B2)</f>
        <v>0.17425507113106384</v>
      </c>
      <c r="K97" s="69"/>
      <c r="L97" s="66"/>
      <c r="O97" s="71"/>
    </row>
    <row r="98" spans="1:15" ht="27.75" customHeight="1">
      <c r="A98" s="846" t="s">
        <v>244</v>
      </c>
      <c r="B98" s="847"/>
      <c r="C98" s="848"/>
      <c r="D98" s="151" t="s">
        <v>130</v>
      </c>
      <c r="E98" s="95"/>
      <c r="F98" s="95"/>
      <c r="G98" s="573">
        <f>G39+G53</f>
        <v>2546.4900000000016</v>
      </c>
      <c r="H98" s="99">
        <f>G98+'17'!H98</f>
        <v>398942.2</v>
      </c>
      <c r="I98" s="168"/>
      <c r="J98" s="175">
        <f>H98/DAY(B2)</f>
        <v>22163.455555555556</v>
      </c>
      <c r="K98" s="69"/>
      <c r="L98" s="66"/>
      <c r="O98" s="71"/>
    </row>
    <row r="99" spans="1:15" ht="27.75" customHeight="1">
      <c r="A99" s="846" t="s">
        <v>245</v>
      </c>
      <c r="B99" s="847"/>
      <c r="C99" s="848"/>
      <c r="D99" s="151" t="s">
        <v>23</v>
      </c>
      <c r="E99" s="95"/>
      <c r="F99" s="95"/>
      <c r="G99" s="574">
        <f>G98/G7</f>
        <v>0.14334309034618642</v>
      </c>
      <c r="H99" s="99">
        <f>G99+'17'!H99</f>
        <v>1.7869368889377579</v>
      </c>
      <c r="I99" s="168"/>
      <c r="J99" s="175">
        <f>H99/DAY(B2)</f>
        <v>9.9274271607653217E-2</v>
      </c>
      <c r="O99" s="71"/>
    </row>
    <row r="100" spans="1:15" ht="27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573">
        <f>G38+G52</f>
        <v>1696.2999999999993</v>
      </c>
      <c r="H100" s="99">
        <f>G100+'17'!H100</f>
        <v>223170.03</v>
      </c>
      <c r="I100" s="118"/>
      <c r="J100" s="175">
        <f>H100/DAY(B2)</f>
        <v>12398.334999999999</v>
      </c>
      <c r="K100" s="70"/>
      <c r="O100" s="71"/>
    </row>
    <row r="101" spans="1:15" ht="27.75" customHeight="1">
      <c r="A101" s="846" t="s">
        <v>247</v>
      </c>
      <c r="B101" s="847"/>
      <c r="C101" s="848"/>
      <c r="D101" s="151" t="s">
        <v>23</v>
      </c>
      <c r="E101" s="95"/>
      <c r="F101" s="95"/>
      <c r="G101" s="574">
        <f>G100/G7</f>
        <v>9.5485505206867397E-2</v>
      </c>
      <c r="H101" s="99">
        <f>G101+'17'!H101</f>
        <v>1.1764505957597036</v>
      </c>
      <c r="I101" s="168"/>
      <c r="J101" s="175">
        <f>H101/DAY(B2)</f>
        <v>6.5358366431094647E-2</v>
      </c>
      <c r="O101" s="71"/>
    </row>
    <row r="102" spans="1:15" ht="27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573">
        <f>G36+G50</f>
        <v>1522.3000000000029</v>
      </c>
      <c r="H102" s="99">
        <f>G102+'17'!H102</f>
        <v>-23724.079999999994</v>
      </c>
      <c r="I102" s="168"/>
      <c r="J102" s="175">
        <f>H102/DAY(B2)</f>
        <v>-1318.0044444444441</v>
      </c>
      <c r="O102" s="71"/>
    </row>
    <row r="103" spans="1:15" ht="27.75" customHeight="1">
      <c r="A103" s="846" t="s">
        <v>249</v>
      </c>
      <c r="B103" s="847"/>
      <c r="C103" s="848"/>
      <c r="D103" s="151" t="s">
        <v>23</v>
      </c>
      <c r="E103" s="95"/>
      <c r="F103" s="95"/>
      <c r="G103" s="574">
        <f>G102/G7</f>
        <v>8.5690965381368028E-2</v>
      </c>
      <c r="H103" s="99">
        <f>G103+'17'!H103</f>
        <v>1.627307106280578</v>
      </c>
      <c r="I103" s="118"/>
      <c r="J103" s="175">
        <f>H103/DAY(B2)</f>
        <v>9.0405950348921002E-2</v>
      </c>
      <c r="O103" s="71"/>
    </row>
    <row r="104" spans="1:15" ht="27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573">
        <f>G37+G51</f>
        <v>1562.5499999999993</v>
      </c>
      <c r="H104" s="99">
        <f>G104+'17'!H104</f>
        <v>187063.88000000003</v>
      </c>
      <c r="I104" s="118"/>
      <c r="J104" s="175">
        <f>H104/DAY(B2)</f>
        <v>10392.437777777779</v>
      </c>
      <c r="O104" s="71"/>
    </row>
    <row r="105" spans="1:15" ht="27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575">
        <f>G104/G7</f>
        <v>8.7956656346749179E-2</v>
      </c>
      <c r="H105" s="99">
        <f>G105+'17'!H105</f>
        <v>1.1235990318070443</v>
      </c>
      <c r="I105" s="187"/>
      <c r="J105" s="188">
        <f>H105/DAY(B2)</f>
        <v>6.2422168433724688E-2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7.75" customHeight="1">
      <c r="A109" s="885"/>
      <c r="B109" s="885"/>
    </row>
    <row r="110" spans="1:15" ht="27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 customHeight="1">
      <c r="A111" s="904"/>
      <c r="B111" s="905"/>
      <c r="C111" s="906"/>
      <c r="D111" s="165"/>
      <c r="E111" s="165"/>
      <c r="F111" s="165"/>
      <c r="G111" s="578"/>
      <c r="H111" s="156"/>
      <c r="I111" s="165"/>
      <c r="J111" s="327"/>
    </row>
    <row r="112" spans="1:15" ht="27.75" customHeight="1">
      <c r="A112" s="879" t="s">
        <v>252</v>
      </c>
      <c r="B112" s="880"/>
      <c r="C112" s="881"/>
      <c r="D112" s="146" t="s">
        <v>183</v>
      </c>
      <c r="E112" s="95">
        <f>'17'!F112</f>
        <v>56964</v>
      </c>
      <c r="F112" s="237">
        <v>57044.5</v>
      </c>
      <c r="G112" s="558">
        <f t="shared" ref="G112:G123" si="8">F112-E112</f>
        <v>80.5</v>
      </c>
      <c r="H112" s="99">
        <f>G112+'17'!H112</f>
        <v>-1009.5</v>
      </c>
      <c r="I112" s="165"/>
      <c r="J112" s="328">
        <f>H112/DAY(B2)</f>
        <v>-56.083333333333336</v>
      </c>
    </row>
    <row r="113" spans="1:18" ht="27.75" customHeight="1">
      <c r="A113" s="879" t="s">
        <v>253</v>
      </c>
      <c r="B113" s="880"/>
      <c r="C113" s="881"/>
      <c r="D113" s="146" t="s">
        <v>183</v>
      </c>
      <c r="E113" s="95">
        <f>'17'!F113</f>
        <v>39860.839999999997</v>
      </c>
      <c r="F113" s="237">
        <v>40324.26</v>
      </c>
      <c r="G113" s="558">
        <f t="shared" si="8"/>
        <v>463.42000000000553</v>
      </c>
      <c r="H113" s="99">
        <f>G113+'17'!H113</f>
        <v>-6076.6299999999974</v>
      </c>
      <c r="I113" s="165"/>
      <c r="J113" s="328">
        <f>H113/DAY(B2)</f>
        <v>-337.5905555555554</v>
      </c>
    </row>
    <row r="114" spans="1:18" ht="27.75" customHeight="1">
      <c r="A114" s="879" t="s">
        <v>254</v>
      </c>
      <c r="B114" s="880"/>
      <c r="C114" s="881"/>
      <c r="D114" s="146" t="s">
        <v>183</v>
      </c>
      <c r="E114" s="95">
        <f>'17'!F114</f>
        <v>29371</v>
      </c>
      <c r="F114" s="237">
        <v>29635.1</v>
      </c>
      <c r="G114" s="558">
        <f t="shared" si="8"/>
        <v>264.09999999999854</v>
      </c>
      <c r="H114" s="99">
        <f>G114+'17'!H114</f>
        <v>-3658.5000000000018</v>
      </c>
      <c r="I114" s="165"/>
      <c r="J114" s="328">
        <f>H114/DAY(B2)</f>
        <v>-203.25000000000011</v>
      </c>
    </row>
    <row r="115" spans="1:18" ht="27.75" customHeight="1">
      <c r="A115" s="879" t="s">
        <v>255</v>
      </c>
      <c r="B115" s="880"/>
      <c r="C115" s="881"/>
      <c r="D115" s="146" t="s">
        <v>183</v>
      </c>
      <c r="E115" s="95">
        <f>'17'!F115</f>
        <v>8958.2000000000007</v>
      </c>
      <c r="F115" s="237">
        <v>8969.3700000000008</v>
      </c>
      <c r="G115" s="558">
        <f t="shared" si="8"/>
        <v>11.170000000000073</v>
      </c>
      <c r="H115" s="99">
        <f>G115+'17'!H115</f>
        <v>-125.27999999999884</v>
      </c>
      <c r="I115" s="165"/>
      <c r="J115" s="328">
        <f>H115/DAY(B2)</f>
        <v>-6.9599999999999351</v>
      </c>
    </row>
    <row r="116" spans="1:18" ht="27.75" customHeight="1">
      <c r="A116" s="897" t="s">
        <v>96</v>
      </c>
      <c r="B116" s="898"/>
      <c r="C116" s="899"/>
      <c r="D116" s="146" t="s">
        <v>183</v>
      </c>
      <c r="E116" s="95">
        <f>'17'!F116</f>
        <v>0</v>
      </c>
      <c r="F116" s="237">
        <v>0</v>
      </c>
      <c r="G116" s="558">
        <f t="shared" si="8"/>
        <v>0</v>
      </c>
      <c r="H116" s="99">
        <f>G116+'17'!H116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 customHeight="1">
      <c r="A117" s="897" t="s">
        <v>184</v>
      </c>
      <c r="B117" s="898"/>
      <c r="C117" s="899"/>
      <c r="D117" s="146" t="s">
        <v>183</v>
      </c>
      <c r="E117" s="95">
        <f>'17'!F117</f>
        <v>2999.97</v>
      </c>
      <c r="F117" s="237">
        <v>3023.11</v>
      </c>
      <c r="G117" s="558">
        <f t="shared" si="8"/>
        <v>23.140000000000327</v>
      </c>
      <c r="H117" s="99">
        <f>G117+'17'!H117</f>
        <v>-314.83999999999969</v>
      </c>
      <c r="I117" s="165"/>
      <c r="J117" s="328">
        <f>H117/DAY(B2)</f>
        <v>-17.491111111111096</v>
      </c>
      <c r="Q117" s="879" t="s">
        <v>312</v>
      </c>
      <c r="R117" s="881"/>
    </row>
    <row r="118" spans="1:18" ht="27.75" customHeight="1">
      <c r="A118" s="874" t="s">
        <v>97</v>
      </c>
      <c r="B118" s="874"/>
      <c r="C118" s="874"/>
      <c r="D118" s="151" t="s">
        <v>183</v>
      </c>
      <c r="E118" s="95">
        <f>'17'!F118</f>
        <v>247684</v>
      </c>
      <c r="F118" s="237">
        <v>248035.49</v>
      </c>
      <c r="G118" s="558">
        <f t="shared" si="8"/>
        <v>351.48999999999069</v>
      </c>
      <c r="H118" s="99">
        <f>G118+'17'!H118</f>
        <v>-4416.820000000007</v>
      </c>
      <c r="I118" s="165"/>
      <c r="J118" s="328">
        <f>H118/DAY(B2)</f>
        <v>-245.37888888888926</v>
      </c>
      <c r="Q118" s="879" t="s">
        <v>311</v>
      </c>
      <c r="R118" s="881"/>
    </row>
    <row r="119" spans="1:18" ht="27.75" customHeight="1">
      <c r="A119" s="874" t="s">
        <v>98</v>
      </c>
      <c r="B119" s="874"/>
      <c r="C119" s="874"/>
      <c r="D119" s="151" t="s">
        <v>183</v>
      </c>
      <c r="E119" s="95">
        <f>'17'!F119</f>
        <v>252241</v>
      </c>
      <c r="F119" s="237">
        <v>252682.05</v>
      </c>
      <c r="G119" s="558">
        <f t="shared" si="8"/>
        <v>441.04999999998836</v>
      </c>
      <c r="H119" s="99">
        <f>G119+'17'!H119</f>
        <v>-5466.5</v>
      </c>
      <c r="I119" s="165"/>
      <c r="J119" s="328">
        <f>H119/DAY(B2)</f>
        <v>-303.69444444444446</v>
      </c>
    </row>
    <row r="120" spans="1:18" ht="27.75" customHeight="1">
      <c r="A120" s="874" t="s">
        <v>99</v>
      </c>
      <c r="B120" s="874"/>
      <c r="C120" s="874"/>
      <c r="D120" s="151" t="s">
        <v>183</v>
      </c>
      <c r="E120" s="95">
        <f>'17'!F120</f>
        <v>37145.4</v>
      </c>
      <c r="F120" s="237">
        <v>37580.07</v>
      </c>
      <c r="G120" s="558">
        <f t="shared" si="8"/>
        <v>434.66999999999825</v>
      </c>
      <c r="H120" s="99">
        <f>G120+'17'!H120</f>
        <v>-5379.5400000000009</v>
      </c>
      <c r="I120" s="165"/>
      <c r="J120" s="328">
        <f>H120/DAY(B2)</f>
        <v>-298.8633333333334</v>
      </c>
    </row>
    <row r="121" spans="1:18" ht="27.75" customHeight="1">
      <c r="A121" s="874" t="s">
        <v>100</v>
      </c>
      <c r="B121" s="874"/>
      <c r="C121" s="874"/>
      <c r="D121" s="151" t="s">
        <v>183</v>
      </c>
      <c r="E121" s="95">
        <f>'17'!F121</f>
        <v>388428</v>
      </c>
      <c r="F121" s="237">
        <v>389079</v>
      </c>
      <c r="G121" s="558">
        <f t="shared" si="8"/>
        <v>651</v>
      </c>
      <c r="H121" s="99">
        <f>G121+'17'!H121</f>
        <v>-8955.429999999993</v>
      </c>
      <c r="I121" s="165"/>
      <c r="J121" s="328">
        <f>H121/DAY(B2)</f>
        <v>-497.52388888888851</v>
      </c>
    </row>
    <row r="122" spans="1:18" ht="27.75" customHeight="1">
      <c r="A122" s="874" t="s">
        <v>101</v>
      </c>
      <c r="B122" s="874"/>
      <c r="C122" s="874"/>
      <c r="D122" s="151" t="s">
        <v>183</v>
      </c>
      <c r="E122" s="95">
        <f>'17'!F122</f>
        <v>123533.44</v>
      </c>
      <c r="F122" s="237">
        <v>123702</v>
      </c>
      <c r="G122" s="558">
        <f t="shared" si="8"/>
        <v>168.55999999999767</v>
      </c>
      <c r="H122" s="99">
        <f>G122+'17'!H122</f>
        <v>-2484.179999999993</v>
      </c>
      <c r="I122" s="165"/>
      <c r="J122" s="328">
        <f>H122/DAY(B2)</f>
        <v>-138.00999999999962</v>
      </c>
    </row>
    <row r="123" spans="1:18" ht="27.75" customHeight="1">
      <c r="A123" s="874" t="s">
        <v>102</v>
      </c>
      <c r="B123" s="874"/>
      <c r="C123" s="874"/>
      <c r="D123" s="151" t="s">
        <v>183</v>
      </c>
      <c r="E123" s="95">
        <f>'17'!F123</f>
        <v>150237.63</v>
      </c>
      <c r="F123" s="237">
        <v>150502.59</v>
      </c>
      <c r="G123" s="558">
        <f t="shared" si="8"/>
        <v>264.95999999999185</v>
      </c>
      <c r="H123" s="99">
        <f>G123+'17'!H123</f>
        <v>-3544.3600000000151</v>
      </c>
      <c r="I123" s="165"/>
      <c r="J123" s="328">
        <f>H123/DAY(B2)</f>
        <v>-196.90888888888972</v>
      </c>
    </row>
    <row r="124" spans="1:18" ht="27.75" customHeight="1">
      <c r="A124" s="904"/>
      <c r="B124" s="905"/>
      <c r="C124" s="906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>
      <c r="A125" s="907" t="s">
        <v>196</v>
      </c>
      <c r="B125" s="908"/>
      <c r="C125" s="245"/>
      <c r="D125" s="307"/>
      <c r="E125" s="308"/>
      <c r="F125" s="308"/>
      <c r="G125" s="579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 customHeight="1">
      <c r="A127" s="910"/>
      <c r="B127" s="910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79" t="s">
        <v>318</v>
      </c>
      <c r="B128" s="880"/>
      <c r="C128" s="881"/>
      <c r="D128" s="151" t="s">
        <v>183</v>
      </c>
      <c r="E128" s="95">
        <f>'17'!F128</f>
        <v>43403.9</v>
      </c>
      <c r="F128" s="165">
        <v>43694.22</v>
      </c>
      <c r="G128" s="558">
        <f t="shared" ref="G128:G134" si="9">F128-E128</f>
        <v>290.31999999999971</v>
      </c>
      <c r="H128" s="99">
        <f>G128+'17'!H128</f>
        <v>-4051.7799999999988</v>
      </c>
      <c r="I128" s="165"/>
      <c r="J128" s="328">
        <f>H128/DAY(B2)</f>
        <v>-225.09888888888884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58">
        <f t="shared" si="9"/>
        <v>257.11999999999898</v>
      </c>
      <c r="H129" s="99">
        <f>G129+'17'!H129</f>
        <v>-2569.8499999999985</v>
      </c>
      <c r="I129" s="165"/>
      <c r="J129" s="328">
        <f>H129/DAY(B2)</f>
        <v>-142.76944444444436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58">
        <f t="shared" si="9"/>
        <v>516.80999999999767</v>
      </c>
      <c r="H130" s="99">
        <f>G130+'17'!H130</f>
        <v>-6727.7400000000016</v>
      </c>
      <c r="I130" s="165"/>
      <c r="J130" s="328">
        <f>H130/DAY(B2)</f>
        <v>-373.76333333333343</v>
      </c>
      <c r="N130" s="240"/>
      <c r="O130" s="241"/>
    </row>
    <row r="131" spans="1:15" ht="27.75" customHeight="1">
      <c r="A131" s="879" t="s">
        <v>321</v>
      </c>
      <c r="B131" s="880"/>
      <c r="C131" s="881"/>
      <c r="D131" s="151" t="s">
        <v>183</v>
      </c>
      <c r="E131" s="95">
        <f>'17'!F131</f>
        <v>14365.97</v>
      </c>
      <c r="F131" s="158">
        <v>14447.42</v>
      </c>
      <c r="G131" s="558">
        <f t="shared" si="9"/>
        <v>81.450000000000728</v>
      </c>
      <c r="H131" s="99">
        <f>G131+'17'!H131</f>
        <v>-860.26000000000022</v>
      </c>
      <c r="I131" s="165"/>
      <c r="J131" s="328">
        <f>H131/DAY(B2)</f>
        <v>-47.792222222222236</v>
      </c>
      <c r="N131" s="240"/>
      <c r="O131" s="241"/>
    </row>
    <row r="132" spans="1:15" ht="27.75" customHeight="1">
      <c r="A132" s="879" t="s">
        <v>322</v>
      </c>
      <c r="B132" s="880"/>
      <c r="C132" s="881"/>
      <c r="D132" s="151" t="s">
        <v>183</v>
      </c>
      <c r="E132" s="95">
        <f>'17'!F132</f>
        <v>49304</v>
      </c>
      <c r="F132" s="158">
        <v>49682.7</v>
      </c>
      <c r="G132" s="558">
        <f t="shared" si="9"/>
        <v>378.69999999999709</v>
      </c>
      <c r="H132" s="99">
        <f>G132+'17'!H132</f>
        <v>-2165.6000000000058</v>
      </c>
      <c r="I132" s="165"/>
      <c r="J132" s="328">
        <f>H132/DAY(B2)</f>
        <v>-120.31111111111143</v>
      </c>
    </row>
    <row r="133" spans="1:15" ht="27.75" customHeight="1">
      <c r="A133" s="879" t="s">
        <v>362</v>
      </c>
      <c r="B133" s="880"/>
      <c r="C133" s="881"/>
      <c r="D133" s="151" t="s">
        <v>183</v>
      </c>
      <c r="E133" s="95">
        <f>'17'!F133</f>
        <v>98082.6</v>
      </c>
      <c r="F133" s="165">
        <v>98583.4</v>
      </c>
      <c r="G133" s="558">
        <f t="shared" si="9"/>
        <v>500.79999999998836</v>
      </c>
      <c r="H133" s="99">
        <f>G133+'17'!H133</f>
        <v>-6760.3000000000029</v>
      </c>
      <c r="I133" s="165"/>
      <c r="J133" s="328">
        <f>H133/DAY(B2)</f>
        <v>-375.57222222222236</v>
      </c>
    </row>
    <row r="134" spans="1:15" ht="27.75" customHeight="1">
      <c r="A134" s="879" t="s">
        <v>340</v>
      </c>
      <c r="B134" s="880"/>
      <c r="C134" s="881"/>
      <c r="D134" s="151" t="s">
        <v>183</v>
      </c>
      <c r="E134" s="95">
        <f>'17'!F134</f>
        <v>6179</v>
      </c>
      <c r="F134" s="158">
        <v>6368.93</v>
      </c>
      <c r="G134" s="558">
        <f t="shared" si="9"/>
        <v>189.93000000000029</v>
      </c>
      <c r="H134" s="99">
        <f>G134+'17'!H134</f>
        <v>668941.70000000007</v>
      </c>
      <c r="I134" s="165"/>
      <c r="J134" s="328">
        <f>H134/DAY(B2)</f>
        <v>37163.427777777782</v>
      </c>
    </row>
    <row r="135" spans="1:15" ht="27.75" customHeight="1">
      <c r="A135" s="907" t="s">
        <v>196</v>
      </c>
      <c r="B135" s="908"/>
      <c r="C135" s="331"/>
      <c r="D135" s="151"/>
      <c r="E135" s="95"/>
      <c r="F135" s="165"/>
      <c r="G135" s="558">
        <f>SUM(G128:G134)</f>
        <v>2215.1299999999828</v>
      </c>
      <c r="H135" s="99">
        <f>G135+'10'!H135</f>
        <v>629453.35</v>
      </c>
      <c r="I135" s="327">
        <f>G135-(G35+G49)</f>
        <v>-419.35000000001673</v>
      </c>
      <c r="J135" s="328"/>
    </row>
    <row r="136" spans="1:15" ht="27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7.75" customHeight="1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>
      <c r="A138" s="874" t="s">
        <v>185</v>
      </c>
      <c r="B138" s="874"/>
      <c r="C138" s="874"/>
      <c r="D138" s="151" t="s">
        <v>183</v>
      </c>
      <c r="E138" s="95">
        <f>'17'!F138</f>
        <v>865229</v>
      </c>
      <c r="F138" s="147">
        <v>865289</v>
      </c>
      <c r="G138" s="558">
        <f t="shared" ref="G138:G152" si="10">F138-E138</f>
        <v>60</v>
      </c>
      <c r="H138" s="99">
        <f>G138+'17'!H138</f>
        <v>-884</v>
      </c>
      <c r="I138" s="118"/>
      <c r="J138" s="328">
        <f>H138/DAY(B2)</f>
        <v>-49.111111111111114</v>
      </c>
    </row>
    <row r="139" spans="1:15" ht="27.75" customHeight="1">
      <c r="A139" s="874" t="s">
        <v>186</v>
      </c>
      <c r="B139" s="874"/>
      <c r="C139" s="874"/>
      <c r="D139" s="151" t="s">
        <v>183</v>
      </c>
      <c r="E139" s="95">
        <f>'17'!F139</f>
        <v>886550</v>
      </c>
      <c r="F139" s="148">
        <v>886551</v>
      </c>
      <c r="G139" s="558">
        <f t="shared" si="10"/>
        <v>1</v>
      </c>
      <c r="H139" s="99">
        <f>G139+'17'!H139</f>
        <v>-22</v>
      </c>
      <c r="I139" s="118"/>
      <c r="J139" s="328">
        <f>H139/DAY(B2)</f>
        <v>-1.2222222222222223</v>
      </c>
    </row>
    <row r="140" spans="1:15" ht="27.75" customHeight="1">
      <c r="A140" s="874" t="s">
        <v>187</v>
      </c>
      <c r="B140" s="874"/>
      <c r="C140" s="874"/>
      <c r="D140" s="151" t="s">
        <v>183</v>
      </c>
      <c r="E140" s="95">
        <f>'17'!F140</f>
        <v>88898</v>
      </c>
      <c r="F140" s="149">
        <v>88898</v>
      </c>
      <c r="G140" s="558">
        <f t="shared" si="10"/>
        <v>0</v>
      </c>
      <c r="H140" s="99">
        <f>G140+'17'!H140</f>
        <v>-24</v>
      </c>
      <c r="I140" s="118"/>
      <c r="J140" s="328">
        <f>H140/DAY(B2)</f>
        <v>-1.3333333333333333</v>
      </c>
    </row>
    <row r="141" spans="1:15" ht="27.75" customHeight="1">
      <c r="A141" s="878" t="s">
        <v>188</v>
      </c>
      <c r="B141" s="878"/>
      <c r="C141" s="878"/>
      <c r="D141" s="151" t="s">
        <v>183</v>
      </c>
      <c r="E141" s="95">
        <f>'17'!F141</f>
        <v>52234.8</v>
      </c>
      <c r="F141" s="149">
        <v>52406.65</v>
      </c>
      <c r="G141" s="558">
        <f t="shared" si="10"/>
        <v>171.84999999999854</v>
      </c>
      <c r="H141" s="99">
        <f>G141+'17'!H141</f>
        <v>-2278.9300000000003</v>
      </c>
      <c r="I141" s="118"/>
      <c r="J141" s="328">
        <f>H141/DAY(B2)</f>
        <v>-126.60722222222223</v>
      </c>
    </row>
    <row r="142" spans="1:15" ht="27.75" customHeight="1">
      <c r="A142" s="878" t="s">
        <v>189</v>
      </c>
      <c r="B142" s="878"/>
      <c r="C142" s="878"/>
      <c r="D142" s="151" t="s">
        <v>183</v>
      </c>
      <c r="E142" s="95">
        <f>'17'!F142</f>
        <v>20197.09</v>
      </c>
      <c r="F142" s="148">
        <v>20277.63</v>
      </c>
      <c r="G142" s="558">
        <f t="shared" si="10"/>
        <v>80.540000000000873</v>
      </c>
      <c r="H142" s="99">
        <f>G142+'17'!H142</f>
        <v>-1006.4699999999975</v>
      </c>
      <c r="I142" s="140"/>
      <c r="J142" s="328">
        <f>H142/DAY(B2)</f>
        <v>-55.914999999999864</v>
      </c>
    </row>
    <row r="143" spans="1:15" ht="27.75" customHeight="1">
      <c r="A143" s="874" t="s">
        <v>91</v>
      </c>
      <c r="B143" s="874"/>
      <c r="C143" s="874"/>
      <c r="D143" s="151" t="s">
        <v>183</v>
      </c>
      <c r="E143" s="95">
        <f>'17'!F143</f>
        <v>3466.51</v>
      </c>
      <c r="F143" s="149">
        <v>3491.46</v>
      </c>
      <c r="G143" s="558">
        <f t="shared" si="10"/>
        <v>24.949999999999818</v>
      </c>
      <c r="H143" s="99">
        <f>G143+'17'!H143</f>
        <v>-343.92999999999984</v>
      </c>
      <c r="I143" s="140"/>
      <c r="J143" s="328">
        <f>H143/DAY(B2)</f>
        <v>-19.107222222222212</v>
      </c>
    </row>
    <row r="144" spans="1:15" ht="27.75" customHeight="1">
      <c r="A144" s="878" t="s">
        <v>90</v>
      </c>
      <c r="B144" s="878"/>
      <c r="C144" s="878"/>
      <c r="D144" s="151" t="s">
        <v>183</v>
      </c>
      <c r="E144" s="95">
        <f>'17'!F144</f>
        <v>873523</v>
      </c>
      <c r="F144" s="149">
        <v>873743</v>
      </c>
      <c r="G144" s="558">
        <f t="shared" si="10"/>
        <v>220</v>
      </c>
      <c r="H144" s="99">
        <f>G144+'17'!H144</f>
        <v>-2744</v>
      </c>
      <c r="I144" s="140"/>
      <c r="J144" s="328">
        <f>H144/DAY(B2)</f>
        <v>-152.44444444444446</v>
      </c>
    </row>
    <row r="145" spans="1:10" ht="27.75" customHeight="1">
      <c r="A145" s="874" t="s">
        <v>190</v>
      </c>
      <c r="B145" s="874"/>
      <c r="C145" s="874"/>
      <c r="D145" s="152" t="s">
        <v>183</v>
      </c>
      <c r="E145" s="95">
        <f>'17'!F145</f>
        <v>4812.34</v>
      </c>
      <c r="F145" s="149">
        <v>4827.1899999999996</v>
      </c>
      <c r="G145" s="558">
        <f t="shared" si="10"/>
        <v>14.849999999999454</v>
      </c>
      <c r="H145" s="99">
        <f>G145+'17'!H145</f>
        <v>-131.65000000000055</v>
      </c>
      <c r="I145" s="140"/>
      <c r="J145" s="328">
        <f>H145/DAY(B2)</f>
        <v>-7.3138888888889193</v>
      </c>
    </row>
    <row r="146" spans="1:10" ht="27.75" customHeight="1">
      <c r="A146" s="875" t="s">
        <v>191</v>
      </c>
      <c r="B146" s="876"/>
      <c r="C146" s="877"/>
      <c r="D146" s="152" t="s">
        <v>183</v>
      </c>
      <c r="E146" s="95">
        <f>'17'!F146</f>
        <v>731756</v>
      </c>
      <c r="F146" s="148">
        <v>732122</v>
      </c>
      <c r="G146" s="558">
        <f t="shared" si="10"/>
        <v>366</v>
      </c>
      <c r="H146" s="99">
        <f>G146+'17'!H146</f>
        <v>-5211</v>
      </c>
      <c r="I146" s="140"/>
      <c r="J146" s="328">
        <f>H146/DAY(B2)</f>
        <v>-289.5</v>
      </c>
    </row>
    <row r="147" spans="1:10" ht="27.75" customHeight="1">
      <c r="A147" s="878" t="s">
        <v>192</v>
      </c>
      <c r="B147" s="878"/>
      <c r="C147" s="878"/>
      <c r="D147" s="152" t="s">
        <v>183</v>
      </c>
      <c r="E147" s="95">
        <f>'17'!F147</f>
        <v>621509</v>
      </c>
      <c r="F147" s="148">
        <v>621813.56000000006</v>
      </c>
      <c r="G147" s="558">
        <f t="shared" si="10"/>
        <v>304.56000000005588</v>
      </c>
      <c r="H147" s="99">
        <f>G147+'17'!H147</f>
        <v>-4798.9599999999627</v>
      </c>
      <c r="I147" s="140"/>
      <c r="J147" s="328">
        <f>H147/DAY(B2)</f>
        <v>-266.60888888888684</v>
      </c>
    </row>
    <row r="148" spans="1:10" ht="27.75" customHeight="1">
      <c r="A148" s="870" t="s">
        <v>193</v>
      </c>
      <c r="B148" s="871"/>
      <c r="C148" s="872"/>
      <c r="D148" s="123" t="s">
        <v>130</v>
      </c>
      <c r="E148" s="95">
        <f>'17'!F148</f>
        <v>686860</v>
      </c>
      <c r="F148" s="150">
        <v>687015.44</v>
      </c>
      <c r="G148" s="558">
        <f t="shared" si="10"/>
        <v>155.43999999994412</v>
      </c>
      <c r="H148" s="99">
        <f>G148+'17'!H148</f>
        <v>-2427.5200000000186</v>
      </c>
      <c r="I148" s="124"/>
      <c r="J148" s="328">
        <f>H148/DAY(B2)</f>
        <v>-134.86222222222327</v>
      </c>
    </row>
    <row r="149" spans="1:10" ht="27.75" customHeight="1">
      <c r="A149" s="870" t="s">
        <v>336</v>
      </c>
      <c r="B149" s="871"/>
      <c r="C149" s="872"/>
      <c r="D149" s="227" t="s">
        <v>130</v>
      </c>
      <c r="E149" s="95">
        <f>'17'!F149</f>
        <v>17791.439999999999</v>
      </c>
      <c r="F149" s="146">
        <v>18255.259999999998</v>
      </c>
      <c r="G149" s="558">
        <f t="shared" si="10"/>
        <v>463.81999999999971</v>
      </c>
      <c r="H149" s="99">
        <f>G149+'17'!H149</f>
        <v>-6422.9400000000023</v>
      </c>
      <c r="I149" s="119"/>
      <c r="J149" s="328">
        <f>H149/DAY(B2)</f>
        <v>-356.83000000000015</v>
      </c>
    </row>
    <row r="150" spans="1:10" ht="27.75" customHeight="1">
      <c r="A150" s="870" t="s">
        <v>337</v>
      </c>
      <c r="B150" s="871"/>
      <c r="C150" s="872"/>
      <c r="D150" s="117" t="s">
        <v>130</v>
      </c>
      <c r="E150" s="95">
        <f>'17'!F150</f>
        <v>7752.4</v>
      </c>
      <c r="F150" s="233">
        <v>7974.99</v>
      </c>
      <c r="G150" s="558">
        <f t="shared" si="10"/>
        <v>222.59000000000015</v>
      </c>
      <c r="H150" s="99">
        <f>G150+'17'!H150</f>
        <v>-2875.84</v>
      </c>
      <c r="I150" s="119"/>
      <c r="J150" s="328">
        <f>H150/DAY(B2)</f>
        <v>-159.76888888888891</v>
      </c>
    </row>
    <row r="151" spans="1:10" ht="27.75" customHeight="1">
      <c r="A151" s="870" t="s">
        <v>338</v>
      </c>
      <c r="B151" s="871"/>
      <c r="C151" s="872"/>
      <c r="D151" s="117" t="s">
        <v>130</v>
      </c>
      <c r="E151" s="95">
        <f>'17'!F151</f>
        <v>82156</v>
      </c>
      <c r="F151" s="233">
        <v>82410</v>
      </c>
      <c r="G151" s="558">
        <f t="shared" si="10"/>
        <v>254</v>
      </c>
      <c r="H151" s="99">
        <f>G151+'17'!H151</f>
        <v>-3070</v>
      </c>
      <c r="I151" s="119"/>
      <c r="J151" s="328">
        <f>H151/DAY(B2)</f>
        <v>-170.55555555555554</v>
      </c>
    </row>
    <row r="152" spans="1:10" ht="27.75" customHeight="1">
      <c r="A152" s="870" t="s">
        <v>339</v>
      </c>
      <c r="B152" s="871"/>
      <c r="C152" s="872"/>
      <c r="D152" s="117" t="s">
        <v>130</v>
      </c>
      <c r="E152" s="95">
        <f>'17'!F152</f>
        <v>1419.9</v>
      </c>
      <c r="F152" s="233">
        <v>1435.92</v>
      </c>
      <c r="G152" s="558">
        <f t="shared" si="10"/>
        <v>16.019999999999982</v>
      </c>
      <c r="H152" s="99">
        <f>G152+'17'!H152</f>
        <v>-224.07999999999993</v>
      </c>
      <c r="I152" s="119"/>
      <c r="J152" s="328">
        <f>H152/DAY(B2)</f>
        <v>-12.448888888888884</v>
      </c>
    </row>
    <row r="153" spans="1:10" ht="27.75" customHeight="1">
      <c r="A153" s="907" t="s">
        <v>196</v>
      </c>
      <c r="B153" s="908"/>
      <c r="C153" s="365"/>
      <c r="D153" s="358"/>
      <c r="E153" s="360"/>
      <c r="F153" s="361"/>
      <c r="G153" s="580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27.75" customHeight="1">
      <c r="A155" s="878" t="s">
        <v>345</v>
      </c>
      <c r="B155" s="878"/>
      <c r="C155" s="878"/>
      <c r="D155" s="117" t="s">
        <v>130</v>
      </c>
      <c r="E155" s="95">
        <f>'17'!F155</f>
        <v>23303</v>
      </c>
      <c r="F155" s="471">
        <v>23908.77</v>
      </c>
      <c r="G155" s="558">
        <f t="shared" ref="G155:G157" si="11">F155-E155</f>
        <v>605.77000000000044</v>
      </c>
      <c r="H155" s="99">
        <f>G155+'17'!H155</f>
        <v>-9036.2300000000032</v>
      </c>
      <c r="I155" s="364"/>
      <c r="J155" s="328">
        <f>H155/DAY(B2)</f>
        <v>-502.01277777777796</v>
      </c>
    </row>
    <row r="156" spans="1:10" ht="27.75" customHeight="1">
      <c r="A156" s="878" t="s">
        <v>347</v>
      </c>
      <c r="B156" s="878"/>
      <c r="C156" s="878"/>
      <c r="D156" s="117" t="s">
        <v>130</v>
      </c>
      <c r="E156" s="95">
        <f>'17'!F156</f>
        <v>1954</v>
      </c>
      <c r="F156" s="165">
        <v>2010.05</v>
      </c>
      <c r="G156" s="558">
        <f t="shared" si="11"/>
        <v>56.049999999999955</v>
      </c>
      <c r="H156" s="99">
        <f>G156+'17'!H156</f>
        <v>-777.95</v>
      </c>
      <c r="I156" s="165"/>
      <c r="J156" s="328">
        <f>H156/DAY(B2)</f>
        <v>-43.219444444444449</v>
      </c>
    </row>
    <row r="157" spans="1:10" ht="27.75" customHeight="1">
      <c r="A157" s="870" t="s">
        <v>364</v>
      </c>
      <c r="B157" s="871"/>
      <c r="C157" s="872"/>
      <c r="D157" s="117" t="s">
        <v>130</v>
      </c>
      <c r="E157" s="95">
        <f>'17'!F157</f>
        <v>2516.1329999999998</v>
      </c>
      <c r="F157" s="165">
        <v>2598.1799999999998</v>
      </c>
      <c r="G157" s="558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>
      <c r="A158" s="870" t="s">
        <v>365</v>
      </c>
      <c r="B158" s="871"/>
      <c r="C158" s="872"/>
      <c r="D158" s="117" t="s">
        <v>130</v>
      </c>
      <c r="E158" s="95">
        <f>'17'!F158</f>
        <v>23.34</v>
      </c>
      <c r="F158" s="165">
        <v>23.34</v>
      </c>
      <c r="G158" s="558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>
      <c r="A159" s="927"/>
      <c r="B159" s="928"/>
      <c r="C159" s="929"/>
      <c r="D159" s="117"/>
      <c r="E159" s="95"/>
      <c r="F159" s="165"/>
      <c r="G159" s="558"/>
      <c r="H159" s="99"/>
      <c r="I159" s="165"/>
      <c r="J159" s="328"/>
    </row>
    <row r="160" spans="1:10" ht="27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1">
        <f t="shared" ref="G161:G165" si="13">F161-E161</f>
        <v>7.5599999999976717</v>
      </c>
      <c r="H161" s="99">
        <f>G161+'17'!H161</f>
        <v>-600</v>
      </c>
      <c r="I161" s="236"/>
      <c r="J161" s="239">
        <f>H161/DAY(B2)</f>
        <v>-33.333333333333336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1">
        <f t="shared" si="13"/>
        <v>40.30000000000291</v>
      </c>
      <c r="H162" s="99">
        <f>G162+'17'!H162</f>
        <v>-423.09999999999127</v>
      </c>
      <c r="I162" s="236"/>
      <c r="J162" s="239">
        <f>H162/DAY(B2)</f>
        <v>-23.50555555555507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1">
        <f t="shared" si="13"/>
        <v>62.80000000000291</v>
      </c>
      <c r="H163" s="99">
        <f>G163+'17'!H163</f>
        <v>-584.60000000000582</v>
      </c>
      <c r="I163" s="236"/>
      <c r="J163" s="239">
        <f>H163/DAY(B2)</f>
        <v>-32.477777777778101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1">
        <f t="shared" si="13"/>
        <v>9.1000000000003638</v>
      </c>
      <c r="H164" s="99">
        <f>G164+'17'!H164</f>
        <v>-40</v>
      </c>
      <c r="I164" s="236"/>
      <c r="J164" s="239">
        <f>H164/DAY(B2)</f>
        <v>-2.2222222222222223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1">
        <f t="shared" si="13"/>
        <v>9.4500000000007276</v>
      </c>
      <c r="H165" s="99">
        <f>G165+'17'!H165</f>
        <v>-93.349999999998545</v>
      </c>
      <c r="I165" s="236"/>
      <c r="J165" s="239">
        <f>H165/DAY(B2)</f>
        <v>-5.1861111111110301</v>
      </c>
    </row>
    <row r="166" spans="1:10" ht="27.75" customHeight="1">
      <c r="A166" s="910"/>
      <c r="B166" s="910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10"/>
      <c r="B167" s="910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10"/>
      <c r="B168" s="910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 customHeight="1">
      <c r="A172" s="914"/>
      <c r="B172" s="915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>
      <c r="A173" s="868" t="s">
        <v>209</v>
      </c>
      <c r="B173" s="869"/>
      <c r="C173" s="333"/>
      <c r="D173" s="228" t="s">
        <v>142</v>
      </c>
      <c r="E173" s="95">
        <f>'17'!F173</f>
        <v>8126</v>
      </c>
      <c r="F173" s="155">
        <v>8126</v>
      </c>
      <c r="G173" s="582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>
      <c r="A174" s="868" t="s">
        <v>75</v>
      </c>
      <c r="B174" s="869"/>
      <c r="C174" s="333"/>
      <c r="D174" s="228" t="s">
        <v>142</v>
      </c>
      <c r="E174" s="95">
        <f>'17'!F174</f>
        <v>38444</v>
      </c>
      <c r="F174" s="157">
        <v>38457</v>
      </c>
      <c r="G174" s="582">
        <f t="shared" ref="G174:G175" si="14">F174-E174</f>
        <v>13</v>
      </c>
      <c r="H174" s="99">
        <f>G174+'17'!H174</f>
        <v>-158</v>
      </c>
      <c r="I174" s="155"/>
      <c r="J174" s="178">
        <f>H174/DAY(B2)</f>
        <v>-8.7777777777777786</v>
      </c>
    </row>
    <row r="175" spans="1:10" ht="27.75" customHeight="1">
      <c r="A175" s="868" t="s">
        <v>76</v>
      </c>
      <c r="B175" s="873"/>
      <c r="C175" s="869"/>
      <c r="D175" s="228" t="s">
        <v>142</v>
      </c>
      <c r="E175" s="95">
        <f>'17'!F175</f>
        <v>21673</v>
      </c>
      <c r="F175" s="155">
        <v>21683</v>
      </c>
      <c r="G175" s="582">
        <f t="shared" si="14"/>
        <v>10</v>
      </c>
      <c r="H175" s="99">
        <f>G175+'17'!H175</f>
        <v>-130</v>
      </c>
      <c r="I175" s="155"/>
      <c r="J175" s="178">
        <f>H175/DAY(B2)</f>
        <v>-7.2222222222222223</v>
      </c>
    </row>
    <row r="176" spans="1:10" ht="27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582">
        <f>SUM(G173:G175)</f>
        <v>23</v>
      </c>
      <c r="H176" s="99">
        <f>G176+'17'!H176</f>
        <v>-288</v>
      </c>
      <c r="I176" s="155"/>
      <c r="J176" s="178">
        <f>H176/DAY(B2)</f>
        <v>-16</v>
      </c>
    </row>
    <row r="177" spans="1:11" ht="27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68" t="s">
        <v>210</v>
      </c>
      <c r="B178" s="869"/>
      <c r="C178" s="333"/>
      <c r="D178" s="228" t="s">
        <v>142</v>
      </c>
      <c r="E178" s="95">
        <f>'17'!F178</f>
        <v>80589</v>
      </c>
      <c r="F178" s="155">
        <v>80653</v>
      </c>
      <c r="G178" s="582">
        <f>F178-E178</f>
        <v>64</v>
      </c>
      <c r="H178" s="99">
        <f>G178+'17'!H178</f>
        <v>-662</v>
      </c>
      <c r="I178" s="155"/>
      <c r="J178" s="178">
        <f>H178/DAY(B2)</f>
        <v>-36.777777777777779</v>
      </c>
    </row>
    <row r="179" spans="1:11" ht="27.75" customHeight="1">
      <c r="A179" s="868" t="s">
        <v>211</v>
      </c>
      <c r="B179" s="869"/>
      <c r="C179" s="333"/>
      <c r="D179" s="228" t="s">
        <v>142</v>
      </c>
      <c r="E179" s="95">
        <f>'17'!F179</f>
        <v>34278</v>
      </c>
      <c r="F179" s="155">
        <v>34332</v>
      </c>
      <c r="G179" s="582">
        <f t="shared" ref="G179:G180" si="15">F179-E179</f>
        <v>54</v>
      </c>
      <c r="H179" s="99">
        <f>G179+'17'!H179</f>
        <v>-471</v>
      </c>
      <c r="I179" s="155"/>
      <c r="J179" s="178">
        <f>H179/DAY(B2)</f>
        <v>-26.166666666666668</v>
      </c>
    </row>
    <row r="180" spans="1:11" ht="27.75" customHeight="1">
      <c r="A180" s="868" t="s">
        <v>212</v>
      </c>
      <c r="B180" s="869"/>
      <c r="C180" s="333"/>
      <c r="D180" s="228" t="s">
        <v>142</v>
      </c>
      <c r="E180" s="95">
        <f>'17'!F180</f>
        <v>5596</v>
      </c>
      <c r="F180" s="155">
        <v>5611</v>
      </c>
      <c r="G180" s="582">
        <f t="shared" si="15"/>
        <v>15</v>
      </c>
      <c r="H180" s="99">
        <f>G180+'17'!H180</f>
        <v>-91</v>
      </c>
      <c r="I180" s="155"/>
      <c r="J180" s="178">
        <f>H180/DAY(B2)</f>
        <v>-5.0555555555555554</v>
      </c>
    </row>
    <row r="181" spans="1:11" ht="27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582">
        <f>SUM(G178:G180)</f>
        <v>133</v>
      </c>
      <c r="H181" s="99">
        <f>G181+'17'!H181</f>
        <v>-1224</v>
      </c>
      <c r="I181" s="155"/>
      <c r="J181" s="178">
        <f>H181/DAY(B2)</f>
        <v>-68</v>
      </c>
    </row>
    <row r="182" spans="1:11" ht="27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68" t="s">
        <v>214</v>
      </c>
      <c r="B183" s="869"/>
      <c r="C183" s="334"/>
      <c r="D183" s="228" t="s">
        <v>142</v>
      </c>
      <c r="E183" s="95">
        <f>'17'!F183</f>
        <v>15146</v>
      </c>
      <c r="F183" s="157">
        <v>15161</v>
      </c>
      <c r="G183" s="583">
        <f>F183-E183</f>
        <v>15</v>
      </c>
      <c r="H183" s="99">
        <f>G183+'17'!H183</f>
        <v>-184</v>
      </c>
      <c r="I183" s="155"/>
      <c r="J183" s="178">
        <f>H183/DAY(B2)</f>
        <v>-10.222222222222221</v>
      </c>
    </row>
    <row r="184" spans="1:11" ht="27.75" customHeight="1">
      <c r="A184" s="868" t="s">
        <v>215</v>
      </c>
      <c r="B184" s="869"/>
      <c r="C184" s="334"/>
      <c r="D184" s="228" t="s">
        <v>142</v>
      </c>
      <c r="E184" s="95">
        <f>'17'!F184</f>
        <v>10411</v>
      </c>
      <c r="F184" s="157">
        <v>10415</v>
      </c>
      <c r="G184" s="583">
        <f t="shared" ref="G184:G185" si="16">F184-E184</f>
        <v>4</v>
      </c>
      <c r="H184" s="99">
        <f>G184+'17'!H184</f>
        <v>-103</v>
      </c>
      <c r="I184" s="155"/>
      <c r="J184" s="178">
        <f>H184/DAY(B2)</f>
        <v>-5.7222222222222223</v>
      </c>
    </row>
    <row r="185" spans="1:11" ht="27.75" customHeight="1">
      <c r="A185" s="868" t="s">
        <v>216</v>
      </c>
      <c r="B185" s="869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07" t="s">
        <v>196</v>
      </c>
      <c r="B186" s="908"/>
      <c r="C186" s="482"/>
      <c r="D186" s="228" t="s">
        <v>142</v>
      </c>
      <c r="E186" s="95"/>
      <c r="F186" s="157"/>
      <c r="G186" s="583">
        <f>SUM(G183:G185)</f>
        <v>19</v>
      </c>
      <c r="H186" s="99">
        <f>G186+'17'!H186</f>
        <v>-287</v>
      </c>
      <c r="I186" s="157"/>
      <c r="J186" s="178">
        <f>H186/DAY(B2)</f>
        <v>-15.944444444444445</v>
      </c>
    </row>
    <row r="187" spans="1:11" ht="27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584">
        <f>G62+G19</f>
        <v>123</v>
      </c>
      <c r="H187" s="99">
        <f>G187+'17'!H187</f>
        <v>-1920</v>
      </c>
      <c r="I187" s="158"/>
      <c r="J187" s="179">
        <f>H187/DAY(B2)</f>
        <v>-106.66666666666667</v>
      </c>
    </row>
    <row r="188" spans="1:11" ht="27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584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584">
        <f>G181</f>
        <v>133</v>
      </c>
      <c r="H189" s="99">
        <f>G189+'17'!H189</f>
        <v>-1224</v>
      </c>
      <c r="I189" s="158"/>
      <c r="J189" s="179">
        <f>H189/DAY(B2)</f>
        <v>-68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603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6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605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6">
        <f>F7-E7</f>
        <v>18033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07">
        <f>F8-E8</f>
        <v>18721.169999999984</v>
      </c>
      <c r="H8" s="99">
        <f>G8+'18 '!H8</f>
        <v>-214029.15000000002</v>
      </c>
      <c r="I8" s="116"/>
      <c r="J8" s="175">
        <f>H8/DAY(B2)</f>
        <v>-11264.692105263159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598">
        <v>121587.8</v>
      </c>
      <c r="G9" s="606">
        <f>F9-E9</f>
        <v>11892.270000000004</v>
      </c>
      <c r="H9" s="99">
        <f>G9+'18 '!H9</f>
        <v>2196614.9500000002</v>
      </c>
      <c r="I9" s="124">
        <f>I7-J7</f>
        <v>22998.643684210525</v>
      </c>
      <c r="J9" s="175">
        <f>H9/DAY(B2)</f>
        <v>115611.31315789475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6">
        <f t="shared" ref="G10:G12" si="0">F10-E10</f>
        <v>5563.2200000000012</v>
      </c>
      <c r="H10" s="99">
        <f>G10+'18 '!H10</f>
        <v>553458.42999999993</v>
      </c>
      <c r="I10" s="282"/>
      <c r="J10" s="175">
        <f>H10/DAY(B2)</f>
        <v>29129.391052631574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608">
        <f>G9+G10+G11+G12</f>
        <v>17455.490000000005</v>
      </c>
      <c r="H13" s="99">
        <f>G13+'18 '!H13</f>
        <v>2733318.95</v>
      </c>
      <c r="I13" s="120">
        <f>G7-G13</f>
        <v>577.50999999999476</v>
      </c>
      <c r="J13" s="175">
        <f>H13/DAY(B2)</f>
        <v>143858.89210526316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609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598">
        <v>1895056.3</v>
      </c>
      <c r="G15" s="606">
        <f>(F15-E15)</f>
        <v>834.30000000004657</v>
      </c>
      <c r="H15" s="99">
        <f>G15+'18 '!H15</f>
        <v>-11580.466999999946</v>
      </c>
      <c r="I15" s="113">
        <f>'1'!I15</f>
        <v>800</v>
      </c>
      <c r="J15" s="175">
        <f>H15/DAY(B2)</f>
        <v>-609.49826315789187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606"/>
      <c r="H16" s="124"/>
      <c r="I16" s="120">
        <f>I15-J15</f>
        <v>1409.4982631578919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609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'18 '!F18</f>
        <v>10</v>
      </c>
      <c r="F18" s="122">
        <v>10</v>
      </c>
      <c r="G18" s="608">
        <f>F18*10</f>
        <v>100</v>
      </c>
      <c r="H18" s="99">
        <f>G18+'18 '!H18</f>
        <v>2310</v>
      </c>
      <c r="I18" s="113">
        <f>'1'!I18</f>
        <v>65</v>
      </c>
      <c r="J18" s="175">
        <f>H18/DAY(B2)</f>
        <v>121.57894736842105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'18 '!F19</f>
        <v>153179</v>
      </c>
      <c r="F19" s="122">
        <v>153236</v>
      </c>
      <c r="G19" s="606">
        <f t="shared" ref="G19" si="1">F19-E19</f>
        <v>57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610">
        <f>G18+G19</f>
        <v>157</v>
      </c>
      <c r="H20" s="99">
        <f>G20+'18 '!H20</f>
        <v>1655</v>
      </c>
      <c r="I20" s="336">
        <f>I18-J20</f>
        <v>-22.10526315789474</v>
      </c>
      <c r="J20" s="175">
        <f>H20/DAY(B2)</f>
        <v>87.10526315789474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609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08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8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611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612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3">
        <f>E27*F27</f>
        <v>168490.52999999985</v>
      </c>
      <c r="H27" s="99">
        <f>G27+'18 '!H27</f>
        <v>-1926262.3500000006</v>
      </c>
      <c r="I27" s="138"/>
      <c r="J27" s="175">
        <f>H27/DAY(B2)</f>
        <v>-101382.22894736845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3">
        <f>E28*F28</f>
        <v>43383.600000002421</v>
      </c>
      <c r="H28" s="99">
        <f>G28+'18 '!H28</f>
        <v>-602184.28399999719</v>
      </c>
      <c r="I28" s="140"/>
      <c r="J28" s="175">
        <f>H28/DAY(B2)</f>
        <v>-31693.909684210379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3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3">
        <f>E30*F30</f>
        <v>8322</v>
      </c>
      <c r="H30" s="99">
        <f>G30+'18 '!H30</f>
        <v>-95630</v>
      </c>
      <c r="I30" s="140"/>
      <c r="J30" s="175">
        <f>H30/DAY(B2)</f>
        <v>-5033.1578947368425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3">
        <f>E31*F31</f>
        <v>8000</v>
      </c>
      <c r="H31" s="99">
        <f>G31+'18 '!H31</f>
        <v>184800</v>
      </c>
      <c r="I31" s="140"/>
      <c r="J31" s="175">
        <f>H31/DAY(B2)</f>
        <v>9726.3157894736851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614">
        <f>G27+G28+G29+G30+G31</f>
        <v>228196.13000000227</v>
      </c>
      <c r="H32" s="99">
        <f>G32+'18 '!H32</f>
        <v>-2431686.6339999977</v>
      </c>
      <c r="I32" s="144"/>
      <c r="J32" s="175">
        <f>H32/DAY(B2)</f>
        <v>-127983.50705263147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615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616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6">
        <f t="shared" ref="G35:G46" si="3">F35-E35</f>
        <v>1817.1599999999999</v>
      </c>
      <c r="H35" s="99">
        <f>G35+'18 '!H35</f>
        <v>152339.54000000004</v>
      </c>
      <c r="I35" s="95"/>
      <c r="J35" s="175">
        <f>H35/DAY(B2)</f>
        <v>8017.8705263157917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6">
        <f t="shared" si="3"/>
        <v>661.59999999999854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6">
        <f t="shared" si="3"/>
        <v>1596.17</v>
      </c>
      <c r="H37" s="99">
        <f>G37+'18 '!H37</f>
        <v>188660.05000000005</v>
      </c>
      <c r="I37" s="95"/>
      <c r="J37" s="175">
        <f>H37/DAY(B2)</f>
        <v>9929.4763157894758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6">
        <f t="shared" si="3"/>
        <v>1623.5400000000009</v>
      </c>
      <c r="H38" s="99">
        <f>G38+'18 '!H38</f>
        <v>224793.57</v>
      </c>
      <c r="I38" s="95"/>
      <c r="J38" s="175">
        <f>H38/DAY(B2)</f>
        <v>11831.240526315791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6">
        <f t="shared" si="3"/>
        <v>2646.0699999999997</v>
      </c>
      <c r="H39" s="99">
        <f>G39+'18 '!H39</f>
        <v>401588.27</v>
      </c>
      <c r="I39" s="95"/>
      <c r="J39" s="175">
        <f>H39/DAY(B2)</f>
        <v>21136.224736842105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601">
        <f>'18 '!F40</f>
        <v>13643.14</v>
      </c>
      <c r="F40" s="376">
        <v>14058.37</v>
      </c>
      <c r="G40" s="617">
        <f t="shared" si="3"/>
        <v>415.23000000000138</v>
      </c>
      <c r="H40" s="99">
        <f>G40+'18 '!H40</f>
        <v>14686.109999999999</v>
      </c>
      <c r="I40" s="95"/>
      <c r="J40" s="175">
        <f>H40/DAY(B2)</f>
        <v>772.95315789473682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6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6">
        <f t="shared" si="3"/>
        <v>0</v>
      </c>
      <c r="H42" s="99">
        <f>G42+'18 '!H42</f>
        <v>-26321.14</v>
      </c>
      <c r="I42" s="95"/>
      <c r="J42" s="175">
        <f>H42/DAY(B2)</f>
        <v>-1385.3231578947368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6">
        <f t="shared" si="3"/>
        <v>2372.3700000000099</v>
      </c>
      <c r="H43" s="99">
        <f>G43+'18 '!H43</f>
        <v>-25098.080000000002</v>
      </c>
      <c r="I43" s="95"/>
      <c r="J43" s="175">
        <f>H43/DAY(B2)</f>
        <v>-1320.9515789473685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608">
        <f>G35+G36+G37+G38+G39+G40+G41+G42+G43+G44+G45+G46</f>
        <v>11132.14000000001</v>
      </c>
      <c r="H47" s="99">
        <f>G47+'18 '!H47</f>
        <v>921926.54000000015</v>
      </c>
      <c r="I47" s="95"/>
      <c r="J47" s="175">
        <f>H47/DAY(B2)</f>
        <v>48522.449473684217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616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6">
        <f t="shared" ref="G49:G58" si="4">F49-E49</f>
        <v>1124.4899999999998</v>
      </c>
      <c r="H49" s="99">
        <f>G49+'18 '!H49</f>
        <v>274076.62999999995</v>
      </c>
      <c r="I49" s="95"/>
      <c r="J49" s="175">
        <f>H49/DAY(B2)</f>
        <v>14425.085789473682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6">
        <f t="shared" si="4"/>
        <v>975.76000000000204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6">
        <f t="shared" si="4"/>
        <v>0</v>
      </c>
      <c r="H54" s="99">
        <f>G54+'18 '!H54</f>
        <v>4950.08</v>
      </c>
      <c r="I54" s="95"/>
      <c r="J54" s="175">
        <f>H54/DAY(B2)</f>
        <v>260.53052631578947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6">
        <f t="shared" si="4"/>
        <v>2846.1399999999994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6">
        <f t="shared" si="4"/>
        <v>161.78999999999996</v>
      </c>
      <c r="H58" s="99">
        <f>G58+'18 '!H58</f>
        <v>90139.690000000017</v>
      </c>
      <c r="I58" s="95"/>
      <c r="J58" s="175">
        <f>H58/DAY(B2)</f>
        <v>4744.194210526317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608">
        <f>G49+G50+G51+G52+G53+G54+G55+G56+G57+G58</f>
        <v>5108.1800000000012</v>
      </c>
      <c r="H59" s="99">
        <f>G59+'18 '!H59</f>
        <v>342121.18</v>
      </c>
      <c r="I59" s="95">
        <f>G7-G60</f>
        <v>1792.6799999999894</v>
      </c>
      <c r="J59" s="175">
        <f>H59/DAY(B2)</f>
        <v>18006.377894736841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608">
        <f>G47+G59</f>
        <v>16240.320000000011</v>
      </c>
      <c r="H60" s="99">
        <f>G60+'18 '!H60</f>
        <v>1264047.72</v>
      </c>
      <c r="I60" s="95">
        <f>G13-G60</f>
        <v>1215.1699999999946</v>
      </c>
      <c r="J60" s="175">
        <f>H60/DAY(B2)</f>
        <v>66528.827368421058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618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'18 '!F62</f>
        <v>268308</v>
      </c>
      <c r="F62" s="122">
        <v>268368</v>
      </c>
      <c r="G62" s="606">
        <f t="shared" ref="G62:G63" si="5">F62-E62</f>
        <v>60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'18 '!F63</f>
        <v>214242</v>
      </c>
      <c r="F63" s="122">
        <v>214335</v>
      </c>
      <c r="G63" s="606">
        <f t="shared" si="5"/>
        <v>93</v>
      </c>
      <c r="H63" s="99">
        <f>G63+'18 '!H63</f>
        <v>-1462</v>
      </c>
      <c r="I63" s="118"/>
      <c r="J63" s="175">
        <f>H63/DAY(B2)</f>
        <v>-76.94736842105263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'18 '!F64</f>
        <v>0</v>
      </c>
      <c r="F64" s="122"/>
      <c r="G64" s="606">
        <f>G62+G63</f>
        <v>153</v>
      </c>
      <c r="H64" s="99">
        <f>G64+'18 '!H64</f>
        <v>-2610</v>
      </c>
      <c r="I64" s="118"/>
      <c r="J64" s="175">
        <f>H64/DAY(B2)</f>
        <v>-137.36842105263159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'18 '!F65</f>
        <v>433856</v>
      </c>
      <c r="F65" s="122">
        <v>433919</v>
      </c>
      <c r="G65" s="606">
        <f t="shared" ref="G65:G70" si="6">F65-E65</f>
        <v>63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6">
        <f t="shared" si="6"/>
        <v>15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6">
        <f t="shared" si="6"/>
        <v>23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6">
        <f t="shared" si="6"/>
        <v>30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6">
        <f t="shared" si="6"/>
        <v>8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6">
        <f t="shared" si="6"/>
        <v>6.1000000000003638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95">
        <f>'18 '!F71</f>
        <v>0</v>
      </c>
      <c r="F71" s="152"/>
      <c r="G71" s="619">
        <f>SUM(G65:G70)</f>
        <v>145.10000000000036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62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618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'18 '!F74</f>
        <v>897366.15</v>
      </c>
      <c r="F74" s="117">
        <v>897672.5</v>
      </c>
      <c r="G74" s="606">
        <f t="shared" ref="G74:G78" si="7">F74-E74</f>
        <v>306.34999999997672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'18 '!F75</f>
        <v>73586.8</v>
      </c>
      <c r="F75" s="123">
        <v>73586.8</v>
      </c>
      <c r="G75" s="60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'18 '!F76</f>
        <v>168711</v>
      </c>
      <c r="F76" s="123">
        <v>168794.9</v>
      </c>
      <c r="G76" s="606">
        <f t="shared" si="7"/>
        <v>83.899999999994179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'18 '!F77</f>
        <v>40844</v>
      </c>
      <c r="F77" s="123">
        <v>40871.1</v>
      </c>
      <c r="G77" s="606">
        <f t="shared" si="7"/>
        <v>27.099999999998545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'18 '!F78</f>
        <v>9500</v>
      </c>
      <c r="F78" s="123">
        <v>9501.2999999999993</v>
      </c>
      <c r="G78" s="606">
        <f t="shared" si="7"/>
        <v>1.2999999999992724</v>
      </c>
      <c r="H78" s="99">
        <f>G78+'18 '!H78</f>
        <v>-14.700000000000728</v>
      </c>
      <c r="I78" s="118"/>
      <c r="J78" s="175">
        <f>H78/DAY(B2)</f>
        <v>-0.77368421052635405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'18 '!F79</f>
        <v>0</v>
      </c>
      <c r="F79" s="123"/>
      <c r="G79" s="606">
        <f>G15-SUM(G74:G78)</f>
        <v>415.65000000007785</v>
      </c>
      <c r="H79" s="99">
        <f>G79+'18 '!H79</f>
        <v>-6320.9179999999651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606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621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6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6">
        <f t="shared" si="8"/>
        <v>0</v>
      </c>
      <c r="H85" s="99">
        <f>G85+'18 '!H85</f>
        <v>-165.44999999999982</v>
      </c>
      <c r="I85" s="118">
        <f>G82+G83+G84+G85</f>
        <v>0.13999999999941792</v>
      </c>
      <c r="J85" s="175">
        <f>H85/DAY(B2)</f>
        <v>-8.7078947368420963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6">
        <f t="shared" si="8"/>
        <v>24.940000000002328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6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6">
        <f t="shared" si="8"/>
        <v>0.20999999999912689</v>
      </c>
      <c r="H88" s="99">
        <f>G88+'18 '!H88</f>
        <v>-2.0600000000013097</v>
      </c>
      <c r="I88" s="118">
        <f>G86+G87+G88</f>
        <v>25.150000000001455</v>
      </c>
      <c r="J88" s="175">
        <f>H88/DAY(B2)</f>
        <v>-0.10842105263164788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6">
        <f t="shared" si="8"/>
        <v>7.0200000000004366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6">
        <f t="shared" si="8"/>
        <v>1.8600000000005821</v>
      </c>
      <c r="H90" s="99">
        <f>G90+'18 '!H90</f>
        <v>-29.75</v>
      </c>
      <c r="I90" s="118">
        <f>G89+G90</f>
        <v>8.8800000000010186</v>
      </c>
      <c r="J90" s="175">
        <f>H90/DAY(B2)</f>
        <v>-1.5657894736842106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6">
        <f t="shared" si="8"/>
        <v>0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6">
        <f t="shared" si="8"/>
        <v>10.730000000000473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609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622">
        <f>G35+G43+G49+G57</f>
        <v>5314.0200000000095</v>
      </c>
      <c r="H94" s="99">
        <f>G94+'18 '!H94</f>
        <v>401318.08999999997</v>
      </c>
      <c r="I94" s="118"/>
      <c r="J94" s="175">
        <f>H94/DAY(B2)</f>
        <v>21122.004736842104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623">
        <f>G94/G7</f>
        <v>0.29468308101813395</v>
      </c>
      <c r="H95" s="99">
        <f>G95+'18 '!H95</f>
        <v>4.452549372275131</v>
      </c>
      <c r="I95" s="167"/>
      <c r="J95" s="175">
        <f>H95/DAY(B2)</f>
        <v>0.23434470380395425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622">
        <f>G41+G42+G55+G56</f>
        <v>2846.1399999999994</v>
      </c>
      <c r="H96" s="99">
        <f>G96+'18 '!H96</f>
        <v>-40001.420000000006</v>
      </c>
      <c r="I96" s="118"/>
      <c r="J96" s="175">
        <f>H96/DAY(B2)</f>
        <v>-2105.3378947368424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623">
        <f>G96/G7</f>
        <v>0.15782953474186212</v>
      </c>
      <c r="H97" s="99">
        <f>G97+'18 '!H97</f>
        <v>3.2944208151010113</v>
      </c>
      <c r="I97" s="167"/>
      <c r="J97" s="175">
        <f>H97/DAY(B2)</f>
        <v>0.1733905692158427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622">
        <f>G39+G53</f>
        <v>2646.0699999999997</v>
      </c>
      <c r="H98" s="99">
        <f>G98+'18 '!H98</f>
        <v>401588.27</v>
      </c>
      <c r="I98" s="168"/>
      <c r="J98" s="175">
        <f>H98/DAY(B2)</f>
        <v>21136.224736842105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623">
        <f>G98/G7</f>
        <v>0.14673487495147783</v>
      </c>
      <c r="H99" s="99">
        <f>G99+'18 '!H99</f>
        <v>1.9336717638892358</v>
      </c>
      <c r="I99" s="168"/>
      <c r="J99" s="175">
        <f>H99/DAY(B2)</f>
        <v>0.10177219809943346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622">
        <f>G38+G52</f>
        <v>1623.5400000000009</v>
      </c>
      <c r="H100" s="99">
        <f>G100+'18 '!H100</f>
        <v>224793.57</v>
      </c>
      <c r="I100" s="118"/>
      <c r="J100" s="175">
        <f>H100/DAY(B2)</f>
        <v>11831.240526315791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623">
        <f>G100/G7</f>
        <v>9.0031608717351566E-2</v>
      </c>
      <c r="H101" s="99">
        <f>G101+'18 '!H101</f>
        <v>1.2664822044770552</v>
      </c>
      <c r="I101" s="168"/>
      <c r="J101" s="175">
        <f>H101/DAY(B2)</f>
        <v>6.6656958130371327E-2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622">
        <f>G36+G50</f>
        <v>1637.3600000000006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623">
        <f>G102/G7</f>
        <v>9.0797981478400736E-2</v>
      </c>
      <c r="H103" s="99">
        <f>G103+'18 '!H103</f>
        <v>1.7181050877589787</v>
      </c>
      <c r="I103" s="118"/>
      <c r="J103" s="175">
        <f>H103/DAY(B2)</f>
        <v>9.0426583566262042E-2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622">
        <f>G37+G51</f>
        <v>1596.17</v>
      </c>
      <c r="H104" s="99">
        <f>G104+'18 '!H104</f>
        <v>188660.05000000005</v>
      </c>
      <c r="I104" s="118"/>
      <c r="J104" s="175">
        <f>H104/DAY(B2)</f>
        <v>9929.4763157894758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624">
        <f>G104/G7</f>
        <v>8.8513835745577557E-2</v>
      </c>
      <c r="H105" s="99">
        <f>G105+'18 '!H105</f>
        <v>1.2121128675526218</v>
      </c>
      <c r="I105" s="187"/>
      <c r="J105" s="188">
        <f>H105/DAY(B2)</f>
        <v>6.3795414081716934E-2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625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627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'18 '!F112</f>
        <v>57044.5</v>
      </c>
      <c r="F112" s="237">
        <v>57125.98</v>
      </c>
      <c r="G112" s="606">
        <f t="shared" ref="G112:G123" si="9">F112-E112</f>
        <v>81.480000000003201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'18 '!F113</f>
        <v>40324.26</v>
      </c>
      <c r="F113" s="237">
        <v>40787.379999999997</v>
      </c>
      <c r="G113" s="606">
        <f t="shared" si="9"/>
        <v>463.11999999999534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'18 '!F114</f>
        <v>29635.1</v>
      </c>
      <c r="F114" s="237">
        <v>29901.7</v>
      </c>
      <c r="G114" s="606">
        <f t="shared" si="9"/>
        <v>266.60000000000218</v>
      </c>
      <c r="H114" s="99">
        <f>G114+'18 '!H114</f>
        <v>-3391.8999999999996</v>
      </c>
      <c r="I114" s="165"/>
      <c r="J114" s="328">
        <f>H114/DAY(B2)</f>
        <v>-178.52105263157893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'18 '!F115</f>
        <v>8969.3700000000008</v>
      </c>
      <c r="F115" s="237">
        <v>8979.4500000000007</v>
      </c>
      <c r="G115" s="606">
        <f t="shared" si="9"/>
        <v>10.079999999999927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'18 '!F116</f>
        <v>0</v>
      </c>
      <c r="F116" s="237">
        <v>0</v>
      </c>
      <c r="G116" s="606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'18 '!F117</f>
        <v>3023.11</v>
      </c>
      <c r="F117" s="237">
        <v>3046.45</v>
      </c>
      <c r="G117" s="606">
        <f t="shared" si="9"/>
        <v>23.339999999999691</v>
      </c>
      <c r="H117" s="99">
        <f>G117+'18 '!H117</f>
        <v>-291.5</v>
      </c>
      <c r="I117" s="165"/>
      <c r="J117" s="328">
        <f>H117/DAY(B2)</f>
        <v>-15.342105263157896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'18 '!F118</f>
        <v>248035.49</v>
      </c>
      <c r="F118" s="237">
        <v>248401.09</v>
      </c>
      <c r="G118" s="606">
        <f t="shared" si="9"/>
        <v>365.60000000000582</v>
      </c>
      <c r="H118" s="99">
        <f>G118+'18 '!H118</f>
        <v>-4051.2200000000012</v>
      </c>
      <c r="I118" s="165"/>
      <c r="J118" s="328">
        <f>H118/DAY(B2)</f>
        <v>-213.22210526315794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'18 '!F119</f>
        <v>252682.05</v>
      </c>
      <c r="F119" s="237">
        <v>253125.45</v>
      </c>
      <c r="G119" s="606">
        <f t="shared" si="9"/>
        <v>443.40000000002328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'18 '!F120</f>
        <v>37580.07</v>
      </c>
      <c r="F120" s="237">
        <v>37987.129999999997</v>
      </c>
      <c r="G120" s="606">
        <f t="shared" si="9"/>
        <v>407.05999999999767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'18 '!F121</f>
        <v>389079</v>
      </c>
      <c r="F121" s="237">
        <v>389744.43</v>
      </c>
      <c r="G121" s="606">
        <f t="shared" si="9"/>
        <v>665.42999999999302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'18 '!F122</f>
        <v>123702</v>
      </c>
      <c r="F122" s="237">
        <v>123875.49</v>
      </c>
      <c r="G122" s="606">
        <f t="shared" si="9"/>
        <v>173.49000000000524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'18 '!F123</f>
        <v>150502.59</v>
      </c>
      <c r="F123" s="237">
        <v>150781.35</v>
      </c>
      <c r="G123" s="606">
        <f t="shared" si="9"/>
        <v>278.76000000000931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>
      <c r="A124" s="904"/>
      <c r="B124" s="905"/>
      <c r="C124" s="906"/>
      <c r="D124" s="165"/>
      <c r="E124" s="95">
        <f>'18 '!F124</f>
        <v>0</v>
      </c>
      <c r="F124" s="165"/>
      <c r="G124" s="6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628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628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'18 '!F128</f>
        <v>43694.22</v>
      </c>
      <c r="F128" s="165">
        <v>44007</v>
      </c>
      <c r="G128" s="606">
        <f t="shared" ref="G128:G134" si="10">F128-E128</f>
        <v>312.77999999999884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6">
        <f t="shared" si="10"/>
        <v>198.02999999999884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6">
        <f t="shared" si="10"/>
        <v>752.9800000000032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'18 '!F131</f>
        <v>14447.42</v>
      </c>
      <c r="F131" s="165">
        <v>14534.22</v>
      </c>
      <c r="G131" s="606">
        <f t="shared" si="10"/>
        <v>86.799999999999272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'18 '!F132</f>
        <v>49682.7</v>
      </c>
      <c r="F132" s="165">
        <v>49852.15</v>
      </c>
      <c r="G132" s="606">
        <f t="shared" si="10"/>
        <v>169.45000000000437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'18 '!F133</f>
        <v>98583.4</v>
      </c>
      <c r="F133" s="165">
        <v>99251.43</v>
      </c>
      <c r="G133" s="606">
        <f t="shared" si="10"/>
        <v>668.02999999999884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'18 '!F134</f>
        <v>6368.93</v>
      </c>
      <c r="F134" s="165">
        <v>6620</v>
      </c>
      <c r="G134" s="606">
        <f t="shared" si="10"/>
        <v>251.06999999999971</v>
      </c>
      <c r="H134" s="99">
        <f>G134+'18 '!H134</f>
        <v>669192.77</v>
      </c>
      <c r="I134" s="165"/>
      <c r="J134" s="328">
        <f>H134/DAY(B2)</f>
        <v>35220.672105263162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606">
        <f>SUM(G128:G134)</f>
        <v>2439.1400000000031</v>
      </c>
      <c r="H135" s="99">
        <f>G135+'10'!H135</f>
        <v>629677.36</v>
      </c>
      <c r="I135" s="327">
        <f>G135-(G35+G49)</f>
        <v>-502.50999999999658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627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'18 '!F138</f>
        <v>865289</v>
      </c>
      <c r="F138" s="147">
        <v>865348</v>
      </c>
      <c r="G138" s="606">
        <f t="shared" ref="G138:G152" si="11">F138-E138</f>
        <v>59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'18 '!F139</f>
        <v>886551</v>
      </c>
      <c r="F139" s="148">
        <v>886551</v>
      </c>
      <c r="G139" s="606">
        <f t="shared" si="11"/>
        <v>0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'18 '!F140</f>
        <v>88898</v>
      </c>
      <c r="F140" s="149">
        <v>88898</v>
      </c>
      <c r="G140" s="606">
        <f t="shared" si="11"/>
        <v>0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'18 '!F141</f>
        <v>52406.65</v>
      </c>
      <c r="F141" s="149">
        <v>52577.7</v>
      </c>
      <c r="G141" s="606">
        <f t="shared" si="11"/>
        <v>171.04999999999563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'18 '!F142</f>
        <v>20277.63</v>
      </c>
      <c r="F142" s="148">
        <v>20344.240000000002</v>
      </c>
      <c r="G142" s="606">
        <f t="shared" si="11"/>
        <v>66.610000000000582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'18 '!F143</f>
        <v>3491.46</v>
      </c>
      <c r="F143" s="149">
        <v>3515.52</v>
      </c>
      <c r="G143" s="606">
        <f t="shared" si="11"/>
        <v>24.059999999999945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'18 '!F144</f>
        <v>873743</v>
      </c>
      <c r="F144" s="149">
        <v>873963</v>
      </c>
      <c r="G144" s="606">
        <f t="shared" si="11"/>
        <v>220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>
      <c r="A145" s="874" t="s">
        <v>190</v>
      </c>
      <c r="B145" s="874"/>
      <c r="C145" s="874"/>
      <c r="D145" s="152" t="s">
        <v>183</v>
      </c>
      <c r="E145" s="95">
        <f>'18 '!F145</f>
        <v>4827.1899999999996</v>
      </c>
      <c r="F145" s="149">
        <v>4843.3999999999996</v>
      </c>
      <c r="G145" s="606">
        <f t="shared" si="11"/>
        <v>16.210000000000036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>
      <c r="A146" s="875" t="s">
        <v>191</v>
      </c>
      <c r="B146" s="876"/>
      <c r="C146" s="877"/>
      <c r="D146" s="152" t="s">
        <v>183</v>
      </c>
      <c r="E146" s="95">
        <f>'18 '!F146</f>
        <v>732122</v>
      </c>
      <c r="F146" s="148">
        <v>732529</v>
      </c>
      <c r="G146" s="606">
        <f t="shared" si="11"/>
        <v>407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>
      <c r="A147" s="878" t="s">
        <v>192</v>
      </c>
      <c r="B147" s="878"/>
      <c r="C147" s="878"/>
      <c r="D147" s="152" t="s">
        <v>183</v>
      </c>
      <c r="E147" s="95">
        <f>'18 '!F147</f>
        <v>621813.56000000006</v>
      </c>
      <c r="F147" s="148">
        <v>622164.64</v>
      </c>
      <c r="G147" s="606">
        <f t="shared" si="11"/>
        <v>351.07999999995809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>
      <c r="A148" s="870" t="s">
        <v>193</v>
      </c>
      <c r="B148" s="871"/>
      <c r="C148" s="872"/>
      <c r="D148" s="123" t="s">
        <v>130</v>
      </c>
      <c r="E148" s="95">
        <f>'18 '!F148</f>
        <v>687015.44</v>
      </c>
      <c r="F148" s="150">
        <v>687181.52</v>
      </c>
      <c r="G148" s="606">
        <f t="shared" si="11"/>
        <v>166.08000000007451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>
      <c r="A149" s="870" t="s">
        <v>336</v>
      </c>
      <c r="B149" s="871"/>
      <c r="C149" s="872"/>
      <c r="D149" s="227" t="s">
        <v>130</v>
      </c>
      <c r="E149" s="95">
        <f>'18 '!F149</f>
        <v>18255.259999999998</v>
      </c>
      <c r="F149" s="498">
        <v>18705.96</v>
      </c>
      <c r="G149" s="606">
        <f t="shared" si="11"/>
        <v>450.70000000000073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>
      <c r="A150" s="870" t="s">
        <v>337</v>
      </c>
      <c r="B150" s="871"/>
      <c r="C150" s="872"/>
      <c r="D150" s="117" t="s">
        <v>130</v>
      </c>
      <c r="E150" s="95">
        <f>'18 '!F150</f>
        <v>7974.99</v>
      </c>
      <c r="F150" s="233">
        <v>8195.51</v>
      </c>
      <c r="G150" s="606">
        <f t="shared" si="11"/>
        <v>220.52000000000044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>
      <c r="A151" s="870" t="s">
        <v>338</v>
      </c>
      <c r="B151" s="871"/>
      <c r="C151" s="872"/>
      <c r="D151" s="117" t="s">
        <v>130</v>
      </c>
      <c r="E151" s="95">
        <f>'18 '!F151</f>
        <v>82410</v>
      </c>
      <c r="F151" s="233">
        <v>82600</v>
      </c>
      <c r="G151" s="606">
        <f t="shared" si="11"/>
        <v>190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>
      <c r="A152" s="870" t="s">
        <v>339</v>
      </c>
      <c r="B152" s="871"/>
      <c r="C152" s="872"/>
      <c r="D152" s="117" t="s">
        <v>130</v>
      </c>
      <c r="E152" s="95">
        <f>'18 '!F152</f>
        <v>1435.92</v>
      </c>
      <c r="F152" s="233">
        <v>1452.1</v>
      </c>
      <c r="G152" s="606">
        <f t="shared" si="11"/>
        <v>16.179999999999836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>
      <c r="A153" s="907" t="s">
        <v>196</v>
      </c>
      <c r="B153" s="908"/>
      <c r="C153" s="365"/>
      <c r="D153" s="358"/>
      <c r="E153" s="360"/>
      <c r="F153" s="361"/>
      <c r="G153" s="629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7" ht="31.5">
      <c r="A155" s="878" t="s">
        <v>345</v>
      </c>
      <c r="B155" s="878"/>
      <c r="C155" s="878"/>
      <c r="D155" s="117" t="s">
        <v>130</v>
      </c>
      <c r="E155" s="95">
        <f>'18 '!F155</f>
        <v>23908.77</v>
      </c>
      <c r="F155" s="157">
        <v>24510</v>
      </c>
      <c r="G155" s="606">
        <f t="shared" ref="G155:G158" si="12">F155-E155</f>
        <v>601.22999999999956</v>
      </c>
      <c r="H155" s="99">
        <f>G155+'18 '!H155</f>
        <v>-8435.0000000000036</v>
      </c>
      <c r="I155" s="364"/>
      <c r="J155" s="328">
        <f>H155/DAY(B2)</f>
        <v>-443.94736842105283</v>
      </c>
    </row>
    <row r="156" spans="1:17" ht="27.75">
      <c r="A156" s="878" t="s">
        <v>347</v>
      </c>
      <c r="B156" s="878"/>
      <c r="C156" s="878"/>
      <c r="D156" s="117" t="s">
        <v>130</v>
      </c>
      <c r="E156" s="95">
        <f>'18 '!F156</f>
        <v>2010.05</v>
      </c>
      <c r="F156" s="157">
        <v>2070</v>
      </c>
      <c r="G156" s="606">
        <f t="shared" si="12"/>
        <v>59.950000000000045</v>
      </c>
      <c r="H156" s="99">
        <f>G156+'18 '!H156</f>
        <v>-718</v>
      </c>
      <c r="I156" s="165"/>
      <c r="J156" s="328">
        <f>H156/DAY(B2)</f>
        <v>-37.789473684210527</v>
      </c>
      <c r="P156" s="65">
        <v>164.5</v>
      </c>
      <c r="Q156" s="65" t="s">
        <v>371</v>
      </c>
    </row>
    <row r="157" spans="1:17" ht="27.75">
      <c r="A157" s="870" t="s">
        <v>364</v>
      </c>
      <c r="B157" s="871"/>
      <c r="C157" s="872"/>
      <c r="D157" s="117" t="s">
        <v>130</v>
      </c>
      <c r="E157" s="95">
        <f>'18 '!F157</f>
        <v>2598.1799999999998</v>
      </c>
      <c r="F157" s="374">
        <v>2720.16</v>
      </c>
      <c r="G157" s="606">
        <f t="shared" si="12"/>
        <v>121.98000000000002</v>
      </c>
      <c r="H157" s="99"/>
      <c r="I157" s="165"/>
      <c r="J157" s="328"/>
    </row>
    <row r="158" spans="1:17" ht="27.75">
      <c r="A158" s="870" t="s">
        <v>365</v>
      </c>
      <c r="B158" s="871"/>
      <c r="C158" s="872"/>
      <c r="D158" s="117" t="s">
        <v>130</v>
      </c>
      <c r="E158" s="95">
        <f>'18 '!F158</f>
        <v>23.34</v>
      </c>
      <c r="F158" s="374">
        <v>24.34</v>
      </c>
      <c r="G158" s="606">
        <f t="shared" si="12"/>
        <v>1</v>
      </c>
      <c r="H158" s="99"/>
      <c r="I158" s="165"/>
      <c r="J158" s="328"/>
    </row>
    <row r="159" spans="1:17" ht="27.75">
      <c r="A159" s="927"/>
      <c r="B159" s="928"/>
      <c r="C159" s="929"/>
      <c r="D159" s="117"/>
      <c r="E159" s="95"/>
      <c r="F159" s="165"/>
      <c r="G159" s="606"/>
      <c r="H159" s="99"/>
      <c r="I159" s="165"/>
      <c r="J159" s="328"/>
    </row>
    <row r="160" spans="1:17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0">
        <f t="shared" ref="G161:G165" si="13">F161-E161</f>
        <v>7.2000000000116415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0">
        <f t="shared" si="13"/>
        <v>42.099999999991269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0">
        <f t="shared" si="13"/>
        <v>64.30000000000291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0">
        <f t="shared" si="13"/>
        <v>4.5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0">
        <f t="shared" si="13"/>
        <v>7.819999999999709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>
      <c r="A166" s="910"/>
      <c r="B166" s="910"/>
      <c r="C166" s="246"/>
      <c r="D166" s="244"/>
      <c r="E166" s="95"/>
      <c r="F166" s="165"/>
      <c r="G166" s="627"/>
      <c r="H166" s="99"/>
      <c r="I166" s="165"/>
      <c r="J166" s="239"/>
    </row>
    <row r="167" spans="1:10" ht="29.25">
      <c r="A167" s="910"/>
      <c r="B167" s="910"/>
      <c r="C167" s="246"/>
      <c r="D167" s="244"/>
      <c r="E167" s="95"/>
      <c r="F167" s="165"/>
      <c r="G167" s="627"/>
      <c r="H167" s="99"/>
      <c r="I167" s="165"/>
      <c r="J167" s="239"/>
    </row>
    <row r="168" spans="1:10" ht="29.25">
      <c r="A168" s="910"/>
      <c r="B168" s="910"/>
      <c r="C168" s="246"/>
      <c r="D168" s="244"/>
      <c r="E168" s="95"/>
      <c r="F168" s="165"/>
      <c r="G168" s="627"/>
      <c r="H168" s="99"/>
      <c r="I168" s="165"/>
      <c r="J168" s="239"/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631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'18 '!F173</f>
        <v>8126</v>
      </c>
      <c r="F173" s="157">
        <v>8126</v>
      </c>
      <c r="G173" s="631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'18 '!F174</f>
        <v>38457</v>
      </c>
      <c r="F174" s="157">
        <v>38466</v>
      </c>
      <c r="G174" s="631">
        <f t="shared" ref="G174:G175" si="14">F174-E174</f>
        <v>9</v>
      </c>
      <c r="H174" s="99">
        <f>G174+'18 '!H174</f>
        <v>-149</v>
      </c>
      <c r="I174" s="155"/>
      <c r="J174" s="178">
        <f>H174/DAY(B2)</f>
        <v>-7.8421052631578947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'18 '!F175</f>
        <v>21683</v>
      </c>
      <c r="F175" s="155">
        <v>21692</v>
      </c>
      <c r="G175" s="631">
        <f t="shared" si="14"/>
        <v>9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631">
        <f>SUM(G173:G175)</f>
        <v>18</v>
      </c>
      <c r="H176" s="99">
        <f>G176+'18 '!H176</f>
        <v>-270</v>
      </c>
      <c r="I176" s="155"/>
      <c r="J176" s="178">
        <f>H176/DAY(B2)</f>
        <v>-14.210526315789474</v>
      </c>
    </row>
    <row r="177" spans="1:11" ht="27.75">
      <c r="A177" s="868" t="s">
        <v>77</v>
      </c>
      <c r="B177" s="869"/>
      <c r="C177" s="333"/>
      <c r="D177" s="228" t="s">
        <v>142</v>
      </c>
      <c r="E177" s="95"/>
      <c r="F177" s="155"/>
      <c r="G177" s="631"/>
      <c r="H177" s="99">
        <f>G177+'18 '!H177</f>
        <v>0</v>
      </c>
      <c r="I177" s="155"/>
      <c r="J177" s="178">
        <f>H177/DAY(B2)</f>
        <v>0</v>
      </c>
    </row>
    <row r="178" spans="1:11" ht="27.75">
      <c r="A178" s="868" t="s">
        <v>210</v>
      </c>
      <c r="B178" s="869"/>
      <c r="C178" s="333"/>
      <c r="D178" s="228" t="s">
        <v>142</v>
      </c>
      <c r="E178" s="95">
        <f>'18 '!F178</f>
        <v>80653</v>
      </c>
      <c r="F178" s="155">
        <v>80688</v>
      </c>
      <c r="G178" s="631">
        <f>F178-E178</f>
        <v>35</v>
      </c>
      <c r="H178" s="99">
        <f>G178+'18 '!H178</f>
        <v>-627</v>
      </c>
      <c r="I178" s="155"/>
      <c r="J178" s="178">
        <f>H178/DAY(B2)</f>
        <v>-33</v>
      </c>
    </row>
    <row r="179" spans="1:11" ht="27.75">
      <c r="A179" s="868" t="s">
        <v>211</v>
      </c>
      <c r="B179" s="869"/>
      <c r="C179" s="333"/>
      <c r="D179" s="228" t="s">
        <v>142</v>
      </c>
      <c r="E179" s="95">
        <f>'18 '!F179</f>
        <v>34332</v>
      </c>
      <c r="F179" s="155">
        <v>34336</v>
      </c>
      <c r="G179" s="631">
        <f t="shared" ref="G179:G180" si="15">F179-E179</f>
        <v>4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>
      <c r="A180" s="868" t="s">
        <v>212</v>
      </c>
      <c r="B180" s="869"/>
      <c r="C180" s="333"/>
      <c r="D180" s="228" t="s">
        <v>142</v>
      </c>
      <c r="E180" s="95">
        <f>'18 '!F180</f>
        <v>5611</v>
      </c>
      <c r="F180" s="155">
        <v>5611</v>
      </c>
      <c r="G180" s="631">
        <f t="shared" si="15"/>
        <v>0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>
      <c r="A181" s="912" t="s">
        <v>108</v>
      </c>
      <c r="B181" s="913"/>
      <c r="C181" s="483"/>
      <c r="D181" s="228" t="s">
        <v>142</v>
      </c>
      <c r="E181" s="95"/>
      <c r="F181" s="155"/>
      <c r="G181" s="631">
        <f>SUM(G178:G180)</f>
        <v>39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>
      <c r="A182" s="868" t="s">
        <v>213</v>
      </c>
      <c r="B182" s="869"/>
      <c r="C182" s="333"/>
      <c r="D182" s="228" t="s">
        <v>142</v>
      </c>
      <c r="E182" s="95"/>
      <c r="F182" s="155"/>
      <c r="G182" s="631"/>
      <c r="H182" s="99">
        <f>G182+'18 '!H182</f>
        <v>0</v>
      </c>
      <c r="I182" s="155"/>
      <c r="J182" s="178">
        <f>H182/DAY(B2)</f>
        <v>0</v>
      </c>
    </row>
    <row r="183" spans="1:11" ht="27.75">
      <c r="A183" s="868" t="s">
        <v>214</v>
      </c>
      <c r="B183" s="869"/>
      <c r="C183" s="334"/>
      <c r="D183" s="228" t="s">
        <v>142</v>
      </c>
      <c r="E183" s="95">
        <f>'18 '!F183</f>
        <v>15161</v>
      </c>
      <c r="F183" s="157">
        <v>15172</v>
      </c>
      <c r="G183" s="632">
        <f>F183-E183</f>
        <v>11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>
      <c r="A184" s="868" t="s">
        <v>215</v>
      </c>
      <c r="B184" s="869"/>
      <c r="C184" s="334"/>
      <c r="D184" s="228" t="s">
        <v>142</v>
      </c>
      <c r="E184" s="95">
        <f>'18 '!F184</f>
        <v>10415</v>
      </c>
      <c r="F184" s="157">
        <v>10420</v>
      </c>
      <c r="G184" s="632">
        <f t="shared" ref="G184:G185" si="16">F184-E184</f>
        <v>5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>
      <c r="A185" s="868" t="s">
        <v>216</v>
      </c>
      <c r="B185" s="869"/>
      <c r="C185" s="334"/>
      <c r="D185" s="228" t="s">
        <v>142</v>
      </c>
      <c r="E185" s="95">
        <f>'18 '!F185</f>
        <v>0</v>
      </c>
      <c r="F185" s="157"/>
      <c r="G185" s="63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>
      <c r="A186" s="907" t="s">
        <v>196</v>
      </c>
      <c r="B186" s="908"/>
      <c r="C186" s="482"/>
      <c r="D186" s="228" t="s">
        <v>142</v>
      </c>
      <c r="E186" s="95"/>
      <c r="F186" s="157"/>
      <c r="G186" s="632">
        <f>SUM(G183:G185)</f>
        <v>16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>
      <c r="A187" s="916" t="s">
        <v>217</v>
      </c>
      <c r="B187" s="917"/>
      <c r="C187" s="333"/>
      <c r="D187" s="230" t="s">
        <v>142</v>
      </c>
      <c r="E187" s="95"/>
      <c r="F187" s="159"/>
      <c r="G187" s="633">
        <f>G62+G19</f>
        <v>117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>
      <c r="A188" s="916" t="s">
        <v>218</v>
      </c>
      <c r="B188" s="917"/>
      <c r="C188" s="333"/>
      <c r="D188" s="230" t="s">
        <v>142</v>
      </c>
      <c r="E188" s="95"/>
      <c r="F188" s="159"/>
      <c r="G188" s="633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>
      <c r="A189" s="916" t="s">
        <v>219</v>
      </c>
      <c r="B189" s="917"/>
      <c r="C189" s="333"/>
      <c r="D189" s="230" t="s">
        <v>142</v>
      </c>
      <c r="E189" s="95"/>
      <c r="F189" s="157"/>
      <c r="G189" s="633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/>
    <row r="192" spans="1:11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-196692.44</v>
      </c>
      <c r="I8" s="116"/>
      <c r="J8" s="175">
        <f>H8/DAY(B2)</f>
        <v>-9834.6219999999994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2207806.6800000002</v>
      </c>
      <c r="I9" s="124">
        <f>I7-J7</f>
        <v>33612.553999999996</v>
      </c>
      <c r="J9" s="175">
        <f>H9/DAY(B2)</f>
        <v>110390.334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558529.1</v>
      </c>
      <c r="I10" s="282"/>
      <c r="J10" s="175">
        <f>H10/DAY(B2)</f>
        <v>27926.454999999998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2749581.35</v>
      </c>
      <c r="I13" s="120">
        <f>G7-G13</f>
        <v>460.75000000002183</v>
      </c>
      <c r="J13" s="175">
        <f>H13/DAY(B2)</f>
        <v>137479.0675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-10593.516999999993</v>
      </c>
      <c r="I15" s="113">
        <f>'1'!I15</f>
        <v>800</v>
      </c>
      <c r="J15" s="175">
        <f>H15/DAY(B2)</f>
        <v>-529.67584999999963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1329.6758499999996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2470</v>
      </c>
      <c r="I18" s="113">
        <f>'1'!I18</f>
        <v>65</v>
      </c>
      <c r="J18" s="175">
        <f>H18/DAY(B2)</f>
        <v>123.5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1871</v>
      </c>
      <c r="I20" s="336">
        <f>I18-J20</f>
        <v>-28.549999999999997</v>
      </c>
      <c r="J20" s="175">
        <f>H20/DAY(B2)</f>
        <v>93.55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-1770231.9600000004</v>
      </c>
      <c r="I27" s="138"/>
      <c r="J27" s="175">
        <f>H27/DAY(B2)</f>
        <v>-88511.598000000027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-550862.88399999961</v>
      </c>
      <c r="I28" s="140"/>
      <c r="J28" s="175">
        <f>H28/DAY(B2)</f>
        <v>-27543.144199999981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-87454</v>
      </c>
      <c r="I30" s="140"/>
      <c r="J30" s="175">
        <f>H30/DAY(B2)</f>
        <v>-4372.7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197600</v>
      </c>
      <c r="I31" s="140"/>
      <c r="J31" s="175">
        <f>H31/DAY(B2)</f>
        <v>9880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-2203358.844</v>
      </c>
      <c r="I32" s="144"/>
      <c r="J32" s="175">
        <f>H32/DAY(B2)</f>
        <v>-110167.9422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153830.83000000005</v>
      </c>
      <c r="I35" s="95"/>
      <c r="J35" s="175">
        <f>H35/DAY(B2)</f>
        <v>7691.5415000000021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190197.83000000005</v>
      </c>
      <c r="I37" s="95"/>
      <c r="J37" s="175">
        <f>H37/DAY(B2)</f>
        <v>9509.8915000000015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226406.42</v>
      </c>
      <c r="I38" s="95"/>
      <c r="J38" s="175">
        <f>H38/DAY(B2)</f>
        <v>11320.321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404095.32</v>
      </c>
      <c r="I39" s="95"/>
      <c r="J39" s="175">
        <f>H39/DAY(B2)</f>
        <v>20204.766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15128.789999999997</v>
      </c>
      <c r="I40" s="95"/>
      <c r="J40" s="175">
        <f>H40/DAY(B2)</f>
        <v>756.43949999999984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-26321.14</v>
      </c>
      <c r="I42" s="95"/>
      <c r="J42" s="175">
        <f>H42/DAY(B2)</f>
        <v>-1316.057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-22784.61</v>
      </c>
      <c r="I43" s="95"/>
      <c r="J43" s="175">
        <f>H43/DAY(B2)</f>
        <v>-1139.2305000000001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932426.52000000014</v>
      </c>
      <c r="I47" s="95"/>
      <c r="J47" s="175">
        <f>H47/DAY(B2)</f>
        <v>46621.326000000008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275155.90999999997</v>
      </c>
      <c r="I49" s="95"/>
      <c r="J49" s="175">
        <f>H49/DAY(B2)</f>
        <v>13757.795499999998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4950.08</v>
      </c>
      <c r="I54" s="95"/>
      <c r="J54" s="175">
        <f>H54/DAY(B2)</f>
        <v>247.50399999999999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90396.410000000018</v>
      </c>
      <c r="I58" s="95"/>
      <c r="J58" s="175">
        <f>H58/DAY(B2)</f>
        <v>4519.8205000000007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346960.48</v>
      </c>
      <c r="I59" s="95">
        <f>G7-G60</f>
        <v>1383.8700000000299</v>
      </c>
      <c r="J59" s="175">
        <f>H59/DAY(B2)</f>
        <v>17348.023999999998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1279387</v>
      </c>
      <c r="I60" s="95">
        <f>G13-G60</f>
        <v>923.12000000000808</v>
      </c>
      <c r="J60" s="175">
        <f>H60/DAY(B2)</f>
        <v>63969.35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-1357</v>
      </c>
      <c r="I63" s="118"/>
      <c r="J63" s="175">
        <f>H63/DAY(B2)</f>
        <v>-67.849999999999994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'19'!F64</f>
        <v>0</v>
      </c>
      <c r="F64" s="122"/>
      <c r="G64" s="112">
        <f>G62+G63</f>
        <v>174</v>
      </c>
      <c r="H64" s="99">
        <f>G64+'19'!H64</f>
        <v>-2436</v>
      </c>
      <c r="I64" s="118"/>
      <c r="J64" s="175">
        <f>H64/DAY(B2)</f>
        <v>-121.8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-14.100000000000364</v>
      </c>
      <c r="I78" s="118"/>
      <c r="J78" s="175">
        <f>H78/DAY(B2)</f>
        <v>-0.70500000000001817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-5738.9580000000478</v>
      </c>
      <c r="I79" s="118"/>
      <c r="J79" s="175"/>
      <c r="K79" s="59"/>
      <c r="L79" s="58"/>
      <c r="N79" s="87"/>
      <c r="O79" s="71"/>
    </row>
    <row r="80" spans="1:15" s="57" customFormat="1" ht="29.25">
      <c r="A80" s="943" t="s">
        <v>329</v>
      </c>
      <c r="B80" s="944"/>
      <c r="C80" s="945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-165.44000000000005</v>
      </c>
      <c r="I85" s="118">
        <f>G82+G83+G84+G85</f>
        <v>-0.12999999999965439</v>
      </c>
      <c r="J85" s="175">
        <f>H85/DAY(B2)</f>
        <v>-8.272000000000002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406202.12999999995</v>
      </c>
      <c r="I94" s="118"/>
      <c r="J94" s="175">
        <f>H94/DAY(B2)</f>
        <v>20310.106499999998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0.29205263362464584</v>
      </c>
      <c r="H95" s="99">
        <f>G95+'19'!H95</f>
        <v>4.7446020058997771</v>
      </c>
      <c r="I95" s="167"/>
      <c r="J95" s="175">
        <f>H95/DAY(B2)</f>
        <v>0.23723010029498887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-37412.780000000006</v>
      </c>
      <c r="I96" s="118"/>
      <c r="J96" s="175">
        <f>H96/DAY(B2)</f>
        <v>-1870.6390000000004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0.15479380379892518</v>
      </c>
      <c r="H97" s="99">
        <f>G97+'19'!H97</f>
        <v>3.4492146188999366</v>
      </c>
      <c r="I97" s="167"/>
      <c r="J97" s="175">
        <f>H97/DAY(B2)</f>
        <v>0.17246073094499684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2507.0499999999993</v>
      </c>
      <c r="H98" s="99">
        <f>G98+'19'!H98</f>
        <v>404095.32</v>
      </c>
      <c r="I98" s="168"/>
      <c r="J98" s="175">
        <f>H98/DAY(B2)</f>
        <v>20204.766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0.14991493827418853</v>
      </c>
      <c r="H99" s="99">
        <f>G99+'19'!H99</f>
        <v>2.0835867021634242</v>
      </c>
      <c r="I99" s="168"/>
      <c r="J99" s="175">
        <f>H99/DAY(B2)</f>
        <v>0.10417933510817121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226406.42</v>
      </c>
      <c r="I100" s="118"/>
      <c r="J100" s="175">
        <f>H100/DAY(B2)</f>
        <v>11320.321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1.3629263552500852</v>
      </c>
      <c r="I101" s="168"/>
      <c r="J101" s="175">
        <f>H101/DAY(B2)</f>
        <v>6.8146317762504266E-2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1.8083703786880199</v>
      </c>
      <c r="I103" s="118"/>
      <c r="J103" s="175">
        <f>H103/DAY(B2)</f>
        <v>9.041851893440099E-2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190197.83000000005</v>
      </c>
      <c r="I104" s="118"/>
      <c r="J104" s="175">
        <f>H104/DAY(B2)</f>
        <v>9509.8915000000015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1.3040680315019972</v>
      </c>
      <c r="I105" s="187"/>
      <c r="J105" s="188">
        <f>H105/DAY(B2)</f>
        <v>6.5203401575099865E-2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-3131.9499999999989</v>
      </c>
      <c r="I114" s="165"/>
      <c r="J114" s="328">
        <f>H114/DAY(B2)</f>
        <v>-156.59749999999994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>
      <c r="A124" s="904"/>
      <c r="B124" s="905"/>
      <c r="C124" s="906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>
      <c r="A125" s="935" t="s">
        <v>108</v>
      </c>
      <c r="B125" s="93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669438.98</v>
      </c>
      <c r="I134" s="165"/>
      <c r="J134" s="328">
        <f>H134/DAY(B2)</f>
        <v>33471.949000000001</v>
      </c>
    </row>
    <row r="135" spans="1:15" ht="27.75">
      <c r="A135" s="946" t="s">
        <v>108</v>
      </c>
      <c r="B135" s="947"/>
      <c r="C135" s="913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-7798.3000000000029</v>
      </c>
      <c r="I155" s="364"/>
      <c r="J155" s="328">
        <f>H155/DAY(B2)</f>
        <v>-389.91500000000013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-669.75</v>
      </c>
      <c r="I156" s="165"/>
      <c r="J156" s="328">
        <f>H156/DAY(B2)</f>
        <v>-33.487499999999997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>
      <c r="A166" s="910"/>
      <c r="B166" s="91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-137</v>
      </c>
      <c r="I174" s="155"/>
      <c r="J174" s="178">
        <f>H174/DAY(B2)</f>
        <v>-6.85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-246</v>
      </c>
      <c r="I176" s="155"/>
      <c r="J176" s="178">
        <f>H176/DAY(B2)</f>
        <v>-12.3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68" t="s">
        <v>214</v>
      </c>
      <c r="B183" s="869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>
      <c r="A184" s="868" t="s">
        <v>215</v>
      </c>
      <c r="B184" s="869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>
      <c r="A185" s="868" t="s">
        <v>216</v>
      </c>
      <c r="B185" s="869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-178144.40000000002</v>
      </c>
      <c r="I8" s="116"/>
      <c r="J8" s="175">
        <f>H8/DAY(B2)</f>
        <v>-8483.0666666666675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2219365.56</v>
      </c>
      <c r="I9" s="124">
        <f>I7-J7</f>
        <v>20303.929523809522</v>
      </c>
      <c r="J9" s="175">
        <f>H9/DAY(B2)</f>
        <v>105684.07428571429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564318.82999999996</v>
      </c>
      <c r="I10" s="282"/>
      <c r="J10" s="175">
        <f>H10/DAY(B2)</f>
        <v>26872.325238095236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2766929.96</v>
      </c>
      <c r="I13" s="120">
        <f>G7-G13</f>
        <v>519.94999999999709</v>
      </c>
      <c r="J13" s="175">
        <f>H13/DAY(B2)</f>
        <v>131758.56952380954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-9576.1769999999087</v>
      </c>
      <c r="I15" s="113">
        <f>'1'!I15</f>
        <v>800</v>
      </c>
      <c r="J15" s="175">
        <f>H15/DAY(B2)</f>
        <v>-456.00842857142425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1256.0084285714242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2580</v>
      </c>
      <c r="I18" s="113">
        <f>'1'!I18</f>
        <v>65</v>
      </c>
      <c r="J18" s="175">
        <f>H18/DAY(B2)</f>
        <v>122.85714285714286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2038</v>
      </c>
      <c r="I20" s="336">
        <f>I18-J20</f>
        <v>-32.047619047619051</v>
      </c>
      <c r="J20" s="175">
        <f>H20/DAY(B2)</f>
        <v>97.047619047619051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-1603299.6000000006</v>
      </c>
      <c r="I27" s="138"/>
      <c r="J27" s="175">
        <f>H27/DAY(B2)</f>
        <v>-76347.60000000002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-497961.20399999525</v>
      </c>
      <c r="I28" s="140"/>
      <c r="J28" s="175">
        <f>H28/DAY(B2)</f>
        <v>-23712.438285714059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-79132</v>
      </c>
      <c r="I30" s="140"/>
      <c r="J30" s="175">
        <f>H30/DAY(B2)</f>
        <v>-3768.1904761904761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206400</v>
      </c>
      <c r="I31" s="140"/>
      <c r="J31" s="175">
        <f>H31/DAY(B2)</f>
        <v>9828.5714285714294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-1966402.8039999958</v>
      </c>
      <c r="I32" s="144"/>
      <c r="J32" s="175">
        <f>H32/DAY(B2)</f>
        <v>-93638.228761904567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155284.80000000005</v>
      </c>
      <c r="I35" s="95"/>
      <c r="J35" s="175">
        <f>H35/DAY(B2)</f>
        <v>7394.5142857142882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191763.33000000005</v>
      </c>
      <c r="I37" s="95"/>
      <c r="J37" s="175">
        <f>H37/DAY(B2)</f>
        <v>9131.5871428571445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228077.87000000002</v>
      </c>
      <c r="I38" s="95"/>
      <c r="J38" s="175">
        <f>H38/DAY(B2)</f>
        <v>10860.850952380953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406693.56</v>
      </c>
      <c r="I39" s="95"/>
      <c r="J39" s="175">
        <f>H39/DAY(B2)</f>
        <v>19366.36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15484.119999999997</v>
      </c>
      <c r="I40" s="95"/>
      <c r="J40" s="175">
        <f>H40/DAY(B2)</f>
        <v>737.33904761904751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-26321.14</v>
      </c>
      <c r="I42" s="95"/>
      <c r="J42" s="175">
        <f>H42/DAY(B2)</f>
        <v>-1253.387619047619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-20444.670000000013</v>
      </c>
      <c r="I43" s="95"/>
      <c r="J43" s="175">
        <f>H43/DAY(B2)</f>
        <v>-973.55571428571488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943072.8600000001</v>
      </c>
      <c r="I47" s="95"/>
      <c r="J47" s="175">
        <f>H47/DAY(B2)</f>
        <v>44908.231428571431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276257.70999999996</v>
      </c>
      <c r="I49" s="95"/>
      <c r="J49" s="175">
        <f>H49/DAY(B2)</f>
        <v>13155.129047619046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4950.08</v>
      </c>
      <c r="I54" s="95"/>
      <c r="J54" s="175">
        <f>H54/DAY(B2)</f>
        <v>235.71809523809523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90630.60000000002</v>
      </c>
      <c r="I58" s="95"/>
      <c r="J58" s="175">
        <f>H58/DAY(B2)</f>
        <v>4315.7428571428582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352294.92</v>
      </c>
      <c r="I59" s="95">
        <f>G7-G60</f>
        <v>1887.7800000000134</v>
      </c>
      <c r="J59" s="175">
        <f>H59/DAY(B2)</f>
        <v>16775.948571428569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1295367.78</v>
      </c>
      <c r="I60" s="95">
        <f>G13-G60</f>
        <v>1367.8300000000163</v>
      </c>
      <c r="J60" s="175">
        <f>H60/DAY(B2)</f>
        <v>61684.18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-1261</v>
      </c>
      <c r="I63" s="118"/>
      <c r="J63" s="175">
        <f>H63/DAY(B2)</f>
        <v>-60.047619047619051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'20'!F64</f>
        <v>0</v>
      </c>
      <c r="F64" s="122"/>
      <c r="G64" s="112">
        <f>G62+G63</f>
        <v>156</v>
      </c>
      <c r="H64" s="99">
        <f>G64+'20'!H64</f>
        <v>-2280</v>
      </c>
      <c r="I64" s="118"/>
      <c r="J64" s="175">
        <f>H64/DAY(B2)</f>
        <v>-108.57142857142857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-13</v>
      </c>
      <c r="I78" s="118"/>
      <c r="J78" s="175">
        <f>H78/DAY(B2)</f>
        <v>-0.61904761904761907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-5172.5579999999754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-165.44000000000005</v>
      </c>
      <c r="I85" s="118">
        <f>G82+G83+G84+G85</f>
        <v>0.13999999999941792</v>
      </c>
      <c r="J85" s="175">
        <f>H85/DAY(B2)</f>
        <v>-7.8780952380952405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411097.83999999991</v>
      </c>
      <c r="I94" s="118"/>
      <c r="J94" s="175">
        <f>H94/DAY(B2)</f>
        <v>19576.087619047616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0.27398458521559571</v>
      </c>
      <c r="H95" s="99">
        <f>G95+'20'!H95</f>
        <v>5.0185865911153726</v>
      </c>
      <c r="I95" s="167"/>
      <c r="J95" s="175">
        <f>H95/DAY(B2)</f>
        <v>0.2389803138626368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-34574.380000000012</v>
      </c>
      <c r="I96" s="118"/>
      <c r="J96" s="175">
        <f>H96/DAY(B2)</f>
        <v>-1646.3990476190481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0.15884883840667599</v>
      </c>
      <c r="H97" s="99">
        <f>G97+'20'!H97</f>
        <v>3.6080634573066126</v>
      </c>
      <c r="I97" s="167"/>
      <c r="J97" s="175">
        <f>H97/DAY(B2)</f>
        <v>0.17181254558602918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2598.239999999998</v>
      </c>
      <c r="H98" s="99">
        <f>G98+'20'!H98</f>
        <v>406693.56</v>
      </c>
      <c r="I98" s="168"/>
      <c r="J98" s="175">
        <f>H98/DAY(B2)</f>
        <v>19366.36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0.14540847163957243</v>
      </c>
      <c r="H99" s="99">
        <f>G99+'20'!H99</f>
        <v>2.2289951738029967</v>
      </c>
      <c r="I99" s="168"/>
      <c r="J99" s="175">
        <f>H99/DAY(B2)</f>
        <v>0.10614262732395223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228077.87000000002</v>
      </c>
      <c r="I100" s="118"/>
      <c r="J100" s="175">
        <f>H100/DAY(B2)</f>
        <v>10860.850952380953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1.4564677486248172</v>
      </c>
      <c r="I101" s="168"/>
      <c r="J101" s="175">
        <f>H101/DAY(B2)</f>
        <v>6.9355607077372247E-2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1.910334946621866</v>
      </c>
      <c r="I103" s="118"/>
      <c r="J103" s="175">
        <f>H103/DAY(B2)</f>
        <v>9.0968330791517421E-2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1565.5</v>
      </c>
      <c r="H104" s="99">
        <f>G104+'20'!H104</f>
        <v>191763.33000000005</v>
      </c>
      <c r="I104" s="118"/>
      <c r="J104" s="175">
        <f>H104/DAY(B2)</f>
        <v>9131.5871428571445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1.3916800159036502</v>
      </c>
      <c r="I105" s="187"/>
      <c r="J105" s="188">
        <f>H105/DAY(B2)</f>
        <v>6.6270476947792867E-2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-2832.9300000000021</v>
      </c>
      <c r="I114" s="165"/>
      <c r="J114" s="328">
        <f>H114/DAY(B2)</f>
        <v>-134.90142857142868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669654.56999999995</v>
      </c>
      <c r="I134" s="165"/>
      <c r="J134" s="328">
        <f>H134/DAY(B2)</f>
        <v>31888.312857142853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629374.89</v>
      </c>
      <c r="I135" s="327">
        <f>G135-(G35+G49)</f>
        <v>-419.10000000000218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-7185.0600000000049</v>
      </c>
      <c r="I155" s="364"/>
      <c r="J155" s="328">
        <f>H155/DAY(B2)</f>
        <v>-342.14571428571452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-612.67999999999984</v>
      </c>
      <c r="I156" s="165"/>
      <c r="J156" s="328">
        <f>H156/DAY(B2)</f>
        <v>-29.175238095238086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4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4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>
      <c r="A166" s="910"/>
      <c r="B166" s="91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-126</v>
      </c>
      <c r="I174" s="155"/>
      <c r="J174" s="178">
        <f>H174/DAY(B2)</f>
        <v>-6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-225</v>
      </c>
      <c r="I176" s="155"/>
      <c r="J176" s="178">
        <f>H176/DAY(B2)</f>
        <v>-10.714285714285714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>
      <c r="A185" s="868" t="s">
        <v>216</v>
      </c>
      <c r="B185" s="869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-158221.64000000001</v>
      </c>
      <c r="I8" s="116"/>
      <c r="J8" s="175">
        <f>H8/DAY(B2)</f>
        <v>-7191.8927272727278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2231293.5</v>
      </c>
      <c r="I9" s="124">
        <f>I7-J7</f>
        <v>19053.025454545455</v>
      </c>
      <c r="J9" s="175">
        <f>H9/DAY(B2)</f>
        <v>101422.43181818182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571080.32999999996</v>
      </c>
      <c r="I10" s="282"/>
      <c r="J10" s="175">
        <f>H10/DAY(B2)</f>
        <v>25958.196818181816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2785619.4</v>
      </c>
      <c r="I13" s="120">
        <f>G7-G13</f>
        <v>526.51999999996042</v>
      </c>
      <c r="J13" s="175">
        <f>H13/DAY(B2)</f>
        <v>126619.06363636363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-8539.7669999999925</v>
      </c>
      <c r="I15" s="113">
        <f>'1'!I15</f>
        <v>800</v>
      </c>
      <c r="J15" s="175">
        <f>H15/DAY(B2)</f>
        <v>-388.17122727272692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1188.1712272727268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2700</v>
      </c>
      <c r="I18" s="113">
        <f>'1'!I18</f>
        <v>65</v>
      </c>
      <c r="J18" s="175">
        <f>H18/DAY(B2)</f>
        <v>122.72727272727273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2214</v>
      </c>
      <c r="I20" s="336">
        <f>I18-J20</f>
        <v>-35.63636363636364</v>
      </c>
      <c r="J20" s="175">
        <f>H20/DAY(B2)</f>
        <v>100.63636363636364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-1423994.7600000005</v>
      </c>
      <c r="I27" s="138"/>
      <c r="J27" s="175">
        <f>H27/DAY(B2)</f>
        <v>-64727.034545454568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-444067.88399999961</v>
      </c>
      <c r="I28" s="140"/>
      <c r="J28" s="175">
        <f>H28/DAY(B2)</f>
        <v>-20184.9038181818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-70956</v>
      </c>
      <c r="I30" s="140"/>
      <c r="J30" s="175">
        <f>H30/DAY(B2)</f>
        <v>-3225.2727272727275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216000</v>
      </c>
      <c r="I31" s="140"/>
      <c r="J31" s="175">
        <f>H31/DAY(B2)</f>
        <v>9818.181818181818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-1715428.6440000001</v>
      </c>
      <c r="I32" s="144"/>
      <c r="J32" s="175">
        <f>H32/DAY(B2)</f>
        <v>-77974.029272727275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156707.60000000003</v>
      </c>
      <c r="I35" s="95"/>
      <c r="J35" s="175">
        <f>H35/DAY(B2)</f>
        <v>7123.072727272729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193350.42000000004</v>
      </c>
      <c r="I37" s="95"/>
      <c r="J37" s="175">
        <f>H37/DAY(B2)</f>
        <v>8788.6554545454565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229865.11000000002</v>
      </c>
      <c r="I38" s="95"/>
      <c r="J38" s="175">
        <f>H38/DAY(B2)</f>
        <v>10448.414090909091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409342.26</v>
      </c>
      <c r="I39" s="95"/>
      <c r="J39" s="175">
        <f>H39/DAY(B2)</f>
        <v>18606.466363636366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15777.599999999999</v>
      </c>
      <c r="I40" s="95"/>
      <c r="J40" s="175">
        <f>H40/DAY(B2)</f>
        <v>717.16363636363633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-26321.14</v>
      </c>
      <c r="I42" s="95"/>
      <c r="J42" s="175">
        <f>H42/DAY(B2)</f>
        <v>-1196.4154545454546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-18111.25</v>
      </c>
      <c r="I43" s="95"/>
      <c r="J43" s="175">
        <f>H43/DAY(B2)</f>
        <v>-823.23863636363637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953979.88000000012</v>
      </c>
      <c r="I47" s="95"/>
      <c r="J47" s="175">
        <f>H47/DAY(B2)</f>
        <v>43362.721818181824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277431.53999999998</v>
      </c>
      <c r="I49" s="95"/>
      <c r="J49" s="175">
        <f>H49/DAY(B2)</f>
        <v>12610.524545454544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4950.08</v>
      </c>
      <c r="I54" s="95"/>
      <c r="J54" s="175">
        <f>H54/DAY(B2)</f>
        <v>225.00363636363636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90874.050000000017</v>
      </c>
      <c r="I58" s="95"/>
      <c r="J58" s="175">
        <f>H58/DAY(B2)</f>
        <v>4130.6386363636375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358296.48</v>
      </c>
      <c r="I59" s="95">
        <f>G7-G60</f>
        <v>2307.3799999999464</v>
      </c>
      <c r="J59" s="175">
        <f>H59/DAY(B2)</f>
        <v>16286.203636363636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1312276.3600000001</v>
      </c>
      <c r="I60" s="95">
        <f>G13-G60</f>
        <v>1780.859999999986</v>
      </c>
      <c r="J60" s="175">
        <f>H60/DAY(B2)</f>
        <v>59648.925454545461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-1153</v>
      </c>
      <c r="I63" s="118"/>
      <c r="J63" s="175">
        <f>H63/DAY(B2)</f>
        <v>-52.409090909090907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'21'!F64</f>
        <v>0</v>
      </c>
      <c r="F64" s="122"/>
      <c r="G64" s="112">
        <f>G62+G63</f>
        <v>180</v>
      </c>
      <c r="H64" s="99">
        <f>G64+'21'!H64</f>
        <v>-2100</v>
      </c>
      <c r="I64" s="118"/>
      <c r="J64" s="175">
        <f>H64/DAY(B2)</f>
        <v>-95.454545454545453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-10</v>
      </c>
      <c r="I78" s="118"/>
      <c r="J78" s="175">
        <f>H78/DAY(B2)</f>
        <v>-0.45454545454545453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-4606.2080000000278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-165.44000000000005</v>
      </c>
      <c r="I85" s="118">
        <f>G82+G83+G84+G85</f>
        <v>0</v>
      </c>
      <c r="J85" s="175">
        <f>H85/DAY(B2)</f>
        <v>-7.5200000000000022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416027.8899999999</v>
      </c>
      <c r="I94" s="118"/>
      <c r="J94" s="175">
        <f>H94/DAY(B2)</f>
        <v>18910.358636363631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0.25656017185714508</v>
      </c>
      <c r="H95" s="99">
        <f>G95+'21'!H95</f>
        <v>5.2751467629725175</v>
      </c>
      <c r="I95" s="167"/>
      <c r="J95" s="175">
        <f>H95/DAY(B2)</f>
        <v>0.23977939831693262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-31500.80000000001</v>
      </c>
      <c r="I96" s="118"/>
      <c r="J96" s="175">
        <f>H96/DAY(B2)</f>
        <v>-1431.8545454545458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0.15994933378295997</v>
      </c>
      <c r="H97" s="99">
        <f>G97+'21'!H97</f>
        <v>3.7680127910895727</v>
      </c>
      <c r="I97" s="167"/>
      <c r="J97" s="175">
        <f>H97/DAY(B2)</f>
        <v>0.17127330868588966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2648.7000000000044</v>
      </c>
      <c r="H98" s="99">
        <f>G98+'21'!H98</f>
        <v>409342.26</v>
      </c>
      <c r="I98" s="168"/>
      <c r="J98" s="175">
        <f>H98/DAY(B2)</f>
        <v>18606.466363636366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0.13783854670804943</v>
      </c>
      <c r="H99" s="99">
        <f>G99+'21'!H99</f>
        <v>2.3668337205110461</v>
      </c>
      <c r="I99" s="168"/>
      <c r="J99" s="175">
        <f>H99/DAY(B2)</f>
        <v>0.10758335093232028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229865.11000000002</v>
      </c>
      <c r="I100" s="118"/>
      <c r="J100" s="175">
        <f>H100/DAY(B2)</f>
        <v>10448.414090909091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1.5494758523052998</v>
      </c>
      <c r="I101" s="168"/>
      <c r="J101" s="175">
        <f>H101/DAY(B2)</f>
        <v>7.0430720559331805E-2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2.0323684021452952</v>
      </c>
      <c r="I103" s="118"/>
      <c r="J103" s="175">
        <f>H103/DAY(B2)</f>
        <v>9.2380381915695239E-2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193350.42000000004</v>
      </c>
      <c r="I104" s="118"/>
      <c r="J104" s="175">
        <f>H104/DAY(B2)</f>
        <v>8788.6554545454565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1.4742722985686851</v>
      </c>
      <c r="I105" s="187"/>
      <c r="J105" s="188">
        <f>H105/DAY(B2)</f>
        <v>6.7012377207667506E-2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-2472.9100000000017</v>
      </c>
      <c r="I114" s="165"/>
      <c r="J114" s="328">
        <f>H114/DAY(B2)</f>
        <v>-112.40500000000007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>
      <c r="A124" s="904"/>
      <c r="B124" s="905"/>
      <c r="C124" s="906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669809.55999999994</v>
      </c>
      <c r="I134" s="165"/>
      <c r="J134" s="328">
        <f>H134/DAY(B2)</f>
        <v>30445.889090909088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629499.41999999993</v>
      </c>
      <c r="I135" s="327">
        <f>G135-(G35+G49)</f>
        <v>-335.43000000000393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-6525.2800000000025</v>
      </c>
      <c r="I155" s="364"/>
      <c r="J155" s="328">
        <f>H155/DAY(B2)</f>
        <v>-296.6036363636365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-559.61000000000013</v>
      </c>
      <c r="I156" s="165"/>
      <c r="J156" s="328">
        <f>H156/DAY(B2)</f>
        <v>-25.436818181818186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>
      <c r="A166" s="910"/>
      <c r="B166" s="91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10"/>
      <c r="B167" s="91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10"/>
      <c r="B168" s="91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-114</v>
      </c>
      <c r="I174" s="155"/>
      <c r="J174" s="178">
        <f>H174/DAY(B2)</f>
        <v>-5.1818181818181817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-203</v>
      </c>
      <c r="I176" s="155"/>
      <c r="J176" s="178">
        <f>H176/DAY(B2)</f>
        <v>-9.2272727272727266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-138833.32000000007</v>
      </c>
      <c r="I8" s="116"/>
      <c r="J8" s="175">
        <f>H8/DAY(B2)</f>
        <v>-6036.2313043478289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2243545.54</v>
      </c>
      <c r="I9" s="124">
        <f>I7-J7</f>
        <v>17933.191304347823</v>
      </c>
      <c r="J9" s="175">
        <f>H9/DAY(B2)</f>
        <v>97545.458260869564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577012.71</v>
      </c>
      <c r="I10" s="282"/>
      <c r="J10" s="175">
        <f>H10/DAY(B2)</f>
        <v>25087.509130434781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2803803.82</v>
      </c>
      <c r="I13" s="120">
        <f>G7-G13</f>
        <v>518.74000000003434</v>
      </c>
      <c r="J13" s="175">
        <f>H13/DAY(B2)</f>
        <v>121904.51391304347</v>
      </c>
      <c r="K13" s="79"/>
      <c r="L13" s="66"/>
      <c r="N13" s="87"/>
      <c r="O13" s="71"/>
    </row>
    <row r="14" spans="1:15" ht="30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-7559.8470000000671</v>
      </c>
      <c r="I15" s="113">
        <f>'1'!I15</f>
        <v>800</v>
      </c>
      <c r="J15" s="175">
        <f>H15/DAY(B2)</f>
        <v>-328.68900000000292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1128.689000000003</v>
      </c>
      <c r="J16" s="176"/>
      <c r="K16" s="79"/>
      <c r="L16" s="66"/>
      <c r="N16" s="87"/>
      <c r="O16" s="71"/>
    </row>
    <row r="17" spans="1:15" ht="30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46" t="s">
        <v>141</v>
      </c>
      <c r="B18" s="847"/>
      <c r="C18" s="848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2860</v>
      </c>
      <c r="I18" s="113">
        <f>'1'!I18</f>
        <v>65</v>
      </c>
      <c r="J18" s="175">
        <f>H18/DAY(B2)</f>
        <v>124.34782608695652</v>
      </c>
      <c r="K18" s="79"/>
      <c r="L18" s="66"/>
      <c r="N18" s="87"/>
      <c r="O18" s="71"/>
    </row>
    <row r="19" spans="1:15" ht="30.75" customHeight="1">
      <c r="A19" s="846" t="s">
        <v>69</v>
      </c>
      <c r="B19" s="847"/>
      <c r="C19" s="848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2430</v>
      </c>
      <c r="I20" s="336">
        <f>I18-J20</f>
        <v>-40.652173913043484</v>
      </c>
      <c r="J20" s="175">
        <f>H20/DAY(B2)</f>
        <v>105.65217391304348</v>
      </c>
      <c r="K20" s="79"/>
      <c r="L20" s="66"/>
      <c r="N20" s="87"/>
      <c r="O20" s="71"/>
    </row>
    <row r="21" spans="1:15" ht="30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-1249499.8800000008</v>
      </c>
      <c r="I27" s="138"/>
      <c r="J27" s="175">
        <f>H27/DAY(B2)</f>
        <v>-54326.081739130474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-393112.04400000349</v>
      </c>
      <c r="I28" s="140"/>
      <c r="J28" s="175">
        <f>H28/DAY(B2)</f>
        <v>-17091.82800000015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-62780</v>
      </c>
      <c r="I30" s="140"/>
      <c r="J30" s="175">
        <f>H30/DAY(B2)</f>
        <v>-2729.5652173913045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228800</v>
      </c>
      <c r="I31" s="140"/>
      <c r="J31" s="175">
        <f>H31/DAY(B2)</f>
        <v>9947.826086956522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-1469001.9240000043</v>
      </c>
      <c r="I32" s="144"/>
      <c r="J32" s="175">
        <f>H32/DAY(B2)</f>
        <v>-63869.648869565404</v>
      </c>
      <c r="K32" s="63"/>
      <c r="L32" s="89"/>
      <c r="N32" s="87"/>
      <c r="O32" s="71"/>
    </row>
    <row r="33" spans="1:15" ht="30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158063.31000000003</v>
      </c>
      <c r="I35" s="95"/>
      <c r="J35" s="175">
        <f>H35/DAY(B2)</f>
        <v>6872.3178260869581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194922.40000000005</v>
      </c>
      <c r="I37" s="95"/>
      <c r="J37" s="175">
        <f>H37/DAY(B2)</f>
        <v>8474.886956521741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231797.18000000002</v>
      </c>
      <c r="I38" s="95"/>
      <c r="J38" s="175">
        <f>H38/DAY(B2)</f>
        <v>10078.138260869566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411918.51</v>
      </c>
      <c r="I39" s="95"/>
      <c r="J39" s="175">
        <f>H39/DAY(B2)</f>
        <v>17909.500434782611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16161.499999999998</v>
      </c>
      <c r="I40" s="95"/>
      <c r="J40" s="175">
        <f>H40/DAY(B2)</f>
        <v>702.67391304347814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-26321.14</v>
      </c>
      <c r="I42" s="95"/>
      <c r="J42" s="175">
        <f>H42/DAY(B2)</f>
        <v>-1144.3973913043478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-15772.010000000009</v>
      </c>
      <c r="I43" s="95"/>
      <c r="J43" s="175">
        <f>H43/DAY(B2)</f>
        <v>-685.73956521739171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965294.31000000017</v>
      </c>
      <c r="I47" s="95"/>
      <c r="J47" s="175">
        <f>H47/DAY(B2)</f>
        <v>41969.317826086961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278524.51</v>
      </c>
      <c r="I49" s="95"/>
      <c r="J49" s="175">
        <f>H49/DAY(B2)</f>
        <v>12109.761304347827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4950.08</v>
      </c>
      <c r="I54" s="95"/>
      <c r="J54" s="175">
        <f>H54/DAY(B2)</f>
        <v>215.22086956521738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91100.010000000024</v>
      </c>
      <c r="I58" s="95"/>
      <c r="J58" s="175">
        <f>H58/DAY(B2)</f>
        <v>3960.8700000000013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363937.89</v>
      </c>
      <c r="I59" s="95">
        <f>G7-G60</f>
        <v>1747.3200000000288</v>
      </c>
      <c r="J59" s="175">
        <f>H59/DAY(B2)</f>
        <v>15823.38652173913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1329232.2000000002</v>
      </c>
      <c r="I60" s="95">
        <f>G13-G60</f>
        <v>1228.5799999999945</v>
      </c>
      <c r="J60" s="175">
        <f>H60/DAY(B2)</f>
        <v>57792.704347826097</v>
      </c>
      <c r="K60" s="79"/>
      <c r="L60" s="66"/>
      <c r="N60" s="87"/>
      <c r="O60" s="71"/>
    </row>
    <row r="61" spans="1:15" s="68" customFormat="1" ht="30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46" t="s">
        <v>198</v>
      </c>
      <c r="B62" s="847"/>
      <c r="C62" s="848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>
      <c r="A63" s="846" t="s">
        <v>199</v>
      </c>
      <c r="B63" s="847"/>
      <c r="C63" s="848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-1027</v>
      </c>
      <c r="I63" s="118"/>
      <c r="J63" s="175">
        <f>H63/DAY(B2)</f>
        <v>-44.652173913043477</v>
      </c>
      <c r="K63" s="69"/>
      <c r="L63" s="66"/>
      <c r="N63" s="87"/>
      <c r="O63" s="71"/>
    </row>
    <row r="64" spans="1:15" ht="30.75" customHeight="1">
      <c r="A64" s="843" t="s">
        <v>200</v>
      </c>
      <c r="B64" s="844"/>
      <c r="C64" s="845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-1855</v>
      </c>
      <c r="I64" s="118"/>
      <c r="J64" s="175">
        <f>H64/DAY(B2)</f>
        <v>-80.652173913043484</v>
      </c>
      <c r="K64" s="69"/>
      <c r="L64" s="66"/>
      <c r="N64" s="87"/>
      <c r="O64" s="71"/>
    </row>
    <row r="65" spans="1:15" ht="30.75" customHeight="1">
      <c r="A65" s="846" t="s">
        <v>201</v>
      </c>
      <c r="B65" s="847"/>
      <c r="C65" s="848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46" t="s">
        <v>220</v>
      </c>
      <c r="B74" s="847"/>
      <c r="C74" s="848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>
      <c r="A75" s="846" t="s">
        <v>221</v>
      </c>
      <c r="B75" s="847"/>
      <c r="C75" s="848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90" t="s">
        <v>222</v>
      </c>
      <c r="B76" s="876"/>
      <c r="C76" s="877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>
      <c r="A77" s="890" t="s">
        <v>223</v>
      </c>
      <c r="B77" s="876"/>
      <c r="C77" s="877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>
      <c r="A78" s="890" t="s">
        <v>224</v>
      </c>
      <c r="B78" s="876"/>
      <c r="C78" s="877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-9</v>
      </c>
      <c r="I78" s="118"/>
      <c r="J78" s="175">
        <f>H78/DAY(B2)</f>
        <v>-0.39130434782608697</v>
      </c>
      <c r="K78" s="69"/>
      <c r="L78" s="66"/>
      <c r="N78" s="87"/>
      <c r="O78" s="71"/>
    </row>
    <row r="79" spans="1:15" s="57" customFormat="1" ht="30.75" customHeight="1">
      <c r="A79" s="890" t="s">
        <v>225</v>
      </c>
      <c r="B79" s="876"/>
      <c r="C79" s="877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-4057.3080000001501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-165.44000000000005</v>
      </c>
      <c r="I85" s="118">
        <f>G82+G83+G84+G85</f>
        <v>0</v>
      </c>
      <c r="J85" s="175">
        <f>H85/DAY(B2)</f>
        <v>-7.1930434782608721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420815.80999999988</v>
      </c>
      <c r="I94" s="118"/>
      <c r="J94" s="175">
        <f>H94/DAY(B2)</f>
        <v>18296.339565217386</v>
      </c>
      <c r="K94" s="69"/>
      <c r="L94" s="66"/>
      <c r="O94" s="71"/>
    </row>
    <row r="95" spans="1:15" ht="30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0.25599524358450565</v>
      </c>
      <c r="H95" s="99">
        <f>G95+'22'!H95</f>
        <v>5.5311420065570234</v>
      </c>
      <c r="I95" s="167"/>
      <c r="J95" s="175">
        <f>H95/DAY(B2)</f>
        <v>0.24048443506769668</v>
      </c>
      <c r="K95" s="69"/>
      <c r="L95" s="66"/>
      <c r="O95" s="71"/>
    </row>
    <row r="96" spans="1:15" ht="30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-28805.580000000009</v>
      </c>
      <c r="I96" s="118"/>
      <c r="J96" s="175">
        <f>H96/DAY(B2)</f>
        <v>-1252.4165217391308</v>
      </c>
      <c r="K96" s="69"/>
      <c r="L96" s="66"/>
      <c r="O96" s="71"/>
    </row>
    <row r="97" spans="1:15" ht="30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0.14410506032135728</v>
      </c>
      <c r="H97" s="99">
        <f>G97+'22'!H97</f>
        <v>3.91211785141093</v>
      </c>
      <c r="I97" s="167"/>
      <c r="J97" s="175">
        <f>H97/DAY(B2)</f>
        <v>0.1700920804961274</v>
      </c>
      <c r="K97" s="69"/>
      <c r="L97" s="66"/>
      <c r="O97" s="71"/>
    </row>
    <row r="98" spans="1:15" ht="30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2576.25</v>
      </c>
      <c r="H98" s="99">
        <f>G98+'22'!H98</f>
        <v>411918.51</v>
      </c>
      <c r="I98" s="168"/>
      <c r="J98" s="175">
        <f>H98/DAY(B2)</f>
        <v>17909.500434782611</v>
      </c>
      <c r="K98" s="69"/>
      <c r="L98" s="66"/>
      <c r="O98" s="71"/>
    </row>
    <row r="99" spans="1:15" ht="30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0.13774410313551269</v>
      </c>
      <c r="H99" s="99">
        <f>G99+'22'!H99</f>
        <v>2.5045778236465588</v>
      </c>
      <c r="I99" s="168"/>
      <c r="J99" s="175">
        <f>H99/DAY(B2)</f>
        <v>0.10889468798463299</v>
      </c>
      <c r="O99" s="71"/>
    </row>
    <row r="100" spans="1:15" ht="30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231797.18000000002</v>
      </c>
      <c r="I100" s="118"/>
      <c r="J100" s="175">
        <f>H100/DAY(B2)</f>
        <v>10078.138260869566</v>
      </c>
      <c r="K100" s="70"/>
      <c r="O100" s="71"/>
    </row>
    <row r="101" spans="1:15" ht="30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1.6527776472960927</v>
      </c>
      <c r="I101" s="168"/>
      <c r="J101" s="175">
        <f>H101/DAY(B2)</f>
        <v>7.1859897708525772E-2</v>
      </c>
      <c r="O101" s="71"/>
    </row>
    <row r="102" spans="1:15" ht="30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2.1811421922427976</v>
      </c>
      <c r="I103" s="118"/>
      <c r="J103" s="175">
        <f>H103/DAY(B2)</f>
        <v>9.4832269227947727E-2</v>
      </c>
      <c r="O103" s="71"/>
    </row>
    <row r="104" spans="1:15" ht="30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194922.40000000005</v>
      </c>
      <c r="I104" s="118"/>
      <c r="J104" s="175">
        <f>H104/DAY(B2)</f>
        <v>8474.886956521741</v>
      </c>
      <c r="O104" s="71"/>
    </row>
    <row r="105" spans="1:15" ht="30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1.5583211972574629</v>
      </c>
      <c r="I105" s="187"/>
      <c r="J105" s="188">
        <f>H105/DAY(B2)</f>
        <v>6.7753095532933169E-2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>
      <c r="A109" s="885"/>
      <c r="B109" s="885"/>
    </row>
    <row r="110" spans="1:15" ht="30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9" t="s">
        <v>252</v>
      </c>
      <c r="B112" s="880"/>
      <c r="C112" s="881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>
      <c r="A113" s="879" t="s">
        <v>253</v>
      </c>
      <c r="B113" s="880"/>
      <c r="C113" s="881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>
      <c r="A114" s="879" t="s">
        <v>254</v>
      </c>
      <c r="B114" s="880"/>
      <c r="C114" s="881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-2209.2500000000018</v>
      </c>
      <c r="I114" s="165"/>
      <c r="J114" s="328">
        <f>H114/DAY(B2)</f>
        <v>-96.054347826087039</v>
      </c>
    </row>
    <row r="115" spans="1:18" ht="30.75" customHeight="1">
      <c r="A115" s="879" t="s">
        <v>255</v>
      </c>
      <c r="B115" s="880"/>
      <c r="C115" s="881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>
      <c r="A116" s="897" t="s">
        <v>96</v>
      </c>
      <c r="B116" s="898"/>
      <c r="C116" s="899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>
      <c r="A117" s="897" t="s">
        <v>184</v>
      </c>
      <c r="B117" s="898"/>
      <c r="C117" s="899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79" t="s">
        <v>312</v>
      </c>
      <c r="R117" s="881"/>
    </row>
    <row r="118" spans="1:18" ht="30.75" customHeight="1">
      <c r="A118" s="874" t="s">
        <v>97</v>
      </c>
      <c r="B118" s="874"/>
      <c r="C118" s="874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79" t="s">
        <v>311</v>
      </c>
      <c r="R118" s="881"/>
    </row>
    <row r="119" spans="1:18" ht="30.75" customHeight="1">
      <c r="A119" s="874" t="s">
        <v>98</v>
      </c>
      <c r="B119" s="874"/>
      <c r="C119" s="874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>
      <c r="A120" s="874" t="s">
        <v>99</v>
      </c>
      <c r="B120" s="874"/>
      <c r="C120" s="874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>
      <c r="A121" s="874" t="s">
        <v>100</v>
      </c>
      <c r="B121" s="874"/>
      <c r="C121" s="874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>
      <c r="A122" s="874" t="s">
        <v>101</v>
      </c>
      <c r="B122" s="874"/>
      <c r="C122" s="874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>
      <c r="A123" s="874" t="s">
        <v>102</v>
      </c>
      <c r="B123" s="874"/>
      <c r="C123" s="874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>
      <c r="A124" s="904"/>
      <c r="B124" s="905"/>
      <c r="C124" s="906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>
      <c r="A127" s="910"/>
      <c r="B127" s="910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79" t="s">
        <v>318</v>
      </c>
      <c r="B128" s="880"/>
      <c r="C128" s="881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>
      <c r="A131" s="879" t="s">
        <v>321</v>
      </c>
      <c r="B131" s="880"/>
      <c r="C131" s="881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>
      <c r="A132" s="879" t="s">
        <v>322</v>
      </c>
      <c r="B132" s="880"/>
      <c r="C132" s="881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>
      <c r="A133" s="879" t="s">
        <v>362</v>
      </c>
      <c r="B133" s="880"/>
      <c r="C133" s="881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>
      <c r="A134" s="879" t="s">
        <v>340</v>
      </c>
      <c r="B134" s="880"/>
      <c r="C134" s="881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669967.62</v>
      </c>
      <c r="I134" s="165"/>
      <c r="J134" s="328">
        <f>H134/DAY(B2)</f>
        <v>29129.026956521739</v>
      </c>
    </row>
    <row r="135" spans="1:15" ht="30.75" customHeight="1">
      <c r="A135" s="907" t="s">
        <v>196</v>
      </c>
      <c r="B135" s="908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629374.39</v>
      </c>
      <c r="I135" s="327">
        <f>G135-(G35+G49)</f>
        <v>-312.51000000001568</v>
      </c>
      <c r="J135" s="328"/>
    </row>
    <row r="136" spans="1:15" ht="30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74" t="s">
        <v>185</v>
      </c>
      <c r="B138" s="874"/>
      <c r="C138" s="874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>
      <c r="A139" s="874" t="s">
        <v>186</v>
      </c>
      <c r="B139" s="874"/>
      <c r="C139" s="874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>
      <c r="A140" s="874" t="s">
        <v>187</v>
      </c>
      <c r="B140" s="874"/>
      <c r="C140" s="874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>
      <c r="A141" s="878" t="s">
        <v>188</v>
      </c>
      <c r="B141" s="878"/>
      <c r="C141" s="878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>
      <c r="A142" s="878" t="s">
        <v>189</v>
      </c>
      <c r="B142" s="878"/>
      <c r="C142" s="878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>
      <c r="A143" s="874" t="s">
        <v>91</v>
      </c>
      <c r="B143" s="874"/>
      <c r="C143" s="874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>
      <c r="A144" s="878" t="s">
        <v>90</v>
      </c>
      <c r="B144" s="878"/>
      <c r="C144" s="878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>
      <c r="A145" s="874" t="s">
        <v>190</v>
      </c>
      <c r="B145" s="874"/>
      <c r="C145" s="874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>
      <c r="A146" s="875" t="s">
        <v>191</v>
      </c>
      <c r="B146" s="876"/>
      <c r="C146" s="877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>
      <c r="A147" s="878" t="s">
        <v>192</v>
      </c>
      <c r="B147" s="878"/>
      <c r="C147" s="878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>
      <c r="A148" s="870" t="s">
        <v>193</v>
      </c>
      <c r="B148" s="871"/>
      <c r="C148" s="872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>
      <c r="A149" s="870" t="s">
        <v>336</v>
      </c>
      <c r="B149" s="871"/>
      <c r="C149" s="872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>
      <c r="A150" s="870" t="s">
        <v>337</v>
      </c>
      <c r="B150" s="871"/>
      <c r="C150" s="872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>
      <c r="A151" s="870" t="s">
        <v>338</v>
      </c>
      <c r="B151" s="871"/>
      <c r="C151" s="872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>
      <c r="A152" s="870" t="s">
        <v>339</v>
      </c>
      <c r="B152" s="871"/>
      <c r="C152" s="872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>
      <c r="A155" s="878" t="s">
        <v>345</v>
      </c>
      <c r="B155" s="878"/>
      <c r="C155" s="878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-5862.0000000000036</v>
      </c>
      <c r="I155" s="364"/>
      <c r="J155" s="161">
        <v>329</v>
      </c>
    </row>
    <row r="156" spans="1:10" ht="30.75" customHeight="1">
      <c r="A156" s="878" t="s">
        <v>347</v>
      </c>
      <c r="B156" s="878"/>
      <c r="C156" s="878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-508.86999999999989</v>
      </c>
      <c r="I156" s="165"/>
      <c r="J156" s="328">
        <f>H156/DAY(B2)</f>
        <v>-22.124782608695647</v>
      </c>
    </row>
    <row r="157" spans="1:10" ht="30.75" customHeight="1">
      <c r="A157" s="870" t="s">
        <v>364</v>
      </c>
      <c r="B157" s="871"/>
      <c r="C157" s="872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>
      <c r="A158" s="870" t="s">
        <v>365</v>
      </c>
      <c r="B158" s="871"/>
      <c r="C158" s="872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>
      <c r="A166" s="910"/>
      <c r="B166" s="91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10"/>
      <c r="B167" s="91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10"/>
      <c r="B168" s="91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68" t="s">
        <v>209</v>
      </c>
      <c r="B173" s="869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>
      <c r="A174" s="868" t="s">
        <v>75</v>
      </c>
      <c r="B174" s="869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-101</v>
      </c>
      <c r="I174" s="155"/>
      <c r="J174" s="178">
        <f>H174/DAY(B2)</f>
        <v>-4.3913043478260869</v>
      </c>
    </row>
    <row r="175" spans="1:10" ht="30.75" customHeight="1">
      <c r="A175" s="868" t="s">
        <v>76</v>
      </c>
      <c r="B175" s="873"/>
      <c r="C175" s="869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>
      <c r="A176" s="907" t="s">
        <v>196</v>
      </c>
      <c r="B176" s="908"/>
      <c r="C176" s="483"/>
      <c r="D176" s="228"/>
      <c r="E176" s="95"/>
      <c r="F176" s="155"/>
      <c r="G176" s="155">
        <f>SUM(G173:G175)</f>
        <v>24</v>
      </c>
      <c r="H176" s="99">
        <f>G176+'22'!H176</f>
        <v>-179</v>
      </c>
      <c r="I176" s="155"/>
      <c r="J176" s="178">
        <f>H176/DAY(B2)</f>
        <v>-7.7826086956521738</v>
      </c>
    </row>
    <row r="177" spans="1:10" ht="30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68" t="s">
        <v>210</v>
      </c>
      <c r="B178" s="869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>
      <c r="A179" s="868" t="s">
        <v>211</v>
      </c>
      <c r="B179" s="869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>
      <c r="A180" s="868" t="s">
        <v>212</v>
      </c>
      <c r="B180" s="869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>
      <c r="A181" s="912" t="s">
        <v>108</v>
      </c>
      <c r="B181" s="913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>
      <c r="A182" s="868" t="s">
        <v>213</v>
      </c>
      <c r="B182" s="869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68" t="s">
        <v>214</v>
      </c>
      <c r="B183" s="869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>
      <c r="A184" s="868" t="s">
        <v>215</v>
      </c>
      <c r="B184" s="869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>
      <c r="A185" s="868" t="s">
        <v>216</v>
      </c>
      <c r="B185" s="869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07" t="s">
        <v>196</v>
      </c>
      <c r="B186" s="908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>
      <c r="A187" s="916" t="s">
        <v>217</v>
      </c>
      <c r="B187" s="917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21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-121957.15000000002</v>
      </c>
      <c r="I8" s="116"/>
      <c r="J8" s="175">
        <f>H8/DAY(B2)</f>
        <v>-5081.5479166666673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2254787.15</v>
      </c>
      <c r="I9" s="124">
        <f>I7-J7</f>
        <v>17004.17625</v>
      </c>
      <c r="J9" s="175">
        <f>H9/DAY(B2)</f>
        <v>93949.464583333334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581655.03</v>
      </c>
      <c r="I10" s="282"/>
      <c r="J10" s="175">
        <f>H10/DAY(B2)</f>
        <v>24235.626250000001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2819687.75</v>
      </c>
      <c r="I13" s="120">
        <f>G7-G13</f>
        <v>479.23999999999069</v>
      </c>
      <c r="J13" s="175">
        <f>H13/DAY(B2)</f>
        <v>117486.98958333333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-6522.7669999999925</v>
      </c>
      <c r="I15" s="113">
        <f>'1'!I15</f>
        <v>800</v>
      </c>
      <c r="J15" s="175">
        <f>H15/DAY(B2)</f>
        <v>-271.78195833333302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1071.781958333333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3020</v>
      </c>
      <c r="I18" s="113">
        <f>'1'!I18</f>
        <v>65</v>
      </c>
      <c r="J18" s="175">
        <f>H18/DAY(B2)</f>
        <v>125.83333333333333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2642</v>
      </c>
      <c r="I20" s="336">
        <f>I18-J20</f>
        <v>-45.083333333333329</v>
      </c>
      <c r="J20" s="175">
        <f>H20/DAY(B2)</f>
        <v>110.08333333333333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-1097614.3500000006</v>
      </c>
      <c r="I27" s="138"/>
      <c r="J27" s="175">
        <f>H27/DAY(B2)</f>
        <v>-45733.931250000023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-339183.88399999961</v>
      </c>
      <c r="I28" s="140"/>
      <c r="J28" s="175">
        <f>H28/DAY(B2)</f>
        <v>-14132.661833333317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-55188</v>
      </c>
      <c r="I30" s="140"/>
      <c r="J30" s="175">
        <f>H30/DAY(B2)</f>
        <v>-2299.5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241600</v>
      </c>
      <c r="I31" s="140"/>
      <c r="J31" s="175">
        <f>H31/DAY(B2)</f>
        <v>10066.666666666666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-1242796.2340000002</v>
      </c>
      <c r="I32" s="144"/>
      <c r="J32" s="175">
        <f>H32/DAY(B2)</f>
        <v>-51783.176416666676</v>
      </c>
      <c r="K32" s="63"/>
      <c r="L32" s="89"/>
      <c r="N32" s="87"/>
      <c r="O32" s="71"/>
    </row>
    <row r="33" spans="1:15" ht="25.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159245.02000000002</v>
      </c>
      <c r="I35" s="95"/>
      <c r="J35" s="175">
        <f>H35/DAY(B2)</f>
        <v>6635.2091666666674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196567.91000000006</v>
      </c>
      <c r="I37" s="95"/>
      <c r="J37" s="175">
        <f>H37/DAY(B2)</f>
        <v>8190.3295833333359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233623.57</v>
      </c>
      <c r="I38" s="95"/>
      <c r="J38" s="175">
        <f>H38/DAY(B2)</f>
        <v>9734.3154166666664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414525.71</v>
      </c>
      <c r="I39" s="95"/>
      <c r="J39" s="175">
        <f>H39/DAY(B2)</f>
        <v>17271.904583333333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16811.739999999998</v>
      </c>
      <c r="I40" s="95"/>
      <c r="J40" s="175">
        <f>H40/DAY(B2)</f>
        <v>700.48916666666662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-26321.14</v>
      </c>
      <c r="I42" s="95"/>
      <c r="J42" s="175">
        <f>H42/DAY(B2)</f>
        <v>-1096.7141666666666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-13684.600000000006</v>
      </c>
      <c r="I43" s="95"/>
      <c r="J43" s="175">
        <f>H43/DAY(B2)</f>
        <v>-570.19166666666695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975949.4700000002</v>
      </c>
      <c r="I47" s="95"/>
      <c r="J47" s="175">
        <f>H47/DAY(B2)</f>
        <v>40664.561250000006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279379.81</v>
      </c>
      <c r="I49" s="95"/>
      <c r="J49" s="175">
        <f>H49/DAY(B2)</f>
        <v>11640.825416666667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4949.66</v>
      </c>
      <c r="I54" s="95"/>
      <c r="J54" s="175">
        <f>H54/DAY(B2)</f>
        <v>206.23583333333332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91314.420000000027</v>
      </c>
      <c r="I58" s="95"/>
      <c r="J58" s="175">
        <f>H58/DAY(B2)</f>
        <v>3804.7675000000013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368506.15</v>
      </c>
      <c r="I59" s="95">
        <f>G7-G60</f>
        <v>1139.7499999999891</v>
      </c>
      <c r="J59" s="175">
        <f>H59/DAY(B2)</f>
        <v>15354.422916666668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1344455.62</v>
      </c>
      <c r="I60" s="95">
        <f>G13-G60</f>
        <v>660.5099999999984</v>
      </c>
      <c r="J60" s="175">
        <f>H60/DAY(B2)</f>
        <v>56018.984166666669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-959</v>
      </c>
      <c r="I63" s="118"/>
      <c r="J63" s="175">
        <f>H63/DAY(B2)</f>
        <v>-39.958333333333336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'23'!F64</f>
        <v>0</v>
      </c>
      <c r="F64" s="122"/>
      <c r="G64" s="112">
        <f>G62+G63</f>
        <v>192</v>
      </c>
      <c r="H64" s="99">
        <f>G64+'23'!H64</f>
        <v>-1663</v>
      </c>
      <c r="I64" s="118"/>
      <c r="J64" s="175">
        <f>H64/DAY(B2)</f>
        <v>-69.291666666666671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-8</v>
      </c>
      <c r="I78" s="118"/>
      <c r="J78" s="175">
        <f>H78/DAY(B2)</f>
        <v>-0.33333333333333331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-3480.4180000000197</v>
      </c>
      <c r="I79" s="118"/>
      <c r="J79" s="175">
        <f>H79/DAY(B2)</f>
        <v>-145.01741666666749</v>
      </c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-165.44000000000005</v>
      </c>
      <c r="I85" s="118">
        <f>G82+G83+G84+G85</f>
        <v>-0.40000000000145519</v>
      </c>
      <c r="J85" s="175">
        <f>H85/DAY(B2)</f>
        <v>-6.8933333333333353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424940.22999999986</v>
      </c>
      <c r="I94" s="118"/>
      <c r="J94" s="175">
        <f>H94/DAY(B2)</f>
        <v>17705.842916666661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0.25205507245845432</v>
      </c>
      <c r="H95" s="99">
        <f>G95+'23'!H95</f>
        <v>5.7831970790154781</v>
      </c>
      <c r="I95" s="167"/>
      <c r="J95" s="175">
        <f>H95/DAY(B2)</f>
        <v>0.24096654495897826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-26321.250000000007</v>
      </c>
      <c r="I96" s="118"/>
      <c r="J96" s="175">
        <f>H96/DAY(B2)</f>
        <v>-1096.7187500000002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0.15182449366473638</v>
      </c>
      <c r="H97" s="99">
        <f>G97+'23'!H97</f>
        <v>4.0639423450756667</v>
      </c>
      <c r="I97" s="167"/>
      <c r="J97" s="175">
        <f>H97/DAY(B2)</f>
        <v>0.16933093104481944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2607.1999999999971</v>
      </c>
      <c r="H98" s="99">
        <f>G98+'23'!H98</f>
        <v>414525.71</v>
      </c>
      <c r="I98" s="168"/>
      <c r="J98" s="175">
        <f>H98/DAY(B2)</f>
        <v>17271.904583333333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0.15933342989164079</v>
      </c>
      <c r="H99" s="99">
        <f>G99+'23'!H99</f>
        <v>2.6639112535381995</v>
      </c>
      <c r="I99" s="168"/>
      <c r="J99" s="175">
        <f>H99/DAY(B2)</f>
        <v>0.11099630223075831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233623.57</v>
      </c>
      <c r="I100" s="118"/>
      <c r="J100" s="175">
        <f>H100/DAY(B2)</f>
        <v>9734.3154166666664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1.7643935505715582</v>
      </c>
      <c r="I101" s="168"/>
      <c r="J101" s="175">
        <f>H101/DAY(B2)</f>
        <v>7.3516397940481593E-2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2.2832825476873722</v>
      </c>
      <c r="I103" s="118"/>
      <c r="J103" s="175">
        <f>H103/DAY(B2)</f>
        <v>9.5136772820307178E-2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196567.91000000006</v>
      </c>
      <c r="I104" s="118"/>
      <c r="J104" s="175">
        <f>H104/DAY(B2)</f>
        <v>8190.3295833333359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1.6588830077135053</v>
      </c>
      <c r="I105" s="187"/>
      <c r="J105" s="188">
        <f>H105/DAY(B2)</f>
        <v>6.9120125321396053E-2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-1947.6000000000004</v>
      </c>
      <c r="I114" s="165"/>
      <c r="J114" s="328">
        <f>H114/DAY(B2)</f>
        <v>-81.15000000000002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>
      <c r="A124" s="904"/>
      <c r="B124" s="905"/>
      <c r="C124" s="906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670122.77</v>
      </c>
      <c r="I134" s="165"/>
      <c r="J134" s="328">
        <f>H134/DAY(B2)</f>
        <v>27921.782083333335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631106.09</v>
      </c>
      <c r="I135" s="327">
        <f>G135-(G35+G49)</f>
        <v>-305.30999999998858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-5226.0000000000036</v>
      </c>
      <c r="I155" s="364"/>
      <c r="J155" s="328">
        <f>H155/DAY(B2)</f>
        <v>-217.75000000000014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-455</v>
      </c>
      <c r="I156" s="165"/>
      <c r="J156" s="328">
        <f>H156/DAY(B2)</f>
        <v>-18.958333333333332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>
      <c r="A166" s="910"/>
      <c r="B166" s="91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68" t="s">
        <v>209</v>
      </c>
      <c r="B173" s="869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>
      <c r="A174" s="868" t="s">
        <v>75</v>
      </c>
      <c r="B174" s="869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>
      <c r="A175" s="868" t="s">
        <v>76</v>
      </c>
      <c r="B175" s="873"/>
      <c r="C175" s="869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-155</v>
      </c>
      <c r="I176" s="155"/>
      <c r="J176" s="178">
        <f>H176/DAY(B2)</f>
        <v>-6.458333333333333</v>
      </c>
    </row>
    <row r="177" spans="1:10" ht="21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>
      <c r="A179" s="868" t="s">
        <v>211</v>
      </c>
      <c r="B179" s="869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>
      <c r="A185" s="868" t="s">
        <v>216</v>
      </c>
      <c r="B185" s="869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>
      <c r="A187" s="916" t="s">
        <v>217</v>
      </c>
      <c r="B187" s="917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>
      <c r="A188" s="916" t="s">
        <v>218</v>
      </c>
      <c r="B188" s="917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'24'!F8</f>
        <v>586591</v>
      </c>
      <c r="F8" s="601">
        <v>603218</v>
      </c>
      <c r="G8" s="115">
        <f>F8-E8</f>
        <v>16627</v>
      </c>
      <c r="H8" s="99">
        <f>G8+'24'!H8</f>
        <v>-105330.15000000002</v>
      </c>
      <c r="I8" s="116"/>
      <c r="J8" s="175">
        <f>H8/DAY(B2)</f>
        <v>-4213.206000000001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2268731.15</v>
      </c>
      <c r="I9" s="124">
        <f>I7-J7</f>
        <v>16150.849200000001</v>
      </c>
      <c r="J9" s="175">
        <f>H9/DAY(B2)</f>
        <v>90749.245999999999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583556.03</v>
      </c>
      <c r="I10" s="282"/>
      <c r="J10" s="175">
        <f>H10/DAY(B2)</f>
        <v>23342.2412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2835532.75</v>
      </c>
      <c r="I13" s="120">
        <f>G7-G13</f>
        <v>484</v>
      </c>
      <c r="J13" s="175">
        <f>H13/DAY(B2)</f>
        <v>113421.31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-5707.7669999999925</v>
      </c>
      <c r="I15" s="113">
        <f>'1'!I15</f>
        <v>800</v>
      </c>
      <c r="J15" s="175">
        <f>H15/DAY(B2)</f>
        <v>-228.31067999999971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1028.3106799999996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3160</v>
      </c>
      <c r="I18" s="113">
        <f>'1'!I18</f>
        <v>65</v>
      </c>
      <c r="J18" s="175">
        <f>H18/DAY(B2)</f>
        <v>126.4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2832</v>
      </c>
      <c r="I20" s="336">
        <f>I18-J20</f>
        <v>-48.28</v>
      </c>
      <c r="J20" s="175">
        <f>H20/DAY(B2)</f>
        <v>113.28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-947971.35000000056</v>
      </c>
      <c r="I27" s="138"/>
      <c r="J27" s="175">
        <f>H27/DAY(B2)</f>
        <v>-37918.854000000021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-296803.88399999961</v>
      </c>
      <c r="I28" s="140"/>
      <c r="J28" s="175">
        <f>H28/DAY(B2)</f>
        <v>-11872.155359999984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-47888</v>
      </c>
      <c r="I30" s="140"/>
      <c r="J30" s="175">
        <f>H30/DAY(B2)</f>
        <v>-1915.52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252800</v>
      </c>
      <c r="I31" s="140"/>
      <c r="J31" s="175">
        <f>H31/DAY(B2)</f>
        <v>10112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-1032273.2340000002</v>
      </c>
      <c r="I32" s="144"/>
      <c r="J32" s="175">
        <f>H32/DAY(B2)</f>
        <v>-41290.929360000009</v>
      </c>
      <c r="K32" s="63"/>
      <c r="L32" s="89"/>
      <c r="N32" s="87"/>
      <c r="O32" s="71"/>
    </row>
    <row r="33" spans="1:15" ht="25.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160553.02000000002</v>
      </c>
      <c r="I35" s="95"/>
      <c r="J35" s="175">
        <f>H35/DAY(B2)</f>
        <v>6422.1208000000006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198175.91000000006</v>
      </c>
      <c r="I37" s="95"/>
      <c r="J37" s="175">
        <f>H37/DAY(B2)</f>
        <v>7927.0364000000027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235384.57</v>
      </c>
      <c r="I38" s="95"/>
      <c r="J38" s="175">
        <f>H38/DAY(B2)</f>
        <v>9415.3827999999994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417116.71</v>
      </c>
      <c r="I39" s="95"/>
      <c r="J39" s="175">
        <f>H39/DAY(B2)</f>
        <v>16684.668400000002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17404.739999999998</v>
      </c>
      <c r="I40" s="95"/>
      <c r="J40" s="175">
        <f>H40/DAY(B2)</f>
        <v>696.18959999999993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-23292.740000000005</v>
      </c>
      <c r="I42" s="95"/>
      <c r="J42" s="175">
        <f>H42/DAY(B2)</f>
        <v>-931.70960000000025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-11726.600000000006</v>
      </c>
      <c r="I43" s="95"/>
      <c r="J43" s="175">
        <f>H43/DAY(B2)</f>
        <v>-469.06400000000025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989396.87000000023</v>
      </c>
      <c r="I47" s="95"/>
      <c r="J47" s="175">
        <f>H47/DAY(B2)</f>
        <v>39575.874800000012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280211.81</v>
      </c>
      <c r="I49" s="95"/>
      <c r="J49" s="175">
        <f>H49/DAY(B2)</f>
        <v>11208.472400000001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4949.66</v>
      </c>
      <c r="I54" s="95"/>
      <c r="J54" s="175">
        <f>H54/DAY(B2)</f>
        <v>197.9864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91424.420000000027</v>
      </c>
      <c r="I58" s="95"/>
      <c r="J58" s="175">
        <f>H58/DAY(B2)</f>
        <v>3656.9768000000013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370459.15</v>
      </c>
      <c r="I59" s="95">
        <f>G7-G60</f>
        <v>928.60000000000582</v>
      </c>
      <c r="J59" s="175">
        <f>H59/DAY(B2)</f>
        <v>14818.366000000002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1359856.02</v>
      </c>
      <c r="I60" s="95">
        <f>G13-G60</f>
        <v>444.60000000000582</v>
      </c>
      <c r="J60" s="175">
        <f>H60/DAY(B2)</f>
        <v>54394.2408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-795</v>
      </c>
      <c r="I63" s="118"/>
      <c r="J63" s="175">
        <f>H63/DAY(B2)</f>
        <v>-31.8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'24'!F64</f>
        <v>0</v>
      </c>
      <c r="F64" s="122"/>
      <c r="G64" s="112">
        <f>G62+G63</f>
        <v>266</v>
      </c>
      <c r="H64" s="99">
        <f>G64+'24'!H64</f>
        <v>-1397</v>
      </c>
      <c r="I64" s="118"/>
      <c r="J64" s="175">
        <f>H64/DAY(B2)</f>
        <v>-55.88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-8</v>
      </c>
      <c r="I78" s="118"/>
      <c r="J78" s="175">
        <f>H78/DAY(B2)</f>
        <v>-0.32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-3091.4180000000197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-144</v>
      </c>
      <c r="I85" s="118">
        <f>G82+G83+G84+G85</f>
        <v>21.84000000000151</v>
      </c>
      <c r="J85" s="175">
        <f>H85/DAY(B2)</f>
        <v>-5.76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4098</v>
      </c>
      <c r="H94" s="99">
        <f>G94+'24'!H94</f>
        <v>429038.22999999986</v>
      </c>
      <c r="I94" s="118"/>
      <c r="J94" s="175">
        <f>H94/DAY(B2)</f>
        <v>17161.529199999994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0.25096454161308102</v>
      </c>
      <c r="H95" s="99">
        <f>G95+'24'!H95</f>
        <v>6.0341616206285593</v>
      </c>
      <c r="I95" s="167"/>
      <c r="J95" s="175">
        <f>H95/DAY(B2)</f>
        <v>0.24136646482514237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-23292.850000000013</v>
      </c>
      <c r="I96" s="118"/>
      <c r="J96" s="175">
        <f>H96/DAY(B2)</f>
        <v>-931.71400000000051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0.18546144895584507</v>
      </c>
      <c r="H97" s="99">
        <f>G97+'24'!H97</f>
        <v>4.2494037940315117</v>
      </c>
      <c r="I97" s="167"/>
      <c r="J97" s="175">
        <f>H97/DAY(B2)</f>
        <v>0.16997615176126046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2591</v>
      </c>
      <c r="H98" s="99">
        <f>G98+'24'!H98</f>
        <v>417116.71</v>
      </c>
      <c r="I98" s="168"/>
      <c r="J98" s="175">
        <f>H98/DAY(B2)</f>
        <v>16684.668400000002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0.15867475044399534</v>
      </c>
      <c r="H99" s="99">
        <f>G99+'24'!H99</f>
        <v>2.8225860039821948</v>
      </c>
      <c r="I99" s="168"/>
      <c r="J99" s="175">
        <f>H99/DAY(B2)</f>
        <v>0.1129034401592878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1761</v>
      </c>
      <c r="H100" s="99">
        <f>G100+'24'!H100</f>
        <v>235384.57</v>
      </c>
      <c r="I100" s="118"/>
      <c r="J100" s="175">
        <f>H100/DAY(B2)</f>
        <v>9415.3827999999994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1.8722384890246171</v>
      </c>
      <c r="I101" s="168"/>
      <c r="J101" s="175">
        <f>H101/DAY(B2)</f>
        <v>7.488953956098468E-2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2.3819413755396597</v>
      </c>
      <c r="I103" s="118"/>
      <c r="J103" s="175">
        <f>H103/DAY(B2)</f>
        <v>9.5277655021586388E-2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1608</v>
      </c>
      <c r="H104" s="99">
        <f>G104+'24'!H104</f>
        <v>198175.91000000006</v>
      </c>
      <c r="I104" s="118"/>
      <c r="J104" s="175">
        <f>H104/DAY(B2)</f>
        <v>7927.0364000000027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1.7573581133537772</v>
      </c>
      <c r="I105" s="187"/>
      <c r="J105" s="188">
        <f>H105/DAY(B2)</f>
        <v>7.029432453415109E-2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-1685.6000000000004</v>
      </c>
      <c r="I114" s="165"/>
      <c r="J114" s="328">
        <f>H114/DAY(B2)</f>
        <v>-67.424000000000021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>
      <c r="A124" s="904"/>
      <c r="B124" s="905"/>
      <c r="C124" s="906"/>
      <c r="D124" s="165"/>
      <c r="E124" s="165"/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670272.77</v>
      </c>
      <c r="I134" s="165"/>
      <c r="J134" s="328">
        <f>H134/DAY(B2)</f>
        <v>26810.910800000001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1826</v>
      </c>
      <c r="H135" s="99">
        <f>G135+'23'!H135</f>
        <v>631200.39</v>
      </c>
      <c r="I135" s="327">
        <f>G135-(G35+G49)</f>
        <v>-314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-4564.0000000000036</v>
      </c>
      <c r="I155" s="364"/>
      <c r="J155" s="328">
        <f>H155/DAY(B2)</f>
        <v>-182.56000000000014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-397</v>
      </c>
      <c r="I156" s="165"/>
      <c r="J156" s="328">
        <f>H156/DAY(B2)</f>
        <v>-15.88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>
      <c r="A166" s="910"/>
      <c r="B166" s="91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1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68" t="s">
        <v>209</v>
      </c>
      <c r="B173" s="869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>
      <c r="A174" s="868" t="s">
        <v>75</v>
      </c>
      <c r="B174" s="869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-79</v>
      </c>
      <c r="I174" s="155"/>
      <c r="J174" s="178">
        <f>H174/DAY(B2)</f>
        <v>-3.16</v>
      </c>
    </row>
    <row r="175" spans="1:10" ht="21.75" customHeight="1">
      <c r="A175" s="868" t="s">
        <v>76</v>
      </c>
      <c r="B175" s="873"/>
      <c r="C175" s="869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-139</v>
      </c>
      <c r="I176" s="155"/>
      <c r="J176" s="178">
        <f>H176/DAY(B2)</f>
        <v>-5.56</v>
      </c>
    </row>
    <row r="177" spans="1:10" ht="21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>
      <c r="A179" s="868" t="s">
        <v>211</v>
      </c>
      <c r="B179" s="869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>
      <c r="A184" s="868" t="s">
        <v>215</v>
      </c>
      <c r="B184" s="869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>
      <c r="A185" s="868" t="s">
        <v>216</v>
      </c>
      <c r="B185" s="869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>
      <c r="A187" s="916" t="s">
        <v>217</v>
      </c>
      <c r="B187" s="917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>
      <c r="A188" s="916" t="s">
        <v>218</v>
      </c>
      <c r="B188" s="917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-88438.150000000023</v>
      </c>
      <c r="I8" s="116"/>
      <c r="J8" s="175">
        <f>H8/DAY(B2)</f>
        <v>-3401.4673076923086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2282879.15</v>
      </c>
      <c r="I9" s="124">
        <f>I7-J7</f>
        <v>15358.355</v>
      </c>
      <c r="J9" s="175">
        <f>H9/DAY(B2)</f>
        <v>87803.044230769228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585554.03</v>
      </c>
      <c r="I10" s="282"/>
      <c r="J10" s="175">
        <f>H10/DAY(B2)</f>
        <v>22521.308846153846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2851678.75</v>
      </c>
      <c r="I13" s="120">
        <f>G7-G13</f>
        <v>308</v>
      </c>
      <c r="J13" s="175">
        <f>H13/DAY(B2)</f>
        <v>109679.95192307692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-4771.7669999999925</v>
      </c>
      <c r="I15" s="113">
        <f>'1'!I15</f>
        <v>800</v>
      </c>
      <c r="J15" s="175">
        <f>H15/DAY(B2)</f>
        <v>-183.5294999999997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983.52949999999964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3280</v>
      </c>
      <c r="I18" s="113">
        <f>'1'!I18</f>
        <v>65</v>
      </c>
      <c r="J18" s="175">
        <f>H18/DAY(B2)</f>
        <v>126.15384615384616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3007</v>
      </c>
      <c r="I20" s="336">
        <f>I18-J20</f>
        <v>-50.65384615384616</v>
      </c>
      <c r="J20" s="175">
        <f>H20/DAY(B2)</f>
        <v>115.65384615384616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-795943.35000000056</v>
      </c>
      <c r="I27" s="138"/>
      <c r="J27" s="175">
        <f>H27/DAY(B2)</f>
        <v>-30613.20576923079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-248131.88399999961</v>
      </c>
      <c r="I28" s="140"/>
      <c r="J28" s="175">
        <f>H28/DAY(B2)</f>
        <v>-9543.5339999999851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-39858</v>
      </c>
      <c r="I30" s="140"/>
      <c r="J30" s="175">
        <f>H30/DAY(B2)</f>
        <v>-1533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262400</v>
      </c>
      <c r="I31" s="140"/>
      <c r="J31" s="175">
        <f>H31/DAY(B2)</f>
        <v>10092.307692307691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-813943.23400000017</v>
      </c>
      <c r="I32" s="144"/>
      <c r="J32" s="175">
        <f>H32/DAY(B2)</f>
        <v>-31305.509000000005</v>
      </c>
      <c r="K32" s="63"/>
      <c r="L32" s="89"/>
      <c r="N32" s="87"/>
      <c r="O32" s="71"/>
    </row>
    <row r="33" spans="1:15" ht="25.5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161801.02000000002</v>
      </c>
      <c r="I35" s="95"/>
      <c r="J35" s="175">
        <f>H35/DAY(B2)</f>
        <v>6223.1161538461547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199694.91000000006</v>
      </c>
      <c r="I37" s="95"/>
      <c r="J37" s="175">
        <f>H37/DAY(B2)</f>
        <v>7680.5734615384636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237130.57</v>
      </c>
      <c r="I38" s="95"/>
      <c r="J38" s="175">
        <f>H38/DAY(B2)</f>
        <v>9120.4065384615387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419673.71</v>
      </c>
      <c r="I39" s="95"/>
      <c r="J39" s="175">
        <f>H39/DAY(B2)</f>
        <v>16141.29653846154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18096.739999999998</v>
      </c>
      <c r="I40" s="95"/>
      <c r="J40" s="175">
        <f>H40/DAY(B2)</f>
        <v>696.02846153846144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-19844.740000000005</v>
      </c>
      <c r="I42" s="95"/>
      <c r="J42" s="175">
        <f>H42/DAY(B2)</f>
        <v>-763.25923076923095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-9778.6000000000058</v>
      </c>
      <c r="I43" s="95"/>
      <c r="J43" s="175">
        <f>H43/DAY(B2)</f>
        <v>-376.10000000000025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1003197.8700000002</v>
      </c>
      <c r="I47" s="95"/>
      <c r="J47" s="175">
        <f>H47/DAY(B2)</f>
        <v>38584.533461538471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281042.81</v>
      </c>
      <c r="I49" s="95"/>
      <c r="J49" s="175">
        <f>H49/DAY(B2)</f>
        <v>10809.338846153845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4949.66</v>
      </c>
      <c r="I54" s="95"/>
      <c r="J54" s="175">
        <f>H54/DAY(B2)</f>
        <v>190.37153846153845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91626.420000000027</v>
      </c>
      <c r="I58" s="95"/>
      <c r="J58" s="175">
        <f>H58/DAY(B2)</f>
        <v>3524.0930769230781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372501.15</v>
      </c>
      <c r="I59" s="95">
        <f>G7-G60</f>
        <v>611</v>
      </c>
      <c r="J59" s="175">
        <f>H59/DAY(B2)</f>
        <v>14326.967307692308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1375699.02</v>
      </c>
      <c r="I60" s="95">
        <f>G13-G60</f>
        <v>303</v>
      </c>
      <c r="J60" s="175">
        <f>H60/DAY(B2)</f>
        <v>52911.50076923077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-668</v>
      </c>
      <c r="I63" s="118"/>
      <c r="J63" s="175">
        <f>H63/DAY(B2)</f>
        <v>-25.692307692307693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'25'!F64</f>
        <v>0</v>
      </c>
      <c r="F64" s="122"/>
      <c r="G64" s="112">
        <f>G62+G63</f>
        <v>220</v>
      </c>
      <c r="H64" s="99">
        <f>G64+'25'!H64</f>
        <v>-1177</v>
      </c>
      <c r="I64" s="118"/>
      <c r="J64" s="175">
        <f>H64/DAY(B2)</f>
        <v>-45.269230769230766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-7</v>
      </c>
      <c r="I78" s="118"/>
      <c r="J78" s="175">
        <f>H78/DAY(B2)</f>
        <v>-0.26923076923076922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-2578.4180000000197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-120</v>
      </c>
      <c r="I85" s="118">
        <f>G82+G83+G84+G85</f>
        <v>24</v>
      </c>
      <c r="J85" s="175">
        <f>H85/DAY(B2)</f>
        <v>-4.615384615384615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4027</v>
      </c>
      <c r="H94" s="99">
        <f>G94+'25'!H94</f>
        <v>433065.22999999986</v>
      </c>
      <c r="I94" s="118"/>
      <c r="J94" s="175">
        <f>H94/DAY(B2)</f>
        <v>16656.354999999996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0.24474291965479519</v>
      </c>
      <c r="H95" s="99">
        <f>G95+'25'!H95</f>
        <v>6.2789045402833548</v>
      </c>
      <c r="I95" s="167"/>
      <c r="J95" s="175">
        <f>H95/DAY(B2)</f>
        <v>0.24149632847243671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3448</v>
      </c>
      <c r="H96" s="99">
        <f>G96+'25'!H96</f>
        <v>-19844.850000000013</v>
      </c>
      <c r="I96" s="118"/>
      <c r="J96" s="175">
        <f>H96/DAY(B2)</f>
        <v>-763.26346153846202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0.2095539078643491</v>
      </c>
      <c r="H97" s="99">
        <f>G97+'25'!H97</f>
        <v>4.4589577018958604</v>
      </c>
      <c r="I97" s="167"/>
      <c r="J97" s="175">
        <f>H97/DAY(B2)</f>
        <v>0.17149837314984079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2557</v>
      </c>
      <c r="H98" s="99">
        <f>G98+'25'!H98</f>
        <v>419673.71</v>
      </c>
      <c r="I98" s="168"/>
      <c r="J98" s="175">
        <f>H98/DAY(B2)</f>
        <v>16141.29653846154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0.15540294153397349</v>
      </c>
      <c r="H99" s="99">
        <f>G99+'25'!H99</f>
        <v>2.9779889455161683</v>
      </c>
      <c r="I99" s="168"/>
      <c r="J99" s="175">
        <f>H99/DAY(B2)</f>
        <v>0.11453803636600647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1746</v>
      </c>
      <c r="H100" s="99">
        <f>G100+'25'!H100</f>
        <v>237130.57</v>
      </c>
      <c r="I100" s="118"/>
      <c r="J100" s="175">
        <f>H100/DAY(B2)</f>
        <v>9120.4065384615387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1.9783525038538379</v>
      </c>
      <c r="I101" s="168"/>
      <c r="J101" s="175">
        <f>H101/DAY(B2)</f>
        <v>7.6090480917455308E-2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2.4823424938087735</v>
      </c>
      <c r="I103" s="118"/>
      <c r="J103" s="175">
        <f>H103/DAY(B2)</f>
        <v>9.5474711300337439E-2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1519</v>
      </c>
      <c r="H104" s="99">
        <f>G104+'25'!H104</f>
        <v>199694.91000000006</v>
      </c>
      <c r="I104" s="118"/>
      <c r="J104" s="175">
        <f>H104/DAY(B2)</f>
        <v>7680.5734615384636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1.8496760907452929</v>
      </c>
      <c r="I105" s="187"/>
      <c r="J105" s="188">
        <f>H105/DAY(B2)</f>
        <v>7.1141388105588191E-2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>
      <c r="A113" s="879" t="s">
        <v>253</v>
      </c>
      <c r="B113" s="880"/>
      <c r="C113" s="881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>
      <c r="A114" s="879" t="s">
        <v>254</v>
      </c>
      <c r="B114" s="880"/>
      <c r="C114" s="881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-1420.6000000000004</v>
      </c>
      <c r="I114" s="165"/>
      <c r="J114" s="328">
        <f>H114/DAY(B2)</f>
        <v>-54.638461538461556</v>
      </c>
    </row>
    <row r="115" spans="1:18" ht="27.75">
      <c r="A115" s="879" t="s">
        <v>255</v>
      </c>
      <c r="B115" s="880"/>
      <c r="C115" s="881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>
      <c r="A116" s="897" t="s">
        <v>96</v>
      </c>
      <c r="B116" s="898"/>
      <c r="C116" s="899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>
      <c r="A117" s="897" t="s">
        <v>184</v>
      </c>
      <c r="B117" s="898"/>
      <c r="C117" s="899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>
      <c r="A124" s="904"/>
      <c r="B124" s="905"/>
      <c r="C124" s="906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>
      <c r="A128" s="879" t="s">
        <v>318</v>
      </c>
      <c r="B128" s="880"/>
      <c r="C128" s="881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670444.77</v>
      </c>
      <c r="I134" s="165"/>
      <c r="J134" s="328">
        <f>H134/DAY(B2)</f>
        <v>25786.337307692309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1909</v>
      </c>
      <c r="H135" s="99">
        <f>G135+'23'!H135</f>
        <v>631283.39</v>
      </c>
      <c r="I135" s="327">
        <f>G135-(G35+G49)</f>
        <v>-170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-3960.0000000000036</v>
      </c>
      <c r="I155" s="364"/>
      <c r="J155" s="328">
        <f>H155/DAY(B2)</f>
        <v>-152.30769230769243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-328</v>
      </c>
      <c r="I156" s="165"/>
      <c r="J156" s="328">
        <f>H156/DAY(B2)</f>
        <v>-12.615384615384615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>
      <c r="A166" s="910"/>
      <c r="B166" s="910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-67</v>
      </c>
      <c r="I174" s="155"/>
      <c r="J174" s="178">
        <f>H174/DAY(B2)</f>
        <v>-2.5769230769230771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-117</v>
      </c>
      <c r="I176" s="155"/>
      <c r="J176" s="178">
        <f>H176/DAY(B2)</f>
        <v>-4.5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>
      <c r="A187" s="916" t="s">
        <v>217</v>
      </c>
      <c r="B187" s="917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>
      <c r="A188" s="916" t="s">
        <v>218</v>
      </c>
      <c r="B188" s="917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>
      <c r="A189" s="916" t="s">
        <v>219</v>
      </c>
      <c r="B189" s="917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-70737.150000000023</v>
      </c>
      <c r="I8" s="116"/>
      <c r="J8" s="175">
        <f>H8/DAY(B2)</f>
        <v>-2619.8944444444455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2297828.15</v>
      </c>
      <c r="I9" s="124">
        <f>I7-J7</f>
        <v>14581.823333333334</v>
      </c>
      <c r="J9" s="175">
        <f>H9/DAY(B2)</f>
        <v>85104.746296296289</v>
      </c>
      <c r="K9" s="79">
        <f>K8-100</f>
        <v>1715817</v>
      </c>
      <c r="L9" s="66"/>
      <c r="N9" s="87"/>
      <c r="O9" s="71">
        <f>G8-G7</f>
        <v>93</v>
      </c>
    </row>
    <row r="10" spans="1:15" ht="29.25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587510.03</v>
      </c>
      <c r="I10" s="282"/>
      <c r="J10" s="175">
        <f>H10/DAY(B2)</f>
        <v>21759.63074074074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2868583.75</v>
      </c>
      <c r="I13" s="120">
        <f>G7-G13</f>
        <v>703</v>
      </c>
      <c r="J13" s="175">
        <f>H13/DAY(B2)</f>
        <v>106243.8425925926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-3817.7669999999925</v>
      </c>
      <c r="I15" s="113">
        <f>'1'!I15</f>
        <v>800</v>
      </c>
      <c r="J15" s="175">
        <f>H15/DAY(B2)</f>
        <v>-141.3987777777775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941.39877777777747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3400</v>
      </c>
      <c r="I18" s="113">
        <f>'1'!I18</f>
        <v>65</v>
      </c>
      <c r="J18" s="175">
        <f>H18/DAY(B2)</f>
        <v>125.92592592592592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3184</v>
      </c>
      <c r="I20" s="336">
        <f>I18-J20</f>
        <v>-52.925925925925924</v>
      </c>
      <c r="J20" s="175">
        <f>H20/DAY(B2)</f>
        <v>117.92592592592592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-636634.35000000056</v>
      </c>
      <c r="I27" s="138"/>
      <c r="J27" s="175">
        <f>H27/DAY(B2)</f>
        <v>-23579.050000000021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-198523.88399999961</v>
      </c>
      <c r="I28" s="140"/>
      <c r="J28" s="175">
        <f>H28/DAY(B2)</f>
        <v>-7352.7364444444302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-31536</v>
      </c>
      <c r="I30" s="140"/>
      <c r="J30" s="175">
        <f>H30/DAY(B2)</f>
        <v>-1168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272000</v>
      </c>
      <c r="I31" s="140"/>
      <c r="J31" s="175">
        <f>H31/DAY(B2)</f>
        <v>10074.074074074075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-587104.23400000017</v>
      </c>
      <c r="I32" s="144"/>
      <c r="J32" s="175">
        <f>H32/DAY(B2)</f>
        <v>-21744.601259259267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163075.02000000002</v>
      </c>
      <c r="I35" s="95"/>
      <c r="J35" s="175">
        <f>H35/DAY(B2)</f>
        <v>6039.8155555555559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201276.91000000006</v>
      </c>
      <c r="I37" s="95"/>
      <c r="J37" s="175">
        <f>H37/DAY(B2)</f>
        <v>7454.7003703703731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238922.57</v>
      </c>
      <c r="I38" s="95"/>
      <c r="J38" s="175">
        <f>H38/DAY(B2)</f>
        <v>8848.9840740740747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422285.71</v>
      </c>
      <c r="I39" s="95"/>
      <c r="J39" s="175">
        <f>H39/DAY(B2)</f>
        <v>15640.211481481483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18910.739999999998</v>
      </c>
      <c r="I40" s="95"/>
      <c r="J40" s="175">
        <f>H40/DAY(B2)</f>
        <v>700.39777777777772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-15910.740000000005</v>
      </c>
      <c r="I42" s="95"/>
      <c r="J42" s="175">
        <f>H42/DAY(B2)</f>
        <v>-589.28666666666686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-7809.6000000000058</v>
      </c>
      <c r="I43" s="95"/>
      <c r="J43" s="175">
        <f>H43/DAY(B2)</f>
        <v>-289.24444444444464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1017881.8700000002</v>
      </c>
      <c r="I47" s="95"/>
      <c r="J47" s="175">
        <f>H47/DAY(B2)</f>
        <v>37699.32851851853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281879.81</v>
      </c>
      <c r="I49" s="95"/>
      <c r="J49" s="175">
        <f>H49/DAY(B2)</f>
        <v>10439.992962962962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4949.66</v>
      </c>
      <c r="I54" s="95"/>
      <c r="J54" s="175">
        <f>H54/DAY(B2)</f>
        <v>183.32074074074075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91824.420000000027</v>
      </c>
      <c r="I58" s="95"/>
      <c r="J58" s="175">
        <f>H58/DAY(B2)</f>
        <v>3400.9044444444453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374513.15</v>
      </c>
      <c r="I59" s="95">
        <f>G7-G60</f>
        <v>912</v>
      </c>
      <c r="J59" s="175">
        <f>H59/DAY(B2)</f>
        <v>13870.857407407408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1392395.02</v>
      </c>
      <c r="I60" s="95">
        <f>G13-G60</f>
        <v>209</v>
      </c>
      <c r="J60" s="175">
        <f>H60/DAY(B2)</f>
        <v>51570.185925925929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-518</v>
      </c>
      <c r="I63" s="118"/>
      <c r="J63" s="175">
        <f>H63/DAY(B2)</f>
        <v>-19.185185185185187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'26'!F64</f>
        <v>0</v>
      </c>
      <c r="F64" s="122"/>
      <c r="G64" s="112">
        <f>G62+G63</f>
        <v>270</v>
      </c>
      <c r="H64" s="99">
        <f>G64+'26'!H64</f>
        <v>-907</v>
      </c>
      <c r="I64" s="118"/>
      <c r="J64" s="175">
        <f>H64/DAY(B2)</f>
        <v>-33.592592592592595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-6</v>
      </c>
      <c r="I78" s="118"/>
      <c r="J78" s="175">
        <f>H78/DAY(B2)</f>
        <v>-0.22222222222222221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-2044.4180000000197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-96</v>
      </c>
      <c r="I85" s="118">
        <f>G82+G83+G84+G85</f>
        <v>24</v>
      </c>
      <c r="J85" s="175">
        <f>H85/DAY(B2)</f>
        <v>-3.5555555555555554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4080</v>
      </c>
      <c r="H94" s="99">
        <f>G94+'26'!H94</f>
        <v>437145.22999999986</v>
      </c>
      <c r="I94" s="118"/>
      <c r="J94" s="175">
        <f>H94/DAY(B2)</f>
        <v>16190.564074074069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0.23171285779191278</v>
      </c>
      <c r="H95" s="99">
        <f>G95+'26'!H95</f>
        <v>6.5106173980752677</v>
      </c>
      <c r="I95" s="167"/>
      <c r="J95" s="175">
        <f>H95/DAY(B2)</f>
        <v>0.24113397770649139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3934</v>
      </c>
      <c r="H96" s="99">
        <f>G96+'26'!H96</f>
        <v>-15910.850000000013</v>
      </c>
      <c r="I96" s="118"/>
      <c r="J96" s="175">
        <f>H96/DAY(B2)</f>
        <v>-589.29074074074117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0.22342117219445706</v>
      </c>
      <c r="H97" s="99">
        <f>G97+'26'!H97</f>
        <v>4.6823788740903174</v>
      </c>
      <c r="I97" s="167"/>
      <c r="J97" s="175">
        <f>H97/DAY(B2)</f>
        <v>0.17342143978112287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2612</v>
      </c>
      <c r="H98" s="99">
        <f>G98+'26'!H98</f>
        <v>422285.71</v>
      </c>
      <c r="I98" s="168"/>
      <c r="J98" s="175">
        <f>H98/DAY(B2)</f>
        <v>15640.211481481483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0.14834166288050887</v>
      </c>
      <c r="H99" s="99">
        <f>G99+'26'!H99</f>
        <v>3.1263306083966773</v>
      </c>
      <c r="I99" s="168"/>
      <c r="J99" s="175">
        <f>H99/DAY(B2)</f>
        <v>0.11579002253321027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1792</v>
      </c>
      <c r="H100" s="99">
        <f>G100+'26'!H100</f>
        <v>238922.57</v>
      </c>
      <c r="I100" s="118"/>
      <c r="J100" s="175">
        <f>H100/DAY(B2)</f>
        <v>8848.9840740740747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2.0801244257075409</v>
      </c>
      <c r="I101" s="168"/>
      <c r="J101" s="175">
        <f>H101/DAY(B2)</f>
        <v>7.7041645396575584E-2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2.5779808400150435</v>
      </c>
      <c r="I103" s="118"/>
      <c r="J103" s="175">
        <f>H103/DAY(B2)</f>
        <v>9.548077185240901E-2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1582</v>
      </c>
      <c r="H104" s="99">
        <f>G104+'26'!H104</f>
        <v>201276.91000000006</v>
      </c>
      <c r="I104" s="118"/>
      <c r="J104" s="175">
        <f>H104/DAY(B2)</f>
        <v>7454.7003703703731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1.9395216155067649</v>
      </c>
      <c r="I105" s="187"/>
      <c r="J105" s="188">
        <f>H105/DAY(B2)</f>
        <v>7.1834133907657957E-2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-1169.6000000000004</v>
      </c>
      <c r="I114" s="165"/>
      <c r="J114" s="328">
        <f>H114/DAY(B2)</f>
        <v>-43.31851851851853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>
      <c r="A124" s="904"/>
      <c r="B124" s="905"/>
      <c r="C124" s="906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670565.77</v>
      </c>
      <c r="I134" s="165"/>
      <c r="J134" s="328">
        <f>H134/DAY(B2)</f>
        <v>24835.769259259261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1658</v>
      </c>
      <c r="H135" s="99">
        <f>G135+'23'!H135</f>
        <v>631032.39</v>
      </c>
      <c r="I135" s="327">
        <f>G135-(G35+G49)</f>
        <v>-453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-3261.0000000000036</v>
      </c>
      <c r="I155" s="364"/>
      <c r="J155" s="328">
        <f>H155/DAY(B2)</f>
        <v>-120.77777777777791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-280</v>
      </c>
      <c r="I156" s="165"/>
      <c r="J156" s="328">
        <f>H156/DAY(B2)</f>
        <v>-10.37037037037037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>
      <c r="A166" s="910"/>
      <c r="B166" s="91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-54</v>
      </c>
      <c r="I174" s="155"/>
      <c r="J174" s="178">
        <f>H174/DAY(B2)</f>
        <v>-2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-93</v>
      </c>
      <c r="I176" s="155"/>
      <c r="J176" s="178">
        <f>H176/DAY(B2)</f>
        <v>-3.4444444444444446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>
      <c r="A185" s="868" t="s">
        <v>216</v>
      </c>
      <c r="B185" s="869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>
      <c r="A187" s="916" t="s">
        <v>217</v>
      </c>
      <c r="B187" s="917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>
      <c r="A188" s="916" t="s">
        <v>218</v>
      </c>
      <c r="B188" s="917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-52851.150000000023</v>
      </c>
      <c r="I8" s="116"/>
      <c r="J8" s="175">
        <f>H8/DAY(B2)</f>
        <v>-1887.5410714285722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2312932.15</v>
      </c>
      <c r="I9" s="124">
        <f>I7-J7</f>
        <v>13859.115357142857</v>
      </c>
      <c r="J9" s="175">
        <f>H9/DAY(B2)</f>
        <v>82604.719642857133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589534.03</v>
      </c>
      <c r="I10" s="282"/>
      <c r="J10" s="175">
        <f>H10/DAY(B2)</f>
        <v>21054.786785714288</v>
      </c>
      <c r="K10" s="79"/>
      <c r="L10" s="66"/>
      <c r="N10" s="87"/>
      <c r="O10" s="71">
        <f>F7-O8</f>
        <v>574224</v>
      </c>
    </row>
    <row r="11" spans="1:15" ht="29.25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2885711.75</v>
      </c>
      <c r="I13" s="120">
        <f>G7-G13</f>
        <v>526</v>
      </c>
      <c r="J13" s="175">
        <f>H13/DAY(B2)</f>
        <v>103061.13392857143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-2846.7669999999925</v>
      </c>
      <c r="I15" s="113">
        <f>'1'!I15</f>
        <v>800</v>
      </c>
      <c r="J15" s="175">
        <f>H15/DAY(B2)</f>
        <v>-101.67024999999974</v>
      </c>
      <c r="K15" s="79"/>
      <c r="L15" s="66"/>
      <c r="N15" s="87"/>
      <c r="O15" s="71">
        <f>G8-200</f>
        <v>17686</v>
      </c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901.67024999999978</v>
      </c>
      <c r="J16" s="176"/>
      <c r="K16" s="79"/>
      <c r="L16" s="66"/>
      <c r="N16" s="87"/>
      <c r="O16" s="71"/>
    </row>
    <row r="17" spans="1:16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>
      <c r="A18" s="846" t="s">
        <v>141</v>
      </c>
      <c r="B18" s="847"/>
      <c r="C18" s="848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3440</v>
      </c>
      <c r="I18" s="113">
        <f>'1'!I18</f>
        <v>65</v>
      </c>
      <c r="J18" s="175">
        <f>H18/DAY(B2)</f>
        <v>122.85714285714286</v>
      </c>
      <c r="K18" s="79"/>
      <c r="L18" s="66"/>
      <c r="N18" s="87"/>
      <c r="O18" s="71"/>
    </row>
    <row r="19" spans="1:16" ht="27.75">
      <c r="A19" s="846" t="s">
        <v>69</v>
      </c>
      <c r="B19" s="847"/>
      <c r="C19" s="848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3276</v>
      </c>
      <c r="I20" s="336">
        <f>I18-J20</f>
        <v>-52</v>
      </c>
      <c r="J20" s="175">
        <f>H20/DAY(B2)</f>
        <v>117</v>
      </c>
      <c r="K20" s="79"/>
      <c r="L20" s="66"/>
      <c r="N20" s="87"/>
      <c r="O20" s="71"/>
    </row>
    <row r="21" spans="1:16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-475660.35000000056</v>
      </c>
      <c r="I27" s="138"/>
      <c r="J27" s="175">
        <f>H27/DAY(B2)</f>
        <v>-16987.869642857164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-129728.53399999962</v>
      </c>
      <c r="I28" s="140"/>
      <c r="J28" s="175">
        <f>H28/DAY(B2)</f>
        <v>-4633.161928571415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-23656.44</v>
      </c>
      <c r="I30" s="140"/>
      <c r="J30" s="175">
        <f>H30/DAY(B2)</f>
        <v>-844.87285714285713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275200</v>
      </c>
      <c r="I31" s="140"/>
      <c r="J31" s="175">
        <f>H31/DAY(B2)</f>
        <v>9828.5714285714294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-346255.3240000002</v>
      </c>
      <c r="I32" s="144"/>
      <c r="J32" s="175">
        <f>H32/DAY(B2)</f>
        <v>-12366.261571428578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164391.02000000002</v>
      </c>
      <c r="I35" s="95"/>
      <c r="J35" s="175">
        <f>H35/DAY(B2)</f>
        <v>5871.1078571428579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202852.91000000006</v>
      </c>
      <c r="I37" s="95"/>
      <c r="J37" s="175">
        <f>H37/DAY(B2)</f>
        <v>7244.7467857142883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240675.57</v>
      </c>
      <c r="I38" s="95"/>
      <c r="J38" s="175">
        <f>H38/DAY(B2)</f>
        <v>8595.5560714285712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424889.71</v>
      </c>
      <c r="I39" s="95"/>
      <c r="J39" s="175">
        <f>H39/DAY(B2)</f>
        <v>15174.632500000002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19554.739999999998</v>
      </c>
      <c r="I40" s="95"/>
      <c r="J40" s="175">
        <f>H40/DAY(B2)</f>
        <v>698.38357142857137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1032560.8700000002</v>
      </c>
      <c r="I47" s="95"/>
      <c r="J47" s="175">
        <f>H47/DAY(B2)</f>
        <v>36877.173928571436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282716.81</v>
      </c>
      <c r="I49" s="95"/>
      <c r="J49" s="175">
        <f>H49/DAY(B2)</f>
        <v>10097.028928571428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4949.66</v>
      </c>
      <c r="I54" s="95"/>
      <c r="J54" s="175">
        <f>H54/DAY(B2)</f>
        <v>176.77357142857142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92027.420000000027</v>
      </c>
      <c r="I58" s="95"/>
      <c r="J58" s="175">
        <f>H58/DAY(B2)</f>
        <v>3286.6935714285723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376589.15</v>
      </c>
      <c r="I59" s="95">
        <f>G7-G60</f>
        <v>899</v>
      </c>
      <c r="J59" s="175">
        <f>H59/DAY(B2)</f>
        <v>13449.612500000001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1409150.02</v>
      </c>
      <c r="I60" s="95">
        <f>G13-G60</f>
        <v>373</v>
      </c>
      <c r="J60" s="175">
        <f>H60/DAY(B2)</f>
        <v>50326.786428571431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'27'!F64</f>
        <v>0</v>
      </c>
      <c r="F64" s="122"/>
      <c r="G64" s="112">
        <f>G62+G63</f>
        <v>229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-1559.4180000000197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-72</v>
      </c>
      <c r="I85" s="118">
        <f>G82+G83+G84+G85</f>
        <v>24</v>
      </c>
      <c r="J85" s="175">
        <f>H85/DAY(B2)</f>
        <v>-2.5714285714285716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4114</v>
      </c>
      <c r="H94" s="99">
        <f>G94+'27'!H94</f>
        <v>441259.22999999986</v>
      </c>
      <c r="I94" s="118"/>
      <c r="J94" s="175">
        <f>H94/DAY(B2)</f>
        <v>15759.25821428571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0.23303500623088252</v>
      </c>
      <c r="H95" s="99">
        <f>G95+'27'!H95</f>
        <v>6.7436524043061503</v>
      </c>
      <c r="I95" s="167"/>
      <c r="J95" s="175">
        <f>H95/DAY(B2)</f>
        <v>0.24084472872521964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4136</v>
      </c>
      <c r="H96" s="99">
        <f>G96+'27'!H96</f>
        <v>-11774.850000000013</v>
      </c>
      <c r="I96" s="118"/>
      <c r="J96" s="175">
        <f>H96/DAY(B2)</f>
        <v>-420.53035714285761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0.23428118273479098</v>
      </c>
      <c r="H97" s="99">
        <f>G97+'27'!H97</f>
        <v>4.9166600568251084</v>
      </c>
      <c r="I97" s="167"/>
      <c r="J97" s="175">
        <f>H97/DAY(B2)</f>
        <v>0.17559500202946815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2604</v>
      </c>
      <c r="H98" s="99">
        <f>G98+'27'!H98</f>
        <v>424889.71</v>
      </c>
      <c r="I98" s="168"/>
      <c r="J98" s="175">
        <f>H98/DAY(B2)</f>
        <v>15174.632500000002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0.14750198255352895</v>
      </c>
      <c r="H99" s="99">
        <f>G99+'27'!H99</f>
        <v>3.2738325909502062</v>
      </c>
      <c r="I99" s="168"/>
      <c r="J99" s="175">
        <f>H99/DAY(B2)</f>
        <v>0.11692259253393593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1753</v>
      </c>
      <c r="H100" s="99">
        <f>G100+'27'!H100</f>
        <v>240675.57</v>
      </c>
      <c r="I100" s="118"/>
      <c r="J100" s="175">
        <f>H100/DAY(B2)</f>
        <v>8595.5560714285712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2.1794220353144289</v>
      </c>
      <c r="I101" s="168"/>
      <c r="J101" s="175">
        <f>H101/DAY(B2)</f>
        <v>7.783650126122961E-2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2.6756924067987753</v>
      </c>
      <c r="I103" s="118"/>
      <c r="J103" s="175">
        <f>H103/DAY(B2)</f>
        <v>9.556044309995626E-2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1576</v>
      </c>
      <c r="H104" s="99">
        <f>G104+'27'!H104</f>
        <v>202852.91000000006</v>
      </c>
      <c r="I104" s="118"/>
      <c r="J104" s="175">
        <f>H104/DAY(B2)</f>
        <v>7244.7467857142883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2.0287931686958438</v>
      </c>
      <c r="I105" s="187"/>
      <c r="J105" s="188">
        <f>H105/DAY(B2)</f>
        <v>7.2456898881994428E-2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>
      <c r="A113" s="879" t="s">
        <v>253</v>
      </c>
      <c r="B113" s="880"/>
      <c r="C113" s="881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>
      <c r="A114" s="879" t="s">
        <v>254</v>
      </c>
      <c r="B114" s="880"/>
      <c r="C114" s="881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-906.60000000000036</v>
      </c>
      <c r="I114" s="165"/>
      <c r="J114" s="328">
        <f>H114/DAY(B2)</f>
        <v>-32.378571428571441</v>
      </c>
    </row>
    <row r="115" spans="1:18" ht="29.25" customHeight="1">
      <c r="A115" s="879" t="s">
        <v>255</v>
      </c>
      <c r="B115" s="880"/>
      <c r="C115" s="881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>
      <c r="A116" s="897" t="s">
        <v>96</v>
      </c>
      <c r="B116" s="898"/>
      <c r="C116" s="899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79"/>
      <c r="R116" s="881"/>
    </row>
    <row r="117" spans="1:18" ht="29.25" customHeight="1">
      <c r="A117" s="897" t="s">
        <v>184</v>
      </c>
      <c r="B117" s="898"/>
      <c r="C117" s="899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>
      <c r="A124" s="904"/>
      <c r="B124" s="905"/>
      <c r="C124" s="906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79" t="s">
        <v>318</v>
      </c>
      <c r="B128" s="880"/>
      <c r="C128" s="881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670711.77</v>
      </c>
      <c r="I134" s="165"/>
      <c r="J134" s="328">
        <f>H134/DAY(B2)</f>
        <v>23953.991785714286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SUM(G128:G134)</f>
        <v>1837</v>
      </c>
      <c r="H135" s="99">
        <f>G135+'23'!H135</f>
        <v>631211.39</v>
      </c>
      <c r="I135" s="327">
        <f>G135-(G35+G49)</f>
        <v>-316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689">
        <f>'27'!F155</f>
        <v>29684</v>
      </c>
      <c r="F155" s="690">
        <v>30396</v>
      </c>
      <c r="G155" s="112">
        <f t="shared" ref="G155:G158" si="12">F155-E155</f>
        <v>712</v>
      </c>
      <c r="H155" s="99">
        <f>G155+'27'!H155</f>
        <v>-2549.0000000000036</v>
      </c>
      <c r="I155" s="364"/>
      <c r="J155" s="328">
        <f>H155/DAY(B2)</f>
        <v>-91.03571428571442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-224</v>
      </c>
      <c r="I156" s="165"/>
      <c r="J156" s="328">
        <f>H156/DAY(B2)</f>
        <v>-8</v>
      </c>
    </row>
    <row r="157" spans="1:10" ht="27.75">
      <c r="A157" s="870" t="s">
        <v>364</v>
      </c>
      <c r="B157" s="871"/>
      <c r="C157" s="872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>
      <c r="A158" s="870" t="s">
        <v>365</v>
      </c>
      <c r="B158" s="871"/>
      <c r="C158" s="872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>
      <c r="A166" s="910"/>
      <c r="B166" s="91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>
      <c r="A187" s="916" t="s">
        <v>217</v>
      </c>
      <c r="B187" s="917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>
      <c r="A188" s="916" t="s">
        <v>218</v>
      </c>
      <c r="B188" s="917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-35359.150000000023</v>
      </c>
      <c r="I8" s="116"/>
      <c r="J8" s="175">
        <f>H8/DAY(B2)</f>
        <v>-1219.2810344827594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2327536.15</v>
      </c>
      <c r="I9" s="124">
        <f>I7-J7</f>
        <v>13203.042413793102</v>
      </c>
      <c r="J9" s="175">
        <f>H9/DAY(B2)</f>
        <v>80259.86724137931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591594.03</v>
      </c>
      <c r="I10" s="282"/>
      <c r="J10" s="175">
        <f>H10/DAY(B2)</f>
        <v>20399.794137931036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2902375.75</v>
      </c>
      <c r="I13" s="120">
        <f>G7-G13</f>
        <v>503</v>
      </c>
      <c r="J13" s="175">
        <f>H13/DAY(B2)</f>
        <v>100081.9224137931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-1844.7669999999925</v>
      </c>
      <c r="I15" s="113">
        <f>'1'!I15</f>
        <v>800</v>
      </c>
      <c r="J15" s="175">
        <f>H15/DAY(B2)</f>
        <v>-63.61265517241354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863.6126551724135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3700</v>
      </c>
      <c r="I18" s="113">
        <f>'1'!I18</f>
        <v>65</v>
      </c>
      <c r="J18" s="175">
        <f>H18/DAY(B2)</f>
        <v>127.58620689655173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3588</v>
      </c>
      <c r="I20" s="336">
        <f>I18-J20</f>
        <v>-58.724137931034477</v>
      </c>
      <c r="J20" s="175">
        <f>H20/DAY(B2)</f>
        <v>123.72413793103448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-318232.35000000056</v>
      </c>
      <c r="I27" s="138"/>
      <c r="J27" s="175">
        <f>H27/DAY(B2)</f>
        <v>-10973.529310344848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-77624.533999999621</v>
      </c>
      <c r="I28" s="140"/>
      <c r="J28" s="175">
        <f>H28/DAY(B2)</f>
        <v>-2676.708068965504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-16064.439999999999</v>
      </c>
      <c r="I30" s="140"/>
      <c r="J30" s="175">
        <f>H30/DAY(B2)</f>
        <v>-553.94620689655164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296000</v>
      </c>
      <c r="I31" s="140"/>
      <c r="J31" s="175">
        <f>H31/DAY(B2)</f>
        <v>10206.896551724138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-108331.3240000002</v>
      </c>
      <c r="I32" s="144"/>
      <c r="J32" s="175">
        <f>H32/DAY(B2)</f>
        <v>-3735.5628965517308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165583.02000000002</v>
      </c>
      <c r="I35" s="95"/>
      <c r="J35" s="175">
        <f>H35/DAY(B2)</f>
        <v>5709.759310344828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204463.91000000006</v>
      </c>
      <c r="I37" s="95"/>
      <c r="J37" s="175">
        <f>H37/DAY(B2)</f>
        <v>7050.4796551724157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242425.57</v>
      </c>
      <c r="I38" s="95"/>
      <c r="J38" s="175">
        <f>H38/DAY(B2)</f>
        <v>8359.5024137931032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427495.71</v>
      </c>
      <c r="I39" s="95"/>
      <c r="J39" s="175">
        <f>H39/DAY(B2)</f>
        <v>14741.231379310346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20107.739999999998</v>
      </c>
      <c r="I40" s="95"/>
      <c r="J40" s="175">
        <f>H40/DAY(B2)</f>
        <v>693.37034482758611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1046604.8700000002</v>
      </c>
      <c r="I47" s="95"/>
      <c r="J47" s="175">
        <f>H47/DAY(B2)</f>
        <v>36089.823103448281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283632.81</v>
      </c>
      <c r="I49" s="95"/>
      <c r="J49" s="175">
        <f>H49/DAY(B2)</f>
        <v>9780.4417241379306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4949.66</v>
      </c>
      <c r="I54" s="95"/>
      <c r="J54" s="175">
        <f>H54/DAY(B2)</f>
        <v>170.67793103448275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92238.420000000027</v>
      </c>
      <c r="I58" s="95"/>
      <c r="J58" s="175">
        <f>H58/DAY(B2)</f>
        <v>3180.635172413794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378699.15</v>
      </c>
      <c r="I59" s="95">
        <f>G7-G60</f>
        <v>1013</v>
      </c>
      <c r="J59" s="175">
        <f>H59/DAY(B2)</f>
        <v>13058.591379310346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1425304.02</v>
      </c>
      <c r="I60" s="95">
        <f>G13-G60</f>
        <v>510</v>
      </c>
      <c r="J60" s="175">
        <f>H60/DAY(B2)</f>
        <v>49148.414482758621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-3</v>
      </c>
      <c r="I78" s="118"/>
      <c r="J78" s="175">
        <f>H78/DAY(B2)</f>
        <v>-0.10344827586206896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-1006.4180000000197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-48</v>
      </c>
      <c r="I85" s="118">
        <f>G82+G83+G84+G85</f>
        <v>23.860000000000582</v>
      </c>
      <c r="J85" s="175">
        <f>H85/DAY(B2)</f>
        <v>-1.6551724137931034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4173</v>
      </c>
      <c r="H94" s="99">
        <f>G94+'28'!H94</f>
        <v>445432.22999999986</v>
      </c>
      <c r="I94" s="118"/>
      <c r="J94" s="175">
        <f>H94/DAY(B2)</f>
        <v>15359.732068965513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0.24308265858915362</v>
      </c>
      <c r="H95" s="99">
        <f>G95+'28'!H95</f>
        <v>6.9867350628953035</v>
      </c>
      <c r="I95" s="167"/>
      <c r="J95" s="175">
        <f>H95/DAY(B2)</f>
        <v>0.24092189872052772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3572</v>
      </c>
      <c r="H96" s="99">
        <f>G96+'28'!H96</f>
        <v>-8202.8500000000131</v>
      </c>
      <c r="I96" s="118"/>
      <c r="J96" s="175">
        <f>H96/DAY(B2)</f>
        <v>-282.85689655172462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0.20807362963825946</v>
      </c>
      <c r="H97" s="99">
        <f>G97+'28'!H97</f>
        <v>5.1247336864633679</v>
      </c>
      <c r="I97" s="167"/>
      <c r="J97" s="175">
        <f>H97/DAY(B2)</f>
        <v>0.17671495470563336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2606</v>
      </c>
      <c r="H98" s="99">
        <f>G98+'28'!H98</f>
        <v>427495.71</v>
      </c>
      <c r="I98" s="168"/>
      <c r="J98" s="175">
        <f>H98/DAY(B2)</f>
        <v>14741.231379310346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0.15180287761402692</v>
      </c>
      <c r="H99" s="99">
        <f>G99+'28'!H99</f>
        <v>3.425635468564233</v>
      </c>
      <c r="I99" s="168"/>
      <c r="J99" s="175">
        <f>H99/DAY(B2)</f>
        <v>0.11812536098497355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1750</v>
      </c>
      <c r="H100" s="99">
        <f>G100+'28'!H100</f>
        <v>242425.57</v>
      </c>
      <c r="I100" s="118"/>
      <c r="J100" s="175">
        <f>H100/DAY(B2)</f>
        <v>8359.5024137931032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2.2813618034742706</v>
      </c>
      <c r="I101" s="168"/>
      <c r="J101" s="175">
        <f>H101/DAY(B2)</f>
        <v>7.8667648395664508E-2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2.7734380816400406</v>
      </c>
      <c r="I103" s="118"/>
      <c r="J103" s="175">
        <f>H103/DAY(B2)</f>
        <v>9.5635795918622091E-2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1611</v>
      </c>
      <c r="H104" s="99">
        <f>G104+'28'!H104</f>
        <v>204463.91000000006</v>
      </c>
      <c r="I104" s="118"/>
      <c r="J104" s="175">
        <f>H104/DAY(B2)</f>
        <v>7050.4796551724157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2.1226360066989893</v>
      </c>
      <c r="I105" s="187"/>
      <c r="J105" s="188">
        <f>H105/DAY(B2)</f>
        <v>7.3194345058585839E-2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27.75">
      <c r="A112" s="879" t="s">
        <v>252</v>
      </c>
      <c r="B112" s="880"/>
      <c r="C112" s="881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>
      <c r="A113" s="879" t="s">
        <v>253</v>
      </c>
      <c r="B113" s="880"/>
      <c r="C113" s="881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>
      <c r="A114" s="879" t="s">
        <v>254</v>
      </c>
      <c r="B114" s="880"/>
      <c r="C114" s="881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-648.60000000000036</v>
      </c>
      <c r="I114" s="165"/>
      <c r="J114" s="328">
        <f>H114/DAY(B2)</f>
        <v>-22.365517241379322</v>
      </c>
    </row>
    <row r="115" spans="1:18" ht="27.75">
      <c r="A115" s="879" t="s">
        <v>255</v>
      </c>
      <c r="B115" s="880"/>
      <c r="C115" s="881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>
      <c r="A116" s="897" t="s">
        <v>96</v>
      </c>
      <c r="B116" s="898"/>
      <c r="C116" s="899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27.75">
      <c r="A117" s="897" t="s">
        <v>184</v>
      </c>
      <c r="B117" s="898"/>
      <c r="C117" s="899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79" t="s">
        <v>312</v>
      </c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79" t="s">
        <v>311</v>
      </c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>
      <c r="A123" s="874" t="s">
        <v>102</v>
      </c>
      <c r="B123" s="874"/>
      <c r="C123" s="874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>
      <c r="A124" s="904"/>
      <c r="B124" s="905"/>
      <c r="C124" s="906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>
      <c r="A125" s="907" t="s">
        <v>196</v>
      </c>
      <c r="B125" s="90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>
      <c r="A128" s="879" t="s">
        <v>318</v>
      </c>
      <c r="B128" s="880"/>
      <c r="C128" s="881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670862.77</v>
      </c>
      <c r="I134" s="165"/>
      <c r="J134" s="328">
        <f>H134/DAY(B2)</f>
        <v>23133.198965517244</v>
      </c>
    </row>
    <row r="135" spans="1:15" ht="27.75">
      <c r="A135" s="907" t="s">
        <v>196</v>
      </c>
      <c r="B135" s="908"/>
      <c r="C135" s="331"/>
      <c r="D135" s="151"/>
      <c r="E135" s="95"/>
      <c r="F135" s="165"/>
      <c r="G135" s="112">
        <f>SUM(G127:G134)</f>
        <v>1778</v>
      </c>
      <c r="H135" s="99">
        <f>G135+'23'!H135</f>
        <v>631152.39</v>
      </c>
      <c r="I135" s="327">
        <f>G135-(G35+G49)</f>
        <v>-330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74" t="s">
        <v>185</v>
      </c>
      <c r="B138" s="874"/>
      <c r="C138" s="874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>
      <c r="A145" s="874" t="s">
        <v>190</v>
      </c>
      <c r="B145" s="874"/>
      <c r="C145" s="874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>
      <c r="A146" s="875" t="s">
        <v>191</v>
      </c>
      <c r="B146" s="876"/>
      <c r="C146" s="877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>
      <c r="A147" s="878" t="s">
        <v>192</v>
      </c>
      <c r="B147" s="878"/>
      <c r="C147" s="878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>
      <c r="A148" s="870" t="s">
        <v>193</v>
      </c>
      <c r="B148" s="871"/>
      <c r="C148" s="872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>
      <c r="A149" s="870" t="s">
        <v>336</v>
      </c>
      <c r="B149" s="871"/>
      <c r="C149" s="872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>
      <c r="A150" s="870" t="s">
        <v>337</v>
      </c>
      <c r="B150" s="871"/>
      <c r="C150" s="872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>
      <c r="A151" s="870" t="s">
        <v>338</v>
      </c>
      <c r="B151" s="871"/>
      <c r="C151" s="872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>
      <c r="A152" s="870" t="s">
        <v>339</v>
      </c>
      <c r="B152" s="871"/>
      <c r="C152" s="872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>
      <c r="A153" s="907" t="s">
        <v>196</v>
      </c>
      <c r="B153" s="90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1.5">
      <c r="A155" s="878" t="s">
        <v>345</v>
      </c>
      <c r="B155" s="878"/>
      <c r="C155" s="878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-1907.0000000000036</v>
      </c>
      <c r="I155" s="364"/>
      <c r="J155" s="328">
        <f>H155/DAY(B2)</f>
        <v>-65.758620689655302</v>
      </c>
    </row>
    <row r="156" spans="1:10" ht="27.75">
      <c r="A156" s="878" t="s">
        <v>347</v>
      </c>
      <c r="B156" s="878"/>
      <c r="C156" s="878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>
      <c r="A157" s="870" t="s">
        <v>364</v>
      </c>
      <c r="B157" s="871"/>
      <c r="C157" s="872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>
      <c r="A158" s="870" t="s">
        <v>365</v>
      </c>
      <c r="B158" s="871"/>
      <c r="C158" s="872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>
      <c r="A166" s="910"/>
      <c r="B166" s="91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>
      <c r="A176" s="907" t="s">
        <v>196</v>
      </c>
      <c r="B176" s="908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>
      <c r="A181" s="912" t="s">
        <v>108</v>
      </c>
      <c r="B181" s="913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>
      <c r="A182" s="868" t="s">
        <v>213</v>
      </c>
      <c r="B182" s="869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>
      <c r="A187" s="916" t="s">
        <v>217</v>
      </c>
      <c r="B187" s="917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>
      <c r="A188" s="916" t="s">
        <v>218</v>
      </c>
      <c r="B188" s="917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>
      <c r="A190" s="839"/>
      <c r="B190" s="840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30.75" customHeight="1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-17830.150000000023</v>
      </c>
      <c r="I8" s="116"/>
      <c r="J8" s="175">
        <f>H8/DAY(B2)</f>
        <v>-594.33833333333416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2342253.15</v>
      </c>
      <c r="I9" s="124">
        <f>I7-J7</f>
        <v>12586.641</v>
      </c>
      <c r="J9" s="175">
        <f>H9/DAY(B2)</f>
        <v>78075.104999999996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593658.03</v>
      </c>
      <c r="I10" s="282"/>
      <c r="J10" s="175">
        <f>H10/DAY(B2)</f>
        <v>19788.601000000002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2919156.75</v>
      </c>
      <c r="I13" s="120">
        <f>G7-G13</f>
        <v>508</v>
      </c>
      <c r="J13" s="175">
        <f>H13/DAY(B2)</f>
        <v>97305.225000000006</v>
      </c>
      <c r="K13" s="79"/>
      <c r="L13" s="66"/>
      <c r="N13" s="87"/>
      <c r="O13" s="71"/>
    </row>
    <row r="14" spans="1:15" ht="30.75" customHeight="1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-915.76699999999255</v>
      </c>
      <c r="I15" s="113">
        <f>'1'!I15</f>
        <v>800</v>
      </c>
      <c r="J15" s="175">
        <f>H15/DAY(B2)</f>
        <v>-30.525566666666418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830.52556666666646</v>
      </c>
      <c r="J16" s="176"/>
      <c r="K16" s="79"/>
      <c r="L16" s="66"/>
      <c r="N16" s="87"/>
      <c r="O16" s="71"/>
    </row>
    <row r="17" spans="1:15" ht="30.75" customHeight="1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46" t="s">
        <v>141</v>
      </c>
      <c r="B18" s="847"/>
      <c r="C18" s="848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3870</v>
      </c>
      <c r="I18" s="113">
        <f>'1'!I18</f>
        <v>65</v>
      </c>
      <c r="J18" s="175">
        <f>H18/DAY(B2)</f>
        <v>129</v>
      </c>
      <c r="K18" s="79"/>
      <c r="L18" s="66"/>
      <c r="N18" s="87"/>
      <c r="O18" s="71"/>
    </row>
    <row r="19" spans="1:15" ht="30.75" customHeight="1">
      <c r="A19" s="846" t="s">
        <v>69</v>
      </c>
      <c r="B19" s="847"/>
      <c r="C19" s="848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3814</v>
      </c>
      <c r="I20" s="336">
        <f>I18-J20</f>
        <v>-62.13333333333334</v>
      </c>
      <c r="J20" s="175">
        <f>H20/DAY(B2)</f>
        <v>127.13333333333334</v>
      </c>
      <c r="K20" s="79"/>
      <c r="L20" s="66"/>
      <c r="N20" s="87"/>
      <c r="O20" s="71"/>
    </row>
    <row r="21" spans="1:15" ht="30.75" customHeight="1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-160471.35000000056</v>
      </c>
      <c r="I27" s="138"/>
      <c r="J27" s="175">
        <f>H27/DAY(B2)</f>
        <v>-5349.0450000000183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-29316.533999999621</v>
      </c>
      <c r="I28" s="140"/>
      <c r="J28" s="175">
        <f>H28/DAY(B2)</f>
        <v>-977.21779999998739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-7888.4399999999987</v>
      </c>
      <c r="I30" s="140"/>
      <c r="J30" s="175">
        <f>H30/DAY(B2)</f>
        <v>-262.94799999999998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309600</v>
      </c>
      <c r="I31" s="140"/>
      <c r="J31" s="175">
        <f>H31/DAY(B2)</f>
        <v>10320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119513.6759999998</v>
      </c>
      <c r="I32" s="144"/>
      <c r="J32" s="175">
        <f>H32/DAY(B2)</f>
        <v>3983.7891999999933</v>
      </c>
      <c r="K32" s="63"/>
      <c r="L32" s="89"/>
      <c r="N32" s="87"/>
      <c r="O32" s="71"/>
    </row>
    <row r="33" spans="1:15" ht="30.75" customHeight="1">
      <c r="A33" s="863" t="s">
        <v>331</v>
      </c>
      <c r="B33" s="864"/>
      <c r="C33" s="864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166789.02000000002</v>
      </c>
      <c r="I35" s="95"/>
      <c r="J35" s="175">
        <f>H35/DAY(B2)</f>
        <v>5559.6340000000009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206016.91000000006</v>
      </c>
      <c r="I37" s="95"/>
      <c r="J37" s="175">
        <f>H37/DAY(B2)</f>
        <v>6867.2303333333357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244054.57</v>
      </c>
      <c r="I38" s="95"/>
      <c r="J38" s="175">
        <f>H38/DAY(B2)</f>
        <v>8135.1523333333334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430111.71</v>
      </c>
      <c r="I39" s="95"/>
      <c r="J39" s="175">
        <f>H39/DAY(B2)</f>
        <v>14337.057000000001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20905.739999999998</v>
      </c>
      <c r="I40" s="95"/>
      <c r="J40" s="175">
        <f>H40/DAY(B2)</f>
        <v>696.85799999999995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1061034.8700000001</v>
      </c>
      <c r="I47" s="95"/>
      <c r="J47" s="175">
        <f>H47/DAY(B2)</f>
        <v>35367.829000000005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284503.81</v>
      </c>
      <c r="I49" s="95"/>
      <c r="J49" s="175">
        <f>H49/DAY(B2)</f>
        <v>9483.4603333333325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4949.66</v>
      </c>
      <c r="I54" s="95"/>
      <c r="J54" s="175">
        <f>H54/DAY(B2)</f>
        <v>164.98866666666666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92428.420000000027</v>
      </c>
      <c r="I58" s="95"/>
      <c r="J58" s="175">
        <f>H58/DAY(B2)</f>
        <v>3080.9473333333344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380811.15</v>
      </c>
      <c r="I59" s="95">
        <f>G7-G60</f>
        <v>747</v>
      </c>
      <c r="J59" s="175">
        <f>H59/DAY(B2)</f>
        <v>12693.705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1441846.02</v>
      </c>
      <c r="I60" s="95">
        <f>G13-G60</f>
        <v>239</v>
      </c>
      <c r="J60" s="175">
        <f>H60/DAY(B2)</f>
        <v>48061.534</v>
      </c>
      <c r="K60" s="79"/>
      <c r="L60" s="66"/>
      <c r="N60" s="87"/>
      <c r="O60" s="71"/>
    </row>
    <row r="61" spans="1:15" s="68" customFormat="1" ht="30.75" customHeight="1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46" t="s">
        <v>198</v>
      </c>
      <c r="B62" s="847"/>
      <c r="C62" s="848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>
      <c r="A63" s="846" t="s">
        <v>199</v>
      </c>
      <c r="B63" s="847"/>
      <c r="C63" s="848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>
      <c r="A64" s="843" t="s">
        <v>200</v>
      </c>
      <c r="B64" s="844"/>
      <c r="C64" s="845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>
      <c r="A65" s="846" t="s">
        <v>201</v>
      </c>
      <c r="B65" s="847"/>
      <c r="C65" s="848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>
      <c r="A71" s="843" t="s">
        <v>208</v>
      </c>
      <c r="B71" s="844"/>
      <c r="C71" s="845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>
      <c r="A72" s="889"/>
      <c r="B72" s="881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46" t="s">
        <v>220</v>
      </c>
      <c r="B74" s="847"/>
      <c r="C74" s="848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>
      <c r="A75" s="846" t="s">
        <v>221</v>
      </c>
      <c r="B75" s="847"/>
      <c r="C75" s="848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90" t="s">
        <v>222</v>
      </c>
      <c r="B76" s="876"/>
      <c r="C76" s="877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>
      <c r="A77" s="890" t="s">
        <v>223</v>
      </c>
      <c r="B77" s="876"/>
      <c r="C77" s="877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>
      <c r="A78" s="890" t="s">
        <v>224</v>
      </c>
      <c r="B78" s="876"/>
      <c r="C78" s="877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-2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30.75" customHeight="1">
      <c r="A79" s="890" t="s">
        <v>225</v>
      </c>
      <c r="B79" s="876"/>
      <c r="C79" s="877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-516.41800000001967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43" t="s">
        <v>329</v>
      </c>
      <c r="B80" s="844"/>
      <c r="C80" s="84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-24</v>
      </c>
      <c r="I85" s="118">
        <f>G82+G83+G84+G85</f>
        <v>24</v>
      </c>
      <c r="J85" s="175">
        <f>H85/DAY(B2)</f>
        <v>-0.8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3975</v>
      </c>
      <c r="H94" s="99">
        <f>G94+'29'!H94</f>
        <v>449407.22999999986</v>
      </c>
      <c r="I94" s="118"/>
      <c r="J94" s="175">
        <f>H94/DAY(B2)</f>
        <v>14980.240999999996</v>
      </c>
      <c r="K94" s="69"/>
      <c r="L94" s="66"/>
      <c r="O94" s="71"/>
    </row>
    <row r="95" spans="1:15" ht="30.75" customHeight="1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0.22991497483949333</v>
      </c>
      <c r="H95" s="99">
        <f>G95+'29'!H95</f>
        <v>7.2166500377347971</v>
      </c>
      <c r="I95" s="167"/>
      <c r="J95" s="175">
        <f>H95/DAY(B2)</f>
        <v>0.24055500125782656</v>
      </c>
      <c r="K95" s="69"/>
      <c r="L95" s="66"/>
      <c r="O95" s="71"/>
    </row>
    <row r="96" spans="1:15" ht="30.75" customHeight="1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3884</v>
      </c>
      <c r="H96" s="99">
        <f>G96+'29'!H96</f>
        <v>-4318.8500000000131</v>
      </c>
      <c r="I96" s="118"/>
      <c r="J96" s="175">
        <f>H96/DAY(B2)</f>
        <v>-143.9616666666671</v>
      </c>
      <c r="K96" s="69"/>
      <c r="L96" s="66"/>
      <c r="O96" s="71"/>
    </row>
    <row r="97" spans="1:15" ht="30.75" customHeight="1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0.22465151252241308</v>
      </c>
      <c r="H97" s="99">
        <f>G97+'29'!H97</f>
        <v>5.3493851989857806</v>
      </c>
      <c r="I97" s="167"/>
      <c r="J97" s="175">
        <f>H97/DAY(B2)</f>
        <v>0.17831283996619268</v>
      </c>
      <c r="K97" s="69"/>
      <c r="L97" s="66"/>
      <c r="O97" s="71"/>
    </row>
    <row r="98" spans="1:15" ht="30.75" customHeight="1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2616</v>
      </c>
      <c r="H98" s="99">
        <f>G98+'29'!H98</f>
        <v>430111.71</v>
      </c>
      <c r="I98" s="168"/>
      <c r="J98" s="175">
        <f>H98/DAY(B2)</f>
        <v>14337.057000000001</v>
      </c>
      <c r="K98" s="69"/>
      <c r="L98" s="66"/>
      <c r="O98" s="71"/>
    </row>
    <row r="99" spans="1:15" ht="30.75" customHeight="1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0.15131008155474579</v>
      </c>
      <c r="H99" s="99">
        <f>G99+'29'!H99</f>
        <v>3.5769455501189786</v>
      </c>
      <c r="I99" s="168"/>
      <c r="J99" s="175">
        <f>H99/DAY(B2)</f>
        <v>0.11923151833729929</v>
      </c>
      <c r="O99" s="71"/>
    </row>
    <row r="100" spans="1:15" ht="30.75" customHeight="1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1629</v>
      </c>
      <c r="H100" s="99">
        <f>G100+'29'!H100</f>
        <v>244054.57</v>
      </c>
      <c r="I100" s="118"/>
      <c r="J100" s="175">
        <f>H100/DAY(B2)</f>
        <v>8135.1523333333334</v>
      </c>
      <c r="K100" s="70"/>
      <c r="O100" s="71"/>
    </row>
    <row r="101" spans="1:15" ht="30.75" customHeight="1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2.3755835629745308</v>
      </c>
      <c r="I101" s="168"/>
      <c r="J101" s="175">
        <f>H101/DAY(B2)</f>
        <v>7.9186118765817687E-2</v>
      </c>
      <c r="O101" s="71"/>
    </row>
    <row r="102" spans="1:15" ht="30.75" customHeight="1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2.8831610268653285</v>
      </c>
      <c r="I103" s="118"/>
      <c r="J103" s="175">
        <f>H103/DAY(B2)</f>
        <v>9.6105367562177621E-2</v>
      </c>
      <c r="O103" s="71"/>
    </row>
    <row r="104" spans="1:15" ht="30.75" customHeight="1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1553</v>
      </c>
      <c r="H104" s="99">
        <f>G104+'29'!H104</f>
        <v>206016.91000000006</v>
      </c>
      <c r="I104" s="118"/>
      <c r="J104" s="175">
        <f>H104/DAY(B2)</f>
        <v>6867.2303333333357</v>
      </c>
      <c r="O104" s="71"/>
    </row>
    <row r="105" spans="1:15" ht="30.75" customHeight="1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2.212461907560809</v>
      </c>
      <c r="I105" s="187"/>
      <c r="J105" s="188">
        <f>H105/DAY(B2)</f>
        <v>7.3748730252026967E-2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30.75" customHeight="1">
      <c r="A109" s="885"/>
      <c r="B109" s="885"/>
    </row>
    <row r="110" spans="1:15" ht="30.75" customHeight="1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30.75" customHeight="1">
      <c r="A111" s="904"/>
      <c r="B111" s="905"/>
      <c r="C111" s="906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9" t="s">
        <v>252</v>
      </c>
      <c r="B112" s="880"/>
      <c r="C112" s="881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>
      <c r="A113" s="879" t="s">
        <v>253</v>
      </c>
      <c r="B113" s="880"/>
      <c r="C113" s="881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>
      <c r="A114" s="879" t="s">
        <v>254</v>
      </c>
      <c r="B114" s="880"/>
      <c r="C114" s="881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-396.60000000000036</v>
      </c>
      <c r="I114" s="165"/>
      <c r="J114" s="328">
        <f>H114/DAY(B2)</f>
        <v>-13.220000000000011</v>
      </c>
    </row>
    <row r="115" spans="1:18" ht="30.75" customHeight="1">
      <c r="A115" s="879" t="s">
        <v>255</v>
      </c>
      <c r="B115" s="880"/>
      <c r="C115" s="881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>
      <c r="A116" s="897" t="s">
        <v>96</v>
      </c>
      <c r="B116" s="898"/>
      <c r="C116" s="899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79" t="s">
        <v>311</v>
      </c>
      <c r="R116" s="881"/>
    </row>
    <row r="117" spans="1:18" ht="30.75" customHeight="1">
      <c r="A117" s="897" t="s">
        <v>184</v>
      </c>
      <c r="B117" s="898"/>
      <c r="C117" s="899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79" t="s">
        <v>312</v>
      </c>
      <c r="R117" s="881"/>
    </row>
    <row r="118" spans="1:18" ht="30.75" customHeight="1">
      <c r="A118" s="874" t="s">
        <v>97</v>
      </c>
      <c r="B118" s="874"/>
      <c r="C118" s="874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79" t="s">
        <v>311</v>
      </c>
      <c r="R118" s="881"/>
    </row>
    <row r="119" spans="1:18" ht="30.75" customHeight="1">
      <c r="A119" s="874" t="s">
        <v>98</v>
      </c>
      <c r="B119" s="874"/>
      <c r="C119" s="874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>
      <c r="A120" s="874" t="s">
        <v>99</v>
      </c>
      <c r="B120" s="874"/>
      <c r="C120" s="874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>
      <c r="A121" s="874" t="s">
        <v>100</v>
      </c>
      <c r="B121" s="874"/>
      <c r="C121" s="874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>
      <c r="A122" s="874" t="s">
        <v>101</v>
      </c>
      <c r="B122" s="874"/>
      <c r="C122" s="874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>
      <c r="A123" s="874" t="s">
        <v>102</v>
      </c>
      <c r="B123" s="874"/>
      <c r="C123" s="874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>
      <c r="A124" s="904"/>
      <c r="B124" s="905"/>
      <c r="C124" s="906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07" t="s">
        <v>196</v>
      </c>
      <c r="B125" s="90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30.75" customHeight="1">
      <c r="A127" s="910"/>
      <c r="B127" s="910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79" t="s">
        <v>318</v>
      </c>
      <c r="B128" s="880"/>
      <c r="C128" s="881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>
      <c r="A131" s="879" t="s">
        <v>321</v>
      </c>
      <c r="B131" s="880"/>
      <c r="C131" s="881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>
      <c r="A132" s="879" t="s">
        <v>322</v>
      </c>
      <c r="B132" s="880"/>
      <c r="C132" s="881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>
      <c r="A133" s="879" t="s">
        <v>362</v>
      </c>
      <c r="B133" s="880"/>
      <c r="C133" s="881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>
      <c r="A134" s="879" t="s">
        <v>340</v>
      </c>
      <c r="B134" s="880"/>
      <c r="C134" s="881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671018.77</v>
      </c>
      <c r="I134" s="165"/>
      <c r="J134" s="328">
        <f>H134/DAY(B2)</f>
        <v>22367.292333333335</v>
      </c>
    </row>
    <row r="135" spans="1:15" ht="30.75" customHeight="1">
      <c r="A135" s="907" t="s">
        <v>196</v>
      </c>
      <c r="B135" s="908"/>
      <c r="C135" s="331"/>
      <c r="D135" s="151"/>
      <c r="E135" s="95"/>
      <c r="F135" s="165"/>
      <c r="G135" s="112">
        <f>SUM(G128:G134)</f>
        <v>1757</v>
      </c>
      <c r="H135" s="99">
        <f>G135+'23'!H135</f>
        <v>631131.39</v>
      </c>
      <c r="I135" s="327">
        <f>G135-(G35+G49)</f>
        <v>-320</v>
      </c>
      <c r="J135" s="328">
        <f>H135/DAY(B2)</f>
        <v>21037.713</v>
      </c>
    </row>
    <row r="136" spans="1:15" ht="30.75" customHeight="1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74" t="s">
        <v>185</v>
      </c>
      <c r="B138" s="874"/>
      <c r="C138" s="874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>
      <c r="A139" s="874" t="s">
        <v>186</v>
      </c>
      <c r="B139" s="874"/>
      <c r="C139" s="874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>
      <c r="A140" s="874" t="s">
        <v>187</v>
      </c>
      <c r="B140" s="874"/>
      <c r="C140" s="874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>
      <c r="A141" s="878" t="s">
        <v>188</v>
      </c>
      <c r="B141" s="878"/>
      <c r="C141" s="878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>
      <c r="A142" s="878" t="s">
        <v>189</v>
      </c>
      <c r="B142" s="878"/>
      <c r="C142" s="878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>
      <c r="A143" s="874" t="s">
        <v>91</v>
      </c>
      <c r="B143" s="874"/>
      <c r="C143" s="874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>
      <c r="A144" s="878" t="s">
        <v>90</v>
      </c>
      <c r="B144" s="878"/>
      <c r="C144" s="878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>
      <c r="A145" s="874" t="s">
        <v>190</v>
      </c>
      <c r="B145" s="874"/>
      <c r="C145" s="874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>
      <c r="A146" s="875" t="s">
        <v>191</v>
      </c>
      <c r="B146" s="876"/>
      <c r="C146" s="877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>
      <c r="A147" s="878" t="s">
        <v>192</v>
      </c>
      <c r="B147" s="878"/>
      <c r="C147" s="878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>
      <c r="A148" s="870" t="s">
        <v>193</v>
      </c>
      <c r="B148" s="871"/>
      <c r="C148" s="872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>
      <c r="A149" s="870" t="s">
        <v>336</v>
      </c>
      <c r="B149" s="871"/>
      <c r="C149" s="872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>
      <c r="A150" s="870" t="s">
        <v>337</v>
      </c>
      <c r="B150" s="871"/>
      <c r="C150" s="872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>
      <c r="A151" s="870" t="s">
        <v>338</v>
      </c>
      <c r="B151" s="871"/>
      <c r="C151" s="872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>
      <c r="A152" s="870" t="s">
        <v>339</v>
      </c>
      <c r="B152" s="871"/>
      <c r="C152" s="872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>
      <c r="A153" s="907" t="s">
        <v>196</v>
      </c>
      <c r="B153" s="90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0" ht="30.75" customHeight="1">
      <c r="A155" s="878" t="s">
        <v>345</v>
      </c>
      <c r="B155" s="878"/>
      <c r="C155" s="878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-1230.0000000000036</v>
      </c>
      <c r="I155" s="364"/>
      <c r="J155" s="328">
        <f>H155/DAY(B2)</f>
        <v>-41.000000000000121</v>
      </c>
    </row>
    <row r="156" spans="1:10" ht="30.75" customHeight="1">
      <c r="A156" s="878" t="s">
        <v>347</v>
      </c>
      <c r="B156" s="878"/>
      <c r="C156" s="878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>
      <c r="A157" s="870" t="s">
        <v>364</v>
      </c>
      <c r="B157" s="871"/>
      <c r="C157" s="872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>
      <c r="A158" s="870" t="s">
        <v>365</v>
      </c>
      <c r="B158" s="871"/>
      <c r="C158" s="872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11"/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>
      <c r="A166" s="910"/>
      <c r="B166" s="91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10"/>
      <c r="B167" s="91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10"/>
      <c r="B168" s="91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30.75" customHeight="1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68" t="s">
        <v>209</v>
      </c>
      <c r="B173" s="869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>
      <c r="A174" s="868" t="s">
        <v>75</v>
      </c>
      <c r="B174" s="869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>
      <c r="A175" s="868" t="s">
        <v>76</v>
      </c>
      <c r="B175" s="873"/>
      <c r="C175" s="869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>
      <c r="A176" s="907" t="s">
        <v>196</v>
      </c>
      <c r="B176" s="90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68" t="s">
        <v>210</v>
      </c>
      <c r="B178" s="869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>
      <c r="A179" s="868" t="s">
        <v>211</v>
      </c>
      <c r="B179" s="869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>
      <c r="A180" s="868" t="s">
        <v>212</v>
      </c>
      <c r="B180" s="869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>
      <c r="A181" s="912" t="s">
        <v>108</v>
      </c>
      <c r="B181" s="913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68" t="s">
        <v>214</v>
      </c>
      <c r="B183" s="869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>
      <c r="A184" s="868" t="s">
        <v>215</v>
      </c>
      <c r="B184" s="869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>
      <c r="A185" s="868" t="s">
        <v>216</v>
      </c>
      <c r="B185" s="869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>
      <c r="A187" s="916" t="s">
        <v>217</v>
      </c>
      <c r="B187" s="917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>
      <c r="A188" s="916" t="s">
        <v>218</v>
      </c>
      <c r="B188" s="917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>
      <c r="A189" s="916" t="s">
        <v>219</v>
      </c>
      <c r="B189" s="917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>
      <c r="A190" s="839" t="s">
        <v>360</v>
      </c>
      <c r="B190" s="840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5" s="57" customFormat="1" ht="27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24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951" t="s">
        <v>129</v>
      </c>
      <c r="B7" s="952"/>
      <c r="C7" s="953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0</v>
      </c>
      <c r="I8" s="116"/>
      <c r="J8" s="175">
        <f>H8/DAY(B2)</f>
        <v>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954" t="s">
        <v>132</v>
      </c>
      <c r="B9" s="955"/>
      <c r="C9" s="956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2357281</v>
      </c>
      <c r="I9" s="124">
        <f>I7-J7</f>
        <v>11999.516129032258</v>
      </c>
      <c r="J9" s="175">
        <f>H9/DAY(B2)</f>
        <v>76041.322580645166</v>
      </c>
      <c r="K9" s="79">
        <f>K8-100</f>
        <v>1715817</v>
      </c>
      <c r="L9" s="66"/>
      <c r="N9" s="87"/>
      <c r="O9" s="71"/>
    </row>
    <row r="10" spans="1:15" ht="21.95" customHeight="1">
      <c r="A10" s="951" t="s">
        <v>133</v>
      </c>
      <c r="B10" s="952"/>
      <c r="C10" s="953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595732</v>
      </c>
      <c r="I10" s="120"/>
      <c r="J10" s="175">
        <f>H10/DAY(B2)</f>
        <v>19217.16129032258</v>
      </c>
      <c r="K10" s="79"/>
      <c r="L10" s="66"/>
      <c r="N10" s="87"/>
      <c r="O10" s="71"/>
    </row>
    <row r="11" spans="1:15" ht="21.95" customHeight="1">
      <c r="A11" s="951" t="s">
        <v>134</v>
      </c>
      <c r="B11" s="952"/>
      <c r="C11" s="953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>
      <c r="A12" s="951" t="s">
        <v>135</v>
      </c>
      <c r="B12" s="952"/>
      <c r="C12" s="953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2936258.57</v>
      </c>
      <c r="I13" s="120">
        <f>G7-G13</f>
        <v>512.41000000000349</v>
      </c>
      <c r="J13" s="175">
        <f>H13/DAY(B2)</f>
        <v>94718.018387096774</v>
      </c>
      <c r="K13" s="79"/>
      <c r="L13" s="66"/>
      <c r="N13" s="87"/>
      <c r="O13" s="71"/>
    </row>
    <row r="14" spans="1:15" ht="29.25">
      <c r="A14" s="855" t="s">
        <v>137</v>
      </c>
      <c r="B14" s="856"/>
      <c r="C14" s="857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46" t="s">
        <v>138</v>
      </c>
      <c r="B15" s="847"/>
      <c r="C15" s="848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>
      <c r="A16" s="948"/>
      <c r="B16" s="949"/>
      <c r="C16" s="950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>
      <c r="A17" s="855" t="s">
        <v>140</v>
      </c>
      <c r="B17" s="856"/>
      <c r="C17" s="857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46" t="s">
        <v>141</v>
      </c>
      <c r="B18" s="847"/>
      <c r="C18" s="848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3960</v>
      </c>
      <c r="I18" s="113">
        <f>'1'!I18</f>
        <v>65</v>
      </c>
      <c r="J18" s="175">
        <f>H18/DAY(B2)</f>
        <v>127.74193548387096</v>
      </c>
      <c r="K18" s="79"/>
      <c r="L18" s="66"/>
      <c r="N18" s="87"/>
      <c r="O18" s="71"/>
    </row>
    <row r="19" spans="1:15" ht="27.75">
      <c r="A19" s="846" t="s">
        <v>69</v>
      </c>
      <c r="B19" s="847"/>
      <c r="C19" s="848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3960</v>
      </c>
      <c r="I20" s="336">
        <f>I18-J20</f>
        <v>-62.741935483870961</v>
      </c>
      <c r="J20" s="175">
        <f>H20/DAY(B2)</f>
        <v>127.74193548387096</v>
      </c>
      <c r="K20" s="79"/>
      <c r="L20" s="66"/>
      <c r="N20" s="87"/>
      <c r="O20" s="71"/>
    </row>
    <row r="21" spans="1:15" ht="29.25">
      <c r="A21" s="855" t="s">
        <v>144</v>
      </c>
      <c r="B21" s="856"/>
      <c r="C21" s="857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>
      <c r="A25" s="860" t="s">
        <v>149</v>
      </c>
      <c r="B25" s="861"/>
      <c r="C25" s="862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-3.4924596548080444E-10</v>
      </c>
      <c r="I27" s="138"/>
      <c r="J27" s="175">
        <f>H27/DAY(B2)</f>
        <v>-1.1265998886477562E-11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18303.349999999991</v>
      </c>
      <c r="I28" s="692"/>
      <c r="J28" s="175">
        <f>H28/DAY(B2)</f>
        <v>590.43064516129004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69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287.56000000000131</v>
      </c>
      <c r="I30" s="692"/>
      <c r="J30" s="175">
        <f>H30/DAY(B2)</f>
        <v>9.2761290322581065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316800</v>
      </c>
      <c r="I31" s="692"/>
      <c r="J31" s="175">
        <f>H31/DAY(B2)</f>
        <v>10219.354838709678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342980.90999999963</v>
      </c>
      <c r="I32" s="144"/>
      <c r="J32" s="175">
        <f>H32/DAY(B2)</f>
        <v>11063.900322580634</v>
      </c>
      <c r="K32" s="63"/>
      <c r="L32" s="89"/>
      <c r="N32" s="87"/>
      <c r="O32" s="71"/>
    </row>
    <row r="33" spans="1:15" ht="25.5" customHeight="1">
      <c r="A33" s="863" t="s">
        <v>331</v>
      </c>
      <c r="B33" s="864"/>
      <c r="C33" s="864"/>
      <c r="D33" s="337"/>
      <c r="E33" s="693"/>
      <c r="F33" s="693"/>
      <c r="G33" s="693"/>
      <c r="H33" s="693"/>
      <c r="I33" s="693"/>
      <c r="J33" s="694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168042.00000000003</v>
      </c>
      <c r="I35" s="95"/>
      <c r="J35" s="175">
        <f>H35/DAY(B2)</f>
        <v>5420.709677419356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207605.00000000006</v>
      </c>
      <c r="I37" s="95"/>
      <c r="J37" s="175">
        <f>H37/DAY(B2)</f>
        <v>6696.9354838709696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21877.599999999999</v>
      </c>
      <c r="I40" s="95"/>
      <c r="J40" s="175">
        <f>H40/DAY(B2)</f>
        <v>705.72903225806442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1075967.6000000001</v>
      </c>
      <c r="I47" s="95"/>
      <c r="J47" s="175">
        <f>H47/DAY(B2)</f>
        <v>34708.632258064521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285361</v>
      </c>
      <c r="I49" s="95"/>
      <c r="J49" s="175">
        <f>H49/DAY(B2)</f>
        <v>9205.1935483870966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92625.630000000034</v>
      </c>
      <c r="I58" s="95"/>
      <c r="J58" s="175">
        <f>H58/DAY(B2)</f>
        <v>2987.923548387098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382936.71</v>
      </c>
      <c r="I59" s="95">
        <f>G7-G60</f>
        <v>555.93999999997686</v>
      </c>
      <c r="J59" s="175">
        <f>H59/DAY(B2)</f>
        <v>12352.797096774195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1458904.31</v>
      </c>
      <c r="I60" s="95">
        <f>G13-G60</f>
        <v>43.52999999997337</v>
      </c>
      <c r="J60" s="175">
        <f>H60/DAY(B2)</f>
        <v>47061.429354838714</v>
      </c>
      <c r="K60" s="79"/>
      <c r="L60" s="66"/>
      <c r="N60" s="87"/>
      <c r="O60" s="71"/>
    </row>
    <row r="61" spans="1:15" s="68" customFormat="1" ht="27.75">
      <c r="A61" s="865" t="s">
        <v>332</v>
      </c>
      <c r="B61" s="866"/>
      <c r="C61" s="867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46" t="s">
        <v>198</v>
      </c>
      <c r="B62" s="847"/>
      <c r="C62" s="848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>
      <c r="A63" s="846" t="s">
        <v>199</v>
      </c>
      <c r="B63" s="847"/>
      <c r="C63" s="848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>
      <c r="A64" s="843" t="s">
        <v>200</v>
      </c>
      <c r="B64" s="844"/>
      <c r="C64" s="845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>
      <c r="A65" s="846" t="s">
        <v>201</v>
      </c>
      <c r="B65" s="847"/>
      <c r="C65" s="848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>
      <c r="A71" s="843" t="s">
        <v>208</v>
      </c>
      <c r="B71" s="844"/>
      <c r="C71" s="84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5"/>
      <c r="J71" s="175">
        <f>H71/DAY(B2)</f>
        <v>0</v>
      </c>
      <c r="K71" s="69"/>
      <c r="L71" s="66"/>
      <c r="N71" s="87"/>
      <c r="O71" s="71"/>
    </row>
    <row r="72" spans="1:15" s="88" customFormat="1" ht="27.75">
      <c r="A72" s="889"/>
      <c r="B72" s="881"/>
      <c r="C72" s="347"/>
      <c r="D72" s="180"/>
      <c r="E72" s="494" t="s">
        <v>207</v>
      </c>
      <c r="F72" s="494"/>
      <c r="G72" s="494"/>
      <c r="H72" s="181"/>
      <c r="I72" s="494"/>
      <c r="J72" s="696"/>
      <c r="N72" s="87"/>
      <c r="O72" s="71"/>
    </row>
    <row r="73" spans="1:15" ht="29.25">
      <c r="A73" s="894" t="s">
        <v>333</v>
      </c>
      <c r="B73" s="895"/>
      <c r="C73" s="89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46" t="s">
        <v>220</v>
      </c>
      <c r="B74" s="847"/>
      <c r="C74" s="848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5"/>
      <c r="J74" s="175">
        <f>H74/DAY(B2)</f>
        <v>0</v>
      </c>
      <c r="K74" s="69"/>
      <c r="L74" s="66"/>
      <c r="N74" s="87"/>
      <c r="O74" s="71"/>
    </row>
    <row r="75" spans="1:15" ht="27.75">
      <c r="A75" s="846" t="s">
        <v>221</v>
      </c>
      <c r="B75" s="847"/>
      <c r="C75" s="848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5"/>
      <c r="J75" s="175">
        <f>H75/DAY(B2)</f>
        <v>0</v>
      </c>
      <c r="K75" s="69"/>
      <c r="L75" s="66"/>
      <c r="N75" s="87"/>
      <c r="O75" s="71"/>
    </row>
    <row r="76" spans="1:15" ht="27.75">
      <c r="A76" s="890" t="s">
        <v>222</v>
      </c>
      <c r="B76" s="876"/>
      <c r="C76" s="877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5"/>
      <c r="J76" s="175">
        <f>H76/DAY(B2)</f>
        <v>0</v>
      </c>
      <c r="K76" s="69"/>
      <c r="L76" s="66"/>
      <c r="N76" s="87"/>
      <c r="O76" s="71"/>
    </row>
    <row r="77" spans="1:15" ht="27.75">
      <c r="A77" s="890" t="s">
        <v>223</v>
      </c>
      <c r="B77" s="876"/>
      <c r="C77" s="877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5"/>
      <c r="J77" s="175">
        <f>H77/DAY(B2)</f>
        <v>0</v>
      </c>
      <c r="K77" s="69"/>
      <c r="L77" s="66"/>
      <c r="N77" s="87"/>
      <c r="O77" s="71"/>
    </row>
    <row r="78" spans="1:15" ht="27.75">
      <c r="A78" s="890" t="s">
        <v>224</v>
      </c>
      <c r="B78" s="876"/>
      <c r="C78" s="877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890" t="s">
        <v>225</v>
      </c>
      <c r="B79" s="876"/>
      <c r="C79" s="877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0</v>
      </c>
      <c r="I79" s="95"/>
      <c r="J79" s="175"/>
      <c r="K79" s="59"/>
      <c r="L79" s="58"/>
      <c r="N79" s="87"/>
      <c r="O79" s="71"/>
    </row>
    <row r="80" spans="1:15" s="57" customFormat="1" ht="29.25">
      <c r="A80" s="843" t="s">
        <v>329</v>
      </c>
      <c r="B80" s="844"/>
      <c r="C80" s="84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>
      <c r="A81" s="882" t="s">
        <v>226</v>
      </c>
      <c r="B81" s="883"/>
      <c r="C81" s="884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0</v>
      </c>
      <c r="I85" s="95">
        <f>G82+G83+G84+G85</f>
        <v>23.739999999997963</v>
      </c>
      <c r="J85" s="175">
        <f>H85/DAY(B2)</f>
        <v>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>
      <c r="A93" s="891" t="s">
        <v>239</v>
      </c>
      <c r="B93" s="892"/>
      <c r="C93" s="89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46" t="s">
        <v>240</v>
      </c>
      <c r="B94" s="847"/>
      <c r="C94" s="848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453402.99999999988</v>
      </c>
      <c r="I94" s="95"/>
      <c r="J94" s="175">
        <f>H94/DAY(B2)</f>
        <v>14625.903225806447</v>
      </c>
      <c r="K94" s="69"/>
      <c r="L94" s="66"/>
      <c r="O94" s="71"/>
    </row>
    <row r="95" spans="1:15" ht="27.75">
      <c r="A95" s="846" t="s">
        <v>241</v>
      </c>
      <c r="B95" s="847"/>
      <c r="C95" s="848"/>
      <c r="D95" s="151" t="s">
        <v>23</v>
      </c>
      <c r="E95" s="146"/>
      <c r="F95" s="146"/>
      <c r="G95" s="166">
        <f>G94/G7</f>
        <v>0.22684897381265082</v>
      </c>
      <c r="H95" s="99">
        <f>G95+'30'!H95</f>
        <v>7.4434990115474475</v>
      </c>
      <c r="I95" s="697"/>
      <c r="J95" s="175">
        <f>H95/DAY(B2)</f>
        <v>0.24011287134024023</v>
      </c>
      <c r="K95" s="69"/>
      <c r="L95" s="66"/>
      <c r="O95" s="71"/>
    </row>
    <row r="96" spans="1:15" ht="27.75">
      <c r="A96" s="846" t="s">
        <v>242</v>
      </c>
      <c r="B96" s="847"/>
      <c r="C96" s="848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-7.2759576141834259E-12</v>
      </c>
      <c r="I96" s="95"/>
      <c r="J96" s="175">
        <f>H96/DAY(B2)</f>
        <v>-2.3470831013494922E-13</v>
      </c>
      <c r="K96" s="69"/>
      <c r="L96" s="66"/>
      <c r="O96" s="71"/>
    </row>
    <row r="97" spans="1:15" ht="27.75">
      <c r="A97" s="846" t="s">
        <v>243</v>
      </c>
      <c r="B97" s="847"/>
      <c r="C97" s="848"/>
      <c r="D97" s="151" t="s">
        <v>23</v>
      </c>
      <c r="E97" s="95"/>
      <c r="F97" s="95"/>
      <c r="G97" s="166">
        <f>G96/G7</f>
        <v>0.24519096208009153</v>
      </c>
      <c r="H97" s="99">
        <f>G97+'30'!H97</f>
        <v>5.5945761610658717</v>
      </c>
      <c r="I97" s="697"/>
      <c r="J97" s="175">
        <f>H97/DAY(B2)</f>
        <v>0.18047019874406037</v>
      </c>
      <c r="K97" s="69"/>
      <c r="L97" s="66"/>
      <c r="O97" s="71"/>
    </row>
    <row r="98" spans="1:15" ht="27.75">
      <c r="A98" s="846" t="s">
        <v>244</v>
      </c>
      <c r="B98" s="847"/>
      <c r="C98" s="848"/>
      <c r="D98" s="151" t="s">
        <v>130</v>
      </c>
      <c r="E98" s="95"/>
      <c r="F98" s="95"/>
      <c r="G98" s="99">
        <f>G39+G53</f>
        <v>2649.2900000000009</v>
      </c>
      <c r="H98" s="99">
        <f>G98+'30'!H98</f>
        <v>432761</v>
      </c>
      <c r="I98" s="651"/>
      <c r="J98" s="175">
        <f>H98/DAY(B2)</f>
        <v>13960.032258064517</v>
      </c>
      <c r="K98" s="69"/>
      <c r="L98" s="66"/>
      <c r="O98" s="71"/>
    </row>
    <row r="99" spans="1:15" ht="27.75">
      <c r="A99" s="846" t="s">
        <v>245</v>
      </c>
      <c r="B99" s="847"/>
      <c r="C99" s="848"/>
      <c r="D99" s="151" t="s">
        <v>23</v>
      </c>
      <c r="E99" s="95"/>
      <c r="F99" s="95"/>
      <c r="G99" s="166">
        <f>G98/G7</f>
        <v>0.15040623405053777</v>
      </c>
      <c r="H99" s="99">
        <f>G99+'30'!H99</f>
        <v>3.7273517841695165</v>
      </c>
      <c r="I99" s="651"/>
      <c r="J99" s="175">
        <f>H99/DAY(B2)</f>
        <v>0.12023715432804892</v>
      </c>
      <c r="O99" s="71"/>
    </row>
    <row r="100" spans="1:15" ht="27.75">
      <c r="A100" s="846" t="s">
        <v>246</v>
      </c>
      <c r="B100" s="847"/>
      <c r="C100" s="848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245682</v>
      </c>
      <c r="I100" s="95"/>
      <c r="J100" s="175">
        <f>H100/DAY(B2)</f>
        <v>7925.2258064516127</v>
      </c>
      <c r="K100" s="70"/>
      <c r="O100" s="71"/>
    </row>
    <row r="101" spans="1:15" ht="27.75">
      <c r="A101" s="846" t="s">
        <v>247</v>
      </c>
      <c r="B101" s="847"/>
      <c r="C101" s="848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2.4679764748418109</v>
      </c>
      <c r="I101" s="651"/>
      <c r="J101" s="175">
        <f>H101/DAY(B2)</f>
        <v>7.9612144349735833E-2</v>
      </c>
      <c r="O101" s="71"/>
    </row>
    <row r="102" spans="1:15" ht="27.75">
      <c r="A102" s="846" t="s">
        <v>248</v>
      </c>
      <c r="B102" s="847"/>
      <c r="C102" s="848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1"/>
      <c r="J102" s="175">
        <f>H102/DAY(B2)</f>
        <v>0</v>
      </c>
      <c r="O102" s="71"/>
    </row>
    <row r="103" spans="1:15" ht="27.75">
      <c r="A103" s="846" t="s">
        <v>249</v>
      </c>
      <c r="B103" s="847"/>
      <c r="C103" s="848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2.9802058593672318</v>
      </c>
      <c r="I103" s="95"/>
      <c r="J103" s="175">
        <f>H103/DAY(B2)</f>
        <v>9.6135672882813925E-2</v>
      </c>
      <c r="O103" s="71"/>
    </row>
    <row r="104" spans="1:15" ht="27.75">
      <c r="A104" s="846" t="s">
        <v>250</v>
      </c>
      <c r="B104" s="847"/>
      <c r="C104" s="848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207605.00000000006</v>
      </c>
      <c r="I104" s="95"/>
      <c r="J104" s="175">
        <f>H104/DAY(B2)</f>
        <v>6696.9354838709696</v>
      </c>
      <c r="O104" s="71"/>
    </row>
    <row r="105" spans="1:15" ht="28.5" thickBot="1">
      <c r="A105" s="886" t="s">
        <v>251</v>
      </c>
      <c r="B105" s="887"/>
      <c r="C105" s="888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2.3026213979274046</v>
      </c>
      <c r="I105" s="185"/>
      <c r="J105" s="188">
        <f>H105/DAY(B2)</f>
        <v>7.4278109610561444E-2</v>
      </c>
      <c r="O105" s="71"/>
    </row>
    <row r="106" spans="1:15" ht="29.2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/>
    <row r="108" spans="1:15" ht="31.5">
      <c r="A108" s="900" t="s">
        <v>324</v>
      </c>
      <c r="B108" s="900"/>
      <c r="C108" s="900"/>
      <c r="D108" s="900"/>
      <c r="E108" s="900"/>
      <c r="F108" s="900"/>
      <c r="G108" s="900"/>
      <c r="H108" s="900"/>
      <c r="I108" s="900"/>
      <c r="J108" s="900"/>
    </row>
    <row r="109" spans="1:15" ht="29.25">
      <c r="A109" s="885"/>
      <c r="B109" s="885"/>
    </row>
    <row r="110" spans="1:15" ht="29.25">
      <c r="A110" s="901" t="s">
        <v>165</v>
      </c>
      <c r="B110" s="902"/>
      <c r="C110" s="902"/>
      <c r="D110" s="902"/>
      <c r="E110" s="902"/>
      <c r="F110" s="902"/>
      <c r="G110" s="902"/>
      <c r="H110" s="902"/>
      <c r="I110" s="902"/>
      <c r="J110" s="903"/>
    </row>
    <row r="111" spans="1:15" ht="27.75">
      <c r="A111" s="904"/>
      <c r="B111" s="905"/>
      <c r="C111" s="906"/>
      <c r="D111" s="165"/>
      <c r="E111" s="155"/>
      <c r="F111" s="155"/>
      <c r="G111" s="155"/>
      <c r="H111" s="156"/>
      <c r="I111" s="155"/>
      <c r="J111" s="156"/>
    </row>
    <row r="112" spans="1:15" ht="27.75">
      <c r="A112" s="879" t="s">
        <v>252</v>
      </c>
      <c r="B112" s="880"/>
      <c r="C112" s="881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>
      <c r="A113" s="879" t="s">
        <v>253</v>
      </c>
      <c r="B113" s="880"/>
      <c r="C113" s="881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>
      <c r="A114" s="879" t="s">
        <v>254</v>
      </c>
      <c r="B114" s="880"/>
      <c r="C114" s="881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-133.60000000000036</v>
      </c>
      <c r="I114" s="155"/>
      <c r="J114" s="328">
        <f>H114/DAY(B2)</f>
        <v>-4.3096774193548502</v>
      </c>
    </row>
    <row r="115" spans="1:18" ht="27.75">
      <c r="A115" s="879" t="s">
        <v>255</v>
      </c>
      <c r="B115" s="880"/>
      <c r="C115" s="881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>
      <c r="A116" s="897" t="s">
        <v>96</v>
      </c>
      <c r="B116" s="898"/>
      <c r="C116" s="899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79"/>
      <c r="R116" s="881"/>
    </row>
    <row r="117" spans="1:18" ht="27.75">
      <c r="A117" s="897" t="s">
        <v>184</v>
      </c>
      <c r="B117" s="898"/>
      <c r="C117" s="899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79"/>
      <c r="R117" s="881"/>
    </row>
    <row r="118" spans="1:18" ht="27.75">
      <c r="A118" s="874" t="s">
        <v>97</v>
      </c>
      <c r="B118" s="874"/>
      <c r="C118" s="874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79"/>
      <c r="R118" s="881"/>
    </row>
    <row r="119" spans="1:18" ht="27.75">
      <c r="A119" s="874" t="s">
        <v>98</v>
      </c>
      <c r="B119" s="874"/>
      <c r="C119" s="874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>
      <c r="A120" s="874" t="s">
        <v>99</v>
      </c>
      <c r="B120" s="874"/>
      <c r="C120" s="874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>
      <c r="A121" s="874" t="s">
        <v>100</v>
      </c>
      <c r="B121" s="874"/>
      <c r="C121" s="874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>
      <c r="A122" s="874" t="s">
        <v>101</v>
      </c>
      <c r="B122" s="874"/>
      <c r="C122" s="874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>
      <c r="A123" s="874" t="s">
        <v>348</v>
      </c>
      <c r="B123" s="874"/>
      <c r="C123" s="874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>
      <c r="A124" s="904"/>
      <c r="B124" s="905"/>
      <c r="C124" s="906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>
      <c r="A125" s="907" t="s">
        <v>196</v>
      </c>
      <c r="B125" s="957"/>
      <c r="C125" s="90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>
      <c r="A126" s="909" t="s">
        <v>317</v>
      </c>
      <c r="B126" s="909"/>
      <c r="C126" s="909"/>
      <c r="D126" s="909"/>
      <c r="E126" s="909"/>
      <c r="F126" s="909"/>
      <c r="G126" s="909"/>
      <c r="H126" s="909"/>
      <c r="I126" s="909"/>
      <c r="J126" s="909"/>
    </row>
    <row r="127" spans="1:18" ht="27.75">
      <c r="A127" s="910"/>
      <c r="B127" s="910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>
      <c r="A128" s="879" t="s">
        <v>318</v>
      </c>
      <c r="B128" s="880"/>
      <c r="C128" s="881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>
      <c r="A131" s="879" t="s">
        <v>321</v>
      </c>
      <c r="B131" s="880"/>
      <c r="C131" s="881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>
      <c r="A132" s="879" t="s">
        <v>322</v>
      </c>
      <c r="B132" s="880"/>
      <c r="C132" s="881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>
      <c r="A133" s="879" t="s">
        <v>362</v>
      </c>
      <c r="B133" s="880"/>
      <c r="C133" s="881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>
      <c r="A134" s="879" t="s">
        <v>340</v>
      </c>
      <c r="B134" s="880"/>
      <c r="C134" s="881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671174</v>
      </c>
      <c r="I134" s="155"/>
      <c r="J134" s="328">
        <f>H134/DAY(B2)</f>
        <v>21650.774193548386</v>
      </c>
    </row>
    <row r="135" spans="1:15" ht="27.75">
      <c r="A135" s="907" t="s">
        <v>196</v>
      </c>
      <c r="B135" s="957"/>
      <c r="C135" s="908"/>
      <c r="D135" s="151"/>
      <c r="E135" s="95"/>
      <c r="F135" s="155"/>
      <c r="G135" s="112">
        <f>SUM(G128:G134)</f>
        <v>1783.7799999999988</v>
      </c>
      <c r="H135" s="99">
        <f>G135+'23'!H135</f>
        <v>631158.17000000004</v>
      </c>
      <c r="I135" s="156">
        <f>G135-(G35+G49)</f>
        <v>-326.38999999999942</v>
      </c>
      <c r="J135" s="328"/>
    </row>
    <row r="136" spans="1:15" ht="31.5">
      <c r="A136" s="911" t="s">
        <v>325</v>
      </c>
      <c r="B136" s="911"/>
      <c r="C136" s="911"/>
      <c r="D136" s="911"/>
      <c r="E136" s="911"/>
      <c r="F136" s="911"/>
      <c r="G136" s="911"/>
      <c r="H136" s="911"/>
      <c r="I136" s="911"/>
      <c r="J136" s="911"/>
    </row>
    <row r="137" spans="1:15" ht="29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>
      <c r="A138" s="874" t="s">
        <v>185</v>
      </c>
      <c r="B138" s="874"/>
      <c r="C138" s="874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>
      <c r="A139" s="874" t="s">
        <v>186</v>
      </c>
      <c r="B139" s="874"/>
      <c r="C139" s="874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>
      <c r="A140" s="874" t="s">
        <v>187</v>
      </c>
      <c r="B140" s="874"/>
      <c r="C140" s="874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>
      <c r="A141" s="878" t="s">
        <v>188</v>
      </c>
      <c r="B141" s="878"/>
      <c r="C141" s="878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>
      <c r="A142" s="878" t="s">
        <v>189</v>
      </c>
      <c r="B142" s="878"/>
      <c r="C142" s="878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2"/>
      <c r="J142" s="328">
        <f>H142/DAY(B2)</f>
        <v>0</v>
      </c>
    </row>
    <row r="143" spans="1:15" ht="27.75">
      <c r="A143" s="874" t="s">
        <v>91</v>
      </c>
      <c r="B143" s="874"/>
      <c r="C143" s="874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2"/>
      <c r="J143" s="328">
        <f>H143/DAY(B2)</f>
        <v>0</v>
      </c>
    </row>
    <row r="144" spans="1:15" ht="27.75">
      <c r="A144" s="878" t="s">
        <v>90</v>
      </c>
      <c r="B144" s="878"/>
      <c r="C144" s="878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2"/>
      <c r="J144" s="328">
        <f>H144/DAY(B2)</f>
        <v>0</v>
      </c>
    </row>
    <row r="145" spans="1:11" ht="27.75">
      <c r="A145" s="874" t="s">
        <v>190</v>
      </c>
      <c r="B145" s="874"/>
      <c r="C145" s="874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2"/>
      <c r="J145" s="328">
        <f>H145/DAY(B2)</f>
        <v>0</v>
      </c>
    </row>
    <row r="146" spans="1:11" ht="27.75">
      <c r="A146" s="875" t="s">
        <v>191</v>
      </c>
      <c r="B146" s="876"/>
      <c r="C146" s="877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2"/>
      <c r="J146" s="328">
        <f>H146/DAY(B2)</f>
        <v>0</v>
      </c>
    </row>
    <row r="147" spans="1:11" ht="27.75">
      <c r="A147" s="878" t="s">
        <v>192</v>
      </c>
      <c r="B147" s="878"/>
      <c r="C147" s="878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2"/>
      <c r="J147" s="328">
        <f>H147/DAY(B2)</f>
        <v>0</v>
      </c>
    </row>
    <row r="148" spans="1:11" ht="27.75">
      <c r="A148" s="870" t="s">
        <v>193</v>
      </c>
      <c r="B148" s="871"/>
      <c r="C148" s="872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>
      <c r="A149" s="870" t="s">
        <v>336</v>
      </c>
      <c r="B149" s="871"/>
      <c r="C149" s="872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>
      <c r="A150" s="870" t="s">
        <v>337</v>
      </c>
      <c r="B150" s="871"/>
      <c r="C150" s="872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>
      <c r="A151" s="870" t="s">
        <v>338</v>
      </c>
      <c r="B151" s="871"/>
      <c r="C151" s="872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>
      <c r="A152" s="870" t="s">
        <v>339</v>
      </c>
      <c r="B152" s="871"/>
      <c r="C152" s="872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>
      <c r="A153" s="907" t="s">
        <v>196</v>
      </c>
      <c r="B153" s="957"/>
      <c r="C153" s="90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>
      <c r="A154" s="911" t="s">
        <v>344</v>
      </c>
      <c r="B154" s="911"/>
      <c r="C154" s="911"/>
      <c r="D154" s="911"/>
      <c r="E154" s="911"/>
      <c r="F154" s="911"/>
      <c r="G154" s="911"/>
      <c r="H154" s="911"/>
      <c r="I154" s="911"/>
      <c r="J154" s="911"/>
    </row>
    <row r="155" spans="1:11" ht="31.5">
      <c r="A155" s="878" t="s">
        <v>345</v>
      </c>
      <c r="B155" s="878"/>
      <c r="C155" s="878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-560.00000000000364</v>
      </c>
      <c r="I155" s="364"/>
      <c r="J155" s="328">
        <f>H155/DAY(B2)</f>
        <v>-18.064516129032377</v>
      </c>
    </row>
    <row r="156" spans="1:11" ht="27.75">
      <c r="A156" s="878" t="s">
        <v>347</v>
      </c>
      <c r="B156" s="878"/>
      <c r="C156" s="878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>
      <c r="A157" s="870" t="s">
        <v>364</v>
      </c>
      <c r="B157" s="871"/>
      <c r="C157" s="872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>
      <c r="A158" s="870" t="s">
        <v>365</v>
      </c>
      <c r="B158" s="871"/>
      <c r="C158" s="872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>
      <c r="A159" s="927"/>
      <c r="B159" s="928"/>
      <c r="C159" s="929"/>
      <c r="D159" s="117"/>
      <c r="E159" s="95"/>
      <c r="F159" s="155"/>
      <c r="G159" s="112"/>
      <c r="H159" s="99"/>
      <c r="I159" s="155"/>
      <c r="J159" s="328"/>
    </row>
    <row r="160" spans="1:11" ht="31.5">
      <c r="A160" s="911" t="s">
        <v>326</v>
      </c>
      <c r="B160" s="911"/>
      <c r="C160" s="911"/>
      <c r="D160" s="911"/>
      <c r="E160" s="911"/>
      <c r="F160" s="911"/>
      <c r="G160" s="911"/>
      <c r="H160" s="911"/>
      <c r="I160" s="911"/>
      <c r="J160" s="911"/>
    </row>
    <row r="161" spans="1:10" ht="29.2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>
      <c r="A166" s="910"/>
      <c r="B166" s="910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>
      <c r="A167" s="910"/>
      <c r="B167" s="910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>
      <c r="A168" s="910"/>
      <c r="B168" s="910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/>
    <row r="170" spans="1:10" ht="29.25"/>
    <row r="171" spans="1:10" ht="31.5">
      <c r="A171" s="918" t="s">
        <v>330</v>
      </c>
      <c r="B171" s="919"/>
      <c r="C171" s="919"/>
      <c r="D171" s="919"/>
      <c r="E171" s="919"/>
      <c r="F171" s="919"/>
      <c r="G171" s="919"/>
      <c r="H171" s="919"/>
      <c r="I171" s="919"/>
      <c r="J171" s="920"/>
    </row>
    <row r="172" spans="1:10" ht="27.75">
      <c r="A172" s="914"/>
      <c r="B172" s="91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68" t="s">
        <v>209</v>
      </c>
      <c r="B173" s="869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>
      <c r="A174" s="868" t="s">
        <v>75</v>
      </c>
      <c r="B174" s="869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>
      <c r="A175" s="868" t="s">
        <v>76</v>
      </c>
      <c r="B175" s="873"/>
      <c r="C175" s="869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>
      <c r="A176" s="907" t="s">
        <v>196</v>
      </c>
      <c r="B176" s="957"/>
      <c r="C176" s="908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>
      <c r="A177" s="868" t="s">
        <v>77</v>
      </c>
      <c r="B177" s="869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>
      <c r="A178" s="868" t="s">
        <v>210</v>
      </c>
      <c r="B178" s="869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>
      <c r="A179" s="868" t="s">
        <v>211</v>
      </c>
      <c r="B179" s="869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>
      <c r="A180" s="868" t="s">
        <v>212</v>
      </c>
      <c r="B180" s="869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>
      <c r="A181" s="912" t="s">
        <v>108</v>
      </c>
      <c r="B181" s="913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>
      <c r="A182" s="868" t="s">
        <v>213</v>
      </c>
      <c r="B182" s="869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>
      <c r="A183" s="868" t="s">
        <v>214</v>
      </c>
      <c r="B183" s="869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>
      <c r="A184" s="868" t="s">
        <v>215</v>
      </c>
      <c r="B184" s="869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>
      <c r="A185" s="868" t="s">
        <v>216</v>
      </c>
      <c r="B185" s="869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>
      <c r="A186" s="907" t="s">
        <v>196</v>
      </c>
      <c r="B186" s="908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>
      <c r="A187" s="916" t="s">
        <v>217</v>
      </c>
      <c r="B187" s="917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>
      <c r="A188" s="916" t="s">
        <v>218</v>
      </c>
      <c r="B188" s="917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>
      <c r="A189" s="916" t="s">
        <v>219</v>
      </c>
      <c r="B189" s="917"/>
      <c r="C189" s="333"/>
      <c r="D189" s="230" t="s">
        <v>142</v>
      </c>
      <c r="E189" s="95">
        <f>'30'!F189</f>
        <v>0</v>
      </c>
      <c r="F189" s="157"/>
      <c r="G189" s="69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>
      <c r="A190" s="839"/>
      <c r="B190" s="840"/>
      <c r="C190" s="481"/>
      <c r="D190" s="478"/>
      <c r="E190" s="497" t="s">
        <v>207</v>
      </c>
      <c r="F190" s="497"/>
      <c r="G190" s="497"/>
      <c r="H190" s="479"/>
      <c r="I190" s="497"/>
      <c r="J190" s="6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41" t="s">
        <v>6</v>
      </c>
      <c r="F2" s="741"/>
      <c r="G2" s="741"/>
      <c r="H2" s="747" t="s">
        <v>14</v>
      </c>
      <c r="I2" s="747"/>
      <c r="J2" s="747"/>
      <c r="K2" s="264" t="s">
        <v>15</v>
      </c>
      <c r="L2" s="747" t="s">
        <v>16</v>
      </c>
      <c r="M2" s="747"/>
      <c r="N2" s="747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>
      <c r="A6" s="16">
        <v>3</v>
      </c>
      <c r="B6" s="26">
        <v>3</v>
      </c>
      <c r="C6" s="26"/>
      <c r="D6" s="19">
        <f>'4'!F8</f>
        <v>220974.95</v>
      </c>
      <c r="E6" s="19">
        <f>'3'!G96</f>
        <v>-96007.19</v>
      </c>
      <c r="F6" s="19">
        <f>'3'!F123</f>
        <v>146156.89000000001</v>
      </c>
      <c r="G6" s="21">
        <f t="shared" si="0"/>
        <v>-14032112308.039103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21357.57</v>
      </c>
      <c r="G7" s="21">
        <f t="shared" si="0"/>
        <v>67207787.700300023</v>
      </c>
      <c r="H7" s="19">
        <f>'3'!G68</f>
        <v>-1113</v>
      </c>
      <c r="I7" s="19">
        <f>'3'!G69</f>
        <v>-297</v>
      </c>
      <c r="J7" s="19">
        <f>'3'!G70</f>
        <v>-244</v>
      </c>
      <c r="K7" s="23">
        <f t="shared" si="1"/>
        <v>-1410</v>
      </c>
      <c r="L7" s="19">
        <f>'3'!G71</f>
        <v>-5055</v>
      </c>
      <c r="M7" s="19">
        <f>'3'!G72</f>
        <v>0</v>
      </c>
      <c r="N7" s="19">
        <v>0</v>
      </c>
      <c r="O7" s="23">
        <f t="shared" si="2"/>
        <v>-5055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21357.57</v>
      </c>
      <c r="G9" s="21">
        <f t="shared" si="0"/>
        <v>70716622.87560004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21357.57</v>
      </c>
      <c r="G10" s="21">
        <f t="shared" si="0"/>
        <v>71953653.329999998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21357.57</v>
      </c>
      <c r="G11" s="21">
        <f t="shared" si="0"/>
        <v>68130648.299999997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21357.57</v>
      </c>
      <c r="G12" s="21">
        <f t="shared" si="0"/>
        <v>58999432.822199978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21357.57</v>
      </c>
      <c r="G13" s="21">
        <f t="shared" si="0"/>
        <v>58946893.199999996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21357.57</v>
      </c>
      <c r="G14" s="21">
        <f t="shared" si="0"/>
        <v>62073641.447999872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21357.57</v>
      </c>
      <c r="G15" s="20">
        <f t="shared" si="0"/>
        <v>60057486.839999996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21357.57</v>
      </c>
      <c r="G16" s="20">
        <f t="shared" si="0"/>
        <v>61104007.769999996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21357.57</v>
      </c>
      <c r="G17" s="20">
        <f t="shared" si="0"/>
        <v>66891909.240000002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21357.57</v>
      </c>
      <c r="G18" s="20">
        <f t="shared" si="0"/>
        <v>64251472.860900208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49" t="s">
        <v>115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58" t="s">
        <v>119</v>
      </c>
      <c r="F3" s="859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52" t="s">
        <v>128</v>
      </c>
      <c r="B6" s="853"/>
      <c r="C6" s="854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-17830.150000000023</v>
      </c>
      <c r="I8" s="116"/>
      <c r="J8" s="175">
        <f>H8/DAY(B2)</f>
        <v>-575.16612903225882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7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2342253.15</v>
      </c>
      <c r="I9" s="124"/>
      <c r="J9" s="175">
        <f>H9/DAY(B2)</f>
        <v>75556.553225806449</v>
      </c>
      <c r="K9" s="79">
        <f>K8-100</f>
        <v>1715817</v>
      </c>
      <c r="L9" s="66"/>
      <c r="N9" s="87"/>
      <c r="O9" s="71"/>
      <c r="Q9" s="688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593658.03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686"/>
      <c r="C14" s="686"/>
      <c r="D14" s="151"/>
      <c r="E14" s="95"/>
      <c r="F14" s="95"/>
      <c r="G14" s="119">
        <f>G9+G10+G11+G12</f>
        <v>0</v>
      </c>
      <c r="H14" s="99">
        <f>G14+'30'!H13</f>
        <v>2919156.75</v>
      </c>
      <c r="I14" s="120">
        <f>G7-G14</f>
        <v>0</v>
      </c>
      <c r="J14" s="175">
        <f>H14/DAY(B2)</f>
        <v>94166.346774193546</v>
      </c>
      <c r="K14" s="79"/>
      <c r="L14" s="66"/>
      <c r="N14" s="87"/>
      <c r="O14" s="71"/>
    </row>
    <row r="15" spans="1:17" ht="33" customHeight="1">
      <c r="A15" s="855" t="s">
        <v>137</v>
      </c>
      <c r="B15" s="856"/>
      <c r="C15" s="857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-166.76699999999255</v>
      </c>
      <c r="I16" s="113">
        <f>'1'!I15</f>
        <v>800</v>
      </c>
      <c r="J16" s="175">
        <f>H16/DAY(B2)</f>
        <v>-5.3795806451610497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805.37958064516101</v>
      </c>
      <c r="J17" s="176"/>
      <c r="K17" s="79"/>
      <c r="L17" s="66"/>
      <c r="N17" s="87"/>
      <c r="O17" s="71"/>
    </row>
    <row r="18" spans="1:15" ht="33" customHeight="1">
      <c r="A18" s="855" t="s">
        <v>140</v>
      </c>
      <c r="B18" s="856"/>
      <c r="C18" s="857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46" t="s">
        <v>141</v>
      </c>
      <c r="B19" s="847"/>
      <c r="C19" s="848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4010</v>
      </c>
      <c r="I19" s="113">
        <f>'1'!I18</f>
        <v>65</v>
      </c>
      <c r="J19" s="175">
        <f>H19/DAY(B2)</f>
        <v>129.35483870967741</v>
      </c>
      <c r="K19" s="79"/>
      <c r="L19" s="66"/>
      <c r="N19" s="87"/>
      <c r="O19" s="71"/>
    </row>
    <row r="20" spans="1:15" ht="33" customHeight="1">
      <c r="A20" s="846" t="s">
        <v>69</v>
      </c>
      <c r="B20" s="847"/>
      <c r="C20" s="848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-4543</v>
      </c>
      <c r="I21" s="336">
        <f>I19-J21</f>
        <v>211.54838709677421</v>
      </c>
      <c r="J21" s="175">
        <f>H21/DAY(B2)</f>
        <v>-146.54838709677421</v>
      </c>
      <c r="K21" s="79"/>
      <c r="L21" s="66"/>
      <c r="N21" s="87"/>
      <c r="O21" s="71"/>
    </row>
    <row r="22" spans="1:15" ht="33" customHeight="1">
      <c r="A22" s="855" t="s">
        <v>144</v>
      </c>
      <c r="B22" s="856"/>
      <c r="C22" s="857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>
      <c r="A26" s="860" t="s">
        <v>149</v>
      </c>
      <c r="B26" s="861"/>
      <c r="C26" s="862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-160471.35000000056</v>
      </c>
      <c r="I28" s="138"/>
      <c r="J28" s="175">
        <f>H28/DAY(B2)</f>
        <v>-5176.4951612903405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9631.4660000003787</v>
      </c>
      <c r="I29" s="140"/>
      <c r="J29" s="175">
        <f>H29/DAY(B2)</f>
        <v>310.69245161291542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-1248450.44</v>
      </c>
      <c r="I31" s="140"/>
      <c r="J31" s="175">
        <f>H31/DAY(B2)</f>
        <v>-40272.594838709672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320800</v>
      </c>
      <c r="I32" s="140"/>
      <c r="J32" s="175">
        <f>H32/DAY(B2)</f>
        <v>10348.387096774193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-1070900.3240000003</v>
      </c>
      <c r="I33" s="144"/>
      <c r="J33" s="175">
        <f>H33/DAY(B2)</f>
        <v>-34545.17174193549</v>
      </c>
      <c r="K33" s="63"/>
      <c r="L33" s="89"/>
      <c r="N33" s="87"/>
      <c r="O33" s="71"/>
    </row>
    <row r="34" spans="1:15" ht="33" customHeight="1">
      <c r="A34" s="863" t="s">
        <v>331</v>
      </c>
      <c r="B34" s="864"/>
      <c r="C34" s="864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166789.02000000002</v>
      </c>
      <c r="I36" s="95"/>
      <c r="J36" s="175">
        <f>H36/DAY(B2)</f>
        <v>5380.2909677419357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207179.91000000006</v>
      </c>
      <c r="I38" s="95"/>
      <c r="J38" s="175">
        <f>H38/DAY(B2)</f>
        <v>6683.2229032258083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245722.57</v>
      </c>
      <c r="I39" s="95"/>
      <c r="J39" s="175">
        <f>H39/DAY(B2)</f>
        <v>7926.5345161290325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433997.71</v>
      </c>
      <c r="I40" s="95"/>
      <c r="J40" s="175">
        <f>H40/DAY(B2)</f>
        <v>13999.926129032259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21283.739999999998</v>
      </c>
      <c r="I41" s="95"/>
      <c r="J41" s="175">
        <f>H41/DAY(B2)</f>
        <v>686.57225806451606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1075897.8700000001</v>
      </c>
      <c r="I48" s="95"/>
      <c r="J48" s="175">
        <f>H48/DAY(B2)</f>
        <v>34706.382903225807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680186.81</v>
      </c>
      <c r="I50" s="95"/>
      <c r="J50" s="175">
        <f>H50/DAY(B2)</f>
        <v>21941.510000000002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14769.66</v>
      </c>
      <c r="I55" s="95"/>
      <c r="J55" s="175">
        <f>H55/DAY(B2)</f>
        <v>476.44064516129032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153843.42000000004</v>
      </c>
      <c r="I59" s="95"/>
      <c r="J59" s="175">
        <f>H59/DAY(B2)</f>
        <v>4962.6909677419371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3410211.6</v>
      </c>
      <c r="I60" s="95">
        <f>G7-G61</f>
        <v>-3044263.45</v>
      </c>
      <c r="J60" s="175">
        <f>H60/DAY(B2)</f>
        <v>110006.82580645161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4486109.4700000007</v>
      </c>
      <c r="I61" s="95">
        <f>G14-G61</f>
        <v>-3044263.45</v>
      </c>
      <c r="J61" s="175">
        <f>H61/DAY(B2)</f>
        <v>144713.20870967745</v>
      </c>
      <c r="K61" s="79"/>
      <c r="L61" s="66"/>
      <c r="N61" s="87"/>
      <c r="O61" s="71"/>
    </row>
    <row r="62" spans="1:15" s="68" customFormat="1" ht="33" customHeight="1">
      <c r="A62" s="865" t="s">
        <v>332</v>
      </c>
      <c r="B62" s="866"/>
      <c r="C62" s="867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46" t="s">
        <v>198</v>
      </c>
      <c r="B63" s="847"/>
      <c r="C63" s="848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46" t="s">
        <v>199</v>
      </c>
      <c r="B64" s="847"/>
      <c r="C64" s="848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647066.22999999986</v>
      </c>
      <c r="I64" s="118"/>
      <c r="J64" s="175">
        <f>H64/DAY(B2)</f>
        <v>20873.104193548385</v>
      </c>
      <c r="K64" s="69"/>
      <c r="L64" s="66"/>
      <c r="N64" s="87"/>
      <c r="O64" s="71"/>
    </row>
    <row r="65" spans="1:15" ht="33" customHeight="1">
      <c r="A65" s="843" t="s">
        <v>200</v>
      </c>
      <c r="B65" s="844"/>
      <c r="C65" s="845"/>
      <c r="D65" s="151"/>
      <c r="E65" s="122"/>
      <c r="F65" s="122"/>
      <c r="G65" s="112">
        <f>G63+G64</f>
        <v>451111</v>
      </c>
      <c r="H65" s="99">
        <f>G65+'30'!H95</f>
        <v>451118.21665003774</v>
      </c>
      <c r="I65" s="118"/>
      <c r="J65" s="175">
        <f>H65/DAY(B2)</f>
        <v>14552.200537097991</v>
      </c>
      <c r="K65" s="69"/>
      <c r="L65" s="66"/>
      <c r="N65" s="87"/>
      <c r="O65" s="71"/>
    </row>
    <row r="66" spans="1:15" ht="33" customHeight="1">
      <c r="A66" s="846" t="s">
        <v>201</v>
      </c>
      <c r="B66" s="847"/>
      <c r="C66" s="848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416700.14999999997</v>
      </c>
      <c r="I66" s="118"/>
      <c r="J66" s="175">
        <f>H66/DAY(B2)</f>
        <v>13441.940322580644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104641.34938519899</v>
      </c>
      <c r="I67" s="118"/>
      <c r="J67" s="175">
        <f>H67/DAY(B2)</f>
        <v>3375.527399522548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530481.71</v>
      </c>
      <c r="I68" s="118"/>
      <c r="J68" s="175">
        <f>H68/DAY(B2)</f>
        <v>17112.313225806451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152138.57694555013</v>
      </c>
      <c r="I69" s="118"/>
      <c r="J69" s="175">
        <f>H69/DAY(B2)</f>
        <v>4907.6960305016173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252699.57</v>
      </c>
      <c r="I70" s="118"/>
      <c r="J70" s="175">
        <f>H70/DAY(B2)</f>
        <v>8151.5990322580647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6375.3755835629745</v>
      </c>
      <c r="I71" s="118"/>
      <c r="J71" s="175">
        <f>H71/DAY(B2)</f>
        <v>205.65727688912821</v>
      </c>
      <c r="K71" s="69"/>
      <c r="L71" s="66"/>
      <c r="N71" s="87"/>
      <c r="O71" s="71"/>
    </row>
    <row r="72" spans="1:15" ht="33" customHeight="1">
      <c r="A72" s="843" t="s">
        <v>208</v>
      </c>
      <c r="B72" s="844"/>
      <c r="C72" s="845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>
      <c r="A73" s="889"/>
      <c r="B73" s="881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894" t="s">
        <v>333</v>
      </c>
      <c r="B74" s="895"/>
      <c r="C74" s="896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46" t="s">
        <v>220</v>
      </c>
      <c r="B75" s="847"/>
      <c r="C75" s="848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46" t="s">
        <v>221</v>
      </c>
      <c r="B76" s="847"/>
      <c r="C76" s="848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890" t="s">
        <v>222</v>
      </c>
      <c r="B77" s="876"/>
      <c r="C77" s="877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890" t="s">
        <v>223</v>
      </c>
      <c r="B78" s="876"/>
      <c r="C78" s="877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890" t="s">
        <v>224</v>
      </c>
      <c r="B79" s="876"/>
      <c r="C79" s="877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>
      <c r="A80" s="890" t="s">
        <v>225</v>
      </c>
      <c r="B80" s="876"/>
      <c r="C80" s="877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43" t="s">
        <v>329</v>
      </c>
      <c r="B81" s="844"/>
      <c r="C81" s="84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882" t="s">
        <v>226</v>
      </c>
      <c r="B82" s="883"/>
      <c r="C82" s="884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663428.77</v>
      </c>
      <c r="I86" s="118">
        <f>G83+G84+G85+G86</f>
        <v>-138518</v>
      </c>
      <c r="J86" s="175">
        <f>H86/DAY(B2)</f>
        <v>21400.928064516131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673953.39</v>
      </c>
      <c r="I87" s="118"/>
      <c r="J87" s="175">
        <f>H87/DAY(B2)</f>
        <v>21740.43193548387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>
      <c r="A94" s="891" t="s">
        <v>239</v>
      </c>
      <c r="B94" s="892"/>
      <c r="C94" s="893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46" t="s">
        <v>240</v>
      </c>
      <c r="B95" s="847"/>
      <c r="C95" s="848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>
      <c r="A96" s="846" t="s">
        <v>241</v>
      </c>
      <c r="B96" s="847"/>
      <c r="C96" s="848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46" t="s">
        <v>242</v>
      </c>
      <c r="B97" s="847"/>
      <c r="C97" s="848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>
      <c r="A98" s="846" t="s">
        <v>243</v>
      </c>
      <c r="B98" s="847"/>
      <c r="C98" s="848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46" t="s">
        <v>244</v>
      </c>
      <c r="B99" s="847"/>
      <c r="C99" s="848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>
      <c r="A100" s="846" t="s">
        <v>245</v>
      </c>
      <c r="B100" s="847"/>
      <c r="C100" s="848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46" t="s">
        <v>246</v>
      </c>
      <c r="B101" s="847"/>
      <c r="C101" s="848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>
      <c r="A102" s="846" t="s">
        <v>247</v>
      </c>
      <c r="B102" s="847"/>
      <c r="C102" s="848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46" t="s">
        <v>248</v>
      </c>
      <c r="B103" s="847"/>
      <c r="C103" s="848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>
      <c r="A104" s="846" t="s">
        <v>249</v>
      </c>
      <c r="B104" s="847"/>
      <c r="C104" s="848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46" t="s">
        <v>250</v>
      </c>
      <c r="B105" s="847"/>
      <c r="C105" s="848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>
      <c r="A106" s="886" t="s">
        <v>251</v>
      </c>
      <c r="B106" s="887"/>
      <c r="C106" s="888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00" t="s">
        <v>324</v>
      </c>
      <c r="B109" s="900"/>
      <c r="C109" s="900"/>
      <c r="D109" s="900"/>
      <c r="E109" s="900"/>
      <c r="F109" s="900"/>
      <c r="G109" s="900"/>
      <c r="H109" s="900"/>
      <c r="I109" s="900"/>
      <c r="J109" s="900"/>
    </row>
    <row r="110" spans="1:15" ht="33" customHeight="1">
      <c r="A110" s="885"/>
      <c r="B110" s="885"/>
    </row>
    <row r="111" spans="1:15" ht="33" customHeight="1">
      <c r="A111" s="901" t="s">
        <v>165</v>
      </c>
      <c r="B111" s="902"/>
      <c r="C111" s="902"/>
      <c r="D111" s="902"/>
      <c r="E111" s="902"/>
      <c r="F111" s="902"/>
      <c r="G111" s="902"/>
      <c r="H111" s="902"/>
      <c r="I111" s="902"/>
      <c r="J111" s="903"/>
    </row>
    <row r="112" spans="1:15" ht="33" customHeight="1">
      <c r="A112" s="904"/>
      <c r="B112" s="905"/>
      <c r="C112" s="906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79" t="s">
        <v>252</v>
      </c>
      <c r="B113" s="880"/>
      <c r="C113" s="881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79" t="s">
        <v>253</v>
      </c>
      <c r="B114" s="880"/>
      <c r="C114" s="881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79" t="s">
        <v>254</v>
      </c>
      <c r="B115" s="880"/>
      <c r="C115" s="881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79" t="s">
        <v>255</v>
      </c>
      <c r="B116" s="880"/>
      <c r="C116" s="881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97" t="s">
        <v>96</v>
      </c>
      <c r="B117" s="898"/>
      <c r="C117" s="899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79" t="s">
        <v>311</v>
      </c>
      <c r="R117" s="881"/>
    </row>
    <row r="118" spans="1:18" ht="33" customHeight="1">
      <c r="A118" s="897" t="s">
        <v>184</v>
      </c>
      <c r="B118" s="898"/>
      <c r="C118" s="899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79" t="s">
        <v>312</v>
      </c>
      <c r="R118" s="881"/>
    </row>
    <row r="119" spans="1:18" ht="33" customHeight="1">
      <c r="A119" s="874" t="s">
        <v>97</v>
      </c>
      <c r="B119" s="874"/>
      <c r="C119" s="874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79" t="s">
        <v>311</v>
      </c>
      <c r="R119" s="881"/>
    </row>
    <row r="120" spans="1:18" ht="33" customHeight="1">
      <c r="A120" s="874" t="s">
        <v>98</v>
      </c>
      <c r="B120" s="874"/>
      <c r="C120" s="874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>
      <c r="A121" s="874" t="s">
        <v>99</v>
      </c>
      <c r="B121" s="874"/>
      <c r="C121" s="874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74" t="s">
        <v>100</v>
      </c>
      <c r="B122" s="874"/>
      <c r="C122" s="874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>
      <c r="A123" s="874" t="s">
        <v>101</v>
      </c>
      <c r="B123" s="874"/>
      <c r="C123" s="874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>
      <c r="A124" s="874" t="s">
        <v>102</v>
      </c>
      <c r="B124" s="874"/>
      <c r="C124" s="874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>
      <c r="A125" s="904"/>
      <c r="B125" s="905"/>
      <c r="C125" s="906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10"/>
      <c r="B126" s="910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09" t="s">
        <v>317</v>
      </c>
      <c r="B127" s="909"/>
      <c r="C127" s="909"/>
      <c r="D127" s="909"/>
      <c r="E127" s="909"/>
      <c r="F127" s="909"/>
      <c r="G127" s="909"/>
      <c r="H127" s="909"/>
      <c r="I127" s="909"/>
      <c r="J127" s="909"/>
    </row>
    <row r="128" spans="1:18" ht="33" customHeight="1">
      <c r="A128" s="910"/>
      <c r="B128" s="910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>
      <c r="A129" s="879" t="s">
        <v>318</v>
      </c>
      <c r="B129" s="880"/>
      <c r="C129" s="881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79" t="s">
        <v>321</v>
      </c>
      <c r="B132" s="880"/>
      <c r="C132" s="881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79" t="s">
        <v>322</v>
      </c>
      <c r="B133" s="880"/>
      <c r="C133" s="881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>
      <c r="A134" s="879" t="s">
        <v>323</v>
      </c>
      <c r="B134" s="880"/>
      <c r="C134" s="881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>
      <c r="A135" s="904"/>
      <c r="B135" s="905"/>
      <c r="C135" s="906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04"/>
      <c r="B136" s="905"/>
      <c r="C136" s="906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11" t="s">
        <v>325</v>
      </c>
      <c r="B137" s="911"/>
      <c r="C137" s="911"/>
      <c r="D137" s="911"/>
      <c r="E137" s="911"/>
      <c r="F137" s="911"/>
      <c r="G137" s="911"/>
      <c r="H137" s="911"/>
      <c r="I137" s="911"/>
      <c r="J137" s="91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74" t="s">
        <v>185</v>
      </c>
      <c r="B139" s="874"/>
      <c r="C139" s="874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74" t="s">
        <v>186</v>
      </c>
      <c r="B140" s="874"/>
      <c r="C140" s="874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74" t="s">
        <v>187</v>
      </c>
      <c r="B141" s="874"/>
      <c r="C141" s="874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78" t="s">
        <v>188</v>
      </c>
      <c r="B142" s="878"/>
      <c r="C142" s="878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78" t="s">
        <v>189</v>
      </c>
      <c r="B143" s="878"/>
      <c r="C143" s="878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74" t="s">
        <v>190</v>
      </c>
      <c r="B144" s="874"/>
      <c r="C144" s="874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75" t="s">
        <v>191</v>
      </c>
      <c r="B145" s="876"/>
      <c r="C145" s="877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78" t="s">
        <v>90</v>
      </c>
      <c r="B146" s="878"/>
      <c r="C146" s="878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78" t="s">
        <v>192</v>
      </c>
      <c r="B147" s="878"/>
      <c r="C147" s="878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78" t="s">
        <v>193</v>
      </c>
      <c r="B148" s="878"/>
      <c r="C148" s="878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78" t="s">
        <v>91</v>
      </c>
      <c r="B149" s="878"/>
      <c r="C149" s="878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78" t="s">
        <v>194</v>
      </c>
      <c r="B150" s="878"/>
      <c r="C150" s="878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11" t="s">
        <v>326</v>
      </c>
      <c r="B153" s="911"/>
      <c r="C153" s="911"/>
      <c r="D153" s="911"/>
      <c r="E153" s="911"/>
      <c r="F153" s="911"/>
      <c r="G153" s="911"/>
      <c r="H153" s="911"/>
      <c r="I153" s="911"/>
      <c r="J153" s="91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10" t="s">
        <v>328</v>
      </c>
      <c r="B159" s="910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10" t="s">
        <v>327</v>
      </c>
      <c r="B160" s="910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10" t="s">
        <v>328</v>
      </c>
      <c r="B161" s="910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18" t="s">
        <v>330</v>
      </c>
      <c r="B164" s="919"/>
      <c r="C164" s="919"/>
      <c r="D164" s="919"/>
      <c r="E164" s="919"/>
      <c r="F164" s="919"/>
      <c r="G164" s="919"/>
      <c r="H164" s="919"/>
      <c r="I164" s="919"/>
      <c r="J164" s="920"/>
    </row>
    <row r="165" spans="1:10" ht="33" customHeight="1">
      <c r="A165" s="914"/>
      <c r="B165" s="915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68" t="s">
        <v>209</v>
      </c>
      <c r="B166" s="869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68" t="s">
        <v>75</v>
      </c>
      <c r="B167" s="869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68" t="s">
        <v>76</v>
      </c>
      <c r="B168" s="873"/>
      <c r="C168" s="869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68" t="s">
        <v>196</v>
      </c>
      <c r="B169" s="869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68" t="s">
        <v>77</v>
      </c>
      <c r="B170" s="869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68" t="s">
        <v>210</v>
      </c>
      <c r="B171" s="869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68" t="s">
        <v>211</v>
      </c>
      <c r="B172" s="869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68" t="s">
        <v>212</v>
      </c>
      <c r="B173" s="869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16" t="s">
        <v>108</v>
      </c>
      <c r="B174" s="917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68" t="s">
        <v>213</v>
      </c>
      <c r="B175" s="869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68" t="s">
        <v>214</v>
      </c>
      <c r="B176" s="869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68" t="s">
        <v>215</v>
      </c>
      <c r="B177" s="869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68" t="s">
        <v>216</v>
      </c>
      <c r="B178" s="869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68" t="s">
        <v>196</v>
      </c>
      <c r="B179" s="869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16" t="s">
        <v>217</v>
      </c>
      <c r="B180" s="917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16" t="s">
        <v>218</v>
      </c>
      <c r="B181" s="917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16" t="s">
        <v>219</v>
      </c>
      <c r="B182" s="917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16"/>
      <c r="B183" s="917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2021-08-31T02:26:59Z</cp:lastPrinted>
  <dcterms:created xsi:type="dcterms:W3CDTF">2013-11-14T06:06:34Z</dcterms:created>
  <dcterms:modified xsi:type="dcterms:W3CDTF">2022-02-02T23:06:04Z</dcterms:modified>
</cp:coreProperties>
</file>